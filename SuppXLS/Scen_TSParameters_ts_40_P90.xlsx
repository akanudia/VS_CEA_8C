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SuppXLS\"/>
    </mc:Choice>
  </mc:AlternateContent>
  <xr:revisionPtr revIDLastSave="0" documentId="13_ncr:1_{3C6E219F-BB77-43E2-B202-6E33DCDD5E4F}" xr6:coauthVersionLast="47" xr6:coauthVersionMax="47" xr10:uidLastSave="{00000000-0000-0000-0000-000000000000}"/>
  <bookViews>
    <workbookView xWindow="368" yWindow="368" windowWidth="21599" windowHeight="12772" firstSheet="21" activeTab="25" xr2:uid="{D2B4344D-0996-4E65-BB03-16B40AF4F3E3}"/>
  </bookViews>
  <sheets>
    <sheet name="resource_profiles_FRA" sheetId="2" r:id="rId1"/>
    <sheet name="firmness_FRA" sheetId="3" r:id="rId2"/>
    <sheet name="load_demand_peak_hydro_FRA" sheetId="4" r:id="rId3"/>
    <sheet name="resource_profiles_GBR" sheetId="5" r:id="rId4"/>
    <sheet name="firmness_GBR" sheetId="6" r:id="rId5"/>
    <sheet name="load_demand_peak_hydro_GBR" sheetId="7" r:id="rId6"/>
    <sheet name="resource_profiles_BEL" sheetId="8" r:id="rId7"/>
    <sheet name="firmness_BEL" sheetId="9" r:id="rId8"/>
    <sheet name="load_demand_peak_hydro_BEL" sheetId="10" r:id="rId9"/>
    <sheet name="resource_profiles_DEU" sheetId="11" r:id="rId10"/>
    <sheet name="firmness_DEU" sheetId="12" r:id="rId11"/>
    <sheet name="load_demand_peak_hydro_DEU" sheetId="13" r:id="rId12"/>
    <sheet name="resource_profiles_CHE" sheetId="14" r:id="rId13"/>
    <sheet name="firmness_CHE" sheetId="15" r:id="rId14"/>
    <sheet name="load_demand_peak_hydro_CHE" sheetId="16" r:id="rId15"/>
    <sheet name="resource_profiles_ITA" sheetId="17" r:id="rId16"/>
    <sheet name="firmness_ITA" sheetId="18" r:id="rId17"/>
    <sheet name="load_demand_peak_hydro_ITA" sheetId="19" r:id="rId18"/>
    <sheet name="resource_profiles_ESP" sheetId="20" r:id="rId19"/>
    <sheet name="firmness_ESP" sheetId="21" r:id="rId20"/>
    <sheet name="load_demand_peak_hydro_ESP" sheetId="22" r:id="rId21"/>
    <sheet name="resource_profiles_NLD" sheetId="23" r:id="rId22"/>
    <sheet name="firmness_NLD" sheetId="24" r:id="rId23"/>
    <sheet name="load_demand_peak_hydro_NLD" sheetId="25" r:id="rId24"/>
    <sheet name="ev_charging_uc" sheetId="26" r:id="rId25"/>
    <sheet name="timeslice_def" sheetId="27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7" l="1"/>
  <c r="I24" i="26"/>
  <c r="I23" i="26" s="1"/>
  <c r="H24" i="26"/>
  <c r="E24" i="26"/>
  <c r="H23" i="26"/>
  <c r="H21" i="26" s="1"/>
  <c r="E23" i="26"/>
  <c r="P9" i="25"/>
  <c r="L9" i="25"/>
  <c r="H9" i="25"/>
  <c r="C9" i="25"/>
  <c r="FQ9" i="24"/>
  <c r="EA9" i="24"/>
  <c r="CJ9" i="24"/>
  <c r="AS9" i="24"/>
  <c r="B9" i="24"/>
  <c r="L9" i="23"/>
  <c r="G9" i="23"/>
  <c r="B9" i="23"/>
  <c r="P9" i="22" l="1"/>
  <c r="L9" i="22"/>
  <c r="H9" i="22"/>
  <c r="C9" i="22"/>
  <c r="FQ9" i="21"/>
  <c r="EA9" i="21"/>
  <c r="CJ9" i="21"/>
  <c r="AS9" i="21"/>
  <c r="B9" i="21"/>
  <c r="L9" i="20"/>
  <c r="G9" i="20"/>
  <c r="B9" i="20"/>
  <c r="P9" i="19" l="1"/>
  <c r="L9" i="19"/>
  <c r="H9" i="19"/>
  <c r="C9" i="19"/>
  <c r="FQ9" i="18"/>
  <c r="EA9" i="18"/>
  <c r="CJ9" i="18"/>
  <c r="AS9" i="18"/>
  <c r="B9" i="18"/>
  <c r="L9" i="17"/>
  <c r="G9" i="17"/>
  <c r="B9" i="17"/>
  <c r="P9" i="16" l="1"/>
  <c r="L9" i="16"/>
  <c r="H9" i="16"/>
  <c r="C9" i="16"/>
  <c r="FQ9" i="15"/>
  <c r="EA9" i="15"/>
  <c r="CJ9" i="15"/>
  <c r="AS9" i="15"/>
  <c r="B9" i="15"/>
  <c r="G9" i="14"/>
  <c r="B9" i="14"/>
  <c r="P9" i="13" l="1"/>
  <c r="L9" i="13"/>
  <c r="H9" i="13"/>
  <c r="C9" i="13"/>
  <c r="FQ9" i="12"/>
  <c r="EA9" i="12"/>
  <c r="CJ9" i="12"/>
  <c r="AS9" i="12"/>
  <c r="B9" i="12"/>
  <c r="L9" i="11"/>
  <c r="G9" i="11"/>
  <c r="B9" i="11"/>
  <c r="P9" i="10" l="1"/>
  <c r="L9" i="10"/>
  <c r="H9" i="10"/>
  <c r="C9" i="10"/>
  <c r="FQ9" i="9"/>
  <c r="EA9" i="9"/>
  <c r="CJ9" i="9"/>
  <c r="AS9" i="9"/>
  <c r="B9" i="9"/>
  <c r="G9" i="8"/>
  <c r="B9" i="8"/>
  <c r="P9" i="7" l="1"/>
  <c r="L9" i="7"/>
  <c r="H9" i="7"/>
  <c r="C9" i="7"/>
  <c r="FQ9" i="6"/>
  <c r="EA9" i="6"/>
  <c r="CJ9" i="6"/>
  <c r="AS9" i="6"/>
  <c r="B9" i="6"/>
  <c r="L9" i="5"/>
  <c r="G9" i="5"/>
  <c r="B9" i="5"/>
  <c r="P9" i="4" l="1"/>
  <c r="L9" i="4"/>
  <c r="H9" i="4"/>
  <c r="C9" i="4"/>
  <c r="FQ9" i="3"/>
  <c r="EA9" i="3"/>
  <c r="CJ9" i="3"/>
  <c r="AS9" i="3"/>
  <c r="B9" i="3"/>
  <c r="L9" i="2"/>
  <c r="G9" i="2"/>
  <c r="B9" i="2"/>
</calcChain>
</file>

<file path=xl/sharedStrings.xml><?xml version="1.0" encoding="utf-8"?>
<sst xmlns="http://schemas.openxmlformats.org/spreadsheetml/2006/main" count="56351" uniqueCount="922">
  <si>
    <t>commodity</t>
  </si>
  <si>
    <t>timeslice</t>
  </si>
  <si>
    <t>com_fr</t>
  </si>
  <si>
    <t>process</t>
  </si>
  <si>
    <t>elc_spv_FRA_001</t>
  </si>
  <si>
    <t>S01aH01</t>
  </si>
  <si>
    <t>IMPNRGZ</t>
  </si>
  <si>
    <t>elc_won_FRA_001</t>
  </si>
  <si>
    <t>elc_wof_FRA_001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</si>
  <si>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</si>
  <si>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</si>
  <si>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</si>
  <si>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</si>
  <si>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</si>
  <si>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</si>
  <si>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</si>
  <si>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</si>
  <si>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</si>
  <si>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</si>
  <si>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</si>
  <si>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</si>
  <si>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</si>
  <si>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</si>
  <si>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</si>
  <si>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</si>
  <si>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</si>
  <si>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</si>
  <si>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</si>
  <si>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</si>
  <si>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</si>
  <si>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</si>
  <si>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</si>
  <si>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</si>
  <si>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</si>
  <si>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</si>
  <si>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</si>
  <si>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</si>
  <si>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</si>
  <si>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</si>
  <si>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</si>
  <si>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</si>
  <si>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</si>
  <si>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</si>
  <si>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</si>
  <si>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</si>
  <si>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</si>
  <si>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</si>
  <si>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</si>
  <si>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elc_spv_FRA_002</t>
  </si>
  <si>
    <t>elc_won_FRA_002</t>
  </si>
  <si>
    <t>elc_wof_FRA_002</t>
  </si>
  <si>
    <t>elc_spv_FRA_003</t>
  </si>
  <si>
    <t>elc_won_FRA_003</t>
  </si>
  <si>
    <t>elc_wof_FRA_003</t>
  </si>
  <si>
    <t>elc_spv_FRA_004</t>
  </si>
  <si>
    <t>elc_won_FRA_004</t>
  </si>
  <si>
    <t>elc_wof_FRA_004</t>
  </si>
  <si>
    <t>elc_spv_FRA_005</t>
  </si>
  <si>
    <t>elc_won_FRA_005</t>
  </si>
  <si>
    <t>elc_wof_FRA_005</t>
  </si>
  <si>
    <t>elc_spv_FRA_006</t>
  </si>
  <si>
    <t>elc_won_FRA_006</t>
  </si>
  <si>
    <t>elc_wof_FRA_006</t>
  </si>
  <si>
    <t>elc_spv_FRA_007</t>
  </si>
  <si>
    <t>elc_won_FRA_007</t>
  </si>
  <si>
    <t>elc_wof_FRA_007</t>
  </si>
  <si>
    <t>elc_spv_FRA_008</t>
  </si>
  <si>
    <t>elc_won_FRA_008</t>
  </si>
  <si>
    <t>elc_wof_FRA_008</t>
  </si>
  <si>
    <t>elc_spv_FRA_009</t>
  </si>
  <si>
    <t>elc_won_FRA_009</t>
  </si>
  <si>
    <t>elc_wof_FRA_009</t>
  </si>
  <si>
    <t>elc_spv_FRA_010</t>
  </si>
  <si>
    <t>elc_won_FRA_010</t>
  </si>
  <si>
    <t>elc_wof_FRA_010</t>
  </si>
  <si>
    <t>elc_spv_FRA_011</t>
  </si>
  <si>
    <t>elc_won_FRA_011</t>
  </si>
  <si>
    <t>elc_wof_FRA_011</t>
  </si>
  <si>
    <t>elc_spv_FRA_012</t>
  </si>
  <si>
    <t>elc_won_FRA_012</t>
  </si>
  <si>
    <t>elc_wof_FRA_012</t>
  </si>
  <si>
    <t>elc_spv_FRA_013</t>
  </si>
  <si>
    <t>elc_won_FRA_013</t>
  </si>
  <si>
    <t>elc_wof_FRA_013</t>
  </si>
  <si>
    <t>elc_spv_FRA_014</t>
  </si>
  <si>
    <t>elc_won_FRA_014</t>
  </si>
  <si>
    <t>elc_wof_FRA_014</t>
  </si>
  <si>
    <t>elc_spv_FRA_015</t>
  </si>
  <si>
    <t>elc_won_FRA_015</t>
  </si>
  <si>
    <t>elc_wof_FRA_015</t>
  </si>
  <si>
    <t>elc_spv_FRA_016</t>
  </si>
  <si>
    <t>elc_won_FRA_016</t>
  </si>
  <si>
    <t>elc_wof_FRA_016</t>
  </si>
  <si>
    <t>elc_spv_FRA_017</t>
  </si>
  <si>
    <t>elc_won_FRA_017</t>
  </si>
  <si>
    <t>elc_wof_FRA_017</t>
  </si>
  <si>
    <t>elc_spv_FRA_018</t>
  </si>
  <si>
    <t>elc_won_FRA_018</t>
  </si>
  <si>
    <t>elc_spv_FRA_019</t>
  </si>
  <si>
    <t>elc_won_FRA_019</t>
  </si>
  <si>
    <t>elc_spv_FRA_020</t>
  </si>
  <si>
    <t>elc_won_FRA_020</t>
  </si>
  <si>
    <t>elc_spv_FRA_021</t>
  </si>
  <si>
    <t>elc_won_FRA_021</t>
  </si>
  <si>
    <t>elc_spv_FRA_022</t>
  </si>
  <si>
    <t>elc_won_FRA_022</t>
  </si>
  <si>
    <t>elc_spv_FRA_023</t>
  </si>
  <si>
    <t>elc_won_FRA_023</t>
  </si>
  <si>
    <t>elc_spv_FRA_024</t>
  </si>
  <si>
    <t>elc_won_FRA_024</t>
  </si>
  <si>
    <t>elc_spv_FRA_025</t>
  </si>
  <si>
    <t>elc_won_FRA_025</t>
  </si>
  <si>
    <t>elc_spv_FRA_026</t>
  </si>
  <si>
    <t>elc_won_FRA_026</t>
  </si>
  <si>
    <t>elc_spv_FRA_027</t>
  </si>
  <si>
    <t>elc_won_FRA_027</t>
  </si>
  <si>
    <t>elc_spv_FRA_028</t>
  </si>
  <si>
    <t>elc_won_FRA_028</t>
  </si>
  <si>
    <t>elc_spv_FRA_029</t>
  </si>
  <si>
    <t>elc_spv_FRA_030</t>
  </si>
  <si>
    <t>other_indexes</t>
  </si>
  <si>
    <t>ncap_com</t>
  </si>
  <si>
    <t>distr_solelc_spv_FRA_001</t>
  </si>
  <si>
    <t>DEF_E</t>
  </si>
  <si>
    <t>distr_sol*</t>
  </si>
  <si>
    <t>ELC4H</t>
  </si>
  <si>
    <t>ELC8H</t>
  </si>
  <si>
    <t>DEF_C</t>
  </si>
  <si>
    <t>OUT</t>
  </si>
  <si>
    <t>distr_solelc_spv_FRA_002</t>
  </si>
  <si>
    <t>distr_won*</t>
  </si>
  <si>
    <t>distr_solelc_spv_FRA_003</t>
  </si>
  <si>
    <t>distr_wof*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</si>
  <si>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</si>
  <si>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</si>
  <si>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</si>
  <si>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</si>
  <si>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</si>
  <si>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</si>
  <si>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</si>
  <si>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</si>
  <si>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</si>
  <si>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</si>
  <si>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</si>
  <si>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</si>
  <si>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</si>
  <si>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</si>
  <si>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</si>
  <si>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</si>
  <si>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</si>
  <si>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</si>
  <si>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</si>
  <si>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</si>
  <si>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</si>
  <si>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</si>
  <si>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</si>
  <si>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</si>
  <si>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</si>
  <si>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</si>
  <si>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</si>
  <si>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</si>
  <si>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distr_wonelc_won_FRA_001</t>
  </si>
  <si>
    <t>distr_wofelc_wof_FRA_002</t>
  </si>
  <si>
    <t>distr_wonelc_won_FRA_002</t>
  </si>
  <si>
    <t>distr_wofelc_wof_FRA_003</t>
  </si>
  <si>
    <t>distr_wonelc_won_FRA_003</t>
  </si>
  <si>
    <t>distr_wofelc_wof_FRA_004</t>
  </si>
  <si>
    <t>distr_wonelc_won_FRA_004</t>
  </si>
  <si>
    <t>distr_wofelc_wof_FRA_005</t>
  </si>
  <si>
    <t>distr_wonelc_won_FRA_005</t>
  </si>
  <si>
    <t>distr_wofelc_wof_FRA_006</t>
  </si>
  <si>
    <t>distr_wonelc_won_FRA_006</t>
  </si>
  <si>
    <t>distr_wofelc_wof_FRA_007</t>
  </si>
  <si>
    <t>distr_wonelc_won_FRA_007</t>
  </si>
  <si>
    <t>distr_wofelc_wof_FRA_008</t>
  </si>
  <si>
    <t>distr_wonelc_won_FRA_008</t>
  </si>
  <si>
    <t>distr_wofelc_wof_FRA_009</t>
  </si>
  <si>
    <t>distr_wonelc_won_FRA_009</t>
  </si>
  <si>
    <t>distr_wofelc_wof_FRA_010</t>
  </si>
  <si>
    <t>distr_wonelc_won_FRA_010</t>
  </si>
  <si>
    <t>distr_wofelc_wof_FRA_011</t>
  </si>
  <si>
    <t>distr_wonelc_won_FRA_011</t>
  </si>
  <si>
    <t>distr_wofelc_wof_FRA_012</t>
  </si>
  <si>
    <t>distr_wonelc_won_FRA_012</t>
  </si>
  <si>
    <t>distr_wofelc_wof_FRA_013</t>
  </si>
  <si>
    <t>distr_wonelc_won_FRA_013</t>
  </si>
  <si>
    <t>distr_wofelc_wof_FRA_014</t>
  </si>
  <si>
    <t>distr_wonelc_won_FRA_014</t>
  </si>
  <si>
    <t>distr_wofelc_wof_FRA_015</t>
  </si>
  <si>
    <t>distr_wonelc_won_FRA_015</t>
  </si>
  <si>
    <t>distr_wofelc_wof_FRA_016</t>
  </si>
  <si>
    <t>distr_wonelc_won_FRA_016</t>
  </si>
  <si>
    <t>distr_wofelc_wof_FRA_017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</si>
  <si>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</si>
  <si>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</si>
  <si>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</si>
  <si>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</si>
  <si>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</si>
  <si>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</si>
  <si>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</si>
  <si>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</si>
  <si>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</si>
  <si>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</si>
  <si>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</si>
  <si>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</si>
  <si>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ts_40_P90</t>
  </si>
  <si>
    <t>g_yrfr</t>
  </si>
  <si>
    <t>com_pkflx</t>
  </si>
  <si>
    <t>Year</t>
  </si>
  <si>
    <t>ncap_afs</t>
  </si>
  <si>
    <t>pset_ci</t>
  </si>
  <si>
    <t>elc_roadtransport</t>
  </si>
  <si>
    <t>elc_buildings</t>
  </si>
  <si>
    <t>ELC</t>
  </si>
  <si>
    <t>S01</t>
  </si>
  <si>
    <t>hydro</t>
  </si>
  <si>
    <t>S02</t>
  </si>
  <si>
    <t>S03</t>
  </si>
  <si>
    <t>S04</t>
  </si>
  <si>
    <t>elc_industry</t>
  </si>
  <si>
    <t>elc_spv_GBR_001</t>
  </si>
  <si>
    <t>elc_won_GBR_001</t>
  </si>
  <si>
    <t>elc_wof_GBR_001</t>
  </si>
  <si>
    <t>elc_spv_GBR_002</t>
  </si>
  <si>
    <t>elc_won_GBR_002</t>
  </si>
  <si>
    <t>elc_wof_GBR_002</t>
  </si>
  <si>
    <t>elc_spv_GBR_003</t>
  </si>
  <si>
    <t>elc_won_GBR_003</t>
  </si>
  <si>
    <t>elc_wof_GBR_003</t>
  </si>
  <si>
    <t>elc_spv_GBR_004</t>
  </si>
  <si>
    <t>elc_won_GBR_004</t>
  </si>
  <si>
    <t>elc_wof_GBR_004</t>
  </si>
  <si>
    <t>elc_spv_GBR_005</t>
  </si>
  <si>
    <t>elc_won_GBR_005</t>
  </si>
  <si>
    <t>elc_wof_GBR_005</t>
  </si>
  <si>
    <t>elc_spv_GBR_006</t>
  </si>
  <si>
    <t>elc_won_GBR_006</t>
  </si>
  <si>
    <t>elc_wof_GBR_006</t>
  </si>
  <si>
    <t>elc_spv_GBR_007</t>
  </si>
  <si>
    <t>elc_won_GBR_007</t>
  </si>
  <si>
    <t>elc_wof_GBR_007</t>
  </si>
  <si>
    <t>elc_spv_GBR_008</t>
  </si>
  <si>
    <t>elc_won_GBR_008</t>
  </si>
  <si>
    <t>elc_wof_GBR_008</t>
  </si>
  <si>
    <t>elc_spv_GBR_009</t>
  </si>
  <si>
    <t>elc_won_GBR_009</t>
  </si>
  <si>
    <t>elc_wof_GBR_009</t>
  </si>
  <si>
    <t>elc_spv_GBR_010</t>
  </si>
  <si>
    <t>elc_won_GBR_010</t>
  </si>
  <si>
    <t>elc_wof_GBR_010</t>
  </si>
  <si>
    <t>elc_spv_GBR_011</t>
  </si>
  <si>
    <t>elc_won_GBR_011</t>
  </si>
  <si>
    <t>elc_wof_GBR_011</t>
  </si>
  <si>
    <t>elc_spv_GBR_012</t>
  </si>
  <si>
    <t>elc_won_GBR_012</t>
  </si>
  <si>
    <t>elc_wof_GBR_012</t>
  </si>
  <si>
    <t>elc_spv_GBR_013</t>
  </si>
  <si>
    <t>elc_won_GBR_013</t>
  </si>
  <si>
    <t>elc_wof_GBR_013</t>
  </si>
  <si>
    <t>elc_spv_GBR_014</t>
  </si>
  <si>
    <t>elc_won_GBR_014</t>
  </si>
  <si>
    <t>elc_wof_GBR_014</t>
  </si>
  <si>
    <t>elc_spv_GBR_015</t>
  </si>
  <si>
    <t>elc_won_GBR_015</t>
  </si>
  <si>
    <t>elc_wof_GBR_015</t>
  </si>
  <si>
    <t>elc_spv_GBR_016</t>
  </si>
  <si>
    <t>elc_won_GBR_016</t>
  </si>
  <si>
    <t>elc_wof_GBR_016</t>
  </si>
  <si>
    <t>elc_spv_GBR_017</t>
  </si>
  <si>
    <t>elc_won_GBR_017</t>
  </si>
  <si>
    <t>elc_wof_GBR_017</t>
  </si>
  <si>
    <t>elc_spv_GBR_018</t>
  </si>
  <si>
    <t>elc_won_GBR_018</t>
  </si>
  <si>
    <t>elc_wof_GBR_018</t>
  </si>
  <si>
    <t>elc_spv_GBR_019</t>
  </si>
  <si>
    <t>elc_won_GBR_019</t>
  </si>
  <si>
    <t>elc_wof_GBR_019</t>
  </si>
  <si>
    <t>elc_spv_GBR_020</t>
  </si>
  <si>
    <t>elc_won_GBR_020</t>
  </si>
  <si>
    <t>elc_wof_GBR_020</t>
  </si>
  <si>
    <t>elc_spv_GBR_021</t>
  </si>
  <si>
    <t>elc_won_GBR_021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</si>
  <si>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</si>
  <si>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</si>
  <si>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</si>
  <si>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</si>
  <si>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</si>
  <si>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</si>
  <si>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</si>
  <si>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</si>
  <si>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</si>
  <si>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</si>
  <si>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</si>
  <si>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</si>
  <si>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</si>
  <si>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</si>
  <si>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</si>
  <si>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</si>
  <si>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</si>
  <si>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</si>
  <si>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</si>
  <si>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</si>
  <si>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</si>
  <si>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</si>
  <si>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</si>
  <si>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</si>
  <si>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</si>
  <si>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</si>
  <si>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</si>
  <si>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</si>
  <si>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</si>
  <si>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</si>
  <si>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</si>
  <si>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</si>
  <si>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</si>
  <si>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</si>
  <si>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</si>
  <si>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</si>
  <si>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distr_wonelc_won_GBR_001</t>
  </si>
  <si>
    <t>distr_wofelc_wof_GBR_002</t>
  </si>
  <si>
    <t>distr_wonelc_won_GBR_002</t>
  </si>
  <si>
    <t>distr_wofelc_wof_GBR_003</t>
  </si>
  <si>
    <t>distr_wonelc_won_GBR_003</t>
  </si>
  <si>
    <t>distr_wofelc_wof_GBR_004</t>
  </si>
  <si>
    <t>distr_wonelc_won_GBR_004</t>
  </si>
  <si>
    <t>distr_wofelc_wof_GBR_005</t>
  </si>
  <si>
    <t>distr_wonelc_won_GBR_005</t>
  </si>
  <si>
    <t>distr_wofelc_wof_GBR_006</t>
  </si>
  <si>
    <t>distr_wonelc_won_GBR_006</t>
  </si>
  <si>
    <t>distr_wofelc_wof_GBR_007</t>
  </si>
  <si>
    <t>distr_wonelc_won_GBR_007</t>
  </si>
  <si>
    <t>distr_wofelc_wof_GBR_008</t>
  </si>
  <si>
    <t>distr_wonelc_won_GBR_008</t>
  </si>
  <si>
    <t>distr_wofelc_wof_GBR_009</t>
  </si>
  <si>
    <t>distr_wonelc_won_GBR_009</t>
  </si>
  <si>
    <t>distr_wofelc_wof_GBR_010</t>
  </si>
  <si>
    <t>distr_wonelc_won_GBR_010</t>
  </si>
  <si>
    <t>distr_wofelc_wof_GBR_011</t>
  </si>
  <si>
    <t>distr_wonelc_won_GBR_011</t>
  </si>
  <si>
    <t>distr_wofelc_wof_GBR_012</t>
  </si>
  <si>
    <t>distr_wonelc_won_GBR_012</t>
  </si>
  <si>
    <t>distr_wofelc_wof_GBR_013</t>
  </si>
  <si>
    <t>distr_wonelc_won_GBR_013</t>
  </si>
  <si>
    <t>distr_wofelc_wof_GBR_014</t>
  </si>
  <si>
    <t>distr_wonelc_won_GBR_014</t>
  </si>
  <si>
    <t>distr_wofelc_wof_GBR_015</t>
  </si>
  <si>
    <t>distr_wonelc_won_GBR_015</t>
  </si>
  <si>
    <t>distr_wofelc_wof_GBR_016</t>
  </si>
  <si>
    <t>distr_wonelc_won_GBR_016</t>
  </si>
  <si>
    <t>distr_wofelc_wof_GBR_017</t>
  </si>
  <si>
    <t>distr_wonelc_won_GBR_017</t>
  </si>
  <si>
    <t>distr_wofelc_wof_GBR_018</t>
  </si>
  <si>
    <t>distr_wonelc_won_GBR_018</t>
  </si>
  <si>
    <t>distr_wofelc_wof_GBR_019</t>
  </si>
  <si>
    <t>distr_wonelc_won_GBR_019</t>
  </si>
  <si>
    <t>distr_wofelc_wof_GBR_020</t>
  </si>
  <si>
    <t>distr_wonelc_won_GBR_020</t>
  </si>
  <si>
    <t>distr_wofelc_wof_GBR_021</t>
  </si>
  <si>
    <t>distr_wonelc_won_GBR_021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</si>
  <si>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</si>
  <si>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</si>
  <si>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</si>
  <si>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</si>
  <si>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</si>
  <si>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</si>
  <si>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</si>
  <si>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</si>
  <si>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</si>
  <si>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</si>
  <si>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</si>
  <si>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</si>
  <si>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</si>
  <si>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elc_spv_BEL_001</t>
  </si>
  <si>
    <t>elc_won_BEL_001</t>
  </si>
  <si>
    <t>elc_spv_BEL_002</t>
  </si>
  <si>
    <t>elc_won_BEL_002</t>
  </si>
  <si>
    <t>elc_spv_BEL_003</t>
  </si>
  <si>
    <t>elc_won_BEL_003</t>
  </si>
  <si>
    <t>elc_spv_BEL_004</t>
  </si>
  <si>
    <t>elc_won_BEL_004</t>
  </si>
  <si>
    <t>elc_spv_BEL_005</t>
  </si>
  <si>
    <t>elc_won_BEL_005</t>
  </si>
  <si>
    <t>elc_spv_BEL_006</t>
  </si>
  <si>
    <t>elc_won_BEL_006</t>
  </si>
  <si>
    <t>elc_spv_BEL_007</t>
  </si>
  <si>
    <t>elc_won_BEL_007</t>
  </si>
  <si>
    <t>elc_spv_BEL_008</t>
  </si>
  <si>
    <t>elc_won_BEL_008</t>
  </si>
  <si>
    <t>elc_spv_BEL_009</t>
  </si>
  <si>
    <t>elc_won_BEL_009</t>
  </si>
  <si>
    <t>elc_spv_BEL_010</t>
  </si>
  <si>
    <t>elc_won_BEL_010</t>
  </si>
  <si>
    <t>distr_solelc_spv_BEL_001</t>
  </si>
  <si>
    <t>distr_solelc_spv_BEL_002</t>
  </si>
  <si>
    <t>distr_solelc_spv_BEL_003</t>
  </si>
  <si>
    <t>distr_solelc_spv_BEL_004</t>
  </si>
  <si>
    <t>distr_solelc_spv_BEL_005</t>
  </si>
  <si>
    <t>distr_solelc_spv_BEL_006</t>
  </si>
  <si>
    <t>distr_solelc_spv_BEL_007</t>
  </si>
  <si>
    <t>distr_solelc_spv_BEL_008</t>
  </si>
  <si>
    <t>distr_solelc_spv_BEL_009</t>
  </si>
  <si>
    <t>distr_solelc_spv_BEL_010</t>
  </si>
  <si>
    <t>distr_wonelc_won_BEL_001</t>
  </si>
  <si>
    <t>distr_wonelc_won_BEL_002</t>
  </si>
  <si>
    <t>distr_wonelc_won_BEL_003</t>
  </si>
  <si>
    <t>distr_wonelc_won_BEL_004</t>
  </si>
  <si>
    <t>distr_wonelc_won_BEL_005</t>
  </si>
  <si>
    <t>distr_wonelc_won_BEL_006</t>
  </si>
  <si>
    <t>distr_wonelc_won_BEL_007</t>
  </si>
  <si>
    <t>distr_wonelc_won_BEL_008</t>
  </si>
  <si>
    <t>distr_wonelc_won_BEL_009</t>
  </si>
  <si>
    <t>distr_wonelc_won_BEL_010</t>
  </si>
  <si>
    <t>elc_spv_DEU_001</t>
  </si>
  <si>
    <t>elc_won_DEU_001</t>
  </si>
  <si>
    <t>elc_wof_DEU_001</t>
  </si>
  <si>
    <t>elc_spv_DEU_002</t>
  </si>
  <si>
    <t>elc_won_DEU_002</t>
  </si>
  <si>
    <t>elc_wof_DEU_002</t>
  </si>
  <si>
    <t>elc_spv_DEU_003</t>
  </si>
  <si>
    <t>elc_won_DEU_003</t>
  </si>
  <si>
    <t>elc_wof_DEU_003</t>
  </si>
  <si>
    <t>elc_spv_DEU_004</t>
  </si>
  <si>
    <t>elc_won_DEU_004</t>
  </si>
  <si>
    <t>elc_wof_DEU_004</t>
  </si>
  <si>
    <t>elc_spv_DEU_005</t>
  </si>
  <si>
    <t>elc_won_DEU_005</t>
  </si>
  <si>
    <t>elc_wof_DEU_005</t>
  </si>
  <si>
    <t>elc_spv_DEU_006</t>
  </si>
  <si>
    <t>elc_won_DEU_006</t>
  </si>
  <si>
    <t>elc_wof_DEU_006</t>
  </si>
  <si>
    <t>elc_spv_DEU_007</t>
  </si>
  <si>
    <t>elc_won_DEU_007</t>
  </si>
  <si>
    <t>elc_wof_DEU_007</t>
  </si>
  <si>
    <t>elc_spv_DEU_008</t>
  </si>
  <si>
    <t>elc_won_DEU_008</t>
  </si>
  <si>
    <t>elc_wof_DEU_008</t>
  </si>
  <si>
    <t>elc_spv_DEU_009</t>
  </si>
  <si>
    <t>elc_won_DEU_009</t>
  </si>
  <si>
    <t>elc_wof_DEU_009</t>
  </si>
  <si>
    <t>elc_spv_DEU_010</t>
  </si>
  <si>
    <t>elc_won_DEU_010</t>
  </si>
  <si>
    <t>elc_wof_DEU_010</t>
  </si>
  <si>
    <t>elc_spv_DEU_011</t>
  </si>
  <si>
    <t>elc_won_DEU_011</t>
  </si>
  <si>
    <t>elc_spv_DEU_012</t>
  </si>
  <si>
    <t>elc_won_DEU_012</t>
  </si>
  <si>
    <t>elc_spv_DEU_013</t>
  </si>
  <si>
    <t>elc_won_DEU_013</t>
  </si>
  <si>
    <t>elc_spv_DEU_014</t>
  </si>
  <si>
    <t>elc_won_DEU_014</t>
  </si>
  <si>
    <t>elc_spv_DEU_015</t>
  </si>
  <si>
    <t>elc_won_DEU_015</t>
  </si>
  <si>
    <t>elc_spv_DEU_016</t>
  </si>
  <si>
    <t>elc_won_DEU_016</t>
  </si>
  <si>
    <t>elc_spv_DEU_017</t>
  </si>
  <si>
    <t>elc_won_DEU_017</t>
  </si>
  <si>
    <t>elc_spv_DEU_018</t>
  </si>
  <si>
    <t>elc_won_DEU_018</t>
  </si>
  <si>
    <t>elc_spv_DEU_019</t>
  </si>
  <si>
    <t>elc_won_DEU_019</t>
  </si>
  <si>
    <t>elc_spv_DEU_020</t>
  </si>
  <si>
    <t>elc_won_DEU_020</t>
  </si>
  <si>
    <t>elc_spv_DEU_021</t>
  </si>
  <si>
    <t>elc_won_DEU_021</t>
  </si>
  <si>
    <t>elc_spv_DEU_022</t>
  </si>
  <si>
    <t>elc_won_DEU_022</t>
  </si>
  <si>
    <t>elc_spv_DEU_023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</si>
  <si>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</si>
  <si>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</si>
  <si>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</si>
  <si>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</si>
  <si>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</si>
  <si>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</si>
  <si>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</si>
  <si>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</si>
  <si>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</si>
  <si>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</si>
  <si>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</si>
  <si>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</si>
  <si>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</si>
  <si>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</si>
  <si>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</si>
  <si>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</si>
  <si>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</si>
  <si>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</si>
  <si>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</si>
  <si>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</si>
  <si>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</si>
  <si>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</si>
  <si>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</si>
  <si>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</si>
  <si>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distr_wonelc_won_DEU_001</t>
  </si>
  <si>
    <t>distr_wofelc_wof_DEU_002</t>
  </si>
  <si>
    <t>distr_wonelc_won_DEU_002</t>
  </si>
  <si>
    <t>distr_wofelc_wof_DEU_003</t>
  </si>
  <si>
    <t>distr_wonelc_won_DEU_003</t>
  </si>
  <si>
    <t>distr_wofelc_wof_DEU_004</t>
  </si>
  <si>
    <t>distr_wonelc_won_DEU_004</t>
  </si>
  <si>
    <t>distr_wofelc_wof_DEU_005</t>
  </si>
  <si>
    <t>distr_wonelc_won_DEU_005</t>
  </si>
  <si>
    <t>distr_wofelc_wof_DEU_006</t>
  </si>
  <si>
    <t>distr_wonelc_won_DEU_006</t>
  </si>
  <si>
    <t>distr_wofelc_wof_DEU_007</t>
  </si>
  <si>
    <t>distr_wonelc_won_DEU_007</t>
  </si>
  <si>
    <t>distr_wofelc_wof_DEU_008</t>
  </si>
  <si>
    <t>distr_wonelc_won_DEU_008</t>
  </si>
  <si>
    <t>distr_wofelc_wof_DEU_009</t>
  </si>
  <si>
    <t>distr_wonelc_won_DEU_009</t>
  </si>
  <si>
    <t>distr_wofelc_wof_DEU_010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</si>
  <si>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</si>
  <si>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</si>
  <si>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</si>
  <si>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</si>
  <si>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</si>
  <si>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</si>
  <si>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</si>
  <si>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</si>
  <si>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</si>
  <si>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</si>
  <si>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</si>
  <si>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</si>
  <si>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</si>
  <si>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elc_spv_CHE_001</t>
  </si>
  <si>
    <t>elc_won_CHE_001</t>
  </si>
  <si>
    <t>elc_spv_CHE_002</t>
  </si>
  <si>
    <t>elc_won_CHE_002</t>
  </si>
  <si>
    <t>elc_spv_CHE_003</t>
  </si>
  <si>
    <t>elc_won_CHE_003</t>
  </si>
  <si>
    <t>elc_spv_CHE_004</t>
  </si>
  <si>
    <t>elc_won_CHE_004</t>
  </si>
  <si>
    <t>elc_spv_CHE_005</t>
  </si>
  <si>
    <t>elc_won_CHE_005</t>
  </si>
  <si>
    <t>elc_spv_CHE_006</t>
  </si>
  <si>
    <t>elc_won_CHE_006</t>
  </si>
  <si>
    <t>elc_spv_CHE_007</t>
  </si>
  <si>
    <t>elc_spv_CHE_008</t>
  </si>
  <si>
    <t>elc_spv_CHE_009</t>
  </si>
  <si>
    <t>elc_spv_CHE_010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</si>
  <si>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</si>
  <si>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</si>
  <si>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</si>
  <si>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</si>
  <si>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</si>
  <si>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</si>
  <si>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</si>
  <si>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</si>
  <si>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</si>
  <si>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</si>
  <si>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</si>
  <si>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</si>
  <si>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</si>
  <si>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</si>
  <si>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</si>
  <si>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</si>
  <si>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elc_spv_ITA_001</t>
  </si>
  <si>
    <t>elc_won_ITA_001</t>
  </si>
  <si>
    <t>elc_wof_ITA_001</t>
  </si>
  <si>
    <t>elc_spv_ITA_002</t>
  </si>
  <si>
    <t>elc_won_ITA_002</t>
  </si>
  <si>
    <t>elc_wof_ITA_002</t>
  </si>
  <si>
    <t>elc_spv_ITA_003</t>
  </si>
  <si>
    <t>elc_won_ITA_003</t>
  </si>
  <si>
    <t>elc_wof_ITA_003</t>
  </si>
  <si>
    <t>elc_spv_ITA_004</t>
  </si>
  <si>
    <t>elc_won_ITA_004</t>
  </si>
  <si>
    <t>elc_wof_ITA_004</t>
  </si>
  <si>
    <t>elc_spv_ITA_005</t>
  </si>
  <si>
    <t>elc_won_ITA_005</t>
  </si>
  <si>
    <t>elc_wof_ITA_005</t>
  </si>
  <si>
    <t>elc_spv_ITA_006</t>
  </si>
  <si>
    <t>elc_won_ITA_006</t>
  </si>
  <si>
    <t>elc_wof_ITA_006</t>
  </si>
  <si>
    <t>elc_spv_ITA_007</t>
  </si>
  <si>
    <t>elc_won_ITA_007</t>
  </si>
  <si>
    <t>elc_wof_ITA_007</t>
  </si>
  <si>
    <t>elc_spv_ITA_008</t>
  </si>
  <si>
    <t>elc_won_ITA_008</t>
  </si>
  <si>
    <t>elc_wof_ITA_008</t>
  </si>
  <si>
    <t>elc_spv_ITA_009</t>
  </si>
  <si>
    <t>elc_won_ITA_009</t>
  </si>
  <si>
    <t>elc_wof_ITA_009</t>
  </si>
  <si>
    <t>elc_spv_ITA_010</t>
  </si>
  <si>
    <t>elc_won_ITA_010</t>
  </si>
  <si>
    <t>elc_wof_ITA_010</t>
  </si>
  <si>
    <t>elc_spv_ITA_011</t>
  </si>
  <si>
    <t>elc_won_ITA_011</t>
  </si>
  <si>
    <t>elc_wof_ITA_011</t>
  </si>
  <si>
    <t>elc_spv_ITA_012</t>
  </si>
  <si>
    <t>elc_won_ITA_012</t>
  </si>
  <si>
    <t>elc_wof_ITA_012</t>
  </si>
  <si>
    <t>elc_spv_ITA_013</t>
  </si>
  <si>
    <t>elc_won_ITA_013</t>
  </si>
  <si>
    <t>elc_wof_ITA_013</t>
  </si>
  <si>
    <t>elc_spv_ITA_014</t>
  </si>
  <si>
    <t>elc_won_ITA_014</t>
  </si>
  <si>
    <t>elc_wof_ITA_014</t>
  </si>
  <si>
    <t>elc_spv_ITA_015</t>
  </si>
  <si>
    <t>elc_won_ITA_015</t>
  </si>
  <si>
    <t>elc_wof_ITA_015</t>
  </si>
  <si>
    <t>elc_spv_ITA_016</t>
  </si>
  <si>
    <t>elc_won_ITA_016</t>
  </si>
  <si>
    <t>elc_wof_ITA_016</t>
  </si>
  <si>
    <t>elc_spv_ITA_017</t>
  </si>
  <si>
    <t>elc_won_ITA_017</t>
  </si>
  <si>
    <t>elc_wof_ITA_017</t>
  </si>
  <si>
    <t>elc_spv_ITA_018</t>
  </si>
  <si>
    <t>elc_won_ITA_018</t>
  </si>
  <si>
    <t>elc_wof_ITA_018</t>
  </si>
  <si>
    <t>elc_spv_ITA_019</t>
  </si>
  <si>
    <t>elc_won_ITA_019</t>
  </si>
  <si>
    <t>elc_wof_ITA_019</t>
  </si>
  <si>
    <t>elc_spv_ITA_020</t>
  </si>
  <si>
    <t>elc_wof_ITA_020</t>
  </si>
  <si>
    <t>elc_spv_ITA_021</t>
  </si>
  <si>
    <t>elc_spv_ITA_022</t>
  </si>
  <si>
    <t>elc_spv_ITA_023</t>
  </si>
  <si>
    <t>elc_spv_ITA_024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</si>
  <si>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</si>
  <si>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</si>
  <si>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</si>
  <si>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</si>
  <si>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</si>
  <si>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</si>
  <si>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</si>
  <si>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</si>
  <si>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</si>
  <si>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</si>
  <si>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</si>
  <si>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</si>
  <si>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</si>
  <si>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</si>
  <si>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</si>
  <si>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</si>
  <si>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</si>
  <si>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</si>
  <si>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</si>
  <si>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</si>
  <si>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</si>
  <si>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</si>
  <si>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</si>
  <si>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</si>
  <si>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</si>
  <si>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distr_wonelc_won_ITA_001</t>
  </si>
  <si>
    <t>distr_wofelc_wof_ITA_002</t>
  </si>
  <si>
    <t>distr_wonelc_won_ITA_002</t>
  </si>
  <si>
    <t>distr_wofelc_wof_ITA_003</t>
  </si>
  <si>
    <t>distr_wonelc_won_ITA_003</t>
  </si>
  <si>
    <t>distr_wofelc_wof_ITA_004</t>
  </si>
  <si>
    <t>distr_wonelc_won_ITA_004</t>
  </si>
  <si>
    <t>distr_wofelc_wof_ITA_005</t>
  </si>
  <si>
    <t>distr_wonelc_won_ITA_005</t>
  </si>
  <si>
    <t>distr_wofelc_wof_ITA_006</t>
  </si>
  <si>
    <t>distr_wonelc_won_ITA_006</t>
  </si>
  <si>
    <t>distr_wofelc_wof_ITA_007</t>
  </si>
  <si>
    <t>distr_wonelc_won_ITA_007</t>
  </si>
  <si>
    <t>distr_wofelc_wof_ITA_008</t>
  </si>
  <si>
    <t>distr_wonelc_won_ITA_008</t>
  </si>
  <si>
    <t>distr_wofelc_wof_ITA_009</t>
  </si>
  <si>
    <t>distr_wonelc_won_ITA_009</t>
  </si>
  <si>
    <t>distr_wofelc_wof_ITA_010</t>
  </si>
  <si>
    <t>distr_wonelc_won_ITA_010</t>
  </si>
  <si>
    <t>distr_wofelc_wof_ITA_011</t>
  </si>
  <si>
    <t>distr_wonelc_won_ITA_011</t>
  </si>
  <si>
    <t>distr_wofelc_wof_ITA_012</t>
  </si>
  <si>
    <t>distr_wonelc_won_ITA_012</t>
  </si>
  <si>
    <t>distr_wofelc_wof_ITA_013</t>
  </si>
  <si>
    <t>distr_wonelc_won_ITA_013</t>
  </si>
  <si>
    <t>distr_wofelc_wof_ITA_014</t>
  </si>
  <si>
    <t>distr_wonelc_won_ITA_014</t>
  </si>
  <si>
    <t>distr_wofelc_wof_ITA_015</t>
  </si>
  <si>
    <t>distr_wonelc_won_ITA_015</t>
  </si>
  <si>
    <t>distr_wofelc_wof_ITA_016</t>
  </si>
  <si>
    <t>distr_wonelc_won_ITA_016</t>
  </si>
  <si>
    <t>distr_wofelc_wof_ITA_017</t>
  </si>
  <si>
    <t>distr_wonelc_won_ITA_017</t>
  </si>
  <si>
    <t>distr_wofelc_wof_ITA_018</t>
  </si>
  <si>
    <t>distr_wonelc_won_ITA_018</t>
  </si>
  <si>
    <t>distr_wofelc_wof_ITA_019</t>
  </si>
  <si>
    <t>distr_wonelc_won_ITA_019</t>
  </si>
  <si>
    <t>distr_wofelc_wof_ITA_020</t>
  </si>
  <si>
    <t>elc_spv_ESP_001</t>
  </si>
  <si>
    <t>elc_won_ESP_001</t>
  </si>
  <si>
    <t>elc_wof_ESP_001</t>
  </si>
  <si>
    <t>elc_spv_ESP_002</t>
  </si>
  <si>
    <t>elc_won_ESP_002</t>
  </si>
  <si>
    <t>elc_wof_ESP_002</t>
  </si>
  <si>
    <t>elc_spv_ESP_003</t>
  </si>
  <si>
    <t>elc_won_ESP_003</t>
  </si>
  <si>
    <t>elc_wof_ESP_003</t>
  </si>
  <si>
    <t>elc_spv_ESP_004</t>
  </si>
  <si>
    <t>elc_won_ESP_004</t>
  </si>
  <si>
    <t>elc_wof_ESP_004</t>
  </si>
  <si>
    <t>elc_spv_ESP_005</t>
  </si>
  <si>
    <t>elc_won_ESP_005</t>
  </si>
  <si>
    <t>elc_wof_ESP_005</t>
  </si>
  <si>
    <t>elc_spv_ESP_006</t>
  </si>
  <si>
    <t>elc_won_ESP_006</t>
  </si>
  <si>
    <t>elc_wof_ESP_006</t>
  </si>
  <si>
    <t>elc_spv_ESP_007</t>
  </si>
  <si>
    <t>elc_won_ESP_007</t>
  </si>
  <si>
    <t>elc_wof_ESP_007</t>
  </si>
  <si>
    <t>elc_spv_ESP_008</t>
  </si>
  <si>
    <t>elc_won_ESP_008</t>
  </si>
  <si>
    <t>elc_wof_ESP_008</t>
  </si>
  <si>
    <t>elc_spv_ESP_009</t>
  </si>
  <si>
    <t>elc_won_ESP_009</t>
  </si>
  <si>
    <t>elc_wof_ESP_009</t>
  </si>
  <si>
    <t>elc_spv_ESP_010</t>
  </si>
  <si>
    <t>elc_won_ESP_010</t>
  </si>
  <si>
    <t>elc_wof_ESP_010</t>
  </si>
  <si>
    <t>elc_spv_ESP_011</t>
  </si>
  <si>
    <t>elc_won_ESP_011</t>
  </si>
  <si>
    <t>elc_wof_ESP_011</t>
  </si>
  <si>
    <t>elc_spv_ESP_012</t>
  </si>
  <si>
    <t>elc_won_ESP_012</t>
  </si>
  <si>
    <t>elc_wof_ESP_012</t>
  </si>
  <si>
    <t>elc_spv_ESP_013</t>
  </si>
  <si>
    <t>elc_won_ESP_013</t>
  </si>
  <si>
    <t>elc_wof_ESP_013</t>
  </si>
  <si>
    <t>elc_spv_ESP_014</t>
  </si>
  <si>
    <t>elc_won_ESP_014</t>
  </si>
  <si>
    <t>elc_wof_ESP_014</t>
  </si>
  <si>
    <t>elc_spv_ESP_015</t>
  </si>
  <si>
    <t>elc_won_ESP_015</t>
  </si>
  <si>
    <t>elc_wof_ESP_015</t>
  </si>
  <si>
    <t>elc_spv_ESP_016</t>
  </si>
  <si>
    <t>elc_won_ESP_016</t>
  </si>
  <si>
    <t>elc_wof_ESP_016</t>
  </si>
  <si>
    <t>elc_spv_ESP_017</t>
  </si>
  <si>
    <t>elc_won_ESP_017</t>
  </si>
  <si>
    <t>elc_wof_ESP_017</t>
  </si>
  <si>
    <t>elc_spv_ESP_018</t>
  </si>
  <si>
    <t>elc_won_ESP_018</t>
  </si>
  <si>
    <t>elc_wof_ESP_018</t>
  </si>
  <si>
    <t>elc_spv_ESP_019</t>
  </si>
  <si>
    <t>elc_won_ESP_019</t>
  </si>
  <si>
    <t>elc_wof_ESP_019</t>
  </si>
  <si>
    <t>elc_spv_ESP_020</t>
  </si>
  <si>
    <t>elc_won_ESP_020</t>
  </si>
  <si>
    <t>elc_spv_ESP_021</t>
  </si>
  <si>
    <t>elc_won_ESP_021</t>
  </si>
  <si>
    <t>elc_spv_ESP_022</t>
  </si>
  <si>
    <t>elc_won_ESP_022</t>
  </si>
  <si>
    <t>elc_spv_ESP_023</t>
  </si>
  <si>
    <t>elc_won_ESP_023</t>
  </si>
  <si>
    <t>elc_spv_ESP_024</t>
  </si>
  <si>
    <t>elc_won_ESP_024</t>
  </si>
  <si>
    <t>elc_spv_ESP_025</t>
  </si>
  <si>
    <t>elc_won_ESP_025</t>
  </si>
  <si>
    <t>elc_spv_ESP_026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</si>
  <si>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</si>
  <si>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</si>
  <si>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</si>
  <si>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</si>
  <si>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</si>
  <si>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</si>
  <si>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</si>
  <si>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</si>
  <si>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</si>
  <si>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</si>
  <si>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</si>
  <si>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</si>
  <si>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</si>
  <si>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</si>
  <si>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</si>
  <si>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</si>
  <si>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</si>
  <si>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</si>
  <si>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</si>
  <si>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</si>
  <si>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</si>
  <si>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</si>
  <si>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</si>
  <si>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</si>
  <si>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</si>
  <si>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</si>
  <si>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</si>
  <si>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distr_wonelc_won_ESP_001</t>
  </si>
  <si>
    <t>distr_wofelc_wof_ESP_002</t>
  </si>
  <si>
    <t>distr_wonelc_won_ESP_002</t>
  </si>
  <si>
    <t>distr_wofelc_wof_ESP_003</t>
  </si>
  <si>
    <t>distr_wonelc_won_ESP_003</t>
  </si>
  <si>
    <t>distr_wofelc_wof_ESP_004</t>
  </si>
  <si>
    <t>distr_wonelc_won_ESP_004</t>
  </si>
  <si>
    <t>distr_wofelc_wof_ESP_005</t>
  </si>
  <si>
    <t>distr_wonelc_won_ESP_005</t>
  </si>
  <si>
    <t>distr_wofelc_wof_ESP_006</t>
  </si>
  <si>
    <t>distr_wonelc_won_ESP_006</t>
  </si>
  <si>
    <t>distr_wofelc_wof_ESP_007</t>
  </si>
  <si>
    <t>distr_wonelc_won_ESP_007</t>
  </si>
  <si>
    <t>distr_wofelc_wof_ESP_008</t>
  </si>
  <si>
    <t>distr_wonelc_won_ESP_008</t>
  </si>
  <si>
    <t>distr_wofelc_wof_ESP_009</t>
  </si>
  <si>
    <t>distr_wonelc_won_ESP_009</t>
  </si>
  <si>
    <t>distr_wofelc_wof_ESP_010</t>
  </si>
  <si>
    <t>distr_wonelc_won_ESP_010</t>
  </si>
  <si>
    <t>distr_wofelc_wof_ESP_011</t>
  </si>
  <si>
    <t>distr_wonelc_won_ESP_011</t>
  </si>
  <si>
    <t>distr_wofelc_wof_ESP_012</t>
  </si>
  <si>
    <t>distr_wonelc_won_ESP_012</t>
  </si>
  <si>
    <t>distr_wofelc_wof_ESP_013</t>
  </si>
  <si>
    <t>distr_wonelc_won_ESP_013</t>
  </si>
  <si>
    <t>distr_wofelc_wof_ESP_014</t>
  </si>
  <si>
    <t>distr_wonelc_won_ESP_014</t>
  </si>
  <si>
    <t>distr_wofelc_wof_ESP_015</t>
  </si>
  <si>
    <t>distr_wonelc_won_ESP_015</t>
  </si>
  <si>
    <t>distr_wofelc_wof_ESP_016</t>
  </si>
  <si>
    <t>distr_wonelc_won_ESP_016</t>
  </si>
  <si>
    <t>distr_wofelc_wof_ESP_017</t>
  </si>
  <si>
    <t>distr_wonelc_won_ESP_017</t>
  </si>
  <si>
    <t>distr_wofelc_wof_ESP_018</t>
  </si>
  <si>
    <t>distr_wonelc_won_ESP_018</t>
  </si>
  <si>
    <t>distr_wofelc_wof_ESP_019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</si>
  <si>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</si>
  <si>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</si>
  <si>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</si>
  <si>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</si>
  <si>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</si>
  <si>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</si>
  <si>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</si>
  <si>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elc_spv_NLD_001</t>
  </si>
  <si>
    <t>elc_won_NLD_001</t>
  </si>
  <si>
    <t>elc_wof_NLD_001</t>
  </si>
  <si>
    <t>elc_spv_NLD_002</t>
  </si>
  <si>
    <t>elc_won_NLD_002</t>
  </si>
  <si>
    <t>elc_wof_NLD_002</t>
  </si>
  <si>
    <t>elc_spv_NLD_003</t>
  </si>
  <si>
    <t>elc_won_NLD_003</t>
  </si>
  <si>
    <t>elc_wof_NLD_003</t>
  </si>
  <si>
    <t>elc_spv_NLD_004</t>
  </si>
  <si>
    <t>elc_won_NLD_004</t>
  </si>
  <si>
    <t>elc_wof_NLD_004</t>
  </si>
  <si>
    <t>elc_spv_NLD_005</t>
  </si>
  <si>
    <t>elc_won_NLD_005</t>
  </si>
  <si>
    <t>elc_wof_NLD_005</t>
  </si>
  <si>
    <t>elc_spv_NLD_006</t>
  </si>
  <si>
    <t>elc_won_NLD_006</t>
  </si>
  <si>
    <t>elc_spv_NLD_007</t>
  </si>
  <si>
    <t>elc_won_NLD_007</t>
  </si>
  <si>
    <t>elc_spv_NLD_008</t>
  </si>
  <si>
    <t>elc_won_NLD_008</t>
  </si>
  <si>
    <t>elc_spv_NLD_009</t>
  </si>
  <si>
    <t>elc_won_NLD_009</t>
  </si>
  <si>
    <t>elc_spv_NLD_010</t>
  </si>
  <si>
    <t>elc_won_NLD_010</t>
  </si>
  <si>
    <t>distr_solelc_spv_NLD_001</t>
  </si>
  <si>
    <t>distr_solelc_spv_NLD_002</t>
  </si>
  <si>
    <t>distr_solelc_spv_NLD_003</t>
  </si>
  <si>
    <t>distr_solelc_spv_NLD_004</t>
  </si>
  <si>
    <t>distr_solelc_spv_NLD_005</t>
  </si>
  <si>
    <t>distr_solelc_spv_NLD_006</t>
  </si>
  <si>
    <t>distr_solelc_spv_NLD_007</t>
  </si>
  <si>
    <t>distr_solelc_spv_NLD_008</t>
  </si>
  <si>
    <t>distr_solelc_spv_NLD_009</t>
  </si>
  <si>
    <t>distr_solelc_spv_NLD_010</t>
  </si>
  <si>
    <t>distr_wofelc_wof_NLD_001</t>
  </si>
  <si>
    <t>distr_wonelc_won_NLD_001</t>
  </si>
  <si>
    <t>distr_wofelc_wof_NLD_002</t>
  </si>
  <si>
    <t>distr_wonelc_won_NLD_002</t>
  </si>
  <si>
    <t>distr_wofelc_wof_NLD_003</t>
  </si>
  <si>
    <t>distr_wonelc_won_NLD_003</t>
  </si>
  <si>
    <t>distr_wofelc_wof_NLD_004</t>
  </si>
  <si>
    <t>distr_wonelc_won_NLD_004</t>
  </si>
  <si>
    <t>distr_wofelc_wof_NLD_005</t>
  </si>
  <si>
    <t>distr_wonelc_won_NLD_005</t>
  </si>
  <si>
    <t>distr_wonelc_won_NLD_006</t>
  </si>
  <si>
    <t>distr_wonelc_won_NLD_007</t>
  </si>
  <si>
    <t>distr_wonelc_won_NLD_008</t>
  </si>
  <si>
    <t>distr_wonelc_won_NLD_009</t>
  </si>
  <si>
    <t>distr_wonelc_won_NLD_010</t>
  </si>
  <si>
    <t>day_night</t>
  </si>
  <si>
    <t>D</t>
  </si>
  <si>
    <t>S02aH06,S03aH05,S03aH08,S04aH07,S04aH06,S04aH03,S01aH02,S04aH04,S01aH06,S02aH03,S01aH03,S04aH05,S04aH08,S01aH04,S01aH07,S02aH07,S03aH02,S03aH03,S03aH04,S02aH02,S04aH02,S02aH04,S02aH05,S01aH05,S01aH08,S02aH08,S03aH06,S03aH07</t>
  </si>
  <si>
    <t>N</t>
  </si>
  <si>
    <t>S03aH09,S02aH01,S02aH10,S01aH08,S02aH08,S04aH08,S01aH01,S04aH01,S01aH09,S04aH02,S02aH02,S04aH10,S02aH09,S04aH09,S03aH01,S01aH10,S03aH02,S03aH08,S03aH10,S01aH02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</si>
  <si>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</si>
  <si>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</si>
  <si>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</si>
  <si>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</si>
  <si>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</si>
  <si>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</si>
  <si>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</si>
  <si>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</si>
  <si>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</si>
  <si>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</si>
  <si>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</si>
  <si>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</si>
  <si>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</si>
  <si>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</si>
  <si>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</si>
  <si>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</si>
  <si>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</si>
  <si>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</si>
  <si>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</si>
  <si>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</si>
  <si>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</si>
  <si>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</si>
  <si>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</si>
  <si>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</si>
  <si>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</si>
  <si>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</si>
  <si>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</si>
  <si>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</si>
  <si>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</si>
  <si>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</si>
  <si>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season</t>
  </si>
  <si>
    <t>weekly</t>
  </si>
  <si>
    <t>daynite</t>
  </si>
  <si>
    <t>wparent</t>
  </si>
  <si>
    <t>dparent</t>
  </si>
  <si>
    <t>a</t>
  </si>
  <si>
    <t>H01</t>
  </si>
  <si>
    <t>S01,S02,S03,S04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</si>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</sst>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3" fillId="2" borderId="3" applyNumberFormat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6">
    <xf numFmtId="0" fontId="0" fillId="0" borderId="0" xfId="0"/>
    <xf numFmtId="0" fontId="0" fillId="3" borderId="0" xfId="0" applyFill="1"/>
    <xf numFmtId="0" fontId="3" fillId="2" borderId="3" xfId="1"/>
    <xf numFmtId="0" fontId="4" fillId="0" borderId="0" xfId="0" applyFont="1"/>
    <xf numFmtId="0" fontId="1" fillId="0" borderId="1" xfId="2"/>
    <xf numFmtId="0" fontId="2" fillId="0" borderId="2" xfId="3"/>
  </cellXfs>
  <cellStyles count="4">
    <cellStyle name="Heading 2 2" xfId="2" xr:uid="{D8B0F08D-1362-44BB-B24F-6A86DDA84C13}"/>
    <cellStyle name="Heading 3 2" xfId="3" xr:uid="{33CAB636-1D1C-43B6-BD7E-0D41F536B4FB}"/>
    <cellStyle name="Input 2" xfId="1" xr:uid="{E52EFF12-6429-4B74-8AE3-98BB54A1AE7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D50C-8B7B-41D7-8397-FDC77B4C3540}">
  <dimension ref="B9:O12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region=FRA")</f>
        <v>~TFM_DINS-AT: region=FRA</v>
      </c>
      <c r="G9" t="str">
        <f>IF(A11="x","DeActivated","~TFM_DINS-AT: region=FRA")</f>
        <v>~TFM_DINS-AT: region=FRA</v>
      </c>
      <c r="L9" t="str">
        <f>IF(A11="x","DeActivated","~TFM_DINS-AT: region=FRA")</f>
        <v>~TFM_DINS-AT: region=FRA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</v>
      </c>
      <c r="C11" t="s">
        <v>5</v>
      </c>
      <c r="D11">
        <v>0</v>
      </c>
      <c r="E11" t="s">
        <v>6</v>
      </c>
      <c r="G11" t="s">
        <v>7</v>
      </c>
      <c r="H11" t="s">
        <v>5</v>
      </c>
      <c r="I11">
        <v>6.7632240344227892E-2</v>
      </c>
      <c r="J11" t="s">
        <v>6</v>
      </c>
      <c r="L11" t="s">
        <v>8</v>
      </c>
      <c r="M11" t="s">
        <v>5</v>
      </c>
      <c r="N11">
        <v>5.9683945223431997E-2</v>
      </c>
      <c r="O11" t="s">
        <v>6</v>
      </c>
    </row>
    <row r="12" spans="2:15" x14ac:dyDescent="0.45">
      <c r="B12" t="s">
        <v>4</v>
      </c>
      <c r="C12" t="s">
        <v>9</v>
      </c>
      <c r="D12">
        <v>0</v>
      </c>
      <c r="E12" t="s">
        <v>6</v>
      </c>
      <c r="G12" t="s">
        <v>7</v>
      </c>
      <c r="H12" t="s">
        <v>9</v>
      </c>
      <c r="I12">
        <v>2.6370137622916123E-2</v>
      </c>
      <c r="J12" t="s">
        <v>6</v>
      </c>
      <c r="L12" t="s">
        <v>8</v>
      </c>
      <c r="M12" t="s">
        <v>9</v>
      </c>
      <c r="N12">
        <v>2.2807733829418218E-2</v>
      </c>
      <c r="O12" t="s">
        <v>6</v>
      </c>
    </row>
    <row r="13" spans="2:15" x14ac:dyDescent="0.45">
      <c r="B13" t="s">
        <v>4</v>
      </c>
      <c r="C13" t="s">
        <v>10</v>
      </c>
      <c r="D13">
        <v>0</v>
      </c>
      <c r="E13" t="s">
        <v>6</v>
      </c>
      <c r="G13" t="s">
        <v>7</v>
      </c>
      <c r="H13" t="s">
        <v>10</v>
      </c>
      <c r="I13">
        <v>2.7096246343519245E-2</v>
      </c>
      <c r="J13" t="s">
        <v>6</v>
      </c>
      <c r="L13" t="s">
        <v>8</v>
      </c>
      <c r="M13" t="s">
        <v>10</v>
      </c>
      <c r="N13">
        <v>2.2418298552737859E-2</v>
      </c>
      <c r="O13" t="s">
        <v>6</v>
      </c>
    </row>
    <row r="14" spans="2:15" x14ac:dyDescent="0.45">
      <c r="B14" t="s">
        <v>4</v>
      </c>
      <c r="C14" t="s">
        <v>11</v>
      </c>
      <c r="D14">
        <v>1.0634998747990936E-2</v>
      </c>
      <c r="E14" t="s">
        <v>6</v>
      </c>
      <c r="G14" t="s">
        <v>7</v>
      </c>
      <c r="H14" t="s">
        <v>11</v>
      </c>
      <c r="I14">
        <v>2.7740398288770618E-2</v>
      </c>
      <c r="J14" t="s">
        <v>6</v>
      </c>
      <c r="L14" t="s">
        <v>8</v>
      </c>
      <c r="M14" t="s">
        <v>11</v>
      </c>
      <c r="N14">
        <v>2.1973054140233712E-2</v>
      </c>
      <c r="O14" t="s">
        <v>6</v>
      </c>
    </row>
    <row r="15" spans="2:15" x14ac:dyDescent="0.45">
      <c r="B15" t="s">
        <v>4</v>
      </c>
      <c r="C15" t="s">
        <v>12</v>
      </c>
      <c r="D15">
        <v>3.9365454027898525E-2</v>
      </c>
      <c r="E15" t="s">
        <v>6</v>
      </c>
      <c r="G15" t="s">
        <v>7</v>
      </c>
      <c r="H15" t="s">
        <v>12</v>
      </c>
      <c r="I15">
        <v>2.299845015096608E-2</v>
      </c>
      <c r="J15" t="s">
        <v>6</v>
      </c>
      <c r="L15" t="s">
        <v>8</v>
      </c>
      <c r="M15" t="s">
        <v>12</v>
      </c>
      <c r="N15">
        <v>2.1570332376906087E-2</v>
      </c>
      <c r="O15" t="s">
        <v>6</v>
      </c>
    </row>
    <row r="16" spans="2:15" x14ac:dyDescent="0.45">
      <c r="B16" t="s">
        <v>4</v>
      </c>
      <c r="C16" t="s">
        <v>13</v>
      </c>
      <c r="D16">
        <v>5.162453361530036E-2</v>
      </c>
      <c r="E16" t="s">
        <v>6</v>
      </c>
      <c r="G16" t="s">
        <v>7</v>
      </c>
      <c r="H16" t="s">
        <v>13</v>
      </c>
      <c r="I16">
        <v>2.5127540780812838E-2</v>
      </c>
      <c r="J16" t="s">
        <v>6</v>
      </c>
      <c r="L16" t="s">
        <v>8</v>
      </c>
      <c r="M16" t="s">
        <v>13</v>
      </c>
      <c r="N16">
        <v>2.1804873321827768E-2</v>
      </c>
      <c r="O16" t="s">
        <v>6</v>
      </c>
    </row>
    <row r="17" spans="2:15" x14ac:dyDescent="0.45">
      <c r="B17" t="s">
        <v>4</v>
      </c>
      <c r="C17" t="s">
        <v>14</v>
      </c>
      <c r="D17">
        <v>3.9443582025030781E-2</v>
      </c>
      <c r="E17" t="s">
        <v>6</v>
      </c>
      <c r="G17" t="s">
        <v>7</v>
      </c>
      <c r="H17" t="s">
        <v>14</v>
      </c>
      <c r="I17">
        <v>2.5818422962741436E-2</v>
      </c>
      <c r="J17" t="s">
        <v>6</v>
      </c>
      <c r="L17" t="s">
        <v>8</v>
      </c>
      <c r="M17" t="s">
        <v>14</v>
      </c>
      <c r="N17">
        <v>2.2339768303983255E-2</v>
      </c>
      <c r="O17" t="s">
        <v>6</v>
      </c>
    </row>
    <row r="18" spans="2:15" x14ac:dyDescent="0.45">
      <c r="B18" t="s">
        <v>4</v>
      </c>
      <c r="C18" t="s">
        <v>15</v>
      </c>
      <c r="D18">
        <v>1.1643806697227081E-2</v>
      </c>
      <c r="E18" t="s">
        <v>6</v>
      </c>
      <c r="G18" t="s">
        <v>7</v>
      </c>
      <c r="H18" t="s">
        <v>15</v>
      </c>
      <c r="I18">
        <v>2.7561681587739598E-2</v>
      </c>
      <c r="J18" t="s">
        <v>6</v>
      </c>
      <c r="L18" t="s">
        <v>8</v>
      </c>
      <c r="M18" t="s">
        <v>15</v>
      </c>
      <c r="N18">
        <v>2.2979008592140499E-2</v>
      </c>
      <c r="O18" t="s">
        <v>6</v>
      </c>
    </row>
    <row r="19" spans="2:15" x14ac:dyDescent="0.45">
      <c r="B19" t="s">
        <v>4</v>
      </c>
      <c r="C19" t="s">
        <v>16</v>
      </c>
      <c r="D19">
        <v>3.5884828593409085E-6</v>
      </c>
      <c r="E19" t="s">
        <v>6</v>
      </c>
      <c r="G19" t="s">
        <v>7</v>
      </c>
      <c r="H19" t="s">
        <v>16</v>
      </c>
      <c r="I19">
        <v>2.9185924477037668E-2</v>
      </c>
      <c r="J19" t="s">
        <v>6</v>
      </c>
      <c r="L19" t="s">
        <v>8</v>
      </c>
      <c r="M19" t="s">
        <v>16</v>
      </c>
      <c r="N19">
        <v>2.3539872309382454E-2</v>
      </c>
      <c r="O19" t="s">
        <v>6</v>
      </c>
    </row>
    <row r="20" spans="2:15" x14ac:dyDescent="0.45">
      <c r="B20" t="s">
        <v>4</v>
      </c>
      <c r="C20" t="s">
        <v>17</v>
      </c>
      <c r="D20">
        <v>0</v>
      </c>
      <c r="E20" t="s">
        <v>6</v>
      </c>
      <c r="G20" t="s">
        <v>7</v>
      </c>
      <c r="H20" t="s">
        <v>17</v>
      </c>
      <c r="I20">
        <v>4.3275825484246723E-2</v>
      </c>
      <c r="J20" t="s">
        <v>6</v>
      </c>
      <c r="L20" t="s">
        <v>8</v>
      </c>
      <c r="M20" t="s">
        <v>17</v>
      </c>
      <c r="N20">
        <v>3.6304719184821088E-2</v>
      </c>
      <c r="O20" t="s">
        <v>6</v>
      </c>
    </row>
    <row r="21" spans="2:15" x14ac:dyDescent="0.45">
      <c r="B21" t="s">
        <v>4</v>
      </c>
      <c r="C21" t="s">
        <v>18</v>
      </c>
      <c r="D21">
        <v>0</v>
      </c>
      <c r="E21" t="s">
        <v>6</v>
      </c>
      <c r="G21" t="s">
        <v>7</v>
      </c>
      <c r="H21" t="s">
        <v>18</v>
      </c>
      <c r="I21">
        <v>5.047925510074687E-2</v>
      </c>
      <c r="J21" t="s">
        <v>6</v>
      </c>
      <c r="L21" t="s">
        <v>8</v>
      </c>
      <c r="M21" t="s">
        <v>18</v>
      </c>
      <c r="N21">
        <v>5.2741215529340739E-2</v>
      </c>
      <c r="O21" t="s">
        <v>6</v>
      </c>
    </row>
    <row r="22" spans="2:15" x14ac:dyDescent="0.45">
      <c r="B22" t="s">
        <v>4</v>
      </c>
      <c r="C22" t="s">
        <v>19</v>
      </c>
      <c r="D22">
        <v>2.5930009262298371E-5</v>
      </c>
      <c r="E22" t="s">
        <v>6</v>
      </c>
      <c r="G22" t="s">
        <v>7</v>
      </c>
      <c r="H22" t="s">
        <v>19</v>
      </c>
      <c r="I22">
        <v>1.9939243824025402E-2</v>
      </c>
      <c r="J22" t="s">
        <v>6</v>
      </c>
      <c r="L22" t="s">
        <v>8</v>
      </c>
      <c r="M22" t="s">
        <v>19</v>
      </c>
      <c r="N22">
        <v>2.1759802625964636E-2</v>
      </c>
      <c r="O22" t="s">
        <v>6</v>
      </c>
    </row>
    <row r="23" spans="2:15" x14ac:dyDescent="0.45">
      <c r="B23" t="s">
        <v>4</v>
      </c>
      <c r="C23" t="s">
        <v>20</v>
      </c>
      <c r="D23">
        <v>6.2352534536866244E-3</v>
      </c>
      <c r="E23" t="s">
        <v>6</v>
      </c>
      <c r="G23" t="s">
        <v>7</v>
      </c>
      <c r="H23" t="s">
        <v>20</v>
      </c>
      <c r="I23">
        <v>1.9492556306798144E-2</v>
      </c>
      <c r="J23" t="s">
        <v>6</v>
      </c>
      <c r="L23" t="s">
        <v>8</v>
      </c>
      <c r="M23" t="s">
        <v>20</v>
      </c>
      <c r="N23">
        <v>2.1701853060289992E-2</v>
      </c>
      <c r="O23" t="s">
        <v>6</v>
      </c>
    </row>
    <row r="24" spans="2:15" x14ac:dyDescent="0.45">
      <c r="B24" t="s">
        <v>4</v>
      </c>
      <c r="C24" t="s">
        <v>21</v>
      </c>
      <c r="D24">
        <v>3.8077379242892999E-2</v>
      </c>
      <c r="E24" t="s">
        <v>6</v>
      </c>
      <c r="G24" t="s">
        <v>7</v>
      </c>
      <c r="H24" t="s">
        <v>21</v>
      </c>
      <c r="I24">
        <v>1.9474241534505766E-2</v>
      </c>
      <c r="J24" t="s">
        <v>6</v>
      </c>
      <c r="L24" t="s">
        <v>8</v>
      </c>
      <c r="M24" t="s">
        <v>21</v>
      </c>
      <c r="N24">
        <v>2.0730530413743477E-2</v>
      </c>
      <c r="O24" t="s">
        <v>6</v>
      </c>
    </row>
    <row r="25" spans="2:15" x14ac:dyDescent="0.45">
      <c r="B25" t="s">
        <v>4</v>
      </c>
      <c r="C25" t="s">
        <v>22</v>
      </c>
      <c r="D25">
        <v>6.8271333423522956E-2</v>
      </c>
      <c r="E25" t="s">
        <v>6</v>
      </c>
      <c r="G25" t="s">
        <v>7</v>
      </c>
      <c r="H25" t="s">
        <v>22</v>
      </c>
      <c r="I25">
        <v>1.5049001666502406E-2</v>
      </c>
      <c r="J25" t="s">
        <v>6</v>
      </c>
      <c r="L25" t="s">
        <v>8</v>
      </c>
      <c r="M25" t="s">
        <v>22</v>
      </c>
      <c r="N25">
        <v>1.9912810656793577E-2</v>
      </c>
      <c r="O25" t="s">
        <v>6</v>
      </c>
    </row>
    <row r="26" spans="2:15" x14ac:dyDescent="0.45">
      <c r="B26" t="s">
        <v>4</v>
      </c>
      <c r="C26" t="s">
        <v>23</v>
      </c>
      <c r="D26">
        <v>7.6796955345290727E-2</v>
      </c>
      <c r="E26" t="s">
        <v>6</v>
      </c>
      <c r="G26" t="s">
        <v>7</v>
      </c>
      <c r="H26" t="s">
        <v>23</v>
      </c>
      <c r="I26">
        <v>1.7723163186648495E-2</v>
      </c>
      <c r="J26" t="s">
        <v>6</v>
      </c>
      <c r="L26" t="s">
        <v>8</v>
      </c>
      <c r="M26" t="s">
        <v>23</v>
      </c>
      <c r="N26">
        <v>2.0433433977010237E-2</v>
      </c>
      <c r="O26" t="s">
        <v>6</v>
      </c>
    </row>
    <row r="27" spans="2:15" x14ac:dyDescent="0.45">
      <c r="B27" t="s">
        <v>4</v>
      </c>
      <c r="C27" t="s">
        <v>24</v>
      </c>
      <c r="D27">
        <v>6.271280975234686E-2</v>
      </c>
      <c r="E27" t="s">
        <v>6</v>
      </c>
      <c r="G27" t="s">
        <v>7</v>
      </c>
      <c r="H27" t="s">
        <v>24</v>
      </c>
      <c r="I27">
        <v>1.8960527646721303E-2</v>
      </c>
      <c r="J27" t="s">
        <v>6</v>
      </c>
      <c r="L27" t="s">
        <v>8</v>
      </c>
      <c r="M27" t="s">
        <v>24</v>
      </c>
      <c r="N27">
        <v>2.1441571893735314E-2</v>
      </c>
      <c r="O27" t="s">
        <v>6</v>
      </c>
    </row>
    <row r="28" spans="2:15" x14ac:dyDescent="0.45">
      <c r="B28" t="s">
        <v>4</v>
      </c>
      <c r="C28" t="s">
        <v>25</v>
      </c>
      <c r="D28">
        <v>3.2457691104331832E-2</v>
      </c>
      <c r="E28" t="s">
        <v>6</v>
      </c>
      <c r="G28" t="s">
        <v>7</v>
      </c>
      <c r="H28" t="s">
        <v>25</v>
      </c>
      <c r="I28">
        <v>1.867151788910738E-2</v>
      </c>
      <c r="J28" t="s">
        <v>6</v>
      </c>
      <c r="L28" t="s">
        <v>8</v>
      </c>
      <c r="M28" t="s">
        <v>25</v>
      </c>
      <c r="N28">
        <v>2.1752215605751385E-2</v>
      </c>
      <c r="O28" t="s">
        <v>6</v>
      </c>
    </row>
    <row r="29" spans="2:15" x14ac:dyDescent="0.45">
      <c r="B29" t="s">
        <v>4</v>
      </c>
      <c r="C29" t="s">
        <v>26</v>
      </c>
      <c r="D29">
        <v>4.3898530241870092E-3</v>
      </c>
      <c r="E29" t="s">
        <v>6</v>
      </c>
      <c r="G29" t="s">
        <v>7</v>
      </c>
      <c r="H29" t="s">
        <v>26</v>
      </c>
      <c r="I29">
        <v>1.9440909022322962E-2</v>
      </c>
      <c r="J29" t="s">
        <v>6</v>
      </c>
      <c r="L29" t="s">
        <v>8</v>
      </c>
      <c r="M29" t="s">
        <v>26</v>
      </c>
      <c r="N29">
        <v>2.2072645426166583E-2</v>
      </c>
      <c r="O29" t="s">
        <v>6</v>
      </c>
    </row>
    <row r="30" spans="2:15" x14ac:dyDescent="0.45">
      <c r="B30" t="s">
        <v>4</v>
      </c>
      <c r="C30" t="s">
        <v>27</v>
      </c>
      <c r="D30">
        <v>0</v>
      </c>
      <c r="E30" t="s">
        <v>6</v>
      </c>
      <c r="G30" t="s">
        <v>7</v>
      </c>
      <c r="H30" t="s">
        <v>27</v>
      </c>
      <c r="I30">
        <v>3.0439627891270488E-2</v>
      </c>
      <c r="J30" t="s">
        <v>6</v>
      </c>
      <c r="L30" t="s">
        <v>8</v>
      </c>
      <c r="M30" t="s">
        <v>27</v>
      </c>
      <c r="N30">
        <v>3.2202805430228056E-2</v>
      </c>
      <c r="O30" t="s">
        <v>6</v>
      </c>
    </row>
    <row r="31" spans="2:15" x14ac:dyDescent="0.45">
      <c r="B31" t="s">
        <v>4</v>
      </c>
      <c r="C31" t="s">
        <v>28</v>
      </c>
      <c r="D31">
        <v>0</v>
      </c>
      <c r="E31" t="s">
        <v>6</v>
      </c>
      <c r="G31" t="s">
        <v>7</v>
      </c>
      <c r="H31" t="s">
        <v>28</v>
      </c>
      <c r="I31">
        <v>3.288369077451881E-2</v>
      </c>
      <c r="J31" t="s">
        <v>6</v>
      </c>
      <c r="L31" t="s">
        <v>8</v>
      </c>
      <c r="M31" t="s">
        <v>28</v>
      </c>
      <c r="N31">
        <v>4.1169295236772256E-2</v>
      </c>
      <c r="O31" t="s">
        <v>6</v>
      </c>
    </row>
    <row r="32" spans="2:15" x14ac:dyDescent="0.45">
      <c r="B32" t="s">
        <v>4</v>
      </c>
      <c r="C32" t="s">
        <v>29</v>
      </c>
      <c r="D32">
        <v>1.6330607434210319E-4</v>
      </c>
      <c r="E32" t="s">
        <v>6</v>
      </c>
      <c r="G32" t="s">
        <v>7</v>
      </c>
      <c r="H32" t="s">
        <v>29</v>
      </c>
      <c r="I32">
        <v>1.0904566483716604E-2</v>
      </c>
      <c r="J32" t="s">
        <v>6</v>
      </c>
      <c r="L32" t="s">
        <v>8</v>
      </c>
      <c r="M32" t="s">
        <v>29</v>
      </c>
      <c r="N32">
        <v>1.584325263415769E-2</v>
      </c>
      <c r="O32" t="s">
        <v>6</v>
      </c>
    </row>
    <row r="33" spans="2:15" x14ac:dyDescent="0.45">
      <c r="B33" t="s">
        <v>4</v>
      </c>
      <c r="C33" t="s">
        <v>30</v>
      </c>
      <c r="D33">
        <v>1.160414978581667E-2</v>
      </c>
      <c r="E33" t="s">
        <v>6</v>
      </c>
      <c r="G33" t="s">
        <v>7</v>
      </c>
      <c r="H33" t="s">
        <v>30</v>
      </c>
      <c r="I33">
        <v>8.828070821638662E-3</v>
      </c>
      <c r="J33" t="s">
        <v>6</v>
      </c>
      <c r="L33" t="s">
        <v>8</v>
      </c>
      <c r="M33" t="s">
        <v>30</v>
      </c>
      <c r="N33">
        <v>1.5969913022595456E-2</v>
      </c>
      <c r="O33" t="s">
        <v>6</v>
      </c>
    </row>
    <row r="34" spans="2:15" x14ac:dyDescent="0.45">
      <c r="B34" t="s">
        <v>4</v>
      </c>
      <c r="C34" t="s">
        <v>31</v>
      </c>
      <c r="D34">
        <v>5.1566263981196125E-2</v>
      </c>
      <c r="E34" t="s">
        <v>6</v>
      </c>
      <c r="G34" t="s">
        <v>7</v>
      </c>
      <c r="H34" t="s">
        <v>31</v>
      </c>
      <c r="I34">
        <v>8.9011833614586894E-3</v>
      </c>
      <c r="J34" t="s">
        <v>6</v>
      </c>
      <c r="L34" t="s">
        <v>8</v>
      </c>
      <c r="M34" t="s">
        <v>31</v>
      </c>
      <c r="N34">
        <v>1.4691777976012947E-2</v>
      </c>
      <c r="O34" t="s">
        <v>6</v>
      </c>
    </row>
    <row r="35" spans="2:15" x14ac:dyDescent="0.45">
      <c r="B35" t="s">
        <v>4</v>
      </c>
      <c r="C35" t="s">
        <v>32</v>
      </c>
      <c r="D35">
        <v>8.2255047934243153E-2</v>
      </c>
      <c r="E35" t="s">
        <v>6</v>
      </c>
      <c r="G35" t="s">
        <v>7</v>
      </c>
      <c r="H35" t="s">
        <v>32</v>
      </c>
      <c r="I35">
        <v>8.8358948152820263E-3</v>
      </c>
      <c r="J35" t="s">
        <v>6</v>
      </c>
      <c r="L35" t="s">
        <v>8</v>
      </c>
      <c r="M35" t="s">
        <v>32</v>
      </c>
      <c r="N35">
        <v>1.4055148063459408E-2</v>
      </c>
      <c r="O35" t="s">
        <v>6</v>
      </c>
    </row>
    <row r="36" spans="2:15" x14ac:dyDescent="0.45">
      <c r="B36" t="s">
        <v>4</v>
      </c>
      <c r="C36" t="s">
        <v>33</v>
      </c>
      <c r="D36">
        <v>9.0092133793116605E-2</v>
      </c>
      <c r="E36" t="s">
        <v>6</v>
      </c>
      <c r="G36" t="s">
        <v>7</v>
      </c>
      <c r="H36" t="s">
        <v>33</v>
      </c>
      <c r="I36">
        <v>1.0998671766578346E-2</v>
      </c>
      <c r="J36" t="s">
        <v>6</v>
      </c>
      <c r="L36" t="s">
        <v>8</v>
      </c>
      <c r="M36" t="s">
        <v>33</v>
      </c>
      <c r="N36">
        <v>1.4576871198482156E-2</v>
      </c>
      <c r="O36" t="s">
        <v>6</v>
      </c>
    </row>
    <row r="37" spans="2:15" x14ac:dyDescent="0.45">
      <c r="B37" t="s">
        <v>4</v>
      </c>
      <c r="C37" t="s">
        <v>34</v>
      </c>
      <c r="D37">
        <v>7.648790611618525E-2</v>
      </c>
      <c r="E37" t="s">
        <v>6</v>
      </c>
      <c r="G37" t="s">
        <v>7</v>
      </c>
      <c r="H37" t="s">
        <v>34</v>
      </c>
      <c r="I37">
        <v>1.2458012074370063E-2</v>
      </c>
      <c r="J37" t="s">
        <v>6</v>
      </c>
      <c r="L37" t="s">
        <v>8</v>
      </c>
      <c r="M37" t="s">
        <v>34</v>
      </c>
      <c r="N37">
        <v>1.5943886750592856E-2</v>
      </c>
      <c r="O37" t="s">
        <v>6</v>
      </c>
    </row>
    <row r="38" spans="2:15" x14ac:dyDescent="0.45">
      <c r="B38" t="s">
        <v>4</v>
      </c>
      <c r="C38" t="s">
        <v>35</v>
      </c>
      <c r="D38">
        <v>4.4347083206974405E-2</v>
      </c>
      <c r="E38" t="s">
        <v>6</v>
      </c>
      <c r="G38" t="s">
        <v>7</v>
      </c>
      <c r="H38" t="s">
        <v>35</v>
      </c>
      <c r="I38">
        <v>1.2791057296377828E-2</v>
      </c>
      <c r="J38" t="s">
        <v>6</v>
      </c>
      <c r="L38" t="s">
        <v>8</v>
      </c>
      <c r="M38" t="s">
        <v>35</v>
      </c>
      <c r="N38">
        <v>1.7241295350553441E-2</v>
      </c>
      <c r="O38" t="s">
        <v>6</v>
      </c>
    </row>
    <row r="39" spans="2:15" x14ac:dyDescent="0.45">
      <c r="B39" t="s">
        <v>4</v>
      </c>
      <c r="C39" t="s">
        <v>36</v>
      </c>
      <c r="D39">
        <v>9.4104695350778096E-3</v>
      </c>
      <c r="E39" t="s">
        <v>6</v>
      </c>
      <c r="G39" t="s">
        <v>7</v>
      </c>
      <c r="H39" t="s">
        <v>36</v>
      </c>
      <c r="I39">
        <v>1.4614946667595241E-2</v>
      </c>
      <c r="J39" t="s">
        <v>6</v>
      </c>
      <c r="L39" t="s">
        <v>8</v>
      </c>
      <c r="M39" t="s">
        <v>36</v>
      </c>
      <c r="N39">
        <v>1.7697355254210536E-2</v>
      </c>
      <c r="O39" t="s">
        <v>6</v>
      </c>
    </row>
    <row r="40" spans="2:15" x14ac:dyDescent="0.45">
      <c r="B40" t="s">
        <v>4</v>
      </c>
      <c r="C40" t="s">
        <v>37</v>
      </c>
      <c r="D40">
        <v>4.5858834826621115E-5</v>
      </c>
      <c r="E40" t="s">
        <v>6</v>
      </c>
      <c r="G40" t="s">
        <v>7</v>
      </c>
      <c r="H40" t="s">
        <v>37</v>
      </c>
      <c r="I40">
        <v>2.2554191835435205E-2</v>
      </c>
      <c r="J40" t="s">
        <v>6</v>
      </c>
      <c r="L40" t="s">
        <v>8</v>
      </c>
      <c r="M40" t="s">
        <v>37</v>
      </c>
      <c r="N40">
        <v>2.5877378499780116E-2</v>
      </c>
      <c r="O40" t="s">
        <v>6</v>
      </c>
    </row>
    <row r="41" spans="2:15" x14ac:dyDescent="0.45">
      <c r="B41" t="s">
        <v>4</v>
      </c>
      <c r="C41" t="s">
        <v>38</v>
      </c>
      <c r="D41">
        <v>0</v>
      </c>
      <c r="E41" t="s">
        <v>6</v>
      </c>
      <c r="G41" t="s">
        <v>7</v>
      </c>
      <c r="H41" t="s">
        <v>38</v>
      </c>
      <c r="I41">
        <v>6.7092705510187048E-2</v>
      </c>
      <c r="J41" t="s">
        <v>6</v>
      </c>
      <c r="L41" t="s">
        <v>8</v>
      </c>
      <c r="M41" t="s">
        <v>38</v>
      </c>
      <c r="N41">
        <v>6.0498633589262545E-2</v>
      </c>
      <c r="O41" t="s">
        <v>6</v>
      </c>
    </row>
    <row r="42" spans="2:15" x14ac:dyDescent="0.45">
      <c r="B42" t="s">
        <v>4</v>
      </c>
      <c r="C42" t="s">
        <v>39</v>
      </c>
      <c r="D42">
        <v>0</v>
      </c>
      <c r="E42" t="s">
        <v>6</v>
      </c>
      <c r="G42" t="s">
        <v>7</v>
      </c>
      <c r="H42" t="s">
        <v>39</v>
      </c>
      <c r="I42">
        <v>2.6766463809373555E-2</v>
      </c>
      <c r="J42" t="s">
        <v>6</v>
      </c>
      <c r="L42" t="s">
        <v>8</v>
      </c>
      <c r="M42" t="s">
        <v>39</v>
      </c>
      <c r="N42">
        <v>2.3633481275429826E-2</v>
      </c>
      <c r="O42" t="s">
        <v>6</v>
      </c>
    </row>
    <row r="43" spans="2:15" x14ac:dyDescent="0.45">
      <c r="B43" t="s">
        <v>4</v>
      </c>
      <c r="C43" t="s">
        <v>40</v>
      </c>
      <c r="D43">
        <v>1.6155529225566569E-3</v>
      </c>
      <c r="E43" t="s">
        <v>6</v>
      </c>
      <c r="G43" t="s">
        <v>7</v>
      </c>
      <c r="H43" t="s">
        <v>40</v>
      </c>
      <c r="I43">
        <v>2.5691784000152443E-2</v>
      </c>
      <c r="J43" t="s">
        <v>6</v>
      </c>
      <c r="L43" t="s">
        <v>8</v>
      </c>
      <c r="M43" t="s">
        <v>40</v>
      </c>
      <c r="N43">
        <v>2.3161713421935595E-2</v>
      </c>
      <c r="O43" t="s">
        <v>6</v>
      </c>
    </row>
    <row r="44" spans="2:15" x14ac:dyDescent="0.45">
      <c r="B44" t="s">
        <v>4</v>
      </c>
      <c r="C44" t="s">
        <v>41</v>
      </c>
      <c r="D44">
        <v>2.4309056390747499E-2</v>
      </c>
      <c r="E44" t="s">
        <v>6</v>
      </c>
      <c r="G44" t="s">
        <v>7</v>
      </c>
      <c r="H44" t="s">
        <v>41</v>
      </c>
      <c r="I44">
        <v>2.4169728448377316E-2</v>
      </c>
      <c r="J44" t="s">
        <v>6</v>
      </c>
      <c r="L44" t="s">
        <v>8</v>
      </c>
      <c r="M44" t="s">
        <v>41</v>
      </c>
      <c r="N44">
        <v>2.2118896601146527E-2</v>
      </c>
      <c r="O44" t="s">
        <v>6</v>
      </c>
    </row>
    <row r="45" spans="2:15" x14ac:dyDescent="0.45">
      <c r="B45" t="s">
        <v>4</v>
      </c>
      <c r="C45" t="s">
        <v>42</v>
      </c>
      <c r="D45">
        <v>5.1200813355624292E-2</v>
      </c>
      <c r="E45" t="s">
        <v>6</v>
      </c>
      <c r="G45" t="s">
        <v>7</v>
      </c>
      <c r="H45" t="s">
        <v>42</v>
      </c>
      <c r="I45">
        <v>2.1090229580355099E-2</v>
      </c>
      <c r="J45" t="s">
        <v>6</v>
      </c>
      <c r="L45" t="s">
        <v>8</v>
      </c>
      <c r="M45" t="s">
        <v>42</v>
      </c>
      <c r="N45">
        <v>2.1442330446976618E-2</v>
      </c>
      <c r="O45" t="s">
        <v>6</v>
      </c>
    </row>
    <row r="46" spans="2:15" x14ac:dyDescent="0.45">
      <c r="B46" t="s">
        <v>4</v>
      </c>
      <c r="C46" t="s">
        <v>43</v>
      </c>
      <c r="D46">
        <v>5.7663111513897233E-2</v>
      </c>
      <c r="E46" t="s">
        <v>6</v>
      </c>
      <c r="G46" t="s">
        <v>7</v>
      </c>
      <c r="H46" t="s">
        <v>43</v>
      </c>
      <c r="I46">
        <v>2.4366763927182782E-2</v>
      </c>
      <c r="J46" t="s">
        <v>6</v>
      </c>
      <c r="L46" t="s">
        <v>8</v>
      </c>
      <c r="M46" t="s">
        <v>43</v>
      </c>
      <c r="N46">
        <v>2.1239728740572075E-2</v>
      </c>
      <c r="O46" t="s">
        <v>6</v>
      </c>
    </row>
    <row r="47" spans="2:15" x14ac:dyDescent="0.45">
      <c r="B47" t="s">
        <v>4</v>
      </c>
      <c r="C47" t="s">
        <v>44</v>
      </c>
      <c r="D47">
        <v>4.2269240005135079E-2</v>
      </c>
      <c r="E47" t="s">
        <v>6</v>
      </c>
      <c r="G47" t="s">
        <v>7</v>
      </c>
      <c r="H47" t="s">
        <v>44</v>
      </c>
      <c r="I47">
        <v>2.49894414267742E-2</v>
      </c>
      <c r="J47" t="s">
        <v>6</v>
      </c>
      <c r="L47" t="s">
        <v>8</v>
      </c>
      <c r="M47" t="s">
        <v>44</v>
      </c>
      <c r="N47">
        <v>2.1775795210116258E-2</v>
      </c>
      <c r="O47" t="s">
        <v>6</v>
      </c>
    </row>
    <row r="48" spans="2:15" x14ac:dyDescent="0.45">
      <c r="B48" t="s">
        <v>4</v>
      </c>
      <c r="C48" t="s">
        <v>45</v>
      </c>
      <c r="D48">
        <v>1.4761417778342863E-2</v>
      </c>
      <c r="E48" t="s">
        <v>6</v>
      </c>
      <c r="G48" t="s">
        <v>7</v>
      </c>
      <c r="H48" t="s">
        <v>45</v>
      </c>
      <c r="I48">
        <v>2.5542237903032974E-2</v>
      </c>
      <c r="J48" t="s">
        <v>6</v>
      </c>
      <c r="L48" t="s">
        <v>8</v>
      </c>
      <c r="M48" t="s">
        <v>45</v>
      </c>
      <c r="N48">
        <v>2.2769015065072222E-2</v>
      </c>
      <c r="O48" t="s">
        <v>6</v>
      </c>
    </row>
    <row r="49" spans="2:15" x14ac:dyDescent="0.45">
      <c r="B49" t="s">
        <v>4</v>
      </c>
      <c r="C49" t="s">
        <v>46</v>
      </c>
      <c r="D49">
        <v>5.2541982009360376E-4</v>
      </c>
      <c r="E49" t="s">
        <v>6</v>
      </c>
      <c r="G49" t="s">
        <v>7</v>
      </c>
      <c r="H49" t="s">
        <v>46</v>
      </c>
      <c r="I49">
        <v>2.5634314026955728E-2</v>
      </c>
      <c r="J49" t="s">
        <v>6</v>
      </c>
      <c r="L49" t="s">
        <v>8</v>
      </c>
      <c r="M49" t="s">
        <v>46</v>
      </c>
      <c r="N49">
        <v>2.3704217507956354E-2</v>
      </c>
      <c r="O49" t="s">
        <v>6</v>
      </c>
    </row>
    <row r="50" spans="2:15" x14ac:dyDescent="0.45">
      <c r="B50" t="s">
        <v>4</v>
      </c>
      <c r="C50" t="s">
        <v>47</v>
      </c>
      <c r="D50">
        <v>0</v>
      </c>
      <c r="E50" t="s">
        <v>6</v>
      </c>
      <c r="G50" t="s">
        <v>7</v>
      </c>
      <c r="H50" t="s">
        <v>47</v>
      </c>
      <c r="I50">
        <v>3.8409133359006635E-2</v>
      </c>
      <c r="J50" t="s">
        <v>6</v>
      </c>
      <c r="L50" t="s">
        <v>8</v>
      </c>
      <c r="M50" t="s">
        <v>47</v>
      </c>
      <c r="N50">
        <v>3.6419523701009475E-2</v>
      </c>
      <c r="O50" t="s">
        <v>6</v>
      </c>
    </row>
    <row r="51" spans="2:15" x14ac:dyDescent="0.45">
      <c r="B51" t="s">
        <v>48</v>
      </c>
      <c r="C51" t="s">
        <v>5</v>
      </c>
      <c r="D51">
        <v>0</v>
      </c>
      <c r="E51" t="s">
        <v>6</v>
      </c>
      <c r="G51" t="s">
        <v>49</v>
      </c>
      <c r="H51" t="s">
        <v>5</v>
      </c>
      <c r="I51">
        <v>6.8672868248722263E-2</v>
      </c>
      <c r="J51" t="s">
        <v>6</v>
      </c>
      <c r="L51" t="s">
        <v>50</v>
      </c>
      <c r="M51" t="s">
        <v>5</v>
      </c>
      <c r="N51">
        <v>4.8427843929840717E-2</v>
      </c>
      <c r="O51" t="s">
        <v>6</v>
      </c>
    </row>
    <row r="52" spans="2:15" x14ac:dyDescent="0.45">
      <c r="B52" t="s">
        <v>48</v>
      </c>
      <c r="C52" t="s">
        <v>9</v>
      </c>
      <c r="D52">
        <v>0</v>
      </c>
      <c r="E52" t="s">
        <v>6</v>
      </c>
      <c r="G52" t="s">
        <v>49</v>
      </c>
      <c r="H52" t="s">
        <v>9</v>
      </c>
      <c r="I52">
        <v>2.6818243024322633E-2</v>
      </c>
      <c r="J52" t="s">
        <v>6</v>
      </c>
      <c r="L52" t="s">
        <v>50</v>
      </c>
      <c r="M52" t="s">
        <v>9</v>
      </c>
      <c r="N52">
        <v>2.0714352869306805E-2</v>
      </c>
      <c r="O52" t="s">
        <v>6</v>
      </c>
    </row>
    <row r="53" spans="2:15" x14ac:dyDescent="0.45">
      <c r="B53" t="s">
        <v>48</v>
      </c>
      <c r="C53" t="s">
        <v>10</v>
      </c>
      <c r="D53">
        <v>0</v>
      </c>
      <c r="E53" t="s">
        <v>6</v>
      </c>
      <c r="G53" t="s">
        <v>49</v>
      </c>
      <c r="H53" t="s">
        <v>10</v>
      </c>
      <c r="I53">
        <v>2.7060778942235186E-2</v>
      </c>
      <c r="J53" t="s">
        <v>6</v>
      </c>
      <c r="L53" t="s">
        <v>50</v>
      </c>
      <c r="M53" t="s">
        <v>10</v>
      </c>
      <c r="N53">
        <v>1.9596169363293163E-2</v>
      </c>
      <c r="O53" t="s">
        <v>6</v>
      </c>
    </row>
    <row r="54" spans="2:15" x14ac:dyDescent="0.45">
      <c r="B54" t="s">
        <v>48</v>
      </c>
      <c r="C54" t="s">
        <v>11</v>
      </c>
      <c r="D54">
        <v>1.1101997017139504E-2</v>
      </c>
      <c r="E54" t="s">
        <v>6</v>
      </c>
      <c r="G54" t="s">
        <v>49</v>
      </c>
      <c r="H54" t="s">
        <v>11</v>
      </c>
      <c r="I54">
        <v>2.6118244038766471E-2</v>
      </c>
      <c r="J54" t="s">
        <v>6</v>
      </c>
      <c r="L54" t="s">
        <v>50</v>
      </c>
      <c r="M54" t="s">
        <v>11</v>
      </c>
      <c r="N54">
        <v>1.9440102608192417E-2</v>
      </c>
      <c r="O54" t="s">
        <v>6</v>
      </c>
    </row>
    <row r="55" spans="2:15" x14ac:dyDescent="0.45">
      <c r="B55" t="s">
        <v>48</v>
      </c>
      <c r="C55" t="s">
        <v>12</v>
      </c>
      <c r="D55">
        <v>4.2631680096357996E-2</v>
      </c>
      <c r="E55" t="s">
        <v>6</v>
      </c>
      <c r="G55" t="s">
        <v>49</v>
      </c>
      <c r="H55" t="s">
        <v>12</v>
      </c>
      <c r="I55">
        <v>2.1790122105504635E-2</v>
      </c>
      <c r="J55" t="s">
        <v>6</v>
      </c>
      <c r="L55" t="s">
        <v>50</v>
      </c>
      <c r="M55" t="s">
        <v>12</v>
      </c>
      <c r="N55">
        <v>1.9540667345094818E-2</v>
      </c>
      <c r="O55" t="s">
        <v>6</v>
      </c>
    </row>
    <row r="56" spans="2:15" x14ac:dyDescent="0.45">
      <c r="B56" t="s">
        <v>48</v>
      </c>
      <c r="C56" t="s">
        <v>13</v>
      </c>
      <c r="D56">
        <v>5.5438243807743072E-2</v>
      </c>
      <c r="E56" t="s">
        <v>6</v>
      </c>
      <c r="G56" t="s">
        <v>49</v>
      </c>
      <c r="H56" t="s">
        <v>13</v>
      </c>
      <c r="I56">
        <v>2.214116845906363E-2</v>
      </c>
      <c r="J56" t="s">
        <v>6</v>
      </c>
      <c r="L56" t="s">
        <v>50</v>
      </c>
      <c r="M56" t="s">
        <v>13</v>
      </c>
      <c r="N56">
        <v>1.8661389668917061E-2</v>
      </c>
      <c r="O56" t="s">
        <v>6</v>
      </c>
    </row>
    <row r="57" spans="2:15" x14ac:dyDescent="0.45">
      <c r="B57" t="s">
        <v>48</v>
      </c>
      <c r="C57" t="s">
        <v>14</v>
      </c>
      <c r="D57">
        <v>4.2654132805591091E-2</v>
      </c>
      <c r="E57" t="s">
        <v>6</v>
      </c>
      <c r="G57" t="s">
        <v>49</v>
      </c>
      <c r="H57" t="s">
        <v>14</v>
      </c>
      <c r="I57">
        <v>2.3932395345047795E-2</v>
      </c>
      <c r="J57" t="s">
        <v>6</v>
      </c>
      <c r="L57" t="s">
        <v>50</v>
      </c>
      <c r="M57" t="s">
        <v>14</v>
      </c>
      <c r="N57">
        <v>1.8493698300567366E-2</v>
      </c>
      <c r="O57" t="s">
        <v>6</v>
      </c>
    </row>
    <row r="58" spans="2:15" x14ac:dyDescent="0.45">
      <c r="B58" t="s">
        <v>48</v>
      </c>
      <c r="C58" t="s">
        <v>15</v>
      </c>
      <c r="D58">
        <v>1.3833706234016328E-2</v>
      </c>
      <c r="E58" t="s">
        <v>6</v>
      </c>
      <c r="G58" t="s">
        <v>49</v>
      </c>
      <c r="H58" t="s">
        <v>15</v>
      </c>
      <c r="I58">
        <v>2.6868058520124617E-2</v>
      </c>
      <c r="J58" t="s">
        <v>6</v>
      </c>
      <c r="L58" t="s">
        <v>50</v>
      </c>
      <c r="M58" t="s">
        <v>15</v>
      </c>
      <c r="N58">
        <v>1.9248344434403389E-2</v>
      </c>
      <c r="O58" t="s">
        <v>6</v>
      </c>
    </row>
    <row r="59" spans="2:15" x14ac:dyDescent="0.45">
      <c r="B59" t="s">
        <v>48</v>
      </c>
      <c r="C59" t="s">
        <v>16</v>
      </c>
      <c r="D59">
        <v>1.9113226744742374E-4</v>
      </c>
      <c r="E59" t="s">
        <v>6</v>
      </c>
      <c r="G59" t="s">
        <v>49</v>
      </c>
      <c r="H59" t="s">
        <v>16</v>
      </c>
      <c r="I59">
        <v>2.984039314621368E-2</v>
      </c>
      <c r="J59" t="s">
        <v>6</v>
      </c>
      <c r="L59" t="s">
        <v>50</v>
      </c>
      <c r="M59" t="s">
        <v>16</v>
      </c>
      <c r="N59">
        <v>1.9645609166448693E-2</v>
      </c>
      <c r="O59" t="s">
        <v>6</v>
      </c>
    </row>
    <row r="60" spans="2:15" x14ac:dyDescent="0.45">
      <c r="B60" t="s">
        <v>48</v>
      </c>
      <c r="C60" t="s">
        <v>17</v>
      </c>
      <c r="D60">
        <v>0</v>
      </c>
      <c r="E60" t="s">
        <v>6</v>
      </c>
      <c r="G60" t="s">
        <v>49</v>
      </c>
      <c r="H60" t="s">
        <v>17</v>
      </c>
      <c r="I60">
        <v>4.4312615819196356E-2</v>
      </c>
      <c r="J60" t="s">
        <v>6</v>
      </c>
      <c r="L60" t="s">
        <v>50</v>
      </c>
      <c r="M60" t="s">
        <v>17</v>
      </c>
      <c r="N60">
        <v>2.8488875227394381E-2</v>
      </c>
      <c r="O60" t="s">
        <v>6</v>
      </c>
    </row>
    <row r="61" spans="2:15" x14ac:dyDescent="0.45">
      <c r="B61" t="s">
        <v>48</v>
      </c>
      <c r="C61" t="s">
        <v>18</v>
      </c>
      <c r="D61">
        <v>0</v>
      </c>
      <c r="E61" t="s">
        <v>6</v>
      </c>
      <c r="G61" t="s">
        <v>49</v>
      </c>
      <c r="H61" t="s">
        <v>18</v>
      </c>
      <c r="I61">
        <v>4.6808186848049486E-2</v>
      </c>
      <c r="J61" t="s">
        <v>6</v>
      </c>
      <c r="L61" t="s">
        <v>50</v>
      </c>
      <c r="M61" t="s">
        <v>18</v>
      </c>
      <c r="N61">
        <v>7.0949479892340975E-2</v>
      </c>
      <c r="O61" t="s">
        <v>6</v>
      </c>
    </row>
    <row r="62" spans="2:15" x14ac:dyDescent="0.45">
      <c r="B62" t="s">
        <v>48</v>
      </c>
      <c r="C62" t="s">
        <v>19</v>
      </c>
      <c r="D62">
        <v>1.4082440723463273E-6</v>
      </c>
      <c r="E62" t="s">
        <v>6</v>
      </c>
      <c r="G62" t="s">
        <v>49</v>
      </c>
      <c r="H62" t="s">
        <v>19</v>
      </c>
      <c r="I62">
        <v>1.8143060276005846E-2</v>
      </c>
      <c r="J62" t="s">
        <v>6</v>
      </c>
      <c r="L62" t="s">
        <v>50</v>
      </c>
      <c r="M62" t="s">
        <v>19</v>
      </c>
      <c r="N62">
        <v>2.9963975645493694E-2</v>
      </c>
      <c r="O62" t="s">
        <v>6</v>
      </c>
    </row>
    <row r="63" spans="2:15" x14ac:dyDescent="0.45">
      <c r="B63" t="s">
        <v>48</v>
      </c>
      <c r="C63" t="s">
        <v>20</v>
      </c>
      <c r="D63">
        <v>5.0307296230692267E-3</v>
      </c>
      <c r="E63" t="s">
        <v>6</v>
      </c>
      <c r="G63" t="s">
        <v>49</v>
      </c>
      <c r="H63" t="s">
        <v>20</v>
      </c>
      <c r="I63">
        <v>1.7677935425215736E-2</v>
      </c>
      <c r="J63" t="s">
        <v>6</v>
      </c>
      <c r="L63" t="s">
        <v>50</v>
      </c>
      <c r="M63" t="s">
        <v>20</v>
      </c>
      <c r="N63">
        <v>2.9957751453904682E-2</v>
      </c>
      <c r="O63" t="s">
        <v>6</v>
      </c>
    </row>
    <row r="64" spans="2:15" x14ac:dyDescent="0.45">
      <c r="B64" t="s">
        <v>48</v>
      </c>
      <c r="C64" t="s">
        <v>21</v>
      </c>
      <c r="D64">
        <v>3.6200732085255101E-2</v>
      </c>
      <c r="E64" t="s">
        <v>6</v>
      </c>
      <c r="G64" t="s">
        <v>49</v>
      </c>
      <c r="H64" t="s">
        <v>21</v>
      </c>
      <c r="I64">
        <v>1.7031904467849461E-2</v>
      </c>
      <c r="J64" t="s">
        <v>6</v>
      </c>
      <c r="L64" t="s">
        <v>50</v>
      </c>
      <c r="M64" t="s">
        <v>21</v>
      </c>
      <c r="N64">
        <v>2.9585131455785011E-2</v>
      </c>
      <c r="O64" t="s">
        <v>6</v>
      </c>
    </row>
    <row r="65" spans="2:15" x14ac:dyDescent="0.45">
      <c r="B65" t="s">
        <v>48</v>
      </c>
      <c r="C65" t="s">
        <v>22</v>
      </c>
      <c r="D65">
        <v>6.7215880592254904E-2</v>
      </c>
      <c r="E65" t="s">
        <v>6</v>
      </c>
      <c r="G65" t="s">
        <v>49</v>
      </c>
      <c r="H65" t="s">
        <v>22</v>
      </c>
      <c r="I65">
        <v>1.4304305718348637E-2</v>
      </c>
      <c r="J65" t="s">
        <v>6</v>
      </c>
      <c r="L65" t="s">
        <v>50</v>
      </c>
      <c r="M65" t="s">
        <v>22</v>
      </c>
      <c r="N65">
        <v>2.9190761516590454E-2</v>
      </c>
      <c r="O65" t="s">
        <v>6</v>
      </c>
    </row>
    <row r="66" spans="2:15" x14ac:dyDescent="0.45">
      <c r="B66" t="s">
        <v>48</v>
      </c>
      <c r="C66" t="s">
        <v>23</v>
      </c>
      <c r="D66">
        <v>7.6958356058067667E-2</v>
      </c>
      <c r="E66" t="s">
        <v>6</v>
      </c>
      <c r="G66" t="s">
        <v>49</v>
      </c>
      <c r="H66" t="s">
        <v>23</v>
      </c>
      <c r="I66">
        <v>1.6941578931915877E-2</v>
      </c>
      <c r="J66" t="s">
        <v>6</v>
      </c>
      <c r="L66" t="s">
        <v>50</v>
      </c>
      <c r="M66" t="s">
        <v>23</v>
      </c>
      <c r="N66">
        <v>2.7902148265623299E-2</v>
      </c>
      <c r="O66" t="s">
        <v>6</v>
      </c>
    </row>
    <row r="67" spans="2:15" x14ac:dyDescent="0.45">
      <c r="B67" t="s">
        <v>48</v>
      </c>
      <c r="C67" t="s">
        <v>24</v>
      </c>
      <c r="D67">
        <v>6.5024189504679281E-2</v>
      </c>
      <c r="E67" t="s">
        <v>6</v>
      </c>
      <c r="G67" t="s">
        <v>49</v>
      </c>
      <c r="H67" t="s">
        <v>24</v>
      </c>
      <c r="I67">
        <v>1.8626483436970133E-2</v>
      </c>
      <c r="J67" t="s">
        <v>6</v>
      </c>
      <c r="L67" t="s">
        <v>50</v>
      </c>
      <c r="M67" t="s">
        <v>24</v>
      </c>
      <c r="N67">
        <v>2.7356198415961548E-2</v>
      </c>
      <c r="O67" t="s">
        <v>6</v>
      </c>
    </row>
    <row r="68" spans="2:15" x14ac:dyDescent="0.45">
      <c r="B68" t="s">
        <v>48</v>
      </c>
      <c r="C68" t="s">
        <v>25</v>
      </c>
      <c r="D68">
        <v>3.6719243249252402E-2</v>
      </c>
      <c r="E68" t="s">
        <v>6</v>
      </c>
      <c r="G68" t="s">
        <v>49</v>
      </c>
      <c r="H68" t="s">
        <v>25</v>
      </c>
      <c r="I68">
        <v>1.7628585602554193E-2</v>
      </c>
      <c r="J68" t="s">
        <v>6</v>
      </c>
      <c r="L68" t="s">
        <v>50</v>
      </c>
      <c r="M68" t="s">
        <v>25</v>
      </c>
      <c r="N68">
        <v>2.784474746415571E-2</v>
      </c>
      <c r="O68" t="s">
        <v>6</v>
      </c>
    </row>
    <row r="69" spans="2:15" x14ac:dyDescent="0.45">
      <c r="B69" t="s">
        <v>48</v>
      </c>
      <c r="C69" t="s">
        <v>26</v>
      </c>
      <c r="D69">
        <v>5.9335438999849914E-3</v>
      </c>
      <c r="E69" t="s">
        <v>6</v>
      </c>
      <c r="G69" t="s">
        <v>49</v>
      </c>
      <c r="H69" t="s">
        <v>26</v>
      </c>
      <c r="I69">
        <v>1.8680588166823907E-2</v>
      </c>
      <c r="J69" t="s">
        <v>6</v>
      </c>
      <c r="L69" t="s">
        <v>50</v>
      </c>
      <c r="M69" t="s">
        <v>26</v>
      </c>
      <c r="N69">
        <v>2.7804161319666829E-2</v>
      </c>
      <c r="O69" t="s">
        <v>6</v>
      </c>
    </row>
    <row r="70" spans="2:15" x14ac:dyDescent="0.45">
      <c r="B70" t="s">
        <v>48</v>
      </c>
      <c r="C70" t="s">
        <v>27</v>
      </c>
      <c r="D70">
        <v>2.1083676288857075E-6</v>
      </c>
      <c r="E70" t="s">
        <v>6</v>
      </c>
      <c r="G70" t="s">
        <v>49</v>
      </c>
      <c r="H70" t="s">
        <v>27</v>
      </c>
      <c r="I70">
        <v>2.9764779779084281E-2</v>
      </c>
      <c r="J70" t="s">
        <v>6</v>
      </c>
      <c r="L70" t="s">
        <v>50</v>
      </c>
      <c r="M70" t="s">
        <v>27</v>
      </c>
      <c r="N70">
        <v>4.0769430376919345E-2</v>
      </c>
      <c r="O70" t="s">
        <v>6</v>
      </c>
    </row>
    <row r="71" spans="2:15" x14ac:dyDescent="0.45">
      <c r="B71" t="s">
        <v>48</v>
      </c>
      <c r="C71" t="s">
        <v>28</v>
      </c>
      <c r="D71">
        <v>0</v>
      </c>
      <c r="E71" t="s">
        <v>6</v>
      </c>
      <c r="G71" t="s">
        <v>49</v>
      </c>
      <c r="H71" t="s">
        <v>28</v>
      </c>
      <c r="I71">
        <v>3.4545578037002186E-2</v>
      </c>
      <c r="J71" t="s">
        <v>6</v>
      </c>
      <c r="L71" t="s">
        <v>50</v>
      </c>
      <c r="M71" t="s">
        <v>28</v>
      </c>
      <c r="N71">
        <v>2.099028930039416E-2</v>
      </c>
      <c r="O71" t="s">
        <v>6</v>
      </c>
    </row>
    <row r="72" spans="2:15" x14ac:dyDescent="0.45">
      <c r="B72" t="s">
        <v>48</v>
      </c>
      <c r="C72" t="s">
        <v>29</v>
      </c>
      <c r="D72">
        <v>2.612834537167898E-5</v>
      </c>
      <c r="E72" t="s">
        <v>6</v>
      </c>
      <c r="G72" t="s">
        <v>49</v>
      </c>
      <c r="H72" t="s">
        <v>29</v>
      </c>
      <c r="I72">
        <v>1.1373100821282449E-2</v>
      </c>
      <c r="J72" t="s">
        <v>6</v>
      </c>
      <c r="L72" t="s">
        <v>50</v>
      </c>
      <c r="M72" t="s">
        <v>29</v>
      </c>
      <c r="N72">
        <v>7.7912582084340484E-3</v>
      </c>
      <c r="O72" t="s">
        <v>6</v>
      </c>
    </row>
    <row r="73" spans="2:15" x14ac:dyDescent="0.45">
      <c r="B73" t="s">
        <v>48</v>
      </c>
      <c r="C73" t="s">
        <v>30</v>
      </c>
      <c r="D73">
        <v>8.4577465043241991E-3</v>
      </c>
      <c r="E73" t="s">
        <v>6</v>
      </c>
      <c r="G73" t="s">
        <v>49</v>
      </c>
      <c r="H73" t="s">
        <v>30</v>
      </c>
      <c r="I73">
        <v>9.2627058895969009E-3</v>
      </c>
      <c r="J73" t="s">
        <v>6</v>
      </c>
      <c r="L73" t="s">
        <v>50</v>
      </c>
      <c r="M73" t="s">
        <v>30</v>
      </c>
      <c r="N73">
        <v>6.5975558466850638E-3</v>
      </c>
      <c r="O73" t="s">
        <v>6</v>
      </c>
    </row>
    <row r="74" spans="2:15" x14ac:dyDescent="0.45">
      <c r="B74" t="s">
        <v>48</v>
      </c>
      <c r="C74" t="s">
        <v>31</v>
      </c>
      <c r="D74">
        <v>4.4485946806984825E-2</v>
      </c>
      <c r="E74" t="s">
        <v>6</v>
      </c>
      <c r="G74" t="s">
        <v>49</v>
      </c>
      <c r="H74" t="s">
        <v>31</v>
      </c>
      <c r="I74">
        <v>9.1193719593297834E-3</v>
      </c>
      <c r="J74" t="s">
        <v>6</v>
      </c>
      <c r="L74" t="s">
        <v>50</v>
      </c>
      <c r="M74" t="s">
        <v>31</v>
      </c>
      <c r="N74">
        <v>5.7335543797073785E-3</v>
      </c>
      <c r="O74" t="s">
        <v>6</v>
      </c>
    </row>
    <row r="75" spans="2:15" x14ac:dyDescent="0.45">
      <c r="B75" t="s">
        <v>48</v>
      </c>
      <c r="C75" t="s">
        <v>32</v>
      </c>
      <c r="D75">
        <v>7.4464293896268477E-2</v>
      </c>
      <c r="E75" t="s">
        <v>6</v>
      </c>
      <c r="G75" t="s">
        <v>49</v>
      </c>
      <c r="H75" t="s">
        <v>32</v>
      </c>
      <c r="I75">
        <v>9.0686974248630342E-3</v>
      </c>
      <c r="J75" t="s">
        <v>6</v>
      </c>
      <c r="L75" t="s">
        <v>50</v>
      </c>
      <c r="M75" t="s">
        <v>32</v>
      </c>
      <c r="N75">
        <v>6.4397701829678614E-3</v>
      </c>
      <c r="O75" t="s">
        <v>6</v>
      </c>
    </row>
    <row r="76" spans="2:15" x14ac:dyDescent="0.45">
      <c r="B76" t="s">
        <v>48</v>
      </c>
      <c r="C76" t="s">
        <v>33</v>
      </c>
      <c r="D76">
        <v>8.4252630292196221E-2</v>
      </c>
      <c r="E76" t="s">
        <v>6</v>
      </c>
      <c r="G76" t="s">
        <v>49</v>
      </c>
      <c r="H76" t="s">
        <v>33</v>
      </c>
      <c r="I76">
        <v>1.1016314422753961E-2</v>
      </c>
      <c r="J76" t="s">
        <v>6</v>
      </c>
      <c r="L76" t="s">
        <v>50</v>
      </c>
      <c r="M76" t="s">
        <v>33</v>
      </c>
      <c r="N76">
        <v>8.9836254555287296E-3</v>
      </c>
      <c r="O76" t="s">
        <v>6</v>
      </c>
    </row>
    <row r="77" spans="2:15" x14ac:dyDescent="0.45">
      <c r="B77" t="s">
        <v>48</v>
      </c>
      <c r="C77" t="s">
        <v>34</v>
      </c>
      <c r="D77">
        <v>7.3313760571007594E-2</v>
      </c>
      <c r="E77" t="s">
        <v>6</v>
      </c>
      <c r="G77" t="s">
        <v>49</v>
      </c>
      <c r="H77" t="s">
        <v>34</v>
      </c>
      <c r="I77">
        <v>1.2128088576660619E-2</v>
      </c>
      <c r="J77" t="s">
        <v>6</v>
      </c>
      <c r="L77" t="s">
        <v>50</v>
      </c>
      <c r="M77" t="s">
        <v>34</v>
      </c>
      <c r="N77">
        <v>1.1246409484178658E-2</v>
      </c>
      <c r="O77" t="s">
        <v>6</v>
      </c>
    </row>
    <row r="78" spans="2:15" x14ac:dyDescent="0.45">
      <c r="B78" t="s">
        <v>48</v>
      </c>
      <c r="C78" t="s">
        <v>35</v>
      </c>
      <c r="D78">
        <v>4.6472564902418738E-2</v>
      </c>
      <c r="E78" t="s">
        <v>6</v>
      </c>
      <c r="G78" t="s">
        <v>49</v>
      </c>
      <c r="H78" t="s">
        <v>35</v>
      </c>
      <c r="I78">
        <v>1.3255866554511183E-2</v>
      </c>
      <c r="J78" t="s">
        <v>6</v>
      </c>
      <c r="L78" t="s">
        <v>50</v>
      </c>
      <c r="M78" t="s">
        <v>35</v>
      </c>
      <c r="N78">
        <v>1.0886277542045445E-2</v>
      </c>
      <c r="O78" t="s">
        <v>6</v>
      </c>
    </row>
    <row r="79" spans="2:15" x14ac:dyDescent="0.45">
      <c r="B79" t="s">
        <v>48</v>
      </c>
      <c r="C79" t="s">
        <v>36</v>
      </c>
      <c r="D79">
        <v>1.0927298264622213E-2</v>
      </c>
      <c r="E79" t="s">
        <v>6</v>
      </c>
      <c r="G79" t="s">
        <v>49</v>
      </c>
      <c r="H79" t="s">
        <v>36</v>
      </c>
      <c r="I79">
        <v>1.2992736539437848E-2</v>
      </c>
      <c r="J79" t="s">
        <v>6</v>
      </c>
      <c r="L79" t="s">
        <v>50</v>
      </c>
      <c r="M79" t="s">
        <v>36</v>
      </c>
      <c r="N79">
        <v>1.0135504492887491E-2</v>
      </c>
      <c r="O79" t="s">
        <v>6</v>
      </c>
    </row>
    <row r="80" spans="2:15" x14ac:dyDescent="0.45">
      <c r="B80" t="s">
        <v>48</v>
      </c>
      <c r="C80" t="s">
        <v>37</v>
      </c>
      <c r="D80">
        <v>1.0949722307960784E-4</v>
      </c>
      <c r="E80" t="s">
        <v>6</v>
      </c>
      <c r="G80" t="s">
        <v>49</v>
      </c>
      <c r="H80" t="s">
        <v>37</v>
      </c>
      <c r="I80">
        <v>2.1248342833749649E-2</v>
      </c>
      <c r="J80" t="s">
        <v>6</v>
      </c>
      <c r="L80" t="s">
        <v>50</v>
      </c>
      <c r="M80" t="s">
        <v>37</v>
      </c>
      <c r="N80">
        <v>1.3647550536298405E-2</v>
      </c>
      <c r="O80" t="s">
        <v>6</v>
      </c>
    </row>
    <row r="81" spans="2:15" x14ac:dyDescent="0.45">
      <c r="B81" t="s">
        <v>48</v>
      </c>
      <c r="C81" t="s">
        <v>38</v>
      </c>
      <c r="D81">
        <v>0</v>
      </c>
      <c r="E81" t="s">
        <v>6</v>
      </c>
      <c r="G81" t="s">
        <v>49</v>
      </c>
      <c r="H81" t="s">
        <v>38</v>
      </c>
      <c r="I81">
        <v>7.0114745299488232E-2</v>
      </c>
      <c r="J81" t="s">
        <v>6</v>
      </c>
      <c r="L81" t="s">
        <v>50</v>
      </c>
      <c r="M81" t="s">
        <v>38</v>
      </c>
      <c r="N81">
        <v>7.0204322029468316E-2</v>
      </c>
      <c r="O81" t="s">
        <v>6</v>
      </c>
    </row>
    <row r="82" spans="2:15" x14ac:dyDescent="0.45">
      <c r="B82" t="s">
        <v>48</v>
      </c>
      <c r="C82" t="s">
        <v>39</v>
      </c>
      <c r="D82">
        <v>0</v>
      </c>
      <c r="E82" t="s">
        <v>6</v>
      </c>
      <c r="G82" t="s">
        <v>49</v>
      </c>
      <c r="H82" t="s">
        <v>39</v>
      </c>
      <c r="I82">
        <v>2.7667069355045142E-2</v>
      </c>
      <c r="J82" t="s">
        <v>6</v>
      </c>
      <c r="L82" t="s">
        <v>50</v>
      </c>
      <c r="M82" t="s">
        <v>39</v>
      </c>
      <c r="N82">
        <v>2.5787113674045743E-2</v>
      </c>
      <c r="O82" t="s">
        <v>6</v>
      </c>
    </row>
    <row r="83" spans="2:15" x14ac:dyDescent="0.45">
      <c r="B83" t="s">
        <v>48</v>
      </c>
      <c r="C83" t="s">
        <v>40</v>
      </c>
      <c r="D83">
        <v>1.1258035663398182E-3</v>
      </c>
      <c r="E83" t="s">
        <v>6</v>
      </c>
      <c r="G83" t="s">
        <v>49</v>
      </c>
      <c r="H83" t="s">
        <v>40</v>
      </c>
      <c r="I83">
        <v>2.748073372861631E-2</v>
      </c>
      <c r="J83" t="s">
        <v>6</v>
      </c>
      <c r="L83" t="s">
        <v>50</v>
      </c>
      <c r="M83" t="s">
        <v>40</v>
      </c>
      <c r="N83">
        <v>2.5600837348724842E-2</v>
      </c>
      <c r="O83" t="s">
        <v>6</v>
      </c>
    </row>
    <row r="84" spans="2:15" x14ac:dyDescent="0.45">
      <c r="B84" t="s">
        <v>48</v>
      </c>
      <c r="C84" t="s">
        <v>41</v>
      </c>
      <c r="D84">
        <v>2.2341786954889406E-2</v>
      </c>
      <c r="E84" t="s">
        <v>6</v>
      </c>
      <c r="G84" t="s">
        <v>49</v>
      </c>
      <c r="H84" t="s">
        <v>41</v>
      </c>
      <c r="I84">
        <v>2.6974422573210578E-2</v>
      </c>
      <c r="J84" t="s">
        <v>6</v>
      </c>
      <c r="L84" t="s">
        <v>50</v>
      </c>
      <c r="M84" t="s">
        <v>41</v>
      </c>
      <c r="N84">
        <v>2.5314308930439521E-2</v>
      </c>
      <c r="O84" t="s">
        <v>6</v>
      </c>
    </row>
    <row r="85" spans="2:15" x14ac:dyDescent="0.45">
      <c r="B85" t="s">
        <v>48</v>
      </c>
      <c r="C85" t="s">
        <v>42</v>
      </c>
      <c r="D85">
        <v>5.0397798444716445E-2</v>
      </c>
      <c r="E85" t="s">
        <v>6</v>
      </c>
      <c r="G85" t="s">
        <v>49</v>
      </c>
      <c r="H85" t="s">
        <v>42</v>
      </c>
      <c r="I85">
        <v>2.461238883720037E-2</v>
      </c>
      <c r="J85" t="s">
        <v>6</v>
      </c>
      <c r="L85" t="s">
        <v>50</v>
      </c>
      <c r="M85" t="s">
        <v>42</v>
      </c>
      <c r="N85">
        <v>2.4991967517087106E-2</v>
      </c>
      <c r="O85" t="s">
        <v>6</v>
      </c>
    </row>
    <row r="86" spans="2:15" x14ac:dyDescent="0.45">
      <c r="B86" t="s">
        <v>48</v>
      </c>
      <c r="C86" t="s">
        <v>43</v>
      </c>
      <c r="D86">
        <v>5.8607947514497966E-2</v>
      </c>
      <c r="E86" t="s">
        <v>6</v>
      </c>
      <c r="G86" t="s">
        <v>49</v>
      </c>
      <c r="H86" t="s">
        <v>43</v>
      </c>
      <c r="I86">
        <v>2.6172309792722309E-2</v>
      </c>
      <c r="J86" t="s">
        <v>6</v>
      </c>
      <c r="L86" t="s">
        <v>50</v>
      </c>
      <c r="M86" t="s">
        <v>43</v>
      </c>
      <c r="N86">
        <v>2.5761975084063214E-2</v>
      </c>
      <c r="O86" t="s">
        <v>6</v>
      </c>
    </row>
    <row r="87" spans="2:15" x14ac:dyDescent="0.45">
      <c r="B87" t="s">
        <v>48</v>
      </c>
      <c r="C87" t="s">
        <v>44</v>
      </c>
      <c r="D87">
        <v>4.6318356842352693E-2</v>
      </c>
      <c r="E87" t="s">
        <v>6</v>
      </c>
      <c r="G87" t="s">
        <v>49</v>
      </c>
      <c r="H87" t="s">
        <v>44</v>
      </c>
      <c r="I87">
        <v>2.6302060284808866E-2</v>
      </c>
      <c r="J87" t="s">
        <v>6</v>
      </c>
      <c r="L87" t="s">
        <v>50</v>
      </c>
      <c r="M87" t="s">
        <v>44</v>
      </c>
      <c r="N87">
        <v>2.7261748522786632E-2</v>
      </c>
      <c r="O87" t="s">
        <v>6</v>
      </c>
    </row>
    <row r="88" spans="2:15" x14ac:dyDescent="0.45">
      <c r="B88" t="s">
        <v>48</v>
      </c>
      <c r="C88" t="s">
        <v>45</v>
      </c>
      <c r="D88">
        <v>1.8848411466565632E-2</v>
      </c>
      <c r="E88" t="s">
        <v>6</v>
      </c>
      <c r="G88" t="s">
        <v>49</v>
      </c>
      <c r="H88" t="s">
        <v>45</v>
      </c>
      <c r="I88">
        <v>2.5688455556087432E-2</v>
      </c>
      <c r="J88" t="s">
        <v>6</v>
      </c>
      <c r="L88" t="s">
        <v>50</v>
      </c>
      <c r="M88" t="s">
        <v>45</v>
      </c>
      <c r="N88">
        <v>2.8507001030305727E-2</v>
      </c>
      <c r="O88" t="s">
        <v>6</v>
      </c>
    </row>
    <row r="89" spans="2:15" x14ac:dyDescent="0.45">
      <c r="B89" t="s">
        <v>48</v>
      </c>
      <c r="C89" t="s">
        <v>46</v>
      </c>
      <c r="D89">
        <v>9.1294455180208477E-4</v>
      </c>
      <c r="E89" t="s">
        <v>6</v>
      </c>
      <c r="G89" t="s">
        <v>49</v>
      </c>
      <c r="H89" t="s">
        <v>46</v>
      </c>
      <c r="I89">
        <v>2.6466007734363951E-2</v>
      </c>
      <c r="J89" t="s">
        <v>6</v>
      </c>
      <c r="L89" t="s">
        <v>50</v>
      </c>
      <c r="M89" t="s">
        <v>46</v>
      </c>
      <c r="N89">
        <v>2.8079955193666847E-2</v>
      </c>
      <c r="O89" t="s">
        <v>6</v>
      </c>
    </row>
    <row r="90" spans="2:15" x14ac:dyDescent="0.45">
      <c r="B90" t="s">
        <v>48</v>
      </c>
      <c r="C90" t="s">
        <v>47</v>
      </c>
      <c r="D90">
        <v>0</v>
      </c>
      <c r="E90" t="s">
        <v>6</v>
      </c>
      <c r="G90" t="s">
        <v>49</v>
      </c>
      <c r="H90" t="s">
        <v>47</v>
      </c>
      <c r="I90">
        <v>4.1348707477251993E-2</v>
      </c>
      <c r="J90" t="s">
        <v>6</v>
      </c>
      <c r="L90" t="s">
        <v>50</v>
      </c>
      <c r="M90" t="s">
        <v>47</v>
      </c>
      <c r="N90">
        <v>4.2458136520386588E-2</v>
      </c>
      <c r="O90" t="s">
        <v>6</v>
      </c>
    </row>
    <row r="91" spans="2:15" x14ac:dyDescent="0.45">
      <c r="B91" t="s">
        <v>51</v>
      </c>
      <c r="C91" t="s">
        <v>5</v>
      </c>
      <c r="D91">
        <v>0</v>
      </c>
      <c r="E91" t="s">
        <v>6</v>
      </c>
      <c r="G91" t="s">
        <v>52</v>
      </c>
      <c r="H91" t="s">
        <v>5</v>
      </c>
      <c r="I91">
        <v>6.4428325278881426E-2</v>
      </c>
      <c r="J91" t="s">
        <v>6</v>
      </c>
      <c r="L91" t="s">
        <v>53</v>
      </c>
      <c r="M91" t="s">
        <v>5</v>
      </c>
      <c r="N91">
        <v>5.1791807257304825E-2</v>
      </c>
      <c r="O91" t="s">
        <v>6</v>
      </c>
    </row>
    <row r="92" spans="2:15" x14ac:dyDescent="0.45">
      <c r="B92" t="s">
        <v>51</v>
      </c>
      <c r="C92" t="s">
        <v>9</v>
      </c>
      <c r="D92">
        <v>0</v>
      </c>
      <c r="E92" t="s">
        <v>6</v>
      </c>
      <c r="G92" t="s">
        <v>52</v>
      </c>
      <c r="H92" t="s">
        <v>9</v>
      </c>
      <c r="I92">
        <v>2.5884589350069868E-2</v>
      </c>
      <c r="J92" t="s">
        <v>6</v>
      </c>
      <c r="L92" t="s">
        <v>53</v>
      </c>
      <c r="M92" t="s">
        <v>9</v>
      </c>
      <c r="N92">
        <v>2.1705478695979372E-2</v>
      </c>
      <c r="O92" t="s">
        <v>6</v>
      </c>
    </row>
    <row r="93" spans="2:15" x14ac:dyDescent="0.45">
      <c r="B93" t="s">
        <v>51</v>
      </c>
      <c r="C93" t="s">
        <v>10</v>
      </c>
      <c r="D93">
        <v>0</v>
      </c>
      <c r="E93" t="s">
        <v>6</v>
      </c>
      <c r="G93" t="s">
        <v>52</v>
      </c>
      <c r="H93" t="s">
        <v>10</v>
      </c>
      <c r="I93">
        <v>2.5793117701876086E-2</v>
      </c>
      <c r="J93" t="s">
        <v>6</v>
      </c>
      <c r="L93" t="s">
        <v>53</v>
      </c>
      <c r="M93" t="s">
        <v>10</v>
      </c>
      <c r="N93">
        <v>2.1701957241423344E-2</v>
      </c>
      <c r="O93" t="s">
        <v>6</v>
      </c>
    </row>
    <row r="94" spans="2:15" x14ac:dyDescent="0.45">
      <c r="B94" t="s">
        <v>51</v>
      </c>
      <c r="C94" t="s">
        <v>11</v>
      </c>
      <c r="D94">
        <v>1.0526310051894734E-2</v>
      </c>
      <c r="E94" t="s">
        <v>6</v>
      </c>
      <c r="G94" t="s">
        <v>52</v>
      </c>
      <c r="H94" t="s">
        <v>11</v>
      </c>
      <c r="I94">
        <v>2.5090852119929435E-2</v>
      </c>
      <c r="J94" t="s">
        <v>6</v>
      </c>
      <c r="L94" t="s">
        <v>53</v>
      </c>
      <c r="M94" t="s">
        <v>11</v>
      </c>
      <c r="N94">
        <v>2.1332443365481311E-2</v>
      </c>
      <c r="O94" t="s">
        <v>6</v>
      </c>
    </row>
    <row r="95" spans="2:15" x14ac:dyDescent="0.45">
      <c r="B95" t="s">
        <v>51</v>
      </c>
      <c r="C95" t="s">
        <v>12</v>
      </c>
      <c r="D95">
        <v>4.0353166851482603E-2</v>
      </c>
      <c r="E95" t="s">
        <v>6</v>
      </c>
      <c r="G95" t="s">
        <v>52</v>
      </c>
      <c r="H95" t="s">
        <v>12</v>
      </c>
      <c r="I95">
        <v>2.0382885670798094E-2</v>
      </c>
      <c r="J95" t="s">
        <v>6</v>
      </c>
      <c r="L95" t="s">
        <v>53</v>
      </c>
      <c r="M95" t="s">
        <v>12</v>
      </c>
      <c r="N95">
        <v>2.0760494594209061E-2</v>
      </c>
      <c r="O95" t="s">
        <v>6</v>
      </c>
    </row>
    <row r="96" spans="2:15" x14ac:dyDescent="0.45">
      <c r="B96" t="s">
        <v>51</v>
      </c>
      <c r="C96" t="s">
        <v>13</v>
      </c>
      <c r="D96">
        <v>5.1984368444800463E-2</v>
      </c>
      <c r="E96" t="s">
        <v>6</v>
      </c>
      <c r="G96" t="s">
        <v>52</v>
      </c>
      <c r="H96" t="s">
        <v>13</v>
      </c>
      <c r="I96">
        <v>2.1039686592762327E-2</v>
      </c>
      <c r="J96" t="s">
        <v>6</v>
      </c>
      <c r="L96" t="s">
        <v>53</v>
      </c>
      <c r="M96" t="s">
        <v>13</v>
      </c>
      <c r="N96">
        <v>2.156922383272274E-2</v>
      </c>
      <c r="O96" t="s">
        <v>6</v>
      </c>
    </row>
    <row r="97" spans="2:15" x14ac:dyDescent="0.45">
      <c r="B97" t="s">
        <v>51</v>
      </c>
      <c r="C97" t="s">
        <v>14</v>
      </c>
      <c r="D97">
        <v>3.937356855126066E-2</v>
      </c>
      <c r="E97" t="s">
        <v>6</v>
      </c>
      <c r="G97" t="s">
        <v>52</v>
      </c>
      <c r="H97" t="s">
        <v>14</v>
      </c>
      <c r="I97">
        <v>2.3366407586206377E-2</v>
      </c>
      <c r="J97" t="s">
        <v>6</v>
      </c>
      <c r="L97" t="s">
        <v>53</v>
      </c>
      <c r="M97" t="s">
        <v>14</v>
      </c>
      <c r="N97">
        <v>2.1884060401014326E-2</v>
      </c>
      <c r="O97" t="s">
        <v>6</v>
      </c>
    </row>
    <row r="98" spans="2:15" x14ac:dyDescent="0.45">
      <c r="B98" t="s">
        <v>51</v>
      </c>
      <c r="C98" t="s">
        <v>15</v>
      </c>
      <c r="D98">
        <v>1.2330977472594481E-2</v>
      </c>
      <c r="E98" t="s">
        <v>6</v>
      </c>
      <c r="G98" t="s">
        <v>52</v>
      </c>
      <c r="H98" t="s">
        <v>15</v>
      </c>
      <c r="I98">
        <v>2.6216054986442468E-2</v>
      </c>
      <c r="J98" t="s">
        <v>6</v>
      </c>
      <c r="L98" t="s">
        <v>53</v>
      </c>
      <c r="M98" t="s">
        <v>15</v>
      </c>
      <c r="N98">
        <v>2.1985180244911123E-2</v>
      </c>
      <c r="O98" t="s">
        <v>6</v>
      </c>
    </row>
    <row r="99" spans="2:15" x14ac:dyDescent="0.45">
      <c r="B99" t="s">
        <v>51</v>
      </c>
      <c r="C99" t="s">
        <v>16</v>
      </c>
      <c r="D99">
        <v>6.9444477198289369E-5</v>
      </c>
      <c r="E99" t="s">
        <v>6</v>
      </c>
      <c r="G99" t="s">
        <v>52</v>
      </c>
      <c r="H99" t="s">
        <v>16</v>
      </c>
      <c r="I99">
        <v>2.8230262703679541E-2</v>
      </c>
      <c r="J99" t="s">
        <v>6</v>
      </c>
      <c r="L99" t="s">
        <v>53</v>
      </c>
      <c r="M99" t="s">
        <v>16</v>
      </c>
      <c r="N99">
        <v>2.1271421405740492E-2</v>
      </c>
      <c r="O99" t="s">
        <v>6</v>
      </c>
    </row>
    <row r="100" spans="2:15" x14ac:dyDescent="0.45">
      <c r="B100" t="s">
        <v>51</v>
      </c>
      <c r="C100" t="s">
        <v>17</v>
      </c>
      <c r="D100">
        <v>0</v>
      </c>
      <c r="E100" t="s">
        <v>6</v>
      </c>
      <c r="G100" t="s">
        <v>52</v>
      </c>
      <c r="H100" t="s">
        <v>17</v>
      </c>
      <c r="I100">
        <v>4.044938611658308E-2</v>
      </c>
      <c r="J100" t="s">
        <v>6</v>
      </c>
      <c r="L100" t="s">
        <v>53</v>
      </c>
      <c r="M100" t="s">
        <v>17</v>
      </c>
      <c r="N100">
        <v>3.005798841428426E-2</v>
      </c>
      <c r="O100" t="s">
        <v>6</v>
      </c>
    </row>
    <row r="101" spans="2:15" x14ac:dyDescent="0.45">
      <c r="B101" t="s">
        <v>51</v>
      </c>
      <c r="C101" t="s">
        <v>18</v>
      </c>
      <c r="D101">
        <v>0</v>
      </c>
      <c r="E101" t="s">
        <v>6</v>
      </c>
      <c r="G101" t="s">
        <v>52</v>
      </c>
      <c r="H101" t="s">
        <v>18</v>
      </c>
      <c r="I101">
        <v>5.2090909894119672E-2</v>
      </c>
      <c r="J101" t="s">
        <v>6</v>
      </c>
      <c r="L101" t="s">
        <v>53</v>
      </c>
      <c r="M101" t="s">
        <v>18</v>
      </c>
      <c r="N101">
        <v>6.6752402634052493E-2</v>
      </c>
      <c r="O101" t="s">
        <v>6</v>
      </c>
    </row>
    <row r="102" spans="2:15" x14ac:dyDescent="0.45">
      <c r="B102" t="s">
        <v>51</v>
      </c>
      <c r="C102" t="s">
        <v>19</v>
      </c>
      <c r="D102">
        <v>1.2588834117966192E-5</v>
      </c>
      <c r="E102" t="s">
        <v>6</v>
      </c>
      <c r="G102" t="s">
        <v>52</v>
      </c>
      <c r="H102" t="s">
        <v>19</v>
      </c>
      <c r="I102">
        <v>2.0653043003421478E-2</v>
      </c>
      <c r="J102" t="s">
        <v>6</v>
      </c>
      <c r="L102" t="s">
        <v>53</v>
      </c>
      <c r="M102" t="s">
        <v>19</v>
      </c>
      <c r="N102">
        <v>2.7928667219939564E-2</v>
      </c>
      <c r="O102" t="s">
        <v>6</v>
      </c>
    </row>
    <row r="103" spans="2:15" x14ac:dyDescent="0.45">
      <c r="B103" t="s">
        <v>51</v>
      </c>
      <c r="C103" t="s">
        <v>20</v>
      </c>
      <c r="D103">
        <v>5.8265489772520614E-3</v>
      </c>
      <c r="E103" t="s">
        <v>6</v>
      </c>
      <c r="G103" t="s">
        <v>52</v>
      </c>
      <c r="H103" t="s">
        <v>20</v>
      </c>
      <c r="I103">
        <v>1.879816514013867E-2</v>
      </c>
      <c r="J103" t="s">
        <v>6</v>
      </c>
      <c r="L103" t="s">
        <v>53</v>
      </c>
      <c r="M103" t="s">
        <v>20</v>
      </c>
      <c r="N103">
        <v>2.760419222456427E-2</v>
      </c>
      <c r="O103" t="s">
        <v>6</v>
      </c>
    </row>
    <row r="104" spans="2:15" x14ac:dyDescent="0.45">
      <c r="B104" t="s">
        <v>51</v>
      </c>
      <c r="C104" t="s">
        <v>21</v>
      </c>
      <c r="D104">
        <v>3.8428441108100439E-2</v>
      </c>
      <c r="E104" t="s">
        <v>6</v>
      </c>
      <c r="G104" t="s">
        <v>52</v>
      </c>
      <c r="H104" t="s">
        <v>21</v>
      </c>
      <c r="I104">
        <v>1.683763068523066E-2</v>
      </c>
      <c r="J104" t="s">
        <v>6</v>
      </c>
      <c r="L104" t="s">
        <v>53</v>
      </c>
      <c r="M104" t="s">
        <v>21</v>
      </c>
      <c r="N104">
        <v>2.6597827873379519E-2</v>
      </c>
      <c r="O104" t="s">
        <v>6</v>
      </c>
    </row>
    <row r="105" spans="2:15" x14ac:dyDescent="0.45">
      <c r="B105" t="s">
        <v>51</v>
      </c>
      <c r="C105" t="s">
        <v>22</v>
      </c>
      <c r="D105">
        <v>6.9370511537782037E-2</v>
      </c>
      <c r="E105" t="s">
        <v>6</v>
      </c>
      <c r="G105" t="s">
        <v>52</v>
      </c>
      <c r="H105" t="s">
        <v>22</v>
      </c>
      <c r="I105">
        <v>1.3814086389662025E-2</v>
      </c>
      <c r="J105" t="s">
        <v>6</v>
      </c>
      <c r="L105" t="s">
        <v>53</v>
      </c>
      <c r="M105" t="s">
        <v>22</v>
      </c>
      <c r="N105">
        <v>2.6307620411272846E-2</v>
      </c>
      <c r="O105" t="s">
        <v>6</v>
      </c>
    </row>
    <row r="106" spans="2:15" x14ac:dyDescent="0.45">
      <c r="B106" t="s">
        <v>51</v>
      </c>
      <c r="C106" t="s">
        <v>23</v>
      </c>
      <c r="D106">
        <v>7.8388933608001046E-2</v>
      </c>
      <c r="E106" t="s">
        <v>6</v>
      </c>
      <c r="G106" t="s">
        <v>52</v>
      </c>
      <c r="H106" t="s">
        <v>23</v>
      </c>
      <c r="I106">
        <v>1.5978215918516416E-2</v>
      </c>
      <c r="J106" t="s">
        <v>6</v>
      </c>
      <c r="L106" t="s">
        <v>53</v>
      </c>
      <c r="M106" t="s">
        <v>23</v>
      </c>
      <c r="N106">
        <v>2.6734983972578983E-2</v>
      </c>
      <c r="O106" t="s">
        <v>6</v>
      </c>
    </row>
    <row r="107" spans="2:15" x14ac:dyDescent="0.45">
      <c r="B107" t="s">
        <v>51</v>
      </c>
      <c r="C107" t="s">
        <v>24</v>
      </c>
      <c r="D107">
        <v>6.3612459265076735E-2</v>
      </c>
      <c r="E107" t="s">
        <v>6</v>
      </c>
      <c r="G107" t="s">
        <v>52</v>
      </c>
      <c r="H107" t="s">
        <v>24</v>
      </c>
      <c r="I107">
        <v>1.7552737956015786E-2</v>
      </c>
      <c r="J107" t="s">
        <v>6</v>
      </c>
      <c r="L107" t="s">
        <v>53</v>
      </c>
      <c r="M107" t="s">
        <v>24</v>
      </c>
      <c r="N107">
        <v>2.7915606547044804E-2</v>
      </c>
      <c r="O107" t="s">
        <v>6</v>
      </c>
    </row>
    <row r="108" spans="2:15" x14ac:dyDescent="0.45">
      <c r="B108" t="s">
        <v>51</v>
      </c>
      <c r="C108" t="s">
        <v>25</v>
      </c>
      <c r="D108">
        <v>3.4355628187645176E-2</v>
      </c>
      <c r="E108" t="s">
        <v>6</v>
      </c>
      <c r="G108" t="s">
        <v>52</v>
      </c>
      <c r="H108" t="s">
        <v>25</v>
      </c>
      <c r="I108">
        <v>1.7482920347739725E-2</v>
      </c>
      <c r="J108" t="s">
        <v>6</v>
      </c>
      <c r="L108" t="s">
        <v>53</v>
      </c>
      <c r="M108" t="s">
        <v>25</v>
      </c>
      <c r="N108">
        <v>2.8959542511119322E-2</v>
      </c>
      <c r="O108" t="s">
        <v>6</v>
      </c>
    </row>
    <row r="109" spans="2:15" x14ac:dyDescent="0.45">
      <c r="B109" t="s">
        <v>51</v>
      </c>
      <c r="C109" t="s">
        <v>26</v>
      </c>
      <c r="D109">
        <v>5.270232161713539E-3</v>
      </c>
      <c r="E109" t="s">
        <v>6</v>
      </c>
      <c r="G109" t="s">
        <v>52</v>
      </c>
      <c r="H109" t="s">
        <v>26</v>
      </c>
      <c r="I109">
        <v>1.9547930659014803E-2</v>
      </c>
      <c r="J109" t="s">
        <v>6</v>
      </c>
      <c r="L109" t="s">
        <v>53</v>
      </c>
      <c r="M109" t="s">
        <v>26</v>
      </c>
      <c r="N109">
        <v>2.8262672364738298E-2</v>
      </c>
      <c r="O109" t="s">
        <v>6</v>
      </c>
    </row>
    <row r="110" spans="2:15" x14ac:dyDescent="0.45">
      <c r="B110" t="s">
        <v>51</v>
      </c>
      <c r="C110" t="s">
        <v>27</v>
      </c>
      <c r="D110">
        <v>5.7133681182392552E-7</v>
      </c>
      <c r="E110" t="s">
        <v>6</v>
      </c>
      <c r="G110" t="s">
        <v>52</v>
      </c>
      <c r="H110" t="s">
        <v>27</v>
      </c>
      <c r="I110">
        <v>3.2615674279599938E-2</v>
      </c>
      <c r="J110" t="s">
        <v>6</v>
      </c>
      <c r="L110" t="s">
        <v>53</v>
      </c>
      <c r="M110" t="s">
        <v>27</v>
      </c>
      <c r="N110">
        <v>3.8629819526100291E-2</v>
      </c>
      <c r="O110" t="s">
        <v>6</v>
      </c>
    </row>
    <row r="111" spans="2:15" x14ac:dyDescent="0.45">
      <c r="B111" t="s">
        <v>51</v>
      </c>
      <c r="C111" t="s">
        <v>28</v>
      </c>
      <c r="D111">
        <v>0</v>
      </c>
      <c r="E111" t="s">
        <v>6</v>
      </c>
      <c r="G111" t="s">
        <v>52</v>
      </c>
      <c r="H111" t="s">
        <v>28</v>
      </c>
      <c r="I111">
        <v>3.886008951699825E-2</v>
      </c>
      <c r="J111" t="s">
        <v>6</v>
      </c>
      <c r="L111" t="s">
        <v>53</v>
      </c>
      <c r="M111" t="s">
        <v>28</v>
      </c>
      <c r="N111">
        <v>2.3319936539454422E-2</v>
      </c>
      <c r="O111" t="s">
        <v>6</v>
      </c>
    </row>
    <row r="112" spans="2:15" x14ac:dyDescent="0.45">
      <c r="B112" t="s">
        <v>51</v>
      </c>
      <c r="C112" t="s">
        <v>29</v>
      </c>
      <c r="D112">
        <v>8.8570358693647092E-5</v>
      </c>
      <c r="E112" t="s">
        <v>6</v>
      </c>
      <c r="G112" t="s">
        <v>52</v>
      </c>
      <c r="H112" t="s">
        <v>29</v>
      </c>
      <c r="I112">
        <v>1.3862840710845394E-2</v>
      </c>
      <c r="J112" t="s">
        <v>6</v>
      </c>
      <c r="L112" t="s">
        <v>53</v>
      </c>
      <c r="M112" t="s">
        <v>29</v>
      </c>
      <c r="N112">
        <v>9.3032483107430997E-3</v>
      </c>
      <c r="O112" t="s">
        <v>6</v>
      </c>
    </row>
    <row r="113" spans="2:15" x14ac:dyDescent="0.45">
      <c r="B113" t="s">
        <v>51</v>
      </c>
      <c r="C113" t="s">
        <v>30</v>
      </c>
      <c r="D113">
        <v>1.0105742327931348E-2</v>
      </c>
      <c r="E113" t="s">
        <v>6</v>
      </c>
      <c r="G113" t="s">
        <v>52</v>
      </c>
      <c r="H113" t="s">
        <v>30</v>
      </c>
      <c r="I113">
        <v>1.0673437446338559E-2</v>
      </c>
      <c r="J113" t="s">
        <v>6</v>
      </c>
      <c r="L113" t="s">
        <v>53</v>
      </c>
      <c r="M113" t="s">
        <v>30</v>
      </c>
      <c r="N113">
        <v>9.0414807532481038E-3</v>
      </c>
      <c r="O113" t="s">
        <v>6</v>
      </c>
    </row>
    <row r="114" spans="2:15" x14ac:dyDescent="0.45">
      <c r="B114" t="s">
        <v>51</v>
      </c>
      <c r="C114" t="s">
        <v>31</v>
      </c>
      <c r="D114">
        <v>4.7931244197674597E-2</v>
      </c>
      <c r="E114" t="s">
        <v>6</v>
      </c>
      <c r="G114" t="s">
        <v>52</v>
      </c>
      <c r="H114" t="s">
        <v>31</v>
      </c>
      <c r="I114">
        <v>9.42112847937231E-3</v>
      </c>
      <c r="J114" t="s">
        <v>6</v>
      </c>
      <c r="L114" t="s">
        <v>53</v>
      </c>
      <c r="M114" t="s">
        <v>31</v>
      </c>
      <c r="N114">
        <v>7.6501870297583999E-3</v>
      </c>
      <c r="O114" t="s">
        <v>6</v>
      </c>
    </row>
    <row r="115" spans="2:15" x14ac:dyDescent="0.45">
      <c r="B115" t="s">
        <v>51</v>
      </c>
      <c r="C115" t="s">
        <v>32</v>
      </c>
      <c r="D115">
        <v>7.85678213204834E-2</v>
      </c>
      <c r="E115" t="s">
        <v>6</v>
      </c>
      <c r="G115" t="s">
        <v>52</v>
      </c>
      <c r="H115" t="s">
        <v>32</v>
      </c>
      <c r="I115">
        <v>9.7342729377965127E-3</v>
      </c>
      <c r="J115" t="s">
        <v>6</v>
      </c>
      <c r="L115" t="s">
        <v>53</v>
      </c>
      <c r="M115" t="s">
        <v>32</v>
      </c>
      <c r="N115">
        <v>7.3852115687072428E-3</v>
      </c>
      <c r="O115" t="s">
        <v>6</v>
      </c>
    </row>
    <row r="116" spans="2:15" x14ac:dyDescent="0.45">
      <c r="B116" t="s">
        <v>51</v>
      </c>
      <c r="C116" t="s">
        <v>33</v>
      </c>
      <c r="D116">
        <v>8.7746369564789053E-2</v>
      </c>
      <c r="E116" t="s">
        <v>6</v>
      </c>
      <c r="G116" t="s">
        <v>52</v>
      </c>
      <c r="H116" t="s">
        <v>33</v>
      </c>
      <c r="I116">
        <v>1.0771266751265419E-2</v>
      </c>
      <c r="J116" t="s">
        <v>6</v>
      </c>
      <c r="L116" t="s">
        <v>53</v>
      </c>
      <c r="M116" t="s">
        <v>33</v>
      </c>
      <c r="N116">
        <v>9.2264454046363294E-3</v>
      </c>
      <c r="O116" t="s">
        <v>6</v>
      </c>
    </row>
    <row r="117" spans="2:15" x14ac:dyDescent="0.45">
      <c r="B117" t="s">
        <v>51</v>
      </c>
      <c r="C117" t="s">
        <v>34</v>
      </c>
      <c r="D117">
        <v>7.5205453387576116E-2</v>
      </c>
      <c r="E117" t="s">
        <v>6</v>
      </c>
      <c r="G117" t="s">
        <v>52</v>
      </c>
      <c r="H117" t="s">
        <v>34</v>
      </c>
      <c r="I117">
        <v>1.2513282944009368E-2</v>
      </c>
      <c r="J117" t="s">
        <v>6</v>
      </c>
      <c r="L117" t="s">
        <v>53</v>
      </c>
      <c r="M117" t="s">
        <v>34</v>
      </c>
      <c r="N117">
        <v>1.0657182305909738E-2</v>
      </c>
      <c r="O117" t="s">
        <v>6</v>
      </c>
    </row>
    <row r="118" spans="2:15" x14ac:dyDescent="0.45">
      <c r="B118" t="s">
        <v>51</v>
      </c>
      <c r="C118" t="s">
        <v>35</v>
      </c>
      <c r="D118">
        <v>4.5850408896031536E-2</v>
      </c>
      <c r="E118" t="s">
        <v>6</v>
      </c>
      <c r="G118" t="s">
        <v>52</v>
      </c>
      <c r="H118" t="s">
        <v>35</v>
      </c>
      <c r="I118">
        <v>1.3754640983858616E-2</v>
      </c>
      <c r="J118" t="s">
        <v>6</v>
      </c>
      <c r="L118" t="s">
        <v>53</v>
      </c>
      <c r="M118" t="s">
        <v>35</v>
      </c>
      <c r="N118">
        <v>1.1094374845075111E-2</v>
      </c>
      <c r="O118" t="s">
        <v>6</v>
      </c>
    </row>
    <row r="119" spans="2:15" x14ac:dyDescent="0.45">
      <c r="B119" t="s">
        <v>51</v>
      </c>
      <c r="C119" t="s">
        <v>36</v>
      </c>
      <c r="D119">
        <v>1.0611917069489196E-2</v>
      </c>
      <c r="E119" t="s">
        <v>6</v>
      </c>
      <c r="G119" t="s">
        <v>52</v>
      </c>
      <c r="H119" t="s">
        <v>36</v>
      </c>
      <c r="I119">
        <v>1.4171664773622162E-2</v>
      </c>
      <c r="J119" t="s">
        <v>6</v>
      </c>
      <c r="L119" t="s">
        <v>53</v>
      </c>
      <c r="M119" t="s">
        <v>36</v>
      </c>
      <c r="N119">
        <v>1.093916164782369E-2</v>
      </c>
      <c r="O119" t="s">
        <v>6</v>
      </c>
    </row>
    <row r="120" spans="2:15" x14ac:dyDescent="0.45">
      <c r="B120" t="s">
        <v>51</v>
      </c>
      <c r="C120" t="s">
        <v>37</v>
      </c>
      <c r="D120">
        <v>9.4242195971595407E-5</v>
      </c>
      <c r="E120" t="s">
        <v>6</v>
      </c>
      <c r="G120" t="s">
        <v>52</v>
      </c>
      <c r="H120" t="s">
        <v>37</v>
      </c>
      <c r="I120">
        <v>2.4959423482947125E-2</v>
      </c>
      <c r="J120" t="s">
        <v>6</v>
      </c>
      <c r="L120" t="s">
        <v>53</v>
      </c>
      <c r="M120" t="s">
        <v>37</v>
      </c>
      <c r="N120">
        <v>1.4426638479243959E-2</v>
      </c>
      <c r="O120" t="s">
        <v>6</v>
      </c>
    </row>
    <row r="121" spans="2:15" x14ac:dyDescent="0.45">
      <c r="B121" t="s">
        <v>51</v>
      </c>
      <c r="C121" t="s">
        <v>38</v>
      </c>
      <c r="D121">
        <v>0</v>
      </c>
      <c r="E121" t="s">
        <v>6</v>
      </c>
      <c r="G121" t="s">
        <v>52</v>
      </c>
      <c r="H121" t="s">
        <v>38</v>
      </c>
      <c r="I121">
        <v>6.9770675139674762E-2</v>
      </c>
      <c r="J121" t="s">
        <v>6</v>
      </c>
      <c r="L121" t="s">
        <v>53</v>
      </c>
      <c r="M121" t="s">
        <v>38</v>
      </c>
      <c r="N121">
        <v>6.749332660804247E-2</v>
      </c>
      <c r="O121" t="s">
        <v>6</v>
      </c>
    </row>
    <row r="122" spans="2:15" x14ac:dyDescent="0.45">
      <c r="B122" t="s">
        <v>51</v>
      </c>
      <c r="C122" t="s">
        <v>39</v>
      </c>
      <c r="D122">
        <v>0</v>
      </c>
      <c r="E122" t="s">
        <v>6</v>
      </c>
      <c r="G122" t="s">
        <v>52</v>
      </c>
      <c r="H122" t="s">
        <v>39</v>
      </c>
      <c r="I122">
        <v>2.7227817699588222E-2</v>
      </c>
      <c r="J122" t="s">
        <v>6</v>
      </c>
      <c r="L122" t="s">
        <v>53</v>
      </c>
      <c r="M122" t="s">
        <v>39</v>
      </c>
      <c r="N122">
        <v>2.5246508495767001E-2</v>
      </c>
      <c r="O122" t="s">
        <v>6</v>
      </c>
    </row>
    <row r="123" spans="2:15" x14ac:dyDescent="0.45">
      <c r="B123" t="s">
        <v>51</v>
      </c>
      <c r="C123" t="s">
        <v>40</v>
      </c>
      <c r="D123">
        <v>1.3393235882543893E-3</v>
      </c>
      <c r="E123" t="s">
        <v>6</v>
      </c>
      <c r="G123" t="s">
        <v>52</v>
      </c>
      <c r="H123" t="s">
        <v>40</v>
      </c>
      <c r="I123">
        <v>2.6384411499922232E-2</v>
      </c>
      <c r="J123" t="s">
        <v>6</v>
      </c>
      <c r="L123" t="s">
        <v>53</v>
      </c>
      <c r="M123" t="s">
        <v>40</v>
      </c>
      <c r="N123">
        <v>2.4748934436839704E-2</v>
      </c>
      <c r="O123" t="s">
        <v>6</v>
      </c>
    </row>
    <row r="124" spans="2:15" x14ac:dyDescent="0.45">
      <c r="B124" t="s">
        <v>51</v>
      </c>
      <c r="C124" t="s">
        <v>41</v>
      </c>
      <c r="D124">
        <v>2.2630554245300288E-2</v>
      </c>
      <c r="E124" t="s">
        <v>6</v>
      </c>
      <c r="G124" t="s">
        <v>52</v>
      </c>
      <c r="H124" t="s">
        <v>41</v>
      </c>
      <c r="I124">
        <v>2.526450621287666E-2</v>
      </c>
      <c r="J124" t="s">
        <v>6</v>
      </c>
      <c r="L124" t="s">
        <v>53</v>
      </c>
      <c r="M124" t="s">
        <v>41</v>
      </c>
      <c r="N124">
        <v>2.3614292936066615E-2</v>
      </c>
      <c r="O124" t="s">
        <v>6</v>
      </c>
    </row>
    <row r="125" spans="2:15" x14ac:dyDescent="0.45">
      <c r="B125" t="s">
        <v>51</v>
      </c>
      <c r="C125" t="s">
        <v>42</v>
      </c>
      <c r="D125">
        <v>5.089097201661013E-2</v>
      </c>
      <c r="E125" t="s">
        <v>6</v>
      </c>
      <c r="G125" t="s">
        <v>52</v>
      </c>
      <c r="H125" t="s">
        <v>42</v>
      </c>
      <c r="I125">
        <v>2.2951590318813855E-2</v>
      </c>
      <c r="J125" t="s">
        <v>6</v>
      </c>
      <c r="L125" t="s">
        <v>53</v>
      </c>
      <c r="M125" t="s">
        <v>42</v>
      </c>
      <c r="N125">
        <v>2.2402983052573783E-2</v>
      </c>
      <c r="O125" t="s">
        <v>6</v>
      </c>
    </row>
    <row r="126" spans="2:15" x14ac:dyDescent="0.45">
      <c r="B126" t="s">
        <v>51</v>
      </c>
      <c r="C126" t="s">
        <v>43</v>
      </c>
      <c r="D126">
        <v>5.8083324642618818E-2</v>
      </c>
      <c r="E126" t="s">
        <v>6</v>
      </c>
      <c r="G126" t="s">
        <v>52</v>
      </c>
      <c r="H126" t="s">
        <v>43</v>
      </c>
      <c r="I126">
        <v>2.4676073709321844E-2</v>
      </c>
      <c r="J126" t="s">
        <v>6</v>
      </c>
      <c r="L126" t="s">
        <v>53</v>
      </c>
      <c r="M126" t="s">
        <v>43</v>
      </c>
      <c r="N126">
        <v>2.315849705524314E-2</v>
      </c>
      <c r="O126" t="s">
        <v>6</v>
      </c>
    </row>
    <row r="127" spans="2:15" x14ac:dyDescent="0.45">
      <c r="B127" t="s">
        <v>51</v>
      </c>
      <c r="C127" t="s">
        <v>44</v>
      </c>
      <c r="D127">
        <v>4.3994893235062817E-2</v>
      </c>
      <c r="E127" t="s">
        <v>6</v>
      </c>
      <c r="G127" t="s">
        <v>52</v>
      </c>
      <c r="H127" t="s">
        <v>44</v>
      </c>
      <c r="I127">
        <v>2.4062396594658291E-2</v>
      </c>
      <c r="J127" t="s">
        <v>6</v>
      </c>
      <c r="L127" t="s">
        <v>53</v>
      </c>
      <c r="M127" t="s">
        <v>44</v>
      </c>
      <c r="N127">
        <v>2.5280118667133814E-2</v>
      </c>
      <c r="O127" t="s">
        <v>6</v>
      </c>
    </row>
    <row r="128" spans="2:15" x14ac:dyDescent="0.45">
      <c r="B128" t="s">
        <v>51</v>
      </c>
      <c r="C128" t="s">
        <v>45</v>
      </c>
      <c r="D128">
        <v>1.623529083482618E-2</v>
      </c>
      <c r="E128" t="s">
        <v>6</v>
      </c>
      <c r="G128" t="s">
        <v>52</v>
      </c>
      <c r="H128" t="s">
        <v>45</v>
      </c>
      <c r="I128">
        <v>2.4376667096344166E-2</v>
      </c>
      <c r="J128" t="s">
        <v>6</v>
      </c>
      <c r="L128" t="s">
        <v>53</v>
      </c>
      <c r="M128" t="s">
        <v>45</v>
      </c>
      <c r="N128">
        <v>2.6972675470226488E-2</v>
      </c>
      <c r="O128" t="s">
        <v>6</v>
      </c>
    </row>
    <row r="129" spans="2:15" x14ac:dyDescent="0.45">
      <c r="B129" t="s">
        <v>51</v>
      </c>
      <c r="C129" t="s">
        <v>46</v>
      </c>
      <c r="D129">
        <v>7.2012125295860491E-4</v>
      </c>
      <c r="E129" t="s">
        <v>6</v>
      </c>
      <c r="G129" t="s">
        <v>52</v>
      </c>
      <c r="H129" t="s">
        <v>46</v>
      </c>
      <c r="I129">
        <v>2.7192094297192302E-2</v>
      </c>
      <c r="J129" t="s">
        <v>6</v>
      </c>
      <c r="L129" t="s">
        <v>53</v>
      </c>
      <c r="M129" t="s">
        <v>46</v>
      </c>
      <c r="N129">
        <v>2.7405979186638302E-2</v>
      </c>
      <c r="O129" t="s">
        <v>6</v>
      </c>
    </row>
    <row r="130" spans="2:15" x14ac:dyDescent="0.45">
      <c r="B130" t="s">
        <v>51</v>
      </c>
      <c r="C130" t="s">
        <v>47</v>
      </c>
      <c r="D130">
        <v>0</v>
      </c>
      <c r="E130" t="s">
        <v>6</v>
      </c>
      <c r="G130" t="s">
        <v>52</v>
      </c>
      <c r="H130" t="s">
        <v>47</v>
      </c>
      <c r="I130">
        <v>4.3118837023865375E-2</v>
      </c>
      <c r="J130" t="s">
        <v>6</v>
      </c>
      <c r="L130" t="s">
        <v>53</v>
      </c>
      <c r="M130" t="s">
        <v>47</v>
      </c>
      <c r="N130">
        <v>4.0879426469003902E-2</v>
      </c>
      <c r="O130" t="s">
        <v>6</v>
      </c>
    </row>
    <row r="131" spans="2:15" x14ac:dyDescent="0.45">
      <c r="B131" t="s">
        <v>54</v>
      </c>
      <c r="C131" t="s">
        <v>5</v>
      </c>
      <c r="D131">
        <v>0</v>
      </c>
      <c r="E131" t="s">
        <v>6</v>
      </c>
      <c r="G131" t="s">
        <v>55</v>
      </c>
      <c r="H131" t="s">
        <v>5</v>
      </c>
      <c r="I131">
        <v>5.9924066730057922E-2</v>
      </c>
      <c r="J131" t="s">
        <v>6</v>
      </c>
      <c r="L131" t="s">
        <v>56</v>
      </c>
      <c r="M131" t="s">
        <v>5</v>
      </c>
      <c r="N131">
        <v>5.0493463931604629E-2</v>
      </c>
      <c r="O131" t="s">
        <v>6</v>
      </c>
    </row>
    <row r="132" spans="2:15" x14ac:dyDescent="0.45">
      <c r="B132" t="s">
        <v>54</v>
      </c>
      <c r="C132" t="s">
        <v>9</v>
      </c>
      <c r="D132">
        <v>0</v>
      </c>
      <c r="E132" t="s">
        <v>6</v>
      </c>
      <c r="G132" t="s">
        <v>55</v>
      </c>
      <c r="H132" t="s">
        <v>9</v>
      </c>
      <c r="I132">
        <v>2.4129032334927848E-2</v>
      </c>
      <c r="J132" t="s">
        <v>6</v>
      </c>
      <c r="L132" t="s">
        <v>56</v>
      </c>
      <c r="M132" t="s">
        <v>9</v>
      </c>
      <c r="N132">
        <v>2.2038288025712269E-2</v>
      </c>
      <c r="O132" t="s">
        <v>6</v>
      </c>
    </row>
    <row r="133" spans="2:15" x14ac:dyDescent="0.45">
      <c r="B133" t="s">
        <v>54</v>
      </c>
      <c r="C133" t="s">
        <v>10</v>
      </c>
      <c r="D133">
        <v>0</v>
      </c>
      <c r="E133" t="s">
        <v>6</v>
      </c>
      <c r="G133" t="s">
        <v>55</v>
      </c>
      <c r="H133" t="s">
        <v>10</v>
      </c>
      <c r="I133">
        <v>2.3832723113956535E-2</v>
      </c>
      <c r="J133" t="s">
        <v>6</v>
      </c>
      <c r="L133" t="s">
        <v>56</v>
      </c>
      <c r="M133" t="s">
        <v>10</v>
      </c>
      <c r="N133">
        <v>2.2805230337436873E-2</v>
      </c>
      <c r="O133" t="s">
        <v>6</v>
      </c>
    </row>
    <row r="134" spans="2:15" x14ac:dyDescent="0.45">
      <c r="B134" t="s">
        <v>54</v>
      </c>
      <c r="C134" t="s">
        <v>11</v>
      </c>
      <c r="D134">
        <v>8.7978103618386594E-3</v>
      </c>
      <c r="E134" t="s">
        <v>6</v>
      </c>
      <c r="G134" t="s">
        <v>55</v>
      </c>
      <c r="H134" t="s">
        <v>11</v>
      </c>
      <c r="I134">
        <v>2.3631469339819942E-2</v>
      </c>
      <c r="J134" t="s">
        <v>6</v>
      </c>
      <c r="L134" t="s">
        <v>56</v>
      </c>
      <c r="M134" t="s">
        <v>11</v>
      </c>
      <c r="N134">
        <v>2.2086182864532154E-2</v>
      </c>
      <c r="O134" t="s">
        <v>6</v>
      </c>
    </row>
    <row r="135" spans="2:15" x14ac:dyDescent="0.45">
      <c r="B135" t="s">
        <v>54</v>
      </c>
      <c r="C135" t="s">
        <v>12</v>
      </c>
      <c r="D135">
        <v>3.6913688313391597E-2</v>
      </c>
      <c r="E135" t="s">
        <v>6</v>
      </c>
      <c r="G135" t="s">
        <v>55</v>
      </c>
      <c r="H135" t="s">
        <v>12</v>
      </c>
      <c r="I135">
        <v>2.2977011938649174E-2</v>
      </c>
      <c r="J135" t="s">
        <v>6</v>
      </c>
      <c r="L135" t="s">
        <v>56</v>
      </c>
      <c r="M135" t="s">
        <v>12</v>
      </c>
      <c r="N135">
        <v>2.2142779071507569E-2</v>
      </c>
      <c r="O135" t="s">
        <v>6</v>
      </c>
    </row>
    <row r="136" spans="2:15" x14ac:dyDescent="0.45">
      <c r="B136" t="s">
        <v>54</v>
      </c>
      <c r="C136" t="s">
        <v>13</v>
      </c>
      <c r="D136">
        <v>4.9081483505968512E-2</v>
      </c>
      <c r="E136" t="s">
        <v>6</v>
      </c>
      <c r="G136" t="s">
        <v>55</v>
      </c>
      <c r="H136" t="s">
        <v>13</v>
      </c>
      <c r="I136">
        <v>2.3176921749429386E-2</v>
      </c>
      <c r="J136" t="s">
        <v>6</v>
      </c>
      <c r="L136" t="s">
        <v>56</v>
      </c>
      <c r="M136" t="s">
        <v>13</v>
      </c>
      <c r="N136">
        <v>2.3294592023257552E-2</v>
      </c>
      <c r="O136" t="s">
        <v>6</v>
      </c>
    </row>
    <row r="137" spans="2:15" x14ac:dyDescent="0.45">
      <c r="B137" t="s">
        <v>54</v>
      </c>
      <c r="C137" t="s">
        <v>14</v>
      </c>
      <c r="D137">
        <v>3.7991062398785261E-2</v>
      </c>
      <c r="E137" t="s">
        <v>6</v>
      </c>
      <c r="G137" t="s">
        <v>55</v>
      </c>
      <c r="H137" t="s">
        <v>14</v>
      </c>
      <c r="I137">
        <v>2.3243757102037022E-2</v>
      </c>
      <c r="J137" t="s">
        <v>6</v>
      </c>
      <c r="L137" t="s">
        <v>56</v>
      </c>
      <c r="M137" t="s">
        <v>14</v>
      </c>
      <c r="N137">
        <v>2.3592131291956173E-2</v>
      </c>
      <c r="O137" t="s">
        <v>6</v>
      </c>
    </row>
    <row r="138" spans="2:15" x14ac:dyDescent="0.45">
      <c r="B138" t="s">
        <v>54</v>
      </c>
      <c r="C138" t="s">
        <v>15</v>
      </c>
      <c r="D138">
        <v>1.1889494417821164E-2</v>
      </c>
      <c r="E138" t="s">
        <v>6</v>
      </c>
      <c r="G138" t="s">
        <v>55</v>
      </c>
      <c r="H138" t="s">
        <v>15</v>
      </c>
      <c r="I138">
        <v>2.346075239122453E-2</v>
      </c>
      <c r="J138" t="s">
        <v>6</v>
      </c>
      <c r="L138" t="s">
        <v>56</v>
      </c>
      <c r="M138" t="s">
        <v>15</v>
      </c>
      <c r="N138">
        <v>2.2846750171139921E-2</v>
      </c>
      <c r="O138" t="s">
        <v>6</v>
      </c>
    </row>
    <row r="139" spans="2:15" x14ac:dyDescent="0.45">
      <c r="B139" t="s">
        <v>54</v>
      </c>
      <c r="C139" t="s">
        <v>16</v>
      </c>
      <c r="D139">
        <v>7.5880380402281545E-5</v>
      </c>
      <c r="E139" t="s">
        <v>6</v>
      </c>
      <c r="G139" t="s">
        <v>55</v>
      </c>
      <c r="H139" t="s">
        <v>16</v>
      </c>
      <c r="I139">
        <v>2.4179182492418735E-2</v>
      </c>
      <c r="J139" t="s">
        <v>6</v>
      </c>
      <c r="L139" t="s">
        <v>56</v>
      </c>
      <c r="M139" t="s">
        <v>16</v>
      </c>
      <c r="N139">
        <v>2.1686798464689835E-2</v>
      </c>
      <c r="O139" t="s">
        <v>6</v>
      </c>
    </row>
    <row r="140" spans="2:15" x14ac:dyDescent="0.45">
      <c r="B140" t="s">
        <v>54</v>
      </c>
      <c r="C140" t="s">
        <v>17</v>
      </c>
      <c r="D140">
        <v>0</v>
      </c>
      <c r="E140" t="s">
        <v>6</v>
      </c>
      <c r="G140" t="s">
        <v>55</v>
      </c>
      <c r="H140" t="s">
        <v>17</v>
      </c>
      <c r="I140">
        <v>3.6648283583018679E-2</v>
      </c>
      <c r="J140" t="s">
        <v>6</v>
      </c>
      <c r="L140" t="s">
        <v>56</v>
      </c>
      <c r="M140" t="s">
        <v>17</v>
      </c>
      <c r="N140">
        <v>2.970991603880432E-2</v>
      </c>
      <c r="O140" t="s">
        <v>6</v>
      </c>
    </row>
    <row r="141" spans="2:15" x14ac:dyDescent="0.45">
      <c r="B141" t="s">
        <v>54</v>
      </c>
      <c r="C141" t="s">
        <v>18</v>
      </c>
      <c r="D141">
        <v>0</v>
      </c>
      <c r="E141" t="s">
        <v>6</v>
      </c>
      <c r="G141" t="s">
        <v>55</v>
      </c>
      <c r="H141" t="s">
        <v>18</v>
      </c>
      <c r="I141">
        <v>5.5459410518031667E-2</v>
      </c>
      <c r="J141" t="s">
        <v>6</v>
      </c>
      <c r="L141" t="s">
        <v>56</v>
      </c>
      <c r="M141" t="s">
        <v>18</v>
      </c>
      <c r="N141">
        <v>6.6011383242504107E-2</v>
      </c>
      <c r="O141" t="s">
        <v>6</v>
      </c>
    </row>
    <row r="142" spans="2:15" x14ac:dyDescent="0.45">
      <c r="B142" t="s">
        <v>54</v>
      </c>
      <c r="C142" t="s">
        <v>19</v>
      </c>
      <c r="D142">
        <v>1.1145179138293206E-5</v>
      </c>
      <c r="E142" t="s">
        <v>6</v>
      </c>
      <c r="G142" t="s">
        <v>55</v>
      </c>
      <c r="H142" t="s">
        <v>19</v>
      </c>
      <c r="I142">
        <v>2.1805014472812842E-2</v>
      </c>
      <c r="J142" t="s">
        <v>6</v>
      </c>
      <c r="L142" t="s">
        <v>56</v>
      </c>
      <c r="M142" t="s">
        <v>19</v>
      </c>
      <c r="N142">
        <v>2.4498584574359702E-2</v>
      </c>
      <c r="O142" t="s">
        <v>6</v>
      </c>
    </row>
    <row r="143" spans="2:15" x14ac:dyDescent="0.45">
      <c r="B143" t="s">
        <v>54</v>
      </c>
      <c r="C143" t="s">
        <v>20</v>
      </c>
      <c r="D143">
        <v>5.6582797052084945E-3</v>
      </c>
      <c r="E143" t="s">
        <v>6</v>
      </c>
      <c r="G143" t="s">
        <v>55</v>
      </c>
      <c r="H143" t="s">
        <v>20</v>
      </c>
      <c r="I143">
        <v>2.1673235555410401E-2</v>
      </c>
      <c r="J143" t="s">
        <v>6</v>
      </c>
      <c r="L143" t="s">
        <v>56</v>
      </c>
      <c r="M143" t="s">
        <v>20</v>
      </c>
      <c r="N143">
        <v>2.5654572146397617E-2</v>
      </c>
      <c r="O143" t="s">
        <v>6</v>
      </c>
    </row>
    <row r="144" spans="2:15" x14ac:dyDescent="0.45">
      <c r="B144" t="s">
        <v>54</v>
      </c>
      <c r="C144" t="s">
        <v>21</v>
      </c>
      <c r="D144">
        <v>3.8316765720967684E-2</v>
      </c>
      <c r="E144" t="s">
        <v>6</v>
      </c>
      <c r="G144" t="s">
        <v>55</v>
      </c>
      <c r="H144" t="s">
        <v>21</v>
      </c>
      <c r="I144">
        <v>2.1503506549937448E-2</v>
      </c>
      <c r="J144" t="s">
        <v>6</v>
      </c>
      <c r="L144" t="s">
        <v>56</v>
      </c>
      <c r="M144" t="s">
        <v>21</v>
      </c>
      <c r="N144">
        <v>2.4791105755225567E-2</v>
      </c>
      <c r="O144" t="s">
        <v>6</v>
      </c>
    </row>
    <row r="145" spans="2:15" x14ac:dyDescent="0.45">
      <c r="B145" t="s">
        <v>54</v>
      </c>
      <c r="C145" t="s">
        <v>22</v>
      </c>
      <c r="D145">
        <v>6.9495690295038479E-2</v>
      </c>
      <c r="E145" t="s">
        <v>6</v>
      </c>
      <c r="G145" t="s">
        <v>55</v>
      </c>
      <c r="H145" t="s">
        <v>22</v>
      </c>
      <c r="I145">
        <v>2.0459912976073594E-2</v>
      </c>
      <c r="J145" t="s">
        <v>6</v>
      </c>
      <c r="L145" t="s">
        <v>56</v>
      </c>
      <c r="M145" t="s">
        <v>22</v>
      </c>
      <c r="N145">
        <v>2.5426204546103188E-2</v>
      </c>
      <c r="O145" t="s">
        <v>6</v>
      </c>
    </row>
    <row r="146" spans="2:15" x14ac:dyDescent="0.45">
      <c r="B146" t="s">
        <v>54</v>
      </c>
      <c r="C146" t="s">
        <v>23</v>
      </c>
      <c r="D146">
        <v>7.7363640444153461E-2</v>
      </c>
      <c r="E146" t="s">
        <v>6</v>
      </c>
      <c r="G146" t="s">
        <v>55</v>
      </c>
      <c r="H146" t="s">
        <v>23</v>
      </c>
      <c r="I146">
        <v>2.1130564176907226E-2</v>
      </c>
      <c r="J146" t="s">
        <v>6</v>
      </c>
      <c r="L146" t="s">
        <v>56</v>
      </c>
      <c r="M146" t="s">
        <v>23</v>
      </c>
      <c r="N146">
        <v>2.6599875327645593E-2</v>
      </c>
      <c r="O146" t="s">
        <v>6</v>
      </c>
    </row>
    <row r="147" spans="2:15" x14ac:dyDescent="0.45">
      <c r="B147" t="s">
        <v>54</v>
      </c>
      <c r="C147" t="s">
        <v>24</v>
      </c>
      <c r="D147">
        <v>6.4074542959705327E-2</v>
      </c>
      <c r="E147" t="s">
        <v>6</v>
      </c>
      <c r="G147" t="s">
        <v>55</v>
      </c>
      <c r="H147" t="s">
        <v>24</v>
      </c>
      <c r="I147">
        <v>2.2233728498966664E-2</v>
      </c>
      <c r="J147" t="s">
        <v>6</v>
      </c>
      <c r="L147" t="s">
        <v>56</v>
      </c>
      <c r="M147" t="s">
        <v>24</v>
      </c>
      <c r="N147">
        <v>2.6121492269393549E-2</v>
      </c>
      <c r="O147" t="s">
        <v>6</v>
      </c>
    </row>
    <row r="148" spans="2:15" x14ac:dyDescent="0.45">
      <c r="B148" t="s">
        <v>54</v>
      </c>
      <c r="C148" t="s">
        <v>25</v>
      </c>
      <c r="D148">
        <v>3.5755258360343635E-2</v>
      </c>
      <c r="E148" t="s">
        <v>6</v>
      </c>
      <c r="G148" t="s">
        <v>55</v>
      </c>
      <c r="H148" t="s">
        <v>25</v>
      </c>
      <c r="I148">
        <v>2.3042205083518313E-2</v>
      </c>
      <c r="J148" t="s">
        <v>6</v>
      </c>
      <c r="L148" t="s">
        <v>56</v>
      </c>
      <c r="M148" t="s">
        <v>25</v>
      </c>
      <c r="N148">
        <v>2.5820875883576906E-2</v>
      </c>
      <c r="O148" t="s">
        <v>6</v>
      </c>
    </row>
    <row r="149" spans="2:15" x14ac:dyDescent="0.45">
      <c r="B149" t="s">
        <v>54</v>
      </c>
      <c r="C149" t="s">
        <v>26</v>
      </c>
      <c r="D149">
        <v>6.1508254595735402E-3</v>
      </c>
      <c r="E149" t="s">
        <v>6</v>
      </c>
      <c r="G149" t="s">
        <v>55</v>
      </c>
      <c r="H149" t="s">
        <v>26</v>
      </c>
      <c r="I149">
        <v>2.3049383994007445E-2</v>
      </c>
      <c r="J149" t="s">
        <v>6</v>
      </c>
      <c r="L149" t="s">
        <v>56</v>
      </c>
      <c r="M149" t="s">
        <v>26</v>
      </c>
      <c r="N149">
        <v>2.5932930398168578E-2</v>
      </c>
      <c r="O149" t="s">
        <v>6</v>
      </c>
    </row>
    <row r="150" spans="2:15" x14ac:dyDescent="0.45">
      <c r="B150" t="s">
        <v>54</v>
      </c>
      <c r="C150" t="s">
        <v>27</v>
      </c>
      <c r="D150">
        <v>1.185480841312349E-5</v>
      </c>
      <c r="E150" t="s">
        <v>6</v>
      </c>
      <c r="G150" t="s">
        <v>55</v>
      </c>
      <c r="H150" t="s">
        <v>27</v>
      </c>
      <c r="I150">
        <v>3.4433357471796454E-2</v>
      </c>
      <c r="J150" t="s">
        <v>6</v>
      </c>
      <c r="L150" t="s">
        <v>56</v>
      </c>
      <c r="M150" t="s">
        <v>27</v>
      </c>
      <c r="N150">
        <v>3.9176215353684596E-2</v>
      </c>
      <c r="O150" t="s">
        <v>6</v>
      </c>
    </row>
    <row r="151" spans="2:15" x14ac:dyDescent="0.45">
      <c r="B151" t="s">
        <v>54</v>
      </c>
      <c r="C151" t="s">
        <v>28</v>
      </c>
      <c r="D151">
        <v>0</v>
      </c>
      <c r="E151" t="s">
        <v>6</v>
      </c>
      <c r="G151" t="s">
        <v>55</v>
      </c>
      <c r="H151" t="s">
        <v>28</v>
      </c>
      <c r="I151">
        <v>4.132576538598659E-2</v>
      </c>
      <c r="J151" t="s">
        <v>6</v>
      </c>
      <c r="L151" t="s">
        <v>56</v>
      </c>
      <c r="M151" t="s">
        <v>28</v>
      </c>
      <c r="N151">
        <v>2.1643092052542511E-2</v>
      </c>
      <c r="O151" t="s">
        <v>6</v>
      </c>
    </row>
    <row r="152" spans="2:15" x14ac:dyDescent="0.45">
      <c r="B152" t="s">
        <v>54</v>
      </c>
      <c r="C152" t="s">
        <v>29</v>
      </c>
      <c r="D152">
        <v>7.5744745592187029E-5</v>
      </c>
      <c r="E152" t="s">
        <v>6</v>
      </c>
      <c r="G152" t="s">
        <v>55</v>
      </c>
      <c r="H152" t="s">
        <v>29</v>
      </c>
      <c r="I152">
        <v>1.5467250594458378E-2</v>
      </c>
      <c r="J152" t="s">
        <v>6</v>
      </c>
      <c r="L152" t="s">
        <v>56</v>
      </c>
      <c r="M152" t="s">
        <v>29</v>
      </c>
      <c r="N152">
        <v>9.197451428971817E-3</v>
      </c>
      <c r="O152" t="s">
        <v>6</v>
      </c>
    </row>
    <row r="153" spans="2:15" x14ac:dyDescent="0.45">
      <c r="B153" t="s">
        <v>54</v>
      </c>
      <c r="C153" t="s">
        <v>30</v>
      </c>
      <c r="D153">
        <v>9.1487767411026887E-3</v>
      </c>
      <c r="E153" t="s">
        <v>6</v>
      </c>
      <c r="G153" t="s">
        <v>55</v>
      </c>
      <c r="H153" t="s">
        <v>30</v>
      </c>
      <c r="I153">
        <v>1.4749497940860447E-2</v>
      </c>
      <c r="J153" t="s">
        <v>6</v>
      </c>
      <c r="L153" t="s">
        <v>56</v>
      </c>
      <c r="M153" t="s">
        <v>30</v>
      </c>
      <c r="N153">
        <v>9.6960188347130164E-3</v>
      </c>
      <c r="O153" t="s">
        <v>6</v>
      </c>
    </row>
    <row r="154" spans="2:15" x14ac:dyDescent="0.45">
      <c r="B154" t="s">
        <v>54</v>
      </c>
      <c r="C154" t="s">
        <v>31</v>
      </c>
      <c r="D154">
        <v>4.5318137871552637E-2</v>
      </c>
      <c r="E154" t="s">
        <v>6</v>
      </c>
      <c r="G154" t="s">
        <v>55</v>
      </c>
      <c r="H154" t="s">
        <v>31</v>
      </c>
      <c r="I154">
        <v>1.413464732177159E-2</v>
      </c>
      <c r="J154" t="s">
        <v>6</v>
      </c>
      <c r="L154" t="s">
        <v>56</v>
      </c>
      <c r="M154" t="s">
        <v>31</v>
      </c>
      <c r="N154">
        <v>9.5974617147567779E-3</v>
      </c>
      <c r="O154" t="s">
        <v>6</v>
      </c>
    </row>
    <row r="155" spans="2:15" x14ac:dyDescent="0.45">
      <c r="B155" t="s">
        <v>54</v>
      </c>
      <c r="C155" t="s">
        <v>32</v>
      </c>
      <c r="D155">
        <v>7.6442528469969004E-2</v>
      </c>
      <c r="E155" t="s">
        <v>6</v>
      </c>
      <c r="G155" t="s">
        <v>55</v>
      </c>
      <c r="H155" t="s">
        <v>32</v>
      </c>
      <c r="I155">
        <v>1.3617629966041243E-2</v>
      </c>
      <c r="J155" t="s">
        <v>6</v>
      </c>
      <c r="L155" t="s">
        <v>56</v>
      </c>
      <c r="M155" t="s">
        <v>32</v>
      </c>
      <c r="N155">
        <v>9.5666723824815898E-3</v>
      </c>
      <c r="O155" t="s">
        <v>6</v>
      </c>
    </row>
    <row r="156" spans="2:15" x14ac:dyDescent="0.45">
      <c r="B156" t="s">
        <v>54</v>
      </c>
      <c r="C156" t="s">
        <v>33</v>
      </c>
      <c r="D156">
        <v>8.638157025199901E-2</v>
      </c>
      <c r="E156" t="s">
        <v>6</v>
      </c>
      <c r="G156" t="s">
        <v>55</v>
      </c>
      <c r="H156" t="s">
        <v>33</v>
      </c>
      <c r="I156">
        <v>1.5002031077368286E-2</v>
      </c>
      <c r="J156" t="s">
        <v>6</v>
      </c>
      <c r="L156" t="s">
        <v>56</v>
      </c>
      <c r="M156" t="s">
        <v>33</v>
      </c>
      <c r="N156">
        <v>8.6406700492210973E-3</v>
      </c>
      <c r="O156" t="s">
        <v>6</v>
      </c>
    </row>
    <row r="157" spans="2:15" x14ac:dyDescent="0.45">
      <c r="B157" t="s">
        <v>54</v>
      </c>
      <c r="C157" t="s">
        <v>34</v>
      </c>
      <c r="D157">
        <v>7.6361548025292089E-2</v>
      </c>
      <c r="E157" t="s">
        <v>6</v>
      </c>
      <c r="G157" t="s">
        <v>55</v>
      </c>
      <c r="H157" t="s">
        <v>34</v>
      </c>
      <c r="I157">
        <v>1.6479905666891292E-2</v>
      </c>
      <c r="J157" t="s">
        <v>6</v>
      </c>
      <c r="L157" t="s">
        <v>56</v>
      </c>
      <c r="M157" t="s">
        <v>34</v>
      </c>
      <c r="N157">
        <v>7.8933461941000874E-3</v>
      </c>
      <c r="O157" t="s">
        <v>6</v>
      </c>
    </row>
    <row r="158" spans="2:15" x14ac:dyDescent="0.45">
      <c r="B158" t="s">
        <v>54</v>
      </c>
      <c r="C158" t="s">
        <v>35</v>
      </c>
      <c r="D158">
        <v>4.8409368119172957E-2</v>
      </c>
      <c r="E158" t="s">
        <v>6</v>
      </c>
      <c r="G158" t="s">
        <v>55</v>
      </c>
      <c r="H158" t="s">
        <v>35</v>
      </c>
      <c r="I158">
        <v>1.7518051051670543E-2</v>
      </c>
      <c r="J158" t="s">
        <v>6</v>
      </c>
      <c r="L158" t="s">
        <v>56</v>
      </c>
      <c r="M158" t="s">
        <v>35</v>
      </c>
      <c r="N158">
        <v>7.879857880902565E-3</v>
      </c>
      <c r="O158" t="s">
        <v>6</v>
      </c>
    </row>
    <row r="159" spans="2:15" x14ac:dyDescent="0.45">
      <c r="B159" t="s">
        <v>54</v>
      </c>
      <c r="C159" t="s">
        <v>36</v>
      </c>
      <c r="D159">
        <v>1.1913046644614267E-2</v>
      </c>
      <c r="E159" t="s">
        <v>6</v>
      </c>
      <c r="G159" t="s">
        <v>55</v>
      </c>
      <c r="H159" t="s">
        <v>36</v>
      </c>
      <c r="I159">
        <v>1.7405881909955956E-2</v>
      </c>
      <c r="J159" t="s">
        <v>6</v>
      </c>
      <c r="L159" t="s">
        <v>56</v>
      </c>
      <c r="M159" t="s">
        <v>36</v>
      </c>
      <c r="N159">
        <v>8.566346801263185E-3</v>
      </c>
      <c r="O159" t="s">
        <v>6</v>
      </c>
    </row>
    <row r="160" spans="2:15" x14ac:dyDescent="0.45">
      <c r="B160" t="s">
        <v>54</v>
      </c>
      <c r="C160" t="s">
        <v>37</v>
      </c>
      <c r="D160">
        <v>2.0121823783829159E-4</v>
      </c>
      <c r="E160" t="s">
        <v>6</v>
      </c>
      <c r="G160" t="s">
        <v>55</v>
      </c>
      <c r="H160" t="s">
        <v>37</v>
      </c>
      <c r="I160">
        <v>2.5933315489739598E-2</v>
      </c>
      <c r="J160" t="s">
        <v>6</v>
      </c>
      <c r="L160" t="s">
        <v>56</v>
      </c>
      <c r="M160" t="s">
        <v>37</v>
      </c>
      <c r="N160">
        <v>1.3645445842503757E-2</v>
      </c>
      <c r="O160" t="s">
        <v>6</v>
      </c>
    </row>
    <row r="161" spans="2:15" x14ac:dyDescent="0.45">
      <c r="B161" t="s">
        <v>54</v>
      </c>
      <c r="C161" t="s">
        <v>38</v>
      </c>
      <c r="D161">
        <v>0</v>
      </c>
      <c r="E161" t="s">
        <v>6</v>
      </c>
      <c r="G161" t="s">
        <v>55</v>
      </c>
      <c r="H161" t="s">
        <v>38</v>
      </c>
      <c r="I161">
        <v>5.4928696548126134E-2</v>
      </c>
      <c r="J161" t="s">
        <v>6</v>
      </c>
      <c r="L161" t="s">
        <v>56</v>
      </c>
      <c r="M161" t="s">
        <v>38</v>
      </c>
      <c r="N161">
        <v>6.3081245741751113E-2</v>
      </c>
      <c r="O161" t="s">
        <v>6</v>
      </c>
    </row>
    <row r="162" spans="2:15" x14ac:dyDescent="0.45">
      <c r="B162" t="s">
        <v>54</v>
      </c>
      <c r="C162" t="s">
        <v>39</v>
      </c>
      <c r="D162">
        <v>0</v>
      </c>
      <c r="E162" t="s">
        <v>6</v>
      </c>
      <c r="G162" t="s">
        <v>55</v>
      </c>
      <c r="H162" t="s">
        <v>39</v>
      </c>
      <c r="I162">
        <v>2.1573211304829015E-2</v>
      </c>
      <c r="J162" t="s">
        <v>6</v>
      </c>
      <c r="L162" t="s">
        <v>56</v>
      </c>
      <c r="M162" t="s">
        <v>39</v>
      </c>
      <c r="N162">
        <v>2.5117486709527348E-2</v>
      </c>
      <c r="O162" t="s">
        <v>6</v>
      </c>
    </row>
    <row r="163" spans="2:15" x14ac:dyDescent="0.45">
      <c r="B163" t="s">
        <v>54</v>
      </c>
      <c r="C163" t="s">
        <v>40</v>
      </c>
      <c r="D163">
        <v>1.2506289252079928E-3</v>
      </c>
      <c r="E163" t="s">
        <v>6</v>
      </c>
      <c r="G163" t="s">
        <v>55</v>
      </c>
      <c r="H163" t="s">
        <v>40</v>
      </c>
      <c r="I163">
        <v>2.1072694981123977E-2</v>
      </c>
      <c r="J163" t="s">
        <v>6</v>
      </c>
      <c r="L163" t="s">
        <v>56</v>
      </c>
      <c r="M163" t="s">
        <v>40</v>
      </c>
      <c r="N163">
        <v>2.4804302288582894E-2</v>
      </c>
      <c r="O163" t="s">
        <v>6</v>
      </c>
    </row>
    <row r="164" spans="2:15" x14ac:dyDescent="0.45">
      <c r="B164" t="s">
        <v>54</v>
      </c>
      <c r="C164" t="s">
        <v>41</v>
      </c>
      <c r="D164">
        <v>2.2906707890569467E-2</v>
      </c>
      <c r="E164" t="s">
        <v>6</v>
      </c>
      <c r="G164" t="s">
        <v>55</v>
      </c>
      <c r="H164" t="s">
        <v>41</v>
      </c>
      <c r="I164">
        <v>2.1241110911454929E-2</v>
      </c>
      <c r="J164" t="s">
        <v>6</v>
      </c>
      <c r="L164" t="s">
        <v>56</v>
      </c>
      <c r="M164" t="s">
        <v>41</v>
      </c>
      <c r="N164">
        <v>2.4895643218734619E-2</v>
      </c>
      <c r="O164" t="s">
        <v>6</v>
      </c>
    </row>
    <row r="165" spans="2:15" x14ac:dyDescent="0.45">
      <c r="B165" t="s">
        <v>54</v>
      </c>
      <c r="C165" t="s">
        <v>42</v>
      </c>
      <c r="D165">
        <v>5.2966585979585312E-2</v>
      </c>
      <c r="E165" t="s">
        <v>6</v>
      </c>
      <c r="G165" t="s">
        <v>55</v>
      </c>
      <c r="H165" t="s">
        <v>42</v>
      </c>
      <c r="I165">
        <v>2.099722147495392E-2</v>
      </c>
      <c r="J165" t="s">
        <v>6</v>
      </c>
      <c r="L165" t="s">
        <v>56</v>
      </c>
      <c r="M165" t="s">
        <v>42</v>
      </c>
      <c r="N165">
        <v>2.5675471897935998E-2</v>
      </c>
      <c r="O165" t="s">
        <v>6</v>
      </c>
    </row>
    <row r="166" spans="2:15" x14ac:dyDescent="0.45">
      <c r="B166" t="s">
        <v>54</v>
      </c>
      <c r="C166" t="s">
        <v>43</v>
      </c>
      <c r="D166">
        <v>6.0614102892892194E-2</v>
      </c>
      <c r="E166" t="s">
        <v>6</v>
      </c>
      <c r="G166" t="s">
        <v>55</v>
      </c>
      <c r="H166" t="s">
        <v>43</v>
      </c>
      <c r="I166">
        <v>2.1287646128161985E-2</v>
      </c>
      <c r="J166" t="s">
        <v>6</v>
      </c>
      <c r="L166" t="s">
        <v>56</v>
      </c>
      <c r="M166" t="s">
        <v>43</v>
      </c>
      <c r="N166">
        <v>2.7785611542988076E-2</v>
      </c>
      <c r="O166" t="s">
        <v>6</v>
      </c>
    </row>
    <row r="167" spans="2:15" x14ac:dyDescent="0.45">
      <c r="B167" t="s">
        <v>54</v>
      </c>
      <c r="C167" t="s">
        <v>44</v>
      </c>
      <c r="D167">
        <v>4.7193157694115605E-2</v>
      </c>
      <c r="E167" t="s">
        <v>6</v>
      </c>
      <c r="G167" t="s">
        <v>55</v>
      </c>
      <c r="H167" t="s">
        <v>44</v>
      </c>
      <c r="I167">
        <v>2.1574124463603014E-2</v>
      </c>
      <c r="J167" t="s">
        <v>6</v>
      </c>
      <c r="L167" t="s">
        <v>56</v>
      </c>
      <c r="M167" t="s">
        <v>44</v>
      </c>
      <c r="N167">
        <v>2.9370089105453832E-2</v>
      </c>
      <c r="O167" t="s">
        <v>6</v>
      </c>
    </row>
    <row r="168" spans="2:15" x14ac:dyDescent="0.45">
      <c r="B168" t="s">
        <v>54</v>
      </c>
      <c r="C168" t="s">
        <v>45</v>
      </c>
      <c r="D168">
        <v>1.8257119296338192E-2</v>
      </c>
      <c r="E168" t="s">
        <v>6</v>
      </c>
      <c r="G168" t="s">
        <v>55</v>
      </c>
      <c r="H168" t="s">
        <v>45</v>
      </c>
      <c r="I168">
        <v>2.1536985811396799E-2</v>
      </c>
      <c r="J168" t="s">
        <v>6</v>
      </c>
      <c r="L168" t="s">
        <v>56</v>
      </c>
      <c r="M168" t="s">
        <v>45</v>
      </c>
      <c r="N168">
        <v>2.9697989072261375E-2</v>
      </c>
      <c r="O168" t="s">
        <v>6</v>
      </c>
    </row>
    <row r="169" spans="2:15" x14ac:dyDescent="0.45">
      <c r="B169" t="s">
        <v>54</v>
      </c>
      <c r="C169" t="s">
        <v>46</v>
      </c>
      <c r="D169">
        <v>9.7233590340527057E-4</v>
      </c>
      <c r="E169" t="s">
        <v>6</v>
      </c>
      <c r="G169" t="s">
        <v>55</v>
      </c>
      <c r="H169" t="s">
        <v>46</v>
      </c>
      <c r="I169">
        <v>2.1591249274855853E-2</v>
      </c>
      <c r="J169" t="s">
        <v>6</v>
      </c>
      <c r="L169" t="s">
        <v>56</v>
      </c>
      <c r="M169" t="s">
        <v>46</v>
      </c>
      <c r="N169">
        <v>2.9619253290959349E-2</v>
      </c>
      <c r="O169" t="s">
        <v>6</v>
      </c>
    </row>
    <row r="170" spans="2:15" x14ac:dyDescent="0.45">
      <c r="B170" t="s">
        <v>54</v>
      </c>
      <c r="C170" t="s">
        <v>47</v>
      </c>
      <c r="D170">
        <v>0</v>
      </c>
      <c r="E170" t="s">
        <v>6</v>
      </c>
      <c r="G170" t="s">
        <v>55</v>
      </c>
      <c r="H170" t="s">
        <v>47</v>
      </c>
      <c r="I170">
        <v>3.256956262374789E-2</v>
      </c>
      <c r="J170" t="s">
        <v>6</v>
      </c>
      <c r="L170" t="s">
        <v>56</v>
      </c>
      <c r="M170" t="s">
        <v>47</v>
      </c>
      <c r="N170">
        <v>4.2897172232648273E-2</v>
      </c>
      <c r="O170" t="s">
        <v>6</v>
      </c>
    </row>
    <row r="171" spans="2:15" x14ac:dyDescent="0.45">
      <c r="B171" t="s">
        <v>57</v>
      </c>
      <c r="C171" t="s">
        <v>5</v>
      </c>
      <c r="D171">
        <v>0</v>
      </c>
      <c r="E171" t="s">
        <v>6</v>
      </c>
      <c r="G171" t="s">
        <v>58</v>
      </c>
      <c r="H171" t="s">
        <v>5</v>
      </c>
      <c r="I171">
        <v>6.3384302472451859E-2</v>
      </c>
      <c r="J171" t="s">
        <v>6</v>
      </c>
      <c r="L171" t="s">
        <v>59</v>
      </c>
      <c r="M171" t="s">
        <v>5</v>
      </c>
      <c r="N171">
        <v>5.4859135815754384E-2</v>
      </c>
      <c r="O171" t="s">
        <v>6</v>
      </c>
    </row>
    <row r="172" spans="2:15" x14ac:dyDescent="0.45">
      <c r="B172" t="s">
        <v>57</v>
      </c>
      <c r="C172" t="s">
        <v>9</v>
      </c>
      <c r="D172">
        <v>0</v>
      </c>
      <c r="E172" t="s">
        <v>6</v>
      </c>
      <c r="G172" t="s">
        <v>58</v>
      </c>
      <c r="H172" t="s">
        <v>9</v>
      </c>
      <c r="I172">
        <v>2.5420245765161376E-2</v>
      </c>
      <c r="J172" t="s">
        <v>6</v>
      </c>
      <c r="L172" t="s">
        <v>59</v>
      </c>
      <c r="M172" t="s">
        <v>9</v>
      </c>
      <c r="N172">
        <v>2.2351992670240666E-2</v>
      </c>
      <c r="O172" t="s">
        <v>6</v>
      </c>
    </row>
    <row r="173" spans="2:15" x14ac:dyDescent="0.45">
      <c r="B173" t="s">
        <v>57</v>
      </c>
      <c r="C173" t="s">
        <v>10</v>
      </c>
      <c r="D173">
        <v>0</v>
      </c>
      <c r="E173" t="s">
        <v>6</v>
      </c>
      <c r="G173" t="s">
        <v>58</v>
      </c>
      <c r="H173" t="s">
        <v>10</v>
      </c>
      <c r="I173">
        <v>2.5176218342955976E-2</v>
      </c>
      <c r="J173" t="s">
        <v>6</v>
      </c>
      <c r="L173" t="s">
        <v>59</v>
      </c>
      <c r="M173" t="s">
        <v>10</v>
      </c>
      <c r="N173">
        <v>2.2197954068287902E-2</v>
      </c>
      <c r="O173" t="s">
        <v>6</v>
      </c>
    </row>
    <row r="174" spans="2:15" x14ac:dyDescent="0.45">
      <c r="B174" t="s">
        <v>57</v>
      </c>
      <c r="C174" t="s">
        <v>11</v>
      </c>
      <c r="D174">
        <v>9.2114664451410106E-3</v>
      </c>
      <c r="E174" t="s">
        <v>6</v>
      </c>
      <c r="G174" t="s">
        <v>58</v>
      </c>
      <c r="H174" t="s">
        <v>11</v>
      </c>
      <c r="I174">
        <v>2.4551050688931413E-2</v>
      </c>
      <c r="J174" t="s">
        <v>6</v>
      </c>
      <c r="L174" t="s">
        <v>59</v>
      </c>
      <c r="M174" t="s">
        <v>11</v>
      </c>
      <c r="N174">
        <v>2.1180012724217729E-2</v>
      </c>
      <c r="O174" t="s">
        <v>6</v>
      </c>
    </row>
    <row r="175" spans="2:15" x14ac:dyDescent="0.45">
      <c r="B175" t="s">
        <v>57</v>
      </c>
      <c r="C175" t="s">
        <v>12</v>
      </c>
      <c r="D175">
        <v>3.5211346965434674E-2</v>
      </c>
      <c r="E175" t="s">
        <v>6</v>
      </c>
      <c r="G175" t="s">
        <v>58</v>
      </c>
      <c r="H175" t="s">
        <v>12</v>
      </c>
      <c r="I175">
        <v>2.2325361317663526E-2</v>
      </c>
      <c r="J175" t="s">
        <v>6</v>
      </c>
      <c r="L175" t="s">
        <v>59</v>
      </c>
      <c r="M175" t="s">
        <v>12</v>
      </c>
      <c r="N175">
        <v>2.0786968964445582E-2</v>
      </c>
      <c r="O175" t="s">
        <v>6</v>
      </c>
    </row>
    <row r="176" spans="2:15" x14ac:dyDescent="0.45">
      <c r="B176" t="s">
        <v>57</v>
      </c>
      <c r="C176" t="s">
        <v>13</v>
      </c>
      <c r="D176">
        <v>4.6035372961951718E-2</v>
      </c>
      <c r="E176" t="s">
        <v>6</v>
      </c>
      <c r="G176" t="s">
        <v>58</v>
      </c>
      <c r="H176" t="s">
        <v>13</v>
      </c>
      <c r="I176">
        <v>2.2847575956231238E-2</v>
      </c>
      <c r="J176" t="s">
        <v>6</v>
      </c>
      <c r="L176" t="s">
        <v>59</v>
      </c>
      <c r="M176" t="s">
        <v>13</v>
      </c>
      <c r="N176">
        <v>2.180498286825196E-2</v>
      </c>
      <c r="O176" t="s">
        <v>6</v>
      </c>
    </row>
    <row r="177" spans="2:15" x14ac:dyDescent="0.45">
      <c r="B177" t="s">
        <v>57</v>
      </c>
      <c r="C177" t="s">
        <v>14</v>
      </c>
      <c r="D177">
        <v>3.5601190212749018E-2</v>
      </c>
      <c r="E177" t="s">
        <v>6</v>
      </c>
      <c r="G177" t="s">
        <v>58</v>
      </c>
      <c r="H177" t="s">
        <v>14</v>
      </c>
      <c r="I177">
        <v>2.3317614453905431E-2</v>
      </c>
      <c r="J177" t="s">
        <v>6</v>
      </c>
      <c r="L177" t="s">
        <v>59</v>
      </c>
      <c r="M177" t="s">
        <v>14</v>
      </c>
      <c r="N177">
        <v>2.2685079766287967E-2</v>
      </c>
      <c r="O177" t="s">
        <v>6</v>
      </c>
    </row>
    <row r="178" spans="2:15" x14ac:dyDescent="0.45">
      <c r="B178" t="s">
        <v>57</v>
      </c>
      <c r="C178" t="s">
        <v>15</v>
      </c>
      <c r="D178">
        <v>9.4946103750249283E-3</v>
      </c>
      <c r="E178" t="s">
        <v>6</v>
      </c>
      <c r="G178" t="s">
        <v>58</v>
      </c>
      <c r="H178" t="s">
        <v>15</v>
      </c>
      <c r="I178">
        <v>2.3627614699594433E-2</v>
      </c>
      <c r="J178" t="s">
        <v>6</v>
      </c>
      <c r="L178" t="s">
        <v>59</v>
      </c>
      <c r="M178" t="s">
        <v>15</v>
      </c>
      <c r="N178">
        <v>2.3507963448077037E-2</v>
      </c>
      <c r="O178" t="s">
        <v>6</v>
      </c>
    </row>
    <row r="179" spans="2:15" x14ac:dyDescent="0.45">
      <c r="B179" t="s">
        <v>57</v>
      </c>
      <c r="C179" t="s">
        <v>16</v>
      </c>
      <c r="D179">
        <v>0</v>
      </c>
      <c r="E179" t="s">
        <v>6</v>
      </c>
      <c r="G179" t="s">
        <v>58</v>
      </c>
      <c r="H179" t="s">
        <v>16</v>
      </c>
      <c r="I179">
        <v>2.4949566979339591E-2</v>
      </c>
      <c r="J179" t="s">
        <v>6</v>
      </c>
      <c r="L179" t="s">
        <v>59</v>
      </c>
      <c r="M179" t="s">
        <v>16</v>
      </c>
      <c r="N179">
        <v>2.2950252009133244E-2</v>
      </c>
      <c r="O179" t="s">
        <v>6</v>
      </c>
    </row>
    <row r="180" spans="2:15" x14ac:dyDescent="0.45">
      <c r="B180" t="s">
        <v>57</v>
      </c>
      <c r="C180" t="s">
        <v>17</v>
      </c>
      <c r="D180">
        <v>0</v>
      </c>
      <c r="E180" t="s">
        <v>6</v>
      </c>
      <c r="G180" t="s">
        <v>58</v>
      </c>
      <c r="H180" t="s">
        <v>17</v>
      </c>
      <c r="I180">
        <v>3.8640992147452875E-2</v>
      </c>
      <c r="J180" t="s">
        <v>6</v>
      </c>
      <c r="L180" t="s">
        <v>59</v>
      </c>
      <c r="M180" t="s">
        <v>17</v>
      </c>
      <c r="N180">
        <v>3.368243373892401E-2</v>
      </c>
      <c r="O180" t="s">
        <v>6</v>
      </c>
    </row>
    <row r="181" spans="2:15" x14ac:dyDescent="0.45">
      <c r="B181" t="s">
        <v>57</v>
      </c>
      <c r="C181" t="s">
        <v>18</v>
      </c>
      <c r="D181">
        <v>0</v>
      </c>
      <c r="E181" t="s">
        <v>6</v>
      </c>
      <c r="G181" t="s">
        <v>58</v>
      </c>
      <c r="H181" t="s">
        <v>18</v>
      </c>
      <c r="I181">
        <v>5.4635558813807536E-2</v>
      </c>
      <c r="J181" t="s">
        <v>6</v>
      </c>
      <c r="L181" t="s">
        <v>59</v>
      </c>
      <c r="M181" t="s">
        <v>18</v>
      </c>
      <c r="N181">
        <v>5.6959343263539013E-2</v>
      </c>
      <c r="O181" t="s">
        <v>6</v>
      </c>
    </row>
    <row r="182" spans="2:15" x14ac:dyDescent="0.45">
      <c r="B182" t="s">
        <v>57</v>
      </c>
      <c r="C182" t="s">
        <v>19</v>
      </c>
      <c r="D182">
        <v>4.3804202740292215E-5</v>
      </c>
      <c r="E182" t="s">
        <v>6</v>
      </c>
      <c r="G182" t="s">
        <v>58</v>
      </c>
      <c r="H182" t="s">
        <v>19</v>
      </c>
      <c r="I182">
        <v>2.1359671577110287E-2</v>
      </c>
      <c r="J182" t="s">
        <v>6</v>
      </c>
      <c r="L182" t="s">
        <v>59</v>
      </c>
      <c r="M182" t="s">
        <v>19</v>
      </c>
      <c r="N182">
        <v>2.2601910298043419E-2</v>
      </c>
      <c r="O182" t="s">
        <v>6</v>
      </c>
    </row>
    <row r="183" spans="2:15" x14ac:dyDescent="0.45">
      <c r="B183" t="s">
        <v>57</v>
      </c>
      <c r="C183" t="s">
        <v>20</v>
      </c>
      <c r="D183">
        <v>7.1415114644517051E-3</v>
      </c>
      <c r="E183" t="s">
        <v>6</v>
      </c>
      <c r="G183" t="s">
        <v>58</v>
      </c>
      <c r="H183" t="s">
        <v>20</v>
      </c>
      <c r="I183">
        <v>2.0861694239137557E-2</v>
      </c>
      <c r="J183" t="s">
        <v>6</v>
      </c>
      <c r="L183" t="s">
        <v>59</v>
      </c>
      <c r="M183" t="s">
        <v>20</v>
      </c>
      <c r="N183">
        <v>2.309587509081797E-2</v>
      </c>
      <c r="O183" t="s">
        <v>6</v>
      </c>
    </row>
    <row r="184" spans="2:15" x14ac:dyDescent="0.45">
      <c r="B184" t="s">
        <v>57</v>
      </c>
      <c r="C184" t="s">
        <v>21</v>
      </c>
      <c r="D184">
        <v>4.147256739570012E-2</v>
      </c>
      <c r="E184" t="s">
        <v>6</v>
      </c>
      <c r="G184" t="s">
        <v>58</v>
      </c>
      <c r="H184" t="s">
        <v>21</v>
      </c>
      <c r="I184">
        <v>2.041029972903826E-2</v>
      </c>
      <c r="J184" t="s">
        <v>6</v>
      </c>
      <c r="L184" t="s">
        <v>59</v>
      </c>
      <c r="M184" t="s">
        <v>21</v>
      </c>
      <c r="N184">
        <v>2.3721916603028862E-2</v>
      </c>
      <c r="O184" t="s">
        <v>6</v>
      </c>
    </row>
    <row r="185" spans="2:15" x14ac:dyDescent="0.45">
      <c r="B185" t="s">
        <v>57</v>
      </c>
      <c r="C185" t="s">
        <v>22</v>
      </c>
      <c r="D185">
        <v>7.1420966357413934E-2</v>
      </c>
      <c r="E185" t="s">
        <v>6</v>
      </c>
      <c r="G185" t="s">
        <v>58</v>
      </c>
      <c r="H185" t="s">
        <v>22</v>
      </c>
      <c r="I185">
        <v>1.8438448373593482E-2</v>
      </c>
      <c r="J185" t="s">
        <v>6</v>
      </c>
      <c r="L185" t="s">
        <v>59</v>
      </c>
      <c r="M185" t="s">
        <v>22</v>
      </c>
      <c r="N185">
        <v>2.5153325966603343E-2</v>
      </c>
      <c r="O185" t="s">
        <v>6</v>
      </c>
    </row>
    <row r="186" spans="2:15" x14ac:dyDescent="0.45">
      <c r="B186" t="s">
        <v>57</v>
      </c>
      <c r="C186" t="s">
        <v>23</v>
      </c>
      <c r="D186">
        <v>7.7335009256293122E-2</v>
      </c>
      <c r="E186" t="s">
        <v>6</v>
      </c>
      <c r="G186" t="s">
        <v>58</v>
      </c>
      <c r="H186" t="s">
        <v>23</v>
      </c>
      <c r="I186">
        <v>2.0182835392021533E-2</v>
      </c>
      <c r="J186" t="s">
        <v>6</v>
      </c>
      <c r="L186" t="s">
        <v>59</v>
      </c>
      <c r="M186" t="s">
        <v>23</v>
      </c>
      <c r="N186">
        <v>2.7802635711812743E-2</v>
      </c>
      <c r="O186" t="s">
        <v>6</v>
      </c>
    </row>
    <row r="187" spans="2:15" x14ac:dyDescent="0.45">
      <c r="B187" t="s">
        <v>57</v>
      </c>
      <c r="C187" t="s">
        <v>24</v>
      </c>
      <c r="D187">
        <v>6.1859519380454607E-2</v>
      </c>
      <c r="E187" t="s">
        <v>6</v>
      </c>
      <c r="G187" t="s">
        <v>58</v>
      </c>
      <c r="H187" t="s">
        <v>24</v>
      </c>
      <c r="I187">
        <v>2.1830386260412352E-2</v>
      </c>
      <c r="J187" t="s">
        <v>6</v>
      </c>
      <c r="L187" t="s">
        <v>59</v>
      </c>
      <c r="M187" t="s">
        <v>24</v>
      </c>
      <c r="N187">
        <v>2.9482449528206545E-2</v>
      </c>
      <c r="O187" t="s">
        <v>6</v>
      </c>
    </row>
    <row r="188" spans="2:15" x14ac:dyDescent="0.45">
      <c r="B188" t="s">
        <v>57</v>
      </c>
      <c r="C188" t="s">
        <v>25</v>
      </c>
      <c r="D188">
        <v>3.2103616145222343E-2</v>
      </c>
      <c r="E188" t="s">
        <v>6</v>
      </c>
      <c r="G188" t="s">
        <v>58</v>
      </c>
      <c r="H188" t="s">
        <v>25</v>
      </c>
      <c r="I188">
        <v>2.2339908750688663E-2</v>
      </c>
      <c r="J188" t="s">
        <v>6</v>
      </c>
      <c r="L188" t="s">
        <v>59</v>
      </c>
      <c r="M188" t="s">
        <v>25</v>
      </c>
      <c r="N188">
        <v>2.9396324005395897E-2</v>
      </c>
      <c r="O188" t="s">
        <v>6</v>
      </c>
    </row>
    <row r="189" spans="2:15" x14ac:dyDescent="0.45">
      <c r="B189" t="s">
        <v>57</v>
      </c>
      <c r="C189" t="s">
        <v>26</v>
      </c>
      <c r="D189">
        <v>4.712012087471921E-3</v>
      </c>
      <c r="E189" t="s">
        <v>6</v>
      </c>
      <c r="G189" t="s">
        <v>58</v>
      </c>
      <c r="H189" t="s">
        <v>26</v>
      </c>
      <c r="I189">
        <v>2.2189972714711508E-2</v>
      </c>
      <c r="J189" t="s">
        <v>6</v>
      </c>
      <c r="L189" t="s">
        <v>59</v>
      </c>
      <c r="M189" t="s">
        <v>26</v>
      </c>
      <c r="N189">
        <v>2.8197582574296883E-2</v>
      </c>
      <c r="O189" t="s">
        <v>6</v>
      </c>
    </row>
    <row r="190" spans="2:15" x14ac:dyDescent="0.45">
      <c r="B190" t="s">
        <v>57</v>
      </c>
      <c r="C190" t="s">
        <v>27</v>
      </c>
      <c r="D190">
        <v>4.697624626930597E-7</v>
      </c>
      <c r="E190" t="s">
        <v>6</v>
      </c>
      <c r="G190" t="s">
        <v>58</v>
      </c>
      <c r="H190" t="s">
        <v>27</v>
      </c>
      <c r="I190">
        <v>3.3919650444707371E-2</v>
      </c>
      <c r="J190" t="s">
        <v>6</v>
      </c>
      <c r="L190" t="s">
        <v>59</v>
      </c>
      <c r="M190" t="s">
        <v>27</v>
      </c>
      <c r="N190">
        <v>3.7756362564142408E-2</v>
      </c>
      <c r="O190" t="s">
        <v>6</v>
      </c>
    </row>
    <row r="191" spans="2:15" x14ac:dyDescent="0.45">
      <c r="B191" t="s">
        <v>57</v>
      </c>
      <c r="C191" t="s">
        <v>28</v>
      </c>
      <c r="D191">
        <v>0</v>
      </c>
      <c r="E191" t="s">
        <v>6</v>
      </c>
      <c r="G191" t="s">
        <v>58</v>
      </c>
      <c r="H191" t="s">
        <v>28</v>
      </c>
      <c r="I191">
        <v>4.0873041190751469E-2</v>
      </c>
      <c r="J191" t="s">
        <v>6</v>
      </c>
      <c r="L191" t="s">
        <v>59</v>
      </c>
      <c r="M191" t="s">
        <v>28</v>
      </c>
      <c r="N191">
        <v>3.0565027066819878E-2</v>
      </c>
      <c r="O191" t="s">
        <v>6</v>
      </c>
    </row>
    <row r="192" spans="2:15" x14ac:dyDescent="0.45">
      <c r="B192" t="s">
        <v>57</v>
      </c>
      <c r="C192" t="s">
        <v>29</v>
      </c>
      <c r="D192">
        <v>2.3025023498235994E-4</v>
      </c>
      <c r="E192" t="s">
        <v>6</v>
      </c>
      <c r="G192" t="s">
        <v>58</v>
      </c>
      <c r="H192" t="s">
        <v>29</v>
      </c>
      <c r="I192">
        <v>1.5080109874775694E-2</v>
      </c>
      <c r="J192" t="s">
        <v>6</v>
      </c>
      <c r="L192" t="s">
        <v>59</v>
      </c>
      <c r="M192" t="s">
        <v>29</v>
      </c>
      <c r="N192">
        <v>1.0159042497581814E-2</v>
      </c>
      <c r="O192" t="s">
        <v>6</v>
      </c>
    </row>
    <row r="193" spans="2:15" x14ac:dyDescent="0.45">
      <c r="B193" t="s">
        <v>57</v>
      </c>
      <c r="C193" t="s">
        <v>30</v>
      </c>
      <c r="D193">
        <v>1.2137025228013422E-2</v>
      </c>
      <c r="E193" t="s">
        <v>6</v>
      </c>
      <c r="G193" t="s">
        <v>58</v>
      </c>
      <c r="H193" t="s">
        <v>30</v>
      </c>
      <c r="I193">
        <v>1.313382094679586E-2</v>
      </c>
      <c r="J193" t="s">
        <v>6</v>
      </c>
      <c r="L193" t="s">
        <v>59</v>
      </c>
      <c r="M193" t="s">
        <v>30</v>
      </c>
      <c r="N193">
        <v>9.986929390404355E-3</v>
      </c>
      <c r="O193" t="s">
        <v>6</v>
      </c>
    </row>
    <row r="194" spans="2:15" x14ac:dyDescent="0.45">
      <c r="B194" t="s">
        <v>57</v>
      </c>
      <c r="C194" t="s">
        <v>31</v>
      </c>
      <c r="D194">
        <v>5.269214603060008E-2</v>
      </c>
      <c r="E194" t="s">
        <v>6</v>
      </c>
      <c r="G194" t="s">
        <v>58</v>
      </c>
      <c r="H194" t="s">
        <v>31</v>
      </c>
      <c r="I194">
        <v>1.1669272532559337E-2</v>
      </c>
      <c r="J194" t="s">
        <v>6</v>
      </c>
      <c r="L194" t="s">
        <v>59</v>
      </c>
      <c r="M194" t="s">
        <v>31</v>
      </c>
      <c r="N194">
        <v>1.0003185899209744E-2</v>
      </c>
      <c r="O194" t="s">
        <v>6</v>
      </c>
    </row>
    <row r="195" spans="2:15" x14ac:dyDescent="0.45">
      <c r="B195" t="s">
        <v>57</v>
      </c>
      <c r="C195" t="s">
        <v>32</v>
      </c>
      <c r="D195">
        <v>8.4378977999953711E-2</v>
      </c>
      <c r="E195" t="s">
        <v>6</v>
      </c>
      <c r="G195" t="s">
        <v>58</v>
      </c>
      <c r="H195" t="s">
        <v>32</v>
      </c>
      <c r="I195">
        <v>1.1832466523212806E-2</v>
      </c>
      <c r="J195" t="s">
        <v>6</v>
      </c>
      <c r="L195" t="s">
        <v>59</v>
      </c>
      <c r="M195" t="s">
        <v>32</v>
      </c>
      <c r="N195">
        <v>1.1233663222526389E-2</v>
      </c>
      <c r="O195" t="s">
        <v>6</v>
      </c>
    </row>
    <row r="196" spans="2:15" x14ac:dyDescent="0.45">
      <c r="B196" t="s">
        <v>57</v>
      </c>
      <c r="C196" t="s">
        <v>33</v>
      </c>
      <c r="D196">
        <v>9.1900765123114847E-2</v>
      </c>
      <c r="E196" t="s">
        <v>6</v>
      </c>
      <c r="G196" t="s">
        <v>58</v>
      </c>
      <c r="H196" t="s">
        <v>33</v>
      </c>
      <c r="I196">
        <v>1.4001548886222676E-2</v>
      </c>
      <c r="J196" t="s">
        <v>6</v>
      </c>
      <c r="L196" t="s">
        <v>59</v>
      </c>
      <c r="M196" t="s">
        <v>33</v>
      </c>
      <c r="N196">
        <v>1.3511516471389097E-2</v>
      </c>
      <c r="O196" t="s">
        <v>6</v>
      </c>
    </row>
    <row r="197" spans="2:15" x14ac:dyDescent="0.45">
      <c r="B197" t="s">
        <v>57</v>
      </c>
      <c r="C197" t="s">
        <v>34</v>
      </c>
      <c r="D197">
        <v>7.6485770914238374E-2</v>
      </c>
      <c r="E197" t="s">
        <v>6</v>
      </c>
      <c r="G197" t="s">
        <v>58</v>
      </c>
      <c r="H197" t="s">
        <v>34</v>
      </c>
      <c r="I197">
        <v>1.5451177245479309E-2</v>
      </c>
      <c r="J197" t="s">
        <v>6</v>
      </c>
      <c r="L197" t="s">
        <v>59</v>
      </c>
      <c r="M197" t="s">
        <v>34</v>
      </c>
      <c r="N197">
        <v>1.4590295730820987E-2</v>
      </c>
      <c r="O197" t="s">
        <v>6</v>
      </c>
    </row>
    <row r="198" spans="2:15" x14ac:dyDescent="0.45">
      <c r="B198" t="s">
        <v>57</v>
      </c>
      <c r="C198" t="s">
        <v>35</v>
      </c>
      <c r="D198">
        <v>4.4539357221976134E-2</v>
      </c>
      <c r="E198" t="s">
        <v>6</v>
      </c>
      <c r="G198" t="s">
        <v>58</v>
      </c>
      <c r="H198" t="s">
        <v>35</v>
      </c>
      <c r="I198">
        <v>1.6298638078509651E-2</v>
      </c>
      <c r="J198" t="s">
        <v>6</v>
      </c>
      <c r="L198" t="s">
        <v>59</v>
      </c>
      <c r="M198" t="s">
        <v>35</v>
      </c>
      <c r="N198">
        <v>1.4795254827507447E-2</v>
      </c>
      <c r="O198" t="s">
        <v>6</v>
      </c>
    </row>
    <row r="199" spans="2:15" x14ac:dyDescent="0.45">
      <c r="B199" t="s">
        <v>57</v>
      </c>
      <c r="C199" t="s">
        <v>36</v>
      </c>
      <c r="D199">
        <v>9.9123097462453548E-3</v>
      </c>
      <c r="E199" t="s">
        <v>6</v>
      </c>
      <c r="G199" t="s">
        <v>58</v>
      </c>
      <c r="H199" t="s">
        <v>36</v>
      </c>
      <c r="I199">
        <v>1.6354504563672202E-2</v>
      </c>
      <c r="J199" t="s">
        <v>6</v>
      </c>
      <c r="L199" t="s">
        <v>59</v>
      </c>
      <c r="M199" t="s">
        <v>36</v>
      </c>
      <c r="N199">
        <v>1.4694765989783292E-2</v>
      </c>
      <c r="O199" t="s">
        <v>6</v>
      </c>
    </row>
    <row r="200" spans="2:15" x14ac:dyDescent="0.45">
      <c r="B200" t="s">
        <v>57</v>
      </c>
      <c r="C200" t="s">
        <v>37</v>
      </c>
      <c r="D200">
        <v>8.4435763011159613E-5</v>
      </c>
      <c r="E200" t="s">
        <v>6</v>
      </c>
      <c r="G200" t="s">
        <v>58</v>
      </c>
      <c r="H200" t="s">
        <v>37</v>
      </c>
      <c r="I200">
        <v>2.647024776013605E-2</v>
      </c>
      <c r="J200" t="s">
        <v>6</v>
      </c>
      <c r="L200" t="s">
        <v>59</v>
      </c>
      <c r="M200" t="s">
        <v>37</v>
      </c>
      <c r="N200">
        <v>2.0595790393077004E-2</v>
      </c>
      <c r="O200" t="s">
        <v>6</v>
      </c>
    </row>
    <row r="201" spans="2:15" x14ac:dyDescent="0.45">
      <c r="B201" t="s">
        <v>57</v>
      </c>
      <c r="C201" t="s">
        <v>38</v>
      </c>
      <c r="D201">
        <v>0</v>
      </c>
      <c r="E201" t="s">
        <v>6</v>
      </c>
      <c r="G201" t="s">
        <v>58</v>
      </c>
      <c r="H201" t="s">
        <v>38</v>
      </c>
      <c r="I201">
        <v>5.7283695288892038E-2</v>
      </c>
      <c r="J201" t="s">
        <v>6</v>
      </c>
      <c r="L201" t="s">
        <v>59</v>
      </c>
      <c r="M201" t="s">
        <v>38</v>
      </c>
      <c r="N201">
        <v>5.9198461442553356E-2</v>
      </c>
      <c r="O201" t="s">
        <v>6</v>
      </c>
    </row>
    <row r="202" spans="2:15" x14ac:dyDescent="0.45">
      <c r="B202" t="s">
        <v>57</v>
      </c>
      <c r="C202" t="s">
        <v>39</v>
      </c>
      <c r="D202">
        <v>0</v>
      </c>
      <c r="E202" t="s">
        <v>6</v>
      </c>
      <c r="G202" t="s">
        <v>58</v>
      </c>
      <c r="H202" t="s">
        <v>39</v>
      </c>
      <c r="I202">
        <v>2.2069001788028744E-2</v>
      </c>
      <c r="J202" t="s">
        <v>6</v>
      </c>
      <c r="L202" t="s">
        <v>59</v>
      </c>
      <c r="M202" t="s">
        <v>39</v>
      </c>
      <c r="N202">
        <v>2.2606408511468983E-2</v>
      </c>
      <c r="O202" t="s">
        <v>6</v>
      </c>
    </row>
    <row r="203" spans="2:15" x14ac:dyDescent="0.45">
      <c r="B203" t="s">
        <v>57</v>
      </c>
      <c r="C203" t="s">
        <v>40</v>
      </c>
      <c r="D203">
        <v>1.6543074272495244E-3</v>
      </c>
      <c r="E203" t="s">
        <v>6</v>
      </c>
      <c r="G203" t="s">
        <v>58</v>
      </c>
      <c r="H203" t="s">
        <v>40</v>
      </c>
      <c r="I203">
        <v>2.170312311547325E-2</v>
      </c>
      <c r="J203" t="s">
        <v>6</v>
      </c>
      <c r="L203" t="s">
        <v>59</v>
      </c>
      <c r="M203" t="s">
        <v>40</v>
      </c>
      <c r="N203">
        <v>2.2423117163711283E-2</v>
      </c>
      <c r="O203" t="s">
        <v>6</v>
      </c>
    </row>
    <row r="204" spans="2:15" x14ac:dyDescent="0.45">
      <c r="B204" t="s">
        <v>57</v>
      </c>
      <c r="C204" t="s">
        <v>41</v>
      </c>
      <c r="D204">
        <v>2.3993294325795795E-2</v>
      </c>
      <c r="E204" t="s">
        <v>6</v>
      </c>
      <c r="G204" t="s">
        <v>58</v>
      </c>
      <c r="H204" t="s">
        <v>41</v>
      </c>
      <c r="I204">
        <v>2.0495631750647787E-2</v>
      </c>
      <c r="J204" t="s">
        <v>6</v>
      </c>
      <c r="L204" t="s">
        <v>59</v>
      </c>
      <c r="M204" t="s">
        <v>41</v>
      </c>
      <c r="N204">
        <v>2.1634849523887251E-2</v>
      </c>
      <c r="O204" t="s">
        <v>6</v>
      </c>
    </row>
    <row r="205" spans="2:15" x14ac:dyDescent="0.45">
      <c r="B205" t="s">
        <v>57</v>
      </c>
      <c r="C205" t="s">
        <v>42</v>
      </c>
      <c r="D205">
        <v>5.3405896671910695E-2</v>
      </c>
      <c r="E205" t="s">
        <v>6</v>
      </c>
      <c r="G205" t="s">
        <v>58</v>
      </c>
      <c r="H205" t="s">
        <v>42</v>
      </c>
      <c r="I205">
        <v>2.0332984572269178E-2</v>
      </c>
      <c r="J205" t="s">
        <v>6</v>
      </c>
      <c r="L205" t="s">
        <v>59</v>
      </c>
      <c r="M205" t="s">
        <v>42</v>
      </c>
      <c r="N205">
        <v>2.1474260254241744E-2</v>
      </c>
      <c r="O205" t="s">
        <v>6</v>
      </c>
    </row>
    <row r="206" spans="2:15" x14ac:dyDescent="0.45">
      <c r="B206" t="s">
        <v>57</v>
      </c>
      <c r="C206" t="s">
        <v>43</v>
      </c>
      <c r="D206">
        <v>5.9011595059222002E-2</v>
      </c>
      <c r="E206" t="s">
        <v>6</v>
      </c>
      <c r="G206" t="s">
        <v>58</v>
      </c>
      <c r="H206" t="s">
        <v>43</v>
      </c>
      <c r="I206">
        <v>2.2274536130661417E-2</v>
      </c>
      <c r="J206" t="s">
        <v>6</v>
      </c>
      <c r="L206" t="s">
        <v>59</v>
      </c>
      <c r="M206" t="s">
        <v>43</v>
      </c>
      <c r="N206">
        <v>2.277716122586565E-2</v>
      </c>
      <c r="O206" t="s">
        <v>6</v>
      </c>
    </row>
    <row r="207" spans="2:15" x14ac:dyDescent="0.45">
      <c r="B207" t="s">
        <v>57</v>
      </c>
      <c r="C207" t="s">
        <v>44</v>
      </c>
      <c r="D207">
        <v>4.2893351084636419E-2</v>
      </c>
      <c r="E207" t="s">
        <v>6</v>
      </c>
      <c r="G207" t="s">
        <v>58</v>
      </c>
      <c r="H207" t="s">
        <v>44</v>
      </c>
      <c r="I207">
        <v>2.3211737166598516E-2</v>
      </c>
      <c r="J207" t="s">
        <v>6</v>
      </c>
      <c r="L207" t="s">
        <v>59</v>
      </c>
      <c r="M207" t="s">
        <v>44</v>
      </c>
      <c r="N207">
        <v>2.3844271549616283E-2</v>
      </c>
      <c r="O207" t="s">
        <v>6</v>
      </c>
    </row>
    <row r="208" spans="2:15" x14ac:dyDescent="0.45">
      <c r="B208" t="s">
        <v>57</v>
      </c>
      <c r="C208" t="s">
        <v>45</v>
      </c>
      <c r="D208">
        <v>1.4502892096496177E-2</v>
      </c>
      <c r="E208" t="s">
        <v>6</v>
      </c>
      <c r="G208" t="s">
        <v>58</v>
      </c>
      <c r="H208" t="s">
        <v>45</v>
      </c>
      <c r="I208">
        <v>2.3096534251356108E-2</v>
      </c>
      <c r="J208" t="s">
        <v>6</v>
      </c>
      <c r="L208" t="s">
        <v>59</v>
      </c>
      <c r="M208" t="s">
        <v>45</v>
      </c>
      <c r="N208">
        <v>2.4670611047204985E-2</v>
      </c>
      <c r="O208" t="s">
        <v>6</v>
      </c>
    </row>
    <row r="209" spans="2:15" x14ac:dyDescent="0.45">
      <c r="B209" t="s">
        <v>57</v>
      </c>
      <c r="C209" t="s">
        <v>46</v>
      </c>
      <c r="D209">
        <v>5.3416206004197738E-4</v>
      </c>
      <c r="E209" t="s">
        <v>6</v>
      </c>
      <c r="G209" t="s">
        <v>58</v>
      </c>
      <c r="H209" t="s">
        <v>46</v>
      </c>
      <c r="I209">
        <v>2.3118391754079676E-2</v>
      </c>
      <c r="J209" t="s">
        <v>6</v>
      </c>
      <c r="L209" t="s">
        <v>59</v>
      </c>
      <c r="M209" t="s">
        <v>46</v>
      </c>
      <c r="N209">
        <v>2.4369000006249281E-2</v>
      </c>
      <c r="O209" t="s">
        <v>6</v>
      </c>
    </row>
    <row r="210" spans="2:15" x14ac:dyDescent="0.45">
      <c r="B210" t="s">
        <v>57</v>
      </c>
      <c r="C210" t="s">
        <v>47</v>
      </c>
      <c r="D210">
        <v>0</v>
      </c>
      <c r="E210" t="s">
        <v>6</v>
      </c>
      <c r="G210" t="s">
        <v>58</v>
      </c>
      <c r="H210" t="s">
        <v>47</v>
      </c>
      <c r="I210">
        <v>3.4840567460964027E-2</v>
      </c>
      <c r="J210" t="s">
        <v>6</v>
      </c>
      <c r="L210" t="s">
        <v>59</v>
      </c>
      <c r="M210" t="s">
        <v>47</v>
      </c>
      <c r="N210">
        <v>3.6691886106572924E-2</v>
      </c>
      <c r="O210" t="s">
        <v>6</v>
      </c>
    </row>
    <row r="211" spans="2:15" x14ac:dyDescent="0.45">
      <c r="B211" t="s">
        <v>60</v>
      </c>
      <c r="C211" t="s">
        <v>5</v>
      </c>
      <c r="D211">
        <v>0</v>
      </c>
      <c r="E211" t="s">
        <v>6</v>
      </c>
      <c r="G211" t="s">
        <v>61</v>
      </c>
      <c r="H211" t="s">
        <v>5</v>
      </c>
      <c r="I211">
        <v>6.9291048446713965E-2</v>
      </c>
      <c r="J211" t="s">
        <v>6</v>
      </c>
      <c r="L211" t="s">
        <v>62</v>
      </c>
      <c r="M211" t="s">
        <v>5</v>
      </c>
      <c r="N211">
        <v>5.7510447293026089E-2</v>
      </c>
      <c r="O211" t="s">
        <v>6</v>
      </c>
    </row>
    <row r="212" spans="2:15" x14ac:dyDescent="0.45">
      <c r="B212" t="s">
        <v>60</v>
      </c>
      <c r="C212" t="s">
        <v>9</v>
      </c>
      <c r="D212">
        <v>0</v>
      </c>
      <c r="E212" t="s">
        <v>6</v>
      </c>
      <c r="G212" t="s">
        <v>61</v>
      </c>
      <c r="H212" t="s">
        <v>9</v>
      </c>
      <c r="I212">
        <v>2.7230597628326643E-2</v>
      </c>
      <c r="J212" t="s">
        <v>6</v>
      </c>
      <c r="L212" t="s">
        <v>62</v>
      </c>
      <c r="M212" t="s">
        <v>9</v>
      </c>
      <c r="N212">
        <v>2.3255275397599508E-2</v>
      </c>
      <c r="O212" t="s">
        <v>6</v>
      </c>
    </row>
    <row r="213" spans="2:15" x14ac:dyDescent="0.45">
      <c r="B213" t="s">
        <v>60</v>
      </c>
      <c r="C213" t="s">
        <v>10</v>
      </c>
      <c r="D213">
        <v>0</v>
      </c>
      <c r="E213" t="s">
        <v>6</v>
      </c>
      <c r="G213" t="s">
        <v>61</v>
      </c>
      <c r="H213" t="s">
        <v>10</v>
      </c>
      <c r="I213">
        <v>2.7066487669936443E-2</v>
      </c>
      <c r="J213" t="s">
        <v>6</v>
      </c>
      <c r="L213" t="s">
        <v>62</v>
      </c>
      <c r="M213" t="s">
        <v>10</v>
      </c>
      <c r="N213">
        <v>2.2665047824634531E-2</v>
      </c>
      <c r="O213" t="s">
        <v>6</v>
      </c>
    </row>
    <row r="214" spans="2:15" x14ac:dyDescent="0.45">
      <c r="B214" t="s">
        <v>60</v>
      </c>
      <c r="C214" t="s">
        <v>11</v>
      </c>
      <c r="D214">
        <v>8.8996513421357257E-3</v>
      </c>
      <c r="E214" t="s">
        <v>6</v>
      </c>
      <c r="G214" t="s">
        <v>61</v>
      </c>
      <c r="H214" t="s">
        <v>11</v>
      </c>
      <c r="I214">
        <v>2.6597736781215405E-2</v>
      </c>
      <c r="J214" t="s">
        <v>6</v>
      </c>
      <c r="L214" t="s">
        <v>62</v>
      </c>
      <c r="M214" t="s">
        <v>11</v>
      </c>
      <c r="N214">
        <v>2.0384835356453655E-2</v>
      </c>
      <c r="O214" t="s">
        <v>6</v>
      </c>
    </row>
    <row r="215" spans="2:15" x14ac:dyDescent="0.45">
      <c r="B215" t="s">
        <v>60</v>
      </c>
      <c r="C215" t="s">
        <v>12</v>
      </c>
      <c r="D215">
        <v>3.4442061548594E-2</v>
      </c>
      <c r="E215" t="s">
        <v>6</v>
      </c>
      <c r="G215" t="s">
        <v>61</v>
      </c>
      <c r="H215" t="s">
        <v>12</v>
      </c>
      <c r="I215">
        <v>2.4226238882411315E-2</v>
      </c>
      <c r="J215" t="s">
        <v>6</v>
      </c>
      <c r="L215" t="s">
        <v>62</v>
      </c>
      <c r="M215" t="s">
        <v>12</v>
      </c>
      <c r="N215">
        <v>2.1528870478047066E-2</v>
      </c>
      <c r="O215" t="s">
        <v>6</v>
      </c>
    </row>
    <row r="216" spans="2:15" x14ac:dyDescent="0.45">
      <c r="B216" t="s">
        <v>60</v>
      </c>
      <c r="C216" t="s">
        <v>13</v>
      </c>
      <c r="D216">
        <v>4.4685673691727129E-2</v>
      </c>
      <c r="E216" t="s">
        <v>6</v>
      </c>
      <c r="G216" t="s">
        <v>61</v>
      </c>
      <c r="H216" t="s">
        <v>13</v>
      </c>
      <c r="I216">
        <v>2.4658097922703112E-2</v>
      </c>
      <c r="J216" t="s">
        <v>6</v>
      </c>
      <c r="L216" t="s">
        <v>62</v>
      </c>
      <c r="M216" t="s">
        <v>13</v>
      </c>
      <c r="N216">
        <v>2.3839083248681163E-2</v>
      </c>
      <c r="O216" t="s">
        <v>6</v>
      </c>
    </row>
    <row r="217" spans="2:15" x14ac:dyDescent="0.45">
      <c r="B217" t="s">
        <v>60</v>
      </c>
      <c r="C217" t="s">
        <v>14</v>
      </c>
      <c r="D217">
        <v>3.2900302737498201E-2</v>
      </c>
      <c r="E217" t="s">
        <v>6</v>
      </c>
      <c r="G217" t="s">
        <v>61</v>
      </c>
      <c r="H217" t="s">
        <v>14</v>
      </c>
      <c r="I217">
        <v>2.5692131635667317E-2</v>
      </c>
      <c r="J217" t="s">
        <v>6</v>
      </c>
      <c r="L217" t="s">
        <v>62</v>
      </c>
      <c r="M217" t="s">
        <v>14</v>
      </c>
      <c r="N217">
        <v>2.5331440882500215E-2</v>
      </c>
      <c r="O217" t="s">
        <v>6</v>
      </c>
    </row>
    <row r="218" spans="2:15" x14ac:dyDescent="0.45">
      <c r="B218" t="s">
        <v>60</v>
      </c>
      <c r="C218" t="s">
        <v>15</v>
      </c>
      <c r="D218">
        <v>8.1225138445691781E-3</v>
      </c>
      <c r="E218" t="s">
        <v>6</v>
      </c>
      <c r="G218" t="s">
        <v>61</v>
      </c>
      <c r="H218" t="s">
        <v>15</v>
      </c>
      <c r="I218">
        <v>2.5828676337452481E-2</v>
      </c>
      <c r="J218" t="s">
        <v>6</v>
      </c>
      <c r="L218" t="s">
        <v>62</v>
      </c>
      <c r="M218" t="s">
        <v>15</v>
      </c>
      <c r="N218">
        <v>2.6173308163747248E-2</v>
      </c>
      <c r="O218" t="s">
        <v>6</v>
      </c>
    </row>
    <row r="219" spans="2:15" x14ac:dyDescent="0.45">
      <c r="B219" t="s">
        <v>60</v>
      </c>
      <c r="C219" t="s">
        <v>16</v>
      </c>
      <c r="D219">
        <v>0</v>
      </c>
      <c r="E219" t="s">
        <v>6</v>
      </c>
      <c r="G219" t="s">
        <v>61</v>
      </c>
      <c r="H219" t="s">
        <v>16</v>
      </c>
      <c r="I219">
        <v>2.7253657754741145E-2</v>
      </c>
      <c r="J219" t="s">
        <v>6</v>
      </c>
      <c r="L219" t="s">
        <v>62</v>
      </c>
      <c r="M219" t="s">
        <v>16</v>
      </c>
      <c r="N219">
        <v>2.4897500297546636E-2</v>
      </c>
      <c r="O219" t="s">
        <v>6</v>
      </c>
    </row>
    <row r="220" spans="2:15" x14ac:dyDescent="0.45">
      <c r="B220" t="s">
        <v>60</v>
      </c>
      <c r="C220" t="s">
        <v>17</v>
      </c>
      <c r="D220">
        <v>0</v>
      </c>
      <c r="E220" t="s">
        <v>6</v>
      </c>
      <c r="G220" t="s">
        <v>61</v>
      </c>
      <c r="H220" t="s">
        <v>17</v>
      </c>
      <c r="I220">
        <v>4.1669050340684619E-2</v>
      </c>
      <c r="J220" t="s">
        <v>6</v>
      </c>
      <c r="L220" t="s">
        <v>62</v>
      </c>
      <c r="M220" t="s">
        <v>17</v>
      </c>
      <c r="N220">
        <v>3.4926400787489348E-2</v>
      </c>
      <c r="O220" t="s">
        <v>6</v>
      </c>
    </row>
    <row r="221" spans="2:15" x14ac:dyDescent="0.45">
      <c r="B221" t="s">
        <v>60</v>
      </c>
      <c r="C221" t="s">
        <v>18</v>
      </c>
      <c r="D221">
        <v>0</v>
      </c>
      <c r="E221" t="s">
        <v>6</v>
      </c>
      <c r="G221" t="s">
        <v>61</v>
      </c>
      <c r="H221" t="s">
        <v>18</v>
      </c>
      <c r="I221">
        <v>5.2690357765738445E-2</v>
      </c>
      <c r="J221" t="s">
        <v>6</v>
      </c>
      <c r="L221" t="s">
        <v>62</v>
      </c>
      <c r="M221" t="s">
        <v>18</v>
      </c>
      <c r="N221">
        <v>5.4570616949118897E-2</v>
      </c>
      <c r="O221" t="s">
        <v>6</v>
      </c>
    </row>
    <row r="222" spans="2:15" x14ac:dyDescent="0.45">
      <c r="B222" t="s">
        <v>60</v>
      </c>
      <c r="C222" t="s">
        <v>19</v>
      </c>
      <c r="D222">
        <v>7.3032280869893086E-5</v>
      </c>
      <c r="E222" t="s">
        <v>6</v>
      </c>
      <c r="G222" t="s">
        <v>61</v>
      </c>
      <c r="H222" t="s">
        <v>19</v>
      </c>
      <c r="I222">
        <v>2.0829195956272025E-2</v>
      </c>
      <c r="J222" t="s">
        <v>6</v>
      </c>
      <c r="L222" t="s">
        <v>62</v>
      </c>
      <c r="M222" t="s">
        <v>19</v>
      </c>
      <c r="N222">
        <v>2.1060603401082671E-2</v>
      </c>
      <c r="O222" t="s">
        <v>6</v>
      </c>
    </row>
    <row r="223" spans="2:15" x14ac:dyDescent="0.45">
      <c r="B223" t="s">
        <v>60</v>
      </c>
      <c r="C223" t="s">
        <v>20</v>
      </c>
      <c r="D223">
        <v>7.7694790112240852E-3</v>
      </c>
      <c r="E223" t="s">
        <v>6</v>
      </c>
      <c r="G223" t="s">
        <v>61</v>
      </c>
      <c r="H223" t="s">
        <v>20</v>
      </c>
      <c r="I223">
        <v>2.0343409274424431E-2</v>
      </c>
      <c r="J223" t="s">
        <v>6</v>
      </c>
      <c r="L223" t="s">
        <v>62</v>
      </c>
      <c r="M223" t="s">
        <v>20</v>
      </c>
      <c r="N223">
        <v>2.0984730040119335E-2</v>
      </c>
      <c r="O223" t="s">
        <v>6</v>
      </c>
    </row>
    <row r="224" spans="2:15" x14ac:dyDescent="0.45">
      <c r="B224" t="s">
        <v>60</v>
      </c>
      <c r="C224" t="s">
        <v>21</v>
      </c>
      <c r="D224">
        <v>4.3118375575428636E-2</v>
      </c>
      <c r="E224" t="s">
        <v>6</v>
      </c>
      <c r="G224" t="s">
        <v>61</v>
      </c>
      <c r="H224" t="s">
        <v>21</v>
      </c>
      <c r="I224">
        <v>1.853257610130744E-2</v>
      </c>
      <c r="J224" t="s">
        <v>6</v>
      </c>
      <c r="L224" t="s">
        <v>62</v>
      </c>
      <c r="M224" t="s">
        <v>21</v>
      </c>
      <c r="N224">
        <v>2.4030545905054428E-2</v>
      </c>
      <c r="O224" t="s">
        <v>6</v>
      </c>
    </row>
    <row r="225" spans="2:15" x14ac:dyDescent="0.45">
      <c r="B225" t="s">
        <v>60</v>
      </c>
      <c r="C225" t="s">
        <v>22</v>
      </c>
      <c r="D225">
        <v>7.3942363082562315E-2</v>
      </c>
      <c r="E225" t="s">
        <v>6</v>
      </c>
      <c r="G225" t="s">
        <v>61</v>
      </c>
      <c r="H225" t="s">
        <v>22</v>
      </c>
      <c r="I225">
        <v>1.5493400743867626E-2</v>
      </c>
      <c r="J225" t="s">
        <v>6</v>
      </c>
      <c r="L225" t="s">
        <v>62</v>
      </c>
      <c r="M225" t="s">
        <v>22</v>
      </c>
      <c r="N225">
        <v>2.817272281994055E-2</v>
      </c>
      <c r="O225" t="s">
        <v>6</v>
      </c>
    </row>
    <row r="226" spans="2:15" x14ac:dyDescent="0.45">
      <c r="B226" t="s">
        <v>60</v>
      </c>
      <c r="C226" t="s">
        <v>23</v>
      </c>
      <c r="D226">
        <v>7.769730090911868E-2</v>
      </c>
      <c r="E226" t="s">
        <v>6</v>
      </c>
      <c r="G226" t="s">
        <v>61</v>
      </c>
      <c r="H226" t="s">
        <v>23</v>
      </c>
      <c r="I226">
        <v>1.6759760871164462E-2</v>
      </c>
      <c r="J226" t="s">
        <v>6</v>
      </c>
      <c r="L226" t="s">
        <v>62</v>
      </c>
      <c r="M226" t="s">
        <v>23</v>
      </c>
      <c r="N226">
        <v>3.1613863734547692E-2</v>
      </c>
      <c r="O226" t="s">
        <v>6</v>
      </c>
    </row>
    <row r="227" spans="2:15" x14ac:dyDescent="0.45">
      <c r="B227" t="s">
        <v>60</v>
      </c>
      <c r="C227" t="s">
        <v>24</v>
      </c>
      <c r="D227">
        <v>6.0994325085158001E-2</v>
      </c>
      <c r="E227" t="s">
        <v>6</v>
      </c>
      <c r="G227" t="s">
        <v>61</v>
      </c>
      <c r="H227" t="s">
        <v>24</v>
      </c>
      <c r="I227">
        <v>1.9143253428339266E-2</v>
      </c>
      <c r="J227" t="s">
        <v>6</v>
      </c>
      <c r="L227" t="s">
        <v>62</v>
      </c>
      <c r="M227" t="s">
        <v>24</v>
      </c>
      <c r="N227">
        <v>3.2249293104069744E-2</v>
      </c>
      <c r="O227" t="s">
        <v>6</v>
      </c>
    </row>
    <row r="228" spans="2:15" x14ac:dyDescent="0.45">
      <c r="B228" t="s">
        <v>60</v>
      </c>
      <c r="C228" t="s">
        <v>25</v>
      </c>
      <c r="D228">
        <v>3.1600481865663867E-2</v>
      </c>
      <c r="E228" t="s">
        <v>6</v>
      </c>
      <c r="G228" t="s">
        <v>61</v>
      </c>
      <c r="H228" t="s">
        <v>25</v>
      </c>
      <c r="I228">
        <v>2.0151104878554722E-2</v>
      </c>
      <c r="J228" t="s">
        <v>6</v>
      </c>
      <c r="L228" t="s">
        <v>62</v>
      </c>
      <c r="M228" t="s">
        <v>25</v>
      </c>
      <c r="N228">
        <v>2.963452649723115E-2</v>
      </c>
      <c r="O228" t="s">
        <v>6</v>
      </c>
    </row>
    <row r="229" spans="2:15" x14ac:dyDescent="0.45">
      <c r="B229" t="s">
        <v>60</v>
      </c>
      <c r="C229" t="s">
        <v>26</v>
      </c>
      <c r="D229">
        <v>4.5976671370554258E-3</v>
      </c>
      <c r="E229" t="s">
        <v>6</v>
      </c>
      <c r="G229" t="s">
        <v>61</v>
      </c>
      <c r="H229" t="s">
        <v>26</v>
      </c>
      <c r="I229">
        <v>2.0333490368513951E-2</v>
      </c>
      <c r="J229" t="s">
        <v>6</v>
      </c>
      <c r="L229" t="s">
        <v>62</v>
      </c>
      <c r="M229" t="s">
        <v>26</v>
      </c>
      <c r="N229">
        <v>2.7402295922607664E-2</v>
      </c>
      <c r="O229" t="s">
        <v>6</v>
      </c>
    </row>
    <row r="230" spans="2:15" x14ac:dyDescent="0.45">
      <c r="B230" t="s">
        <v>60</v>
      </c>
      <c r="C230" t="s">
        <v>27</v>
      </c>
      <c r="D230">
        <v>2.9791228012423497E-6</v>
      </c>
      <c r="E230" t="s">
        <v>6</v>
      </c>
      <c r="G230" t="s">
        <v>61</v>
      </c>
      <c r="H230" t="s">
        <v>27</v>
      </c>
      <c r="I230">
        <v>3.2237955484715759E-2</v>
      </c>
      <c r="J230" t="s">
        <v>6</v>
      </c>
      <c r="L230" t="s">
        <v>62</v>
      </c>
      <c r="M230" t="s">
        <v>27</v>
      </c>
      <c r="N230">
        <v>3.5112627679130905E-2</v>
      </c>
      <c r="O230" t="s">
        <v>6</v>
      </c>
    </row>
    <row r="231" spans="2:15" x14ac:dyDescent="0.45">
      <c r="B231" t="s">
        <v>60</v>
      </c>
      <c r="C231" t="s">
        <v>28</v>
      </c>
      <c r="D231">
        <v>0</v>
      </c>
      <c r="E231" t="s">
        <v>6</v>
      </c>
      <c r="G231" t="s">
        <v>61</v>
      </c>
      <c r="H231" t="s">
        <v>28</v>
      </c>
      <c r="I231">
        <v>3.7477793987193121E-2</v>
      </c>
      <c r="J231" t="s">
        <v>6</v>
      </c>
      <c r="L231" t="s">
        <v>62</v>
      </c>
      <c r="M231" t="s">
        <v>28</v>
      </c>
      <c r="N231">
        <v>2.746690515605521E-2</v>
      </c>
      <c r="O231" t="s">
        <v>6</v>
      </c>
    </row>
    <row r="232" spans="2:15" x14ac:dyDescent="0.45">
      <c r="B232" t="s">
        <v>60</v>
      </c>
      <c r="C232" t="s">
        <v>29</v>
      </c>
      <c r="D232">
        <v>3.2857966651655046E-4</v>
      </c>
      <c r="E232" t="s">
        <v>6</v>
      </c>
      <c r="G232" t="s">
        <v>61</v>
      </c>
      <c r="H232" t="s">
        <v>29</v>
      </c>
      <c r="I232">
        <v>1.3274756375205593E-2</v>
      </c>
      <c r="J232" t="s">
        <v>6</v>
      </c>
      <c r="L232" t="s">
        <v>62</v>
      </c>
      <c r="M232" t="s">
        <v>29</v>
      </c>
      <c r="N232">
        <v>8.0203935626821671E-3</v>
      </c>
      <c r="O232" t="s">
        <v>6</v>
      </c>
    </row>
    <row r="233" spans="2:15" x14ac:dyDescent="0.45">
      <c r="B233" t="s">
        <v>60</v>
      </c>
      <c r="C233" t="s">
        <v>30</v>
      </c>
      <c r="D233">
        <v>1.2504350668915795E-2</v>
      </c>
      <c r="E233" t="s">
        <v>6</v>
      </c>
      <c r="G233" t="s">
        <v>61</v>
      </c>
      <c r="H233" t="s">
        <v>30</v>
      </c>
      <c r="I233">
        <v>1.0807271442471861E-2</v>
      </c>
      <c r="J233" t="s">
        <v>6</v>
      </c>
      <c r="L233" t="s">
        <v>62</v>
      </c>
      <c r="M233" t="s">
        <v>30</v>
      </c>
      <c r="N233">
        <v>8.1412931611026841E-3</v>
      </c>
      <c r="O233" t="s">
        <v>6</v>
      </c>
    </row>
    <row r="234" spans="2:15" x14ac:dyDescent="0.45">
      <c r="B234" t="s">
        <v>60</v>
      </c>
      <c r="C234" t="s">
        <v>31</v>
      </c>
      <c r="D234">
        <v>5.3150911145094758E-2</v>
      </c>
      <c r="E234" t="s">
        <v>6</v>
      </c>
      <c r="G234" t="s">
        <v>61</v>
      </c>
      <c r="H234" t="s">
        <v>31</v>
      </c>
      <c r="I234">
        <v>9.3224316642811361E-3</v>
      </c>
      <c r="J234" t="s">
        <v>6</v>
      </c>
      <c r="L234" t="s">
        <v>62</v>
      </c>
      <c r="M234" t="s">
        <v>31</v>
      </c>
      <c r="N234">
        <v>1.0564010763140133E-2</v>
      </c>
      <c r="O234" t="s">
        <v>6</v>
      </c>
    </row>
    <row r="235" spans="2:15" x14ac:dyDescent="0.45">
      <c r="B235" t="s">
        <v>60</v>
      </c>
      <c r="C235" t="s">
        <v>32</v>
      </c>
      <c r="D235">
        <v>8.5915371644087676E-2</v>
      </c>
      <c r="E235" t="s">
        <v>6</v>
      </c>
      <c r="G235" t="s">
        <v>61</v>
      </c>
      <c r="H235" t="s">
        <v>32</v>
      </c>
      <c r="I235">
        <v>1.0138423850076817E-2</v>
      </c>
      <c r="J235" t="s">
        <v>6</v>
      </c>
      <c r="L235" t="s">
        <v>62</v>
      </c>
      <c r="M235" t="s">
        <v>32</v>
      </c>
      <c r="N235">
        <v>1.3220319235349203E-2</v>
      </c>
      <c r="O235" t="s">
        <v>6</v>
      </c>
    </row>
    <row r="236" spans="2:15" x14ac:dyDescent="0.45">
      <c r="B236" t="s">
        <v>60</v>
      </c>
      <c r="C236" t="s">
        <v>33</v>
      </c>
      <c r="D236">
        <v>9.1433440112642733E-2</v>
      </c>
      <c r="E236" t="s">
        <v>6</v>
      </c>
      <c r="G236" t="s">
        <v>61</v>
      </c>
      <c r="H236" t="s">
        <v>33</v>
      </c>
      <c r="I236">
        <v>1.2479677947644652E-2</v>
      </c>
      <c r="J236" t="s">
        <v>6</v>
      </c>
      <c r="L236" t="s">
        <v>62</v>
      </c>
      <c r="M236" t="s">
        <v>33</v>
      </c>
      <c r="N236">
        <v>1.6986526439529047E-2</v>
      </c>
      <c r="O236" t="s">
        <v>6</v>
      </c>
    </row>
    <row r="237" spans="2:15" x14ac:dyDescent="0.45">
      <c r="B237" t="s">
        <v>60</v>
      </c>
      <c r="C237" t="s">
        <v>34</v>
      </c>
      <c r="D237">
        <v>7.6303760218575781E-2</v>
      </c>
      <c r="E237" t="s">
        <v>6</v>
      </c>
      <c r="G237" t="s">
        <v>61</v>
      </c>
      <c r="H237" t="s">
        <v>34</v>
      </c>
      <c r="I237">
        <v>1.3634261925963823E-2</v>
      </c>
      <c r="J237" t="s">
        <v>6</v>
      </c>
      <c r="L237" t="s">
        <v>62</v>
      </c>
      <c r="M237" t="s">
        <v>34</v>
      </c>
      <c r="N237">
        <v>1.8911551843356435E-2</v>
      </c>
      <c r="O237" t="s">
        <v>6</v>
      </c>
    </row>
    <row r="238" spans="2:15" x14ac:dyDescent="0.45">
      <c r="B238" t="s">
        <v>60</v>
      </c>
      <c r="C238" t="s">
        <v>35</v>
      </c>
      <c r="D238">
        <v>4.5369714573865627E-2</v>
      </c>
      <c r="E238" t="s">
        <v>6</v>
      </c>
      <c r="G238" t="s">
        <v>61</v>
      </c>
      <c r="H238" t="s">
        <v>35</v>
      </c>
      <c r="I238">
        <v>1.3717723529455415E-2</v>
      </c>
      <c r="J238" t="s">
        <v>6</v>
      </c>
      <c r="L238" t="s">
        <v>62</v>
      </c>
      <c r="M238" t="s">
        <v>35</v>
      </c>
      <c r="N238">
        <v>1.8503870912863804E-2</v>
      </c>
      <c r="O238" t="s">
        <v>6</v>
      </c>
    </row>
    <row r="239" spans="2:15" x14ac:dyDescent="0.45">
      <c r="B239" t="s">
        <v>60</v>
      </c>
      <c r="C239" t="s">
        <v>36</v>
      </c>
      <c r="D239">
        <v>9.8974120914031832E-3</v>
      </c>
      <c r="E239" t="s">
        <v>6</v>
      </c>
      <c r="G239" t="s">
        <v>61</v>
      </c>
      <c r="H239" t="s">
        <v>36</v>
      </c>
      <c r="I239">
        <v>1.3135470460931062E-2</v>
      </c>
      <c r="J239" t="s">
        <v>6</v>
      </c>
      <c r="L239" t="s">
        <v>62</v>
      </c>
      <c r="M239" t="s">
        <v>36</v>
      </c>
      <c r="N239">
        <v>1.6315913293138511E-2</v>
      </c>
      <c r="O239" t="s">
        <v>6</v>
      </c>
    </row>
    <row r="240" spans="2:15" x14ac:dyDescent="0.45">
      <c r="B240" t="s">
        <v>60</v>
      </c>
      <c r="C240" t="s">
        <v>37</v>
      </c>
      <c r="D240">
        <v>1.1669593090665385E-4</v>
      </c>
      <c r="E240" t="s">
        <v>6</v>
      </c>
      <c r="G240" t="s">
        <v>61</v>
      </c>
      <c r="H240" t="s">
        <v>37</v>
      </c>
      <c r="I240">
        <v>2.4081610468847246E-2</v>
      </c>
      <c r="J240" t="s">
        <v>6</v>
      </c>
      <c r="L240" t="s">
        <v>62</v>
      </c>
      <c r="M240" t="s">
        <v>37</v>
      </c>
      <c r="N240">
        <v>2.093640151946418E-2</v>
      </c>
      <c r="O240" t="s">
        <v>6</v>
      </c>
    </row>
    <row r="241" spans="2:15" x14ac:dyDescent="0.45">
      <c r="B241" t="s">
        <v>60</v>
      </c>
      <c r="C241" t="s">
        <v>38</v>
      </c>
      <c r="D241">
        <v>0</v>
      </c>
      <c r="E241" t="s">
        <v>6</v>
      </c>
      <c r="G241" t="s">
        <v>61</v>
      </c>
      <c r="H241" t="s">
        <v>38</v>
      </c>
      <c r="I241">
        <v>6.261759488626796E-2</v>
      </c>
      <c r="J241" t="s">
        <v>6</v>
      </c>
      <c r="L241" t="s">
        <v>62</v>
      </c>
      <c r="M241" t="s">
        <v>38</v>
      </c>
      <c r="N241">
        <v>5.0905250302143878E-2</v>
      </c>
      <c r="O241" t="s">
        <v>6</v>
      </c>
    </row>
    <row r="242" spans="2:15" x14ac:dyDescent="0.45">
      <c r="B242" t="s">
        <v>60</v>
      </c>
      <c r="C242" t="s">
        <v>39</v>
      </c>
      <c r="D242">
        <v>0</v>
      </c>
      <c r="E242" t="s">
        <v>6</v>
      </c>
      <c r="G242" t="s">
        <v>61</v>
      </c>
      <c r="H242" t="s">
        <v>39</v>
      </c>
      <c r="I242">
        <v>2.4307957803546401E-2</v>
      </c>
      <c r="J242" t="s">
        <v>6</v>
      </c>
      <c r="L242" t="s">
        <v>62</v>
      </c>
      <c r="M242" t="s">
        <v>39</v>
      </c>
      <c r="N242">
        <v>2.0223464065997239E-2</v>
      </c>
      <c r="O242" t="s">
        <v>6</v>
      </c>
    </row>
    <row r="243" spans="2:15" x14ac:dyDescent="0.45">
      <c r="B243" t="s">
        <v>60</v>
      </c>
      <c r="C243" t="s">
        <v>40</v>
      </c>
      <c r="D243">
        <v>1.9354908553382408E-3</v>
      </c>
      <c r="E243" t="s">
        <v>6</v>
      </c>
      <c r="G243" t="s">
        <v>61</v>
      </c>
      <c r="H243" t="s">
        <v>40</v>
      </c>
      <c r="I243">
        <v>2.3744742993627176E-2</v>
      </c>
      <c r="J243" t="s">
        <v>6</v>
      </c>
      <c r="L243" t="s">
        <v>62</v>
      </c>
      <c r="M243" t="s">
        <v>40</v>
      </c>
      <c r="N243">
        <v>1.9462951596959519E-2</v>
      </c>
      <c r="O243" t="s">
        <v>6</v>
      </c>
    </row>
    <row r="244" spans="2:15" x14ac:dyDescent="0.45">
      <c r="B244" t="s">
        <v>60</v>
      </c>
      <c r="C244" t="s">
        <v>41</v>
      </c>
      <c r="D244">
        <v>2.5108303815386958E-2</v>
      </c>
      <c r="E244" t="s">
        <v>6</v>
      </c>
      <c r="G244" t="s">
        <v>61</v>
      </c>
      <c r="H244" t="s">
        <v>41</v>
      </c>
      <c r="I244">
        <v>2.2319606602855268E-2</v>
      </c>
      <c r="J244" t="s">
        <v>6</v>
      </c>
      <c r="L244" t="s">
        <v>62</v>
      </c>
      <c r="M244" t="s">
        <v>41</v>
      </c>
      <c r="N244">
        <v>1.9417134892499074E-2</v>
      </c>
      <c r="O244" t="s">
        <v>6</v>
      </c>
    </row>
    <row r="245" spans="2:15" x14ac:dyDescent="0.45">
      <c r="B245" t="s">
        <v>60</v>
      </c>
      <c r="C245" t="s">
        <v>42</v>
      </c>
      <c r="D245">
        <v>5.260934050555606E-2</v>
      </c>
      <c r="E245" t="s">
        <v>6</v>
      </c>
      <c r="G245" t="s">
        <v>61</v>
      </c>
      <c r="H245" t="s">
        <v>42</v>
      </c>
      <c r="I245">
        <v>2.1089346594253062E-2</v>
      </c>
      <c r="J245" t="s">
        <v>6</v>
      </c>
      <c r="L245" t="s">
        <v>62</v>
      </c>
      <c r="M245" t="s">
        <v>42</v>
      </c>
      <c r="N245">
        <v>2.0778077009789862E-2</v>
      </c>
      <c r="O245" t="s">
        <v>6</v>
      </c>
    </row>
    <row r="246" spans="2:15" x14ac:dyDescent="0.45">
      <c r="B246" t="s">
        <v>60</v>
      </c>
      <c r="C246" t="s">
        <v>43</v>
      </c>
      <c r="D246">
        <v>5.9178881270210856E-2</v>
      </c>
      <c r="E246" t="s">
        <v>6</v>
      </c>
      <c r="G246" t="s">
        <v>61</v>
      </c>
      <c r="H246" t="s">
        <v>43</v>
      </c>
      <c r="I246">
        <v>2.2158298900400171E-2</v>
      </c>
      <c r="J246" t="s">
        <v>6</v>
      </c>
      <c r="L246" t="s">
        <v>62</v>
      </c>
      <c r="M246" t="s">
        <v>43</v>
      </c>
      <c r="N246">
        <v>2.2642740941176829E-2</v>
      </c>
      <c r="O246" t="s">
        <v>6</v>
      </c>
    </row>
    <row r="247" spans="2:15" x14ac:dyDescent="0.45">
      <c r="B247" t="s">
        <v>60</v>
      </c>
      <c r="C247" t="s">
        <v>44</v>
      </c>
      <c r="D247">
        <v>4.2582920240876364E-2</v>
      </c>
      <c r="E247" t="s">
        <v>6</v>
      </c>
      <c r="G247" t="s">
        <v>61</v>
      </c>
      <c r="H247" t="s">
        <v>44</v>
      </c>
      <c r="I247">
        <v>2.2981231510271469E-2</v>
      </c>
      <c r="J247" t="s">
        <v>6</v>
      </c>
      <c r="L247" t="s">
        <v>62</v>
      </c>
      <c r="M247" t="s">
        <v>44</v>
      </c>
      <c r="N247">
        <v>2.3228284258052907E-2</v>
      </c>
      <c r="O247" t="s">
        <v>6</v>
      </c>
    </row>
    <row r="248" spans="2:15" x14ac:dyDescent="0.45">
      <c r="B248" t="s">
        <v>60</v>
      </c>
      <c r="C248" t="s">
        <v>45</v>
      </c>
      <c r="D248">
        <v>1.4212726264795491E-2</v>
      </c>
      <c r="E248" t="s">
        <v>6</v>
      </c>
      <c r="G248" t="s">
        <v>61</v>
      </c>
      <c r="H248" t="s">
        <v>45</v>
      </c>
      <c r="I248">
        <v>2.2988808388394219E-2</v>
      </c>
      <c r="J248" t="s">
        <v>6</v>
      </c>
      <c r="L248" t="s">
        <v>62</v>
      </c>
      <c r="M248" t="s">
        <v>45</v>
      </c>
      <c r="N248">
        <v>2.3413955667184447E-2</v>
      </c>
      <c r="O248" t="s">
        <v>6</v>
      </c>
    </row>
    <row r="249" spans="2:15" x14ac:dyDescent="0.45">
      <c r="B249" t="s">
        <v>60</v>
      </c>
      <c r="C249" t="s">
        <v>46</v>
      </c>
      <c r="D249">
        <v>5.0589376141977867E-4</v>
      </c>
      <c r="E249" t="s">
        <v>6</v>
      </c>
      <c r="G249" t="s">
        <v>61</v>
      </c>
      <c r="H249" t="s">
        <v>46</v>
      </c>
      <c r="I249">
        <v>2.469940170409194E-2</v>
      </c>
      <c r="J249" t="s">
        <v>6</v>
      </c>
      <c r="L249" t="s">
        <v>62</v>
      </c>
      <c r="M249" t="s">
        <v>46</v>
      </c>
      <c r="N249">
        <v>2.2695131377289117E-2</v>
      </c>
      <c r="O249" t="s">
        <v>6</v>
      </c>
    </row>
    <row r="250" spans="2:15" x14ac:dyDescent="0.45">
      <c r="B250" t="s">
        <v>60</v>
      </c>
      <c r="C250" t="s">
        <v>47</v>
      </c>
      <c r="D250">
        <v>0</v>
      </c>
      <c r="E250" t="s">
        <v>6</v>
      </c>
      <c r="G250" t="s">
        <v>61</v>
      </c>
      <c r="H250" t="s">
        <v>47</v>
      </c>
      <c r="I250">
        <v>3.899536069146281E-2</v>
      </c>
      <c r="J250" t="s">
        <v>6</v>
      </c>
      <c r="L250" t="s">
        <v>62</v>
      </c>
      <c r="M250" t="s">
        <v>47</v>
      </c>
      <c r="N250">
        <v>3.2821788219597268E-2</v>
      </c>
      <c r="O250" t="s">
        <v>6</v>
      </c>
    </row>
    <row r="251" spans="2:15" x14ac:dyDescent="0.45">
      <c r="B251" t="s">
        <v>63</v>
      </c>
      <c r="C251" t="s">
        <v>5</v>
      </c>
      <c r="D251">
        <v>0</v>
      </c>
      <c r="E251" t="s">
        <v>6</v>
      </c>
      <c r="G251" t="s">
        <v>64</v>
      </c>
      <c r="H251" t="s">
        <v>5</v>
      </c>
      <c r="I251">
        <v>6.6356914273524442E-2</v>
      </c>
      <c r="J251" t="s">
        <v>6</v>
      </c>
      <c r="L251" t="s">
        <v>65</v>
      </c>
      <c r="M251" t="s">
        <v>5</v>
      </c>
      <c r="N251">
        <v>5.5779622910911111E-2</v>
      </c>
      <c r="O251" t="s">
        <v>6</v>
      </c>
    </row>
    <row r="252" spans="2:15" x14ac:dyDescent="0.45">
      <c r="B252" t="s">
        <v>63</v>
      </c>
      <c r="C252" t="s">
        <v>9</v>
      </c>
      <c r="D252">
        <v>0</v>
      </c>
      <c r="E252" t="s">
        <v>6</v>
      </c>
      <c r="G252" t="s">
        <v>64</v>
      </c>
      <c r="H252" t="s">
        <v>9</v>
      </c>
      <c r="I252">
        <v>2.5813291136481693E-2</v>
      </c>
      <c r="J252" t="s">
        <v>6</v>
      </c>
      <c r="L252" t="s">
        <v>65</v>
      </c>
      <c r="M252" t="s">
        <v>9</v>
      </c>
      <c r="N252">
        <v>2.1880593386822453E-2</v>
      </c>
      <c r="O252" t="s">
        <v>6</v>
      </c>
    </row>
    <row r="253" spans="2:15" x14ac:dyDescent="0.45">
      <c r="B253" t="s">
        <v>63</v>
      </c>
      <c r="C253" t="s">
        <v>10</v>
      </c>
      <c r="D253">
        <v>0</v>
      </c>
      <c r="E253" t="s">
        <v>6</v>
      </c>
      <c r="G253" t="s">
        <v>64</v>
      </c>
      <c r="H253" t="s">
        <v>10</v>
      </c>
      <c r="I253">
        <v>2.6039021416471072E-2</v>
      </c>
      <c r="J253" t="s">
        <v>6</v>
      </c>
      <c r="L253" t="s">
        <v>65</v>
      </c>
      <c r="M253" t="s">
        <v>10</v>
      </c>
      <c r="N253">
        <v>2.2123576828283784E-2</v>
      </c>
      <c r="O253" t="s">
        <v>6</v>
      </c>
    </row>
    <row r="254" spans="2:15" x14ac:dyDescent="0.45">
      <c r="B254" t="s">
        <v>63</v>
      </c>
      <c r="C254" t="s">
        <v>11</v>
      </c>
      <c r="D254">
        <v>9.0988720112991552E-3</v>
      </c>
      <c r="E254" t="s">
        <v>6</v>
      </c>
      <c r="G254" t="s">
        <v>64</v>
      </c>
      <c r="H254" t="s">
        <v>11</v>
      </c>
      <c r="I254">
        <v>2.5365729612251673E-2</v>
      </c>
      <c r="J254" t="s">
        <v>6</v>
      </c>
      <c r="L254" t="s">
        <v>65</v>
      </c>
      <c r="M254" t="s">
        <v>11</v>
      </c>
      <c r="N254">
        <v>2.178921286148849E-2</v>
      </c>
      <c r="O254" t="s">
        <v>6</v>
      </c>
    </row>
    <row r="255" spans="2:15" x14ac:dyDescent="0.45">
      <c r="B255" t="s">
        <v>63</v>
      </c>
      <c r="C255" t="s">
        <v>12</v>
      </c>
      <c r="D255">
        <v>3.6158376503799397E-2</v>
      </c>
      <c r="E255" t="s">
        <v>6</v>
      </c>
      <c r="G255" t="s">
        <v>64</v>
      </c>
      <c r="H255" t="s">
        <v>12</v>
      </c>
      <c r="I255">
        <v>2.1448397936225543E-2</v>
      </c>
      <c r="J255" t="s">
        <v>6</v>
      </c>
      <c r="L255" t="s">
        <v>65</v>
      </c>
      <c r="M255" t="s">
        <v>12</v>
      </c>
      <c r="N255">
        <v>2.2161361171541119E-2</v>
      </c>
      <c r="O255" t="s">
        <v>6</v>
      </c>
    </row>
    <row r="256" spans="2:15" x14ac:dyDescent="0.45">
      <c r="B256" t="s">
        <v>63</v>
      </c>
      <c r="C256" t="s">
        <v>13</v>
      </c>
      <c r="D256">
        <v>4.7046582520938296E-2</v>
      </c>
      <c r="E256" t="s">
        <v>6</v>
      </c>
      <c r="G256" t="s">
        <v>64</v>
      </c>
      <c r="H256" t="s">
        <v>13</v>
      </c>
      <c r="I256">
        <v>2.2517911464121902E-2</v>
      </c>
      <c r="J256" t="s">
        <v>6</v>
      </c>
      <c r="L256" t="s">
        <v>65</v>
      </c>
      <c r="M256" t="s">
        <v>13</v>
      </c>
      <c r="N256">
        <v>2.2836326159168936E-2</v>
      </c>
      <c r="O256" t="s">
        <v>6</v>
      </c>
    </row>
    <row r="257" spans="2:15" x14ac:dyDescent="0.45">
      <c r="B257" t="s">
        <v>63</v>
      </c>
      <c r="C257" t="s">
        <v>14</v>
      </c>
      <c r="D257">
        <v>3.252791027393314E-2</v>
      </c>
      <c r="E257" t="s">
        <v>6</v>
      </c>
      <c r="G257" t="s">
        <v>64</v>
      </c>
      <c r="H257" t="s">
        <v>14</v>
      </c>
      <c r="I257">
        <v>2.4024928766729122E-2</v>
      </c>
      <c r="J257" t="s">
        <v>6</v>
      </c>
      <c r="L257" t="s">
        <v>65</v>
      </c>
      <c r="M257" t="s">
        <v>14</v>
      </c>
      <c r="N257">
        <v>2.3362315443895439E-2</v>
      </c>
      <c r="O257" t="s">
        <v>6</v>
      </c>
    </row>
    <row r="258" spans="2:15" x14ac:dyDescent="0.45">
      <c r="B258" t="s">
        <v>63</v>
      </c>
      <c r="C258" t="s">
        <v>15</v>
      </c>
      <c r="D258">
        <v>6.602646832779448E-3</v>
      </c>
      <c r="E258" t="s">
        <v>6</v>
      </c>
      <c r="G258" t="s">
        <v>64</v>
      </c>
      <c r="H258" t="s">
        <v>15</v>
      </c>
      <c r="I258">
        <v>2.5398554433713763E-2</v>
      </c>
      <c r="J258" t="s">
        <v>6</v>
      </c>
      <c r="L258" t="s">
        <v>65</v>
      </c>
      <c r="M258" t="s">
        <v>15</v>
      </c>
      <c r="N258">
        <v>2.3467071402759686E-2</v>
      </c>
      <c r="O258" t="s">
        <v>6</v>
      </c>
    </row>
    <row r="259" spans="2:15" x14ac:dyDescent="0.45">
      <c r="B259" t="s">
        <v>63</v>
      </c>
      <c r="C259" t="s">
        <v>16</v>
      </c>
      <c r="D259">
        <v>0</v>
      </c>
      <c r="E259" t="s">
        <v>6</v>
      </c>
      <c r="G259" t="s">
        <v>64</v>
      </c>
      <c r="H259" t="s">
        <v>16</v>
      </c>
      <c r="I259">
        <v>2.7058554934019107E-2</v>
      </c>
      <c r="J259" t="s">
        <v>6</v>
      </c>
      <c r="L259" t="s">
        <v>65</v>
      </c>
      <c r="M259" t="s">
        <v>16</v>
      </c>
      <c r="N259">
        <v>2.3368908272391468E-2</v>
      </c>
      <c r="O259" t="s">
        <v>6</v>
      </c>
    </row>
    <row r="260" spans="2:15" x14ac:dyDescent="0.45">
      <c r="B260" t="s">
        <v>63</v>
      </c>
      <c r="C260" t="s">
        <v>17</v>
      </c>
      <c r="D260">
        <v>0</v>
      </c>
      <c r="E260" t="s">
        <v>6</v>
      </c>
      <c r="G260" t="s">
        <v>64</v>
      </c>
      <c r="H260" t="s">
        <v>17</v>
      </c>
      <c r="I260">
        <v>4.096607005834263E-2</v>
      </c>
      <c r="J260" t="s">
        <v>6</v>
      </c>
      <c r="L260" t="s">
        <v>65</v>
      </c>
      <c r="M260" t="s">
        <v>17</v>
      </c>
      <c r="N260">
        <v>3.3146830768090919E-2</v>
      </c>
      <c r="O260" t="s">
        <v>6</v>
      </c>
    </row>
    <row r="261" spans="2:15" x14ac:dyDescent="0.45">
      <c r="B261" t="s">
        <v>63</v>
      </c>
      <c r="C261" t="s">
        <v>18</v>
      </c>
      <c r="D261">
        <v>0</v>
      </c>
      <c r="E261" t="s">
        <v>6</v>
      </c>
      <c r="G261" t="s">
        <v>64</v>
      </c>
      <c r="H261" t="s">
        <v>18</v>
      </c>
      <c r="I261">
        <v>5.4842713630335195E-2</v>
      </c>
      <c r="J261" t="s">
        <v>6</v>
      </c>
      <c r="L261" t="s">
        <v>65</v>
      </c>
      <c r="M261" t="s">
        <v>18</v>
      </c>
      <c r="N261">
        <v>6.6115941570012424E-2</v>
      </c>
      <c r="O261" t="s">
        <v>6</v>
      </c>
    </row>
    <row r="262" spans="2:15" x14ac:dyDescent="0.45">
      <c r="B262" t="s">
        <v>63</v>
      </c>
      <c r="C262" t="s">
        <v>19</v>
      </c>
      <c r="D262">
        <v>1.3648480054081222E-4</v>
      </c>
      <c r="E262" t="s">
        <v>6</v>
      </c>
      <c r="G262" t="s">
        <v>64</v>
      </c>
      <c r="H262" t="s">
        <v>19</v>
      </c>
      <c r="I262">
        <v>2.0962671446683529E-2</v>
      </c>
      <c r="J262" t="s">
        <v>6</v>
      </c>
      <c r="L262" t="s">
        <v>65</v>
      </c>
      <c r="M262" t="s">
        <v>19</v>
      </c>
      <c r="N262">
        <v>2.5746043611634625E-2</v>
      </c>
      <c r="O262" t="s">
        <v>6</v>
      </c>
    </row>
    <row r="263" spans="2:15" x14ac:dyDescent="0.45">
      <c r="B263" t="s">
        <v>63</v>
      </c>
      <c r="C263" t="s">
        <v>20</v>
      </c>
      <c r="D263">
        <v>8.4855191222431674E-3</v>
      </c>
      <c r="E263" t="s">
        <v>6</v>
      </c>
      <c r="G263" t="s">
        <v>64</v>
      </c>
      <c r="H263" t="s">
        <v>20</v>
      </c>
      <c r="I263">
        <v>2.0384729755208518E-2</v>
      </c>
      <c r="J263" t="s">
        <v>6</v>
      </c>
      <c r="L263" t="s">
        <v>65</v>
      </c>
      <c r="M263" t="s">
        <v>20</v>
      </c>
      <c r="N263">
        <v>2.5510822721371226E-2</v>
      </c>
      <c r="O263" t="s">
        <v>6</v>
      </c>
    </row>
    <row r="264" spans="2:15" x14ac:dyDescent="0.45">
      <c r="B264" t="s">
        <v>63</v>
      </c>
      <c r="C264" t="s">
        <v>21</v>
      </c>
      <c r="D264">
        <v>4.2185893409172295E-2</v>
      </c>
      <c r="E264" t="s">
        <v>6</v>
      </c>
      <c r="G264" t="s">
        <v>64</v>
      </c>
      <c r="H264" t="s">
        <v>21</v>
      </c>
      <c r="I264">
        <v>1.8632039024153283E-2</v>
      </c>
      <c r="J264" t="s">
        <v>6</v>
      </c>
      <c r="L264" t="s">
        <v>65</v>
      </c>
      <c r="M264" t="s">
        <v>21</v>
      </c>
      <c r="N264">
        <v>2.6209307061786837E-2</v>
      </c>
      <c r="O264" t="s">
        <v>6</v>
      </c>
    </row>
    <row r="265" spans="2:15" x14ac:dyDescent="0.45">
      <c r="B265" t="s">
        <v>63</v>
      </c>
      <c r="C265" t="s">
        <v>22</v>
      </c>
      <c r="D265">
        <v>7.1945449140659784E-2</v>
      </c>
      <c r="E265" t="s">
        <v>6</v>
      </c>
      <c r="G265" t="s">
        <v>64</v>
      </c>
      <c r="H265" t="s">
        <v>22</v>
      </c>
      <c r="I265">
        <v>1.4778807317409885E-2</v>
      </c>
      <c r="J265" t="s">
        <v>6</v>
      </c>
      <c r="L265" t="s">
        <v>65</v>
      </c>
      <c r="M265" t="s">
        <v>22</v>
      </c>
      <c r="N265">
        <v>2.7730889856341725E-2</v>
      </c>
      <c r="O265" t="s">
        <v>6</v>
      </c>
    </row>
    <row r="266" spans="2:15" x14ac:dyDescent="0.45">
      <c r="B266" t="s">
        <v>63</v>
      </c>
      <c r="C266" t="s">
        <v>23</v>
      </c>
      <c r="D266">
        <v>7.9084528267800117E-2</v>
      </c>
      <c r="E266" t="s">
        <v>6</v>
      </c>
      <c r="G266" t="s">
        <v>64</v>
      </c>
      <c r="H266" t="s">
        <v>23</v>
      </c>
      <c r="I266">
        <v>1.7122057499719245E-2</v>
      </c>
      <c r="J266" t="s">
        <v>6</v>
      </c>
      <c r="L266" t="s">
        <v>65</v>
      </c>
      <c r="M266" t="s">
        <v>23</v>
      </c>
      <c r="N266">
        <v>2.9517883818092158E-2</v>
      </c>
      <c r="O266" t="s">
        <v>6</v>
      </c>
    </row>
    <row r="267" spans="2:15" x14ac:dyDescent="0.45">
      <c r="B267" t="s">
        <v>63</v>
      </c>
      <c r="C267" t="s">
        <v>24</v>
      </c>
      <c r="D267">
        <v>6.2356164087489577E-2</v>
      </c>
      <c r="E267" t="s">
        <v>6</v>
      </c>
      <c r="G267" t="s">
        <v>64</v>
      </c>
      <c r="H267" t="s">
        <v>24</v>
      </c>
      <c r="I267">
        <v>1.8689618902929212E-2</v>
      </c>
      <c r="J267" t="s">
        <v>6</v>
      </c>
      <c r="L267" t="s">
        <v>65</v>
      </c>
      <c r="M267" t="s">
        <v>24</v>
      </c>
      <c r="N267">
        <v>3.0061019613268614E-2</v>
      </c>
      <c r="O267" t="s">
        <v>6</v>
      </c>
    </row>
    <row r="268" spans="2:15" x14ac:dyDescent="0.45">
      <c r="B268" t="s">
        <v>63</v>
      </c>
      <c r="C268" t="s">
        <v>25</v>
      </c>
      <c r="D268">
        <v>3.1053148520808586E-2</v>
      </c>
      <c r="E268" t="s">
        <v>6</v>
      </c>
      <c r="G268" t="s">
        <v>64</v>
      </c>
      <c r="H268" t="s">
        <v>25</v>
      </c>
      <c r="I268">
        <v>1.8796808940714636E-2</v>
      </c>
      <c r="J268" t="s">
        <v>6</v>
      </c>
      <c r="L268" t="s">
        <v>65</v>
      </c>
      <c r="M268" t="s">
        <v>25</v>
      </c>
      <c r="N268">
        <v>2.9625065371940287E-2</v>
      </c>
      <c r="O268" t="s">
        <v>6</v>
      </c>
    </row>
    <row r="269" spans="2:15" x14ac:dyDescent="0.45">
      <c r="B269" t="s">
        <v>63</v>
      </c>
      <c r="C269" t="s">
        <v>26</v>
      </c>
      <c r="D269">
        <v>4.1938207075965352E-3</v>
      </c>
      <c r="E269" t="s">
        <v>6</v>
      </c>
      <c r="G269" t="s">
        <v>64</v>
      </c>
      <c r="H269" t="s">
        <v>26</v>
      </c>
      <c r="I269">
        <v>2.0263858535246003E-2</v>
      </c>
      <c r="J269" t="s">
        <v>6</v>
      </c>
      <c r="L269" t="s">
        <v>65</v>
      </c>
      <c r="M269" t="s">
        <v>26</v>
      </c>
      <c r="N269">
        <v>2.778507275316262E-2</v>
      </c>
      <c r="O269" t="s">
        <v>6</v>
      </c>
    </row>
    <row r="270" spans="2:15" x14ac:dyDescent="0.45">
      <c r="B270" t="s">
        <v>63</v>
      </c>
      <c r="C270" t="s">
        <v>27</v>
      </c>
      <c r="D270">
        <v>2.6436624347643071E-6</v>
      </c>
      <c r="E270" t="s">
        <v>6</v>
      </c>
      <c r="G270" t="s">
        <v>64</v>
      </c>
      <c r="H270" t="s">
        <v>27</v>
      </c>
      <c r="I270">
        <v>3.4304129186959013E-2</v>
      </c>
      <c r="J270" t="s">
        <v>6</v>
      </c>
      <c r="L270" t="s">
        <v>65</v>
      </c>
      <c r="M270" t="s">
        <v>27</v>
      </c>
      <c r="N270">
        <v>4.0070257570791273E-2</v>
      </c>
      <c r="O270" t="s">
        <v>6</v>
      </c>
    </row>
    <row r="271" spans="2:15" x14ac:dyDescent="0.45">
      <c r="B271" t="s">
        <v>63</v>
      </c>
      <c r="C271" t="s">
        <v>28</v>
      </c>
      <c r="D271">
        <v>0</v>
      </c>
      <c r="E271" t="s">
        <v>6</v>
      </c>
      <c r="G271" t="s">
        <v>64</v>
      </c>
      <c r="H271" t="s">
        <v>28</v>
      </c>
      <c r="I271">
        <v>4.2779446460476635E-2</v>
      </c>
      <c r="J271" t="s">
        <v>6</v>
      </c>
      <c r="L271" t="s">
        <v>65</v>
      </c>
      <c r="M271" t="s">
        <v>28</v>
      </c>
      <c r="N271">
        <v>2.4960424561081523E-2</v>
      </c>
      <c r="O271" t="s">
        <v>6</v>
      </c>
    </row>
    <row r="272" spans="2:15" x14ac:dyDescent="0.45">
      <c r="B272" t="s">
        <v>63</v>
      </c>
      <c r="C272" t="s">
        <v>29</v>
      </c>
      <c r="D272">
        <v>5.7283834651760323E-4</v>
      </c>
      <c r="E272" t="s">
        <v>6</v>
      </c>
      <c r="G272" t="s">
        <v>64</v>
      </c>
      <c r="H272" t="s">
        <v>29</v>
      </c>
      <c r="I272">
        <v>1.5192466427342217E-2</v>
      </c>
      <c r="J272" t="s">
        <v>6</v>
      </c>
      <c r="L272" t="s">
        <v>65</v>
      </c>
      <c r="M272" t="s">
        <v>29</v>
      </c>
      <c r="N272">
        <v>8.455330810773428E-3</v>
      </c>
      <c r="O272" t="s">
        <v>6</v>
      </c>
    </row>
    <row r="273" spans="2:15" x14ac:dyDescent="0.45">
      <c r="B273" t="s">
        <v>63</v>
      </c>
      <c r="C273" t="s">
        <v>30</v>
      </c>
      <c r="D273">
        <v>1.3873697201282518E-2</v>
      </c>
      <c r="E273" t="s">
        <v>6</v>
      </c>
      <c r="G273" t="s">
        <v>64</v>
      </c>
      <c r="H273" t="s">
        <v>30</v>
      </c>
      <c r="I273">
        <v>1.1929248990089477E-2</v>
      </c>
      <c r="J273" t="s">
        <v>6</v>
      </c>
      <c r="L273" t="s">
        <v>65</v>
      </c>
      <c r="M273" t="s">
        <v>30</v>
      </c>
      <c r="N273">
        <v>8.2507369042549798E-3</v>
      </c>
      <c r="O273" t="s">
        <v>6</v>
      </c>
    </row>
    <row r="274" spans="2:15" x14ac:dyDescent="0.45">
      <c r="B274" t="s">
        <v>63</v>
      </c>
      <c r="C274" t="s">
        <v>31</v>
      </c>
      <c r="D274">
        <v>5.2751953471300767E-2</v>
      </c>
      <c r="E274" t="s">
        <v>6</v>
      </c>
      <c r="G274" t="s">
        <v>64</v>
      </c>
      <c r="H274" t="s">
        <v>31</v>
      </c>
      <c r="I274">
        <v>1.0616843668365773E-2</v>
      </c>
      <c r="J274" t="s">
        <v>6</v>
      </c>
      <c r="L274" t="s">
        <v>65</v>
      </c>
      <c r="M274" t="s">
        <v>31</v>
      </c>
      <c r="N274">
        <v>8.2658467517956174E-3</v>
      </c>
      <c r="O274" t="s">
        <v>6</v>
      </c>
    </row>
    <row r="275" spans="2:15" x14ac:dyDescent="0.45">
      <c r="B275" t="s">
        <v>63</v>
      </c>
      <c r="C275" t="s">
        <v>32</v>
      </c>
      <c r="D275">
        <v>8.4641467127577447E-2</v>
      </c>
      <c r="E275" t="s">
        <v>6</v>
      </c>
      <c r="G275" t="s">
        <v>64</v>
      </c>
      <c r="H275" t="s">
        <v>32</v>
      </c>
      <c r="I275">
        <v>9.4235764889685544E-3</v>
      </c>
      <c r="J275" t="s">
        <v>6</v>
      </c>
      <c r="L275" t="s">
        <v>65</v>
      </c>
      <c r="M275" t="s">
        <v>32</v>
      </c>
      <c r="N275">
        <v>9.1852293617404671E-3</v>
      </c>
      <c r="O275" t="s">
        <v>6</v>
      </c>
    </row>
    <row r="276" spans="2:15" x14ac:dyDescent="0.45">
      <c r="B276" t="s">
        <v>63</v>
      </c>
      <c r="C276" t="s">
        <v>33</v>
      </c>
      <c r="D276">
        <v>9.1351626064004807E-2</v>
      </c>
      <c r="E276" t="s">
        <v>6</v>
      </c>
      <c r="G276" t="s">
        <v>64</v>
      </c>
      <c r="H276" t="s">
        <v>33</v>
      </c>
      <c r="I276">
        <v>1.1730340121688693E-2</v>
      </c>
      <c r="J276" t="s">
        <v>6</v>
      </c>
      <c r="L276" t="s">
        <v>65</v>
      </c>
      <c r="M276" t="s">
        <v>33</v>
      </c>
      <c r="N276">
        <v>1.1305143784104691E-2</v>
      </c>
      <c r="O276" t="s">
        <v>6</v>
      </c>
    </row>
    <row r="277" spans="2:15" x14ac:dyDescent="0.45">
      <c r="B277" t="s">
        <v>63</v>
      </c>
      <c r="C277" t="s">
        <v>34</v>
      </c>
      <c r="D277">
        <v>7.6768727889313326E-2</v>
      </c>
      <c r="E277" t="s">
        <v>6</v>
      </c>
      <c r="G277" t="s">
        <v>64</v>
      </c>
      <c r="H277" t="s">
        <v>34</v>
      </c>
      <c r="I277">
        <v>1.3240890979424704E-2</v>
      </c>
      <c r="J277" t="s">
        <v>6</v>
      </c>
      <c r="L277" t="s">
        <v>65</v>
      </c>
      <c r="M277" t="s">
        <v>34</v>
      </c>
      <c r="N277">
        <v>1.2494811331250119E-2</v>
      </c>
      <c r="O277" t="s">
        <v>6</v>
      </c>
    </row>
    <row r="278" spans="2:15" x14ac:dyDescent="0.45">
      <c r="B278" t="s">
        <v>63</v>
      </c>
      <c r="C278" t="s">
        <v>35</v>
      </c>
      <c r="D278">
        <v>4.4639436343339965E-2</v>
      </c>
      <c r="E278" t="s">
        <v>6</v>
      </c>
      <c r="G278" t="s">
        <v>64</v>
      </c>
      <c r="H278" t="s">
        <v>35</v>
      </c>
      <c r="I278">
        <v>1.3646931881805487E-2</v>
      </c>
      <c r="J278" t="s">
        <v>6</v>
      </c>
      <c r="L278" t="s">
        <v>65</v>
      </c>
      <c r="M278" t="s">
        <v>35</v>
      </c>
      <c r="N278">
        <v>1.214717436969002E-2</v>
      </c>
      <c r="O278" t="s">
        <v>6</v>
      </c>
    </row>
    <row r="279" spans="2:15" x14ac:dyDescent="0.45">
      <c r="B279" t="s">
        <v>63</v>
      </c>
      <c r="C279" t="s">
        <v>36</v>
      </c>
      <c r="D279">
        <v>9.5334628741427941E-3</v>
      </c>
      <c r="E279" t="s">
        <v>6</v>
      </c>
      <c r="G279" t="s">
        <v>64</v>
      </c>
      <c r="H279" t="s">
        <v>36</v>
      </c>
      <c r="I279">
        <v>1.4162221060722961E-2</v>
      </c>
      <c r="J279" t="s">
        <v>6</v>
      </c>
      <c r="L279" t="s">
        <v>65</v>
      </c>
      <c r="M279" t="s">
        <v>36</v>
      </c>
      <c r="N279">
        <v>1.1658310194485372E-2</v>
      </c>
      <c r="O279" t="s">
        <v>6</v>
      </c>
    </row>
    <row r="280" spans="2:15" x14ac:dyDescent="0.45">
      <c r="B280" t="s">
        <v>63</v>
      </c>
      <c r="C280" t="s">
        <v>37</v>
      </c>
      <c r="D280">
        <v>1.2622401335206081E-4</v>
      </c>
      <c r="E280" t="s">
        <v>6</v>
      </c>
      <c r="G280" t="s">
        <v>64</v>
      </c>
      <c r="H280" t="s">
        <v>37</v>
      </c>
      <c r="I280">
        <v>2.6626138915994461E-2</v>
      </c>
      <c r="J280" t="s">
        <v>6</v>
      </c>
      <c r="L280" t="s">
        <v>65</v>
      </c>
      <c r="M280" t="s">
        <v>37</v>
      </c>
      <c r="N280">
        <v>1.5746339187951128E-2</v>
      </c>
      <c r="O280" t="s">
        <v>6</v>
      </c>
    </row>
    <row r="281" spans="2:15" x14ac:dyDescent="0.45">
      <c r="B281" t="s">
        <v>63</v>
      </c>
      <c r="C281" t="s">
        <v>38</v>
      </c>
      <c r="D281">
        <v>0</v>
      </c>
      <c r="E281" t="s">
        <v>6</v>
      </c>
      <c r="G281" t="s">
        <v>64</v>
      </c>
      <c r="H281" t="s">
        <v>38</v>
      </c>
      <c r="I281">
        <v>6.2462278396521589E-2</v>
      </c>
      <c r="J281" t="s">
        <v>6</v>
      </c>
      <c r="L281" t="s">
        <v>65</v>
      </c>
      <c r="M281" t="s">
        <v>38</v>
      </c>
      <c r="N281">
        <v>5.6625167130661611E-2</v>
      </c>
      <c r="O281" t="s">
        <v>6</v>
      </c>
    </row>
    <row r="282" spans="2:15" x14ac:dyDescent="0.45">
      <c r="B282" t="s">
        <v>63</v>
      </c>
      <c r="C282" t="s">
        <v>39</v>
      </c>
      <c r="D282">
        <v>0</v>
      </c>
      <c r="E282" t="s">
        <v>6</v>
      </c>
      <c r="G282" t="s">
        <v>64</v>
      </c>
      <c r="H282" t="s">
        <v>39</v>
      </c>
      <c r="I282">
        <v>2.3819700689374997E-2</v>
      </c>
      <c r="J282" t="s">
        <v>6</v>
      </c>
      <c r="L282" t="s">
        <v>65</v>
      </c>
      <c r="M282" t="s">
        <v>39</v>
      </c>
      <c r="N282">
        <v>2.1960467435555065E-2</v>
      </c>
      <c r="O282" t="s">
        <v>6</v>
      </c>
    </row>
    <row r="283" spans="2:15" x14ac:dyDescent="0.45">
      <c r="B283" t="s">
        <v>63</v>
      </c>
      <c r="C283" t="s">
        <v>40</v>
      </c>
      <c r="D283">
        <v>2.3201919587379272E-3</v>
      </c>
      <c r="E283" t="s">
        <v>6</v>
      </c>
      <c r="G283" t="s">
        <v>64</v>
      </c>
      <c r="H283" t="s">
        <v>40</v>
      </c>
      <c r="I283">
        <v>2.3524899298394263E-2</v>
      </c>
      <c r="J283" t="s">
        <v>6</v>
      </c>
      <c r="L283" t="s">
        <v>65</v>
      </c>
      <c r="M283" t="s">
        <v>40</v>
      </c>
      <c r="N283">
        <v>2.1868462243534538E-2</v>
      </c>
      <c r="O283" t="s">
        <v>6</v>
      </c>
    </row>
    <row r="284" spans="2:15" x14ac:dyDescent="0.45">
      <c r="B284" t="s">
        <v>63</v>
      </c>
      <c r="C284" t="s">
        <v>41</v>
      </c>
      <c r="D284">
        <v>2.6887315012414793E-2</v>
      </c>
      <c r="E284" t="s">
        <v>6</v>
      </c>
      <c r="G284" t="s">
        <v>64</v>
      </c>
      <c r="H284" t="s">
        <v>41</v>
      </c>
      <c r="I284">
        <v>2.2566397212562057E-2</v>
      </c>
      <c r="J284" t="s">
        <v>6</v>
      </c>
      <c r="L284" t="s">
        <v>65</v>
      </c>
      <c r="M284" t="s">
        <v>41</v>
      </c>
      <c r="N284">
        <v>2.2186056427407452E-2</v>
      </c>
      <c r="O284" t="s">
        <v>6</v>
      </c>
    </row>
    <row r="285" spans="2:15" x14ac:dyDescent="0.45">
      <c r="B285" t="s">
        <v>63</v>
      </c>
      <c r="C285" t="s">
        <v>42</v>
      </c>
      <c r="D285">
        <v>5.4614909872710171E-2</v>
      </c>
      <c r="E285" t="s">
        <v>6</v>
      </c>
      <c r="G285" t="s">
        <v>64</v>
      </c>
      <c r="H285" t="s">
        <v>42</v>
      </c>
      <c r="I285">
        <v>2.0112585426557552E-2</v>
      </c>
      <c r="J285" t="s">
        <v>6</v>
      </c>
      <c r="L285" t="s">
        <v>65</v>
      </c>
      <c r="M285" t="s">
        <v>42</v>
      </c>
      <c r="N285">
        <v>2.364323810006045E-2</v>
      </c>
      <c r="O285" t="s">
        <v>6</v>
      </c>
    </row>
    <row r="286" spans="2:15" x14ac:dyDescent="0.45">
      <c r="B286" t="s">
        <v>63</v>
      </c>
      <c r="C286" t="s">
        <v>43</v>
      </c>
      <c r="D286">
        <v>5.8556527889740168E-2</v>
      </c>
      <c r="E286" t="s">
        <v>6</v>
      </c>
      <c r="G286" t="s">
        <v>64</v>
      </c>
      <c r="H286" t="s">
        <v>43</v>
      </c>
      <c r="I286">
        <v>2.1786743141733348E-2</v>
      </c>
      <c r="J286" t="s">
        <v>6</v>
      </c>
      <c r="L286" t="s">
        <v>65</v>
      </c>
      <c r="M286" t="s">
        <v>43</v>
      </c>
      <c r="N286">
        <v>2.4408451184151834E-2</v>
      </c>
      <c r="O286" t="s">
        <v>6</v>
      </c>
    </row>
    <row r="287" spans="2:15" x14ac:dyDescent="0.45">
      <c r="B287" t="s">
        <v>63</v>
      </c>
      <c r="C287" t="s">
        <v>44</v>
      </c>
      <c r="D287">
        <v>3.9934145723785619E-2</v>
      </c>
      <c r="E287" t="s">
        <v>6</v>
      </c>
      <c r="G287" t="s">
        <v>64</v>
      </c>
      <c r="H287" t="s">
        <v>44</v>
      </c>
      <c r="I287">
        <v>2.2935567206631893E-2</v>
      </c>
      <c r="J287" t="s">
        <v>6</v>
      </c>
      <c r="L287" t="s">
        <v>65</v>
      </c>
      <c r="M287" t="s">
        <v>44</v>
      </c>
      <c r="N287">
        <v>2.4893742370906777E-2</v>
      </c>
      <c r="O287" t="s">
        <v>6</v>
      </c>
    </row>
    <row r="288" spans="2:15" x14ac:dyDescent="0.45">
      <c r="B288" t="s">
        <v>63</v>
      </c>
      <c r="C288" t="s">
        <v>45</v>
      </c>
      <c r="D288">
        <v>1.2204427611848482E-2</v>
      </c>
      <c r="E288" t="s">
        <v>6</v>
      </c>
      <c r="G288" t="s">
        <v>64</v>
      </c>
      <c r="H288" t="s">
        <v>45</v>
      </c>
      <c r="I288">
        <v>2.3558067357790657E-2</v>
      </c>
      <c r="J288" t="s">
        <v>6</v>
      </c>
      <c r="L288" t="s">
        <v>65</v>
      </c>
      <c r="M288" t="s">
        <v>45</v>
      </c>
      <c r="N288">
        <v>2.4652892884184572E-2</v>
      </c>
      <c r="O288" t="s">
        <v>6</v>
      </c>
    </row>
    <row r="289" spans="2:15" x14ac:dyDescent="0.45">
      <c r="B289" t="s">
        <v>63</v>
      </c>
      <c r="C289" t="s">
        <v>46</v>
      </c>
      <c r="D289">
        <v>3.4500873843722597E-4</v>
      </c>
      <c r="E289" t="s">
        <v>6</v>
      </c>
      <c r="G289" t="s">
        <v>64</v>
      </c>
      <c r="H289" t="s">
        <v>46</v>
      </c>
      <c r="I289">
        <v>2.5731957184956494E-2</v>
      </c>
      <c r="J289" t="s">
        <v>6</v>
      </c>
      <c r="L289" t="s">
        <v>65</v>
      </c>
      <c r="M289" t="s">
        <v>46</v>
      </c>
      <c r="N289">
        <v>2.3988277297914379E-2</v>
      </c>
      <c r="O289" t="s">
        <v>6</v>
      </c>
    </row>
    <row r="290" spans="2:15" x14ac:dyDescent="0.45">
      <c r="B290" t="s">
        <v>63</v>
      </c>
      <c r="C290" t="s">
        <v>47</v>
      </c>
      <c r="D290">
        <v>0</v>
      </c>
      <c r="E290" t="s">
        <v>6</v>
      </c>
      <c r="G290" t="s">
        <v>64</v>
      </c>
      <c r="H290" t="s">
        <v>47</v>
      </c>
      <c r="I290">
        <v>4.0386890819358721E-2</v>
      </c>
      <c r="J290" t="s">
        <v>6</v>
      </c>
      <c r="L290" t="s">
        <v>65</v>
      </c>
      <c r="M290" t="s">
        <v>47</v>
      </c>
      <c r="N290">
        <v>3.5015774514741485E-2</v>
      </c>
      <c r="O290" t="s">
        <v>6</v>
      </c>
    </row>
    <row r="291" spans="2:15" x14ac:dyDescent="0.45">
      <c r="B291" t="s">
        <v>66</v>
      </c>
      <c r="C291" t="s">
        <v>5</v>
      </c>
      <c r="D291">
        <v>0</v>
      </c>
      <c r="E291" t="s">
        <v>6</v>
      </c>
      <c r="G291" t="s">
        <v>67</v>
      </c>
      <c r="H291" t="s">
        <v>5</v>
      </c>
      <c r="I291">
        <v>6.5273793906570413E-2</v>
      </c>
      <c r="J291" t="s">
        <v>6</v>
      </c>
      <c r="L291" t="s">
        <v>68</v>
      </c>
      <c r="M291" t="s">
        <v>5</v>
      </c>
      <c r="N291">
        <v>5.6427297070055261E-2</v>
      </c>
      <c r="O291" t="s">
        <v>6</v>
      </c>
    </row>
    <row r="292" spans="2:15" x14ac:dyDescent="0.45">
      <c r="B292" t="s">
        <v>66</v>
      </c>
      <c r="C292" t="s">
        <v>9</v>
      </c>
      <c r="D292">
        <v>0</v>
      </c>
      <c r="E292" t="s">
        <v>6</v>
      </c>
      <c r="G292" t="s">
        <v>67</v>
      </c>
      <c r="H292" t="s">
        <v>9</v>
      </c>
      <c r="I292">
        <v>2.5353706775834067E-2</v>
      </c>
      <c r="J292" t="s">
        <v>6</v>
      </c>
      <c r="L292" t="s">
        <v>68</v>
      </c>
      <c r="M292" t="s">
        <v>9</v>
      </c>
      <c r="N292">
        <v>2.1708995492710111E-2</v>
      </c>
      <c r="O292" t="s">
        <v>6</v>
      </c>
    </row>
    <row r="293" spans="2:15" x14ac:dyDescent="0.45">
      <c r="B293" t="s">
        <v>66</v>
      </c>
      <c r="C293" t="s">
        <v>10</v>
      </c>
      <c r="D293">
        <v>0</v>
      </c>
      <c r="E293" t="s">
        <v>6</v>
      </c>
      <c r="G293" t="s">
        <v>67</v>
      </c>
      <c r="H293" t="s">
        <v>10</v>
      </c>
      <c r="I293">
        <v>2.5320432374368842E-2</v>
      </c>
      <c r="J293" t="s">
        <v>6</v>
      </c>
      <c r="L293" t="s">
        <v>68</v>
      </c>
      <c r="M293" t="s">
        <v>10</v>
      </c>
      <c r="N293">
        <v>2.2256989169477916E-2</v>
      </c>
      <c r="O293" t="s">
        <v>6</v>
      </c>
    </row>
    <row r="294" spans="2:15" x14ac:dyDescent="0.45">
      <c r="B294" t="s">
        <v>66</v>
      </c>
      <c r="C294" t="s">
        <v>11</v>
      </c>
      <c r="D294">
        <v>8.1584569509084229E-3</v>
      </c>
      <c r="E294" t="s">
        <v>6</v>
      </c>
      <c r="G294" t="s">
        <v>67</v>
      </c>
      <c r="H294" t="s">
        <v>11</v>
      </c>
      <c r="I294">
        <v>2.5112777709944779E-2</v>
      </c>
      <c r="J294" t="s">
        <v>6</v>
      </c>
      <c r="L294" t="s">
        <v>68</v>
      </c>
      <c r="M294" t="s">
        <v>11</v>
      </c>
      <c r="N294">
        <v>2.2567124399527884E-2</v>
      </c>
      <c r="O294" t="s">
        <v>6</v>
      </c>
    </row>
    <row r="295" spans="2:15" x14ac:dyDescent="0.45">
      <c r="B295" t="s">
        <v>66</v>
      </c>
      <c r="C295" t="s">
        <v>12</v>
      </c>
      <c r="D295">
        <v>3.5007325650941688E-2</v>
      </c>
      <c r="E295" t="s">
        <v>6</v>
      </c>
      <c r="G295" t="s">
        <v>67</v>
      </c>
      <c r="H295" t="s">
        <v>12</v>
      </c>
      <c r="I295">
        <v>2.2467363133693571E-2</v>
      </c>
      <c r="J295" t="s">
        <v>6</v>
      </c>
      <c r="L295" t="s">
        <v>68</v>
      </c>
      <c r="M295" t="s">
        <v>12</v>
      </c>
      <c r="N295">
        <v>2.3798501642978535E-2</v>
      </c>
      <c r="O295" t="s">
        <v>6</v>
      </c>
    </row>
    <row r="296" spans="2:15" x14ac:dyDescent="0.45">
      <c r="B296" t="s">
        <v>66</v>
      </c>
      <c r="C296" t="s">
        <v>13</v>
      </c>
      <c r="D296">
        <v>4.7134403817438185E-2</v>
      </c>
      <c r="E296" t="s">
        <v>6</v>
      </c>
      <c r="G296" t="s">
        <v>67</v>
      </c>
      <c r="H296" t="s">
        <v>13</v>
      </c>
      <c r="I296">
        <v>2.3035859312538789E-2</v>
      </c>
      <c r="J296" t="s">
        <v>6</v>
      </c>
      <c r="L296" t="s">
        <v>68</v>
      </c>
      <c r="M296" t="s">
        <v>13</v>
      </c>
      <c r="N296">
        <v>2.5175541895035725E-2</v>
      </c>
      <c r="O296" t="s">
        <v>6</v>
      </c>
    </row>
    <row r="297" spans="2:15" x14ac:dyDescent="0.45">
      <c r="B297" t="s">
        <v>66</v>
      </c>
      <c r="C297" t="s">
        <v>14</v>
      </c>
      <c r="D297">
        <v>3.409812195385073E-2</v>
      </c>
      <c r="E297" t="s">
        <v>6</v>
      </c>
      <c r="G297" t="s">
        <v>67</v>
      </c>
      <c r="H297" t="s">
        <v>14</v>
      </c>
      <c r="I297">
        <v>2.3745133989780547E-2</v>
      </c>
      <c r="J297" t="s">
        <v>6</v>
      </c>
      <c r="L297" t="s">
        <v>68</v>
      </c>
      <c r="M297" t="s">
        <v>14</v>
      </c>
      <c r="N297">
        <v>2.6679035245694736E-2</v>
      </c>
      <c r="O297" t="s">
        <v>6</v>
      </c>
    </row>
    <row r="298" spans="2:15" x14ac:dyDescent="0.45">
      <c r="B298" t="s">
        <v>66</v>
      </c>
      <c r="C298" t="s">
        <v>15</v>
      </c>
      <c r="D298">
        <v>8.3812851931802362E-3</v>
      </c>
      <c r="E298" t="s">
        <v>6</v>
      </c>
      <c r="G298" t="s">
        <v>67</v>
      </c>
      <c r="H298" t="s">
        <v>15</v>
      </c>
      <c r="I298">
        <v>2.4834927255696443E-2</v>
      </c>
      <c r="J298" t="s">
        <v>6</v>
      </c>
      <c r="L298" t="s">
        <v>68</v>
      </c>
      <c r="M298" t="s">
        <v>15</v>
      </c>
      <c r="N298">
        <v>2.5062451536787961E-2</v>
      </c>
      <c r="O298" t="s">
        <v>6</v>
      </c>
    </row>
    <row r="299" spans="2:15" x14ac:dyDescent="0.45">
      <c r="B299" t="s">
        <v>66</v>
      </c>
      <c r="C299" t="s">
        <v>16</v>
      </c>
      <c r="D299">
        <v>0</v>
      </c>
      <c r="E299" t="s">
        <v>6</v>
      </c>
      <c r="G299" t="s">
        <v>67</v>
      </c>
      <c r="H299" t="s">
        <v>16</v>
      </c>
      <c r="I299">
        <v>2.6192878186785971E-2</v>
      </c>
      <c r="J299" t="s">
        <v>6</v>
      </c>
      <c r="L299" t="s">
        <v>68</v>
      </c>
      <c r="M299" t="s">
        <v>16</v>
      </c>
      <c r="N299">
        <v>2.4074387793564266E-2</v>
      </c>
      <c r="O299" t="s">
        <v>6</v>
      </c>
    </row>
    <row r="300" spans="2:15" x14ac:dyDescent="0.45">
      <c r="B300" t="s">
        <v>66</v>
      </c>
      <c r="C300" t="s">
        <v>17</v>
      </c>
      <c r="D300">
        <v>0</v>
      </c>
      <c r="E300" t="s">
        <v>6</v>
      </c>
      <c r="G300" t="s">
        <v>67</v>
      </c>
      <c r="H300" t="s">
        <v>17</v>
      </c>
      <c r="I300">
        <v>4.054416202561293E-2</v>
      </c>
      <c r="J300" t="s">
        <v>6</v>
      </c>
      <c r="L300" t="s">
        <v>68</v>
      </c>
      <c r="M300" t="s">
        <v>17</v>
      </c>
      <c r="N300">
        <v>3.5001877753387763E-2</v>
      </c>
      <c r="O300" t="s">
        <v>6</v>
      </c>
    </row>
    <row r="301" spans="2:15" x14ac:dyDescent="0.45">
      <c r="B301" t="s">
        <v>66</v>
      </c>
      <c r="C301" t="s">
        <v>18</v>
      </c>
      <c r="D301">
        <v>0</v>
      </c>
      <c r="E301" t="s">
        <v>6</v>
      </c>
      <c r="G301" t="s">
        <v>67</v>
      </c>
      <c r="H301" t="s">
        <v>18</v>
      </c>
      <c r="I301">
        <v>5.3708660310735699E-2</v>
      </c>
      <c r="J301" t="s">
        <v>6</v>
      </c>
      <c r="L301" t="s">
        <v>68</v>
      </c>
      <c r="M301" t="s">
        <v>18</v>
      </c>
      <c r="N301">
        <v>6.4141238636936201E-2</v>
      </c>
      <c r="O301" t="s">
        <v>6</v>
      </c>
    </row>
    <row r="302" spans="2:15" x14ac:dyDescent="0.45">
      <c r="B302" t="s">
        <v>66</v>
      </c>
      <c r="C302" t="s">
        <v>19</v>
      </c>
      <c r="D302">
        <v>8.2433310215722022E-5</v>
      </c>
      <c r="E302" t="s">
        <v>6</v>
      </c>
      <c r="G302" t="s">
        <v>67</v>
      </c>
      <c r="H302" t="s">
        <v>19</v>
      </c>
      <c r="I302">
        <v>2.1052696007105364E-2</v>
      </c>
      <c r="J302" t="s">
        <v>6</v>
      </c>
      <c r="L302" t="s">
        <v>68</v>
      </c>
      <c r="M302" t="s">
        <v>19</v>
      </c>
      <c r="N302">
        <v>2.5886851633067365E-2</v>
      </c>
      <c r="O302" t="s">
        <v>6</v>
      </c>
    </row>
    <row r="303" spans="2:15" x14ac:dyDescent="0.45">
      <c r="B303" t="s">
        <v>66</v>
      </c>
      <c r="C303" t="s">
        <v>20</v>
      </c>
      <c r="D303">
        <v>7.2494235852389117E-3</v>
      </c>
      <c r="E303" t="s">
        <v>6</v>
      </c>
      <c r="G303" t="s">
        <v>67</v>
      </c>
      <c r="H303" t="s">
        <v>20</v>
      </c>
      <c r="I303">
        <v>2.0562343737520045E-2</v>
      </c>
      <c r="J303" t="s">
        <v>6</v>
      </c>
      <c r="L303" t="s">
        <v>68</v>
      </c>
      <c r="M303" t="s">
        <v>20</v>
      </c>
      <c r="N303">
        <v>2.6375850268613155E-2</v>
      </c>
      <c r="O303" t="s">
        <v>6</v>
      </c>
    </row>
    <row r="304" spans="2:15" x14ac:dyDescent="0.45">
      <c r="B304" t="s">
        <v>66</v>
      </c>
      <c r="C304" t="s">
        <v>21</v>
      </c>
      <c r="D304">
        <v>4.0075998146656598E-2</v>
      </c>
      <c r="E304" t="s">
        <v>6</v>
      </c>
      <c r="G304" t="s">
        <v>67</v>
      </c>
      <c r="H304" t="s">
        <v>21</v>
      </c>
      <c r="I304">
        <v>1.9758804094884418E-2</v>
      </c>
      <c r="J304" t="s">
        <v>6</v>
      </c>
      <c r="L304" t="s">
        <v>68</v>
      </c>
      <c r="M304" t="s">
        <v>21</v>
      </c>
      <c r="N304">
        <v>2.5902360792886572E-2</v>
      </c>
      <c r="O304" t="s">
        <v>6</v>
      </c>
    </row>
    <row r="305" spans="2:15" x14ac:dyDescent="0.45">
      <c r="B305" t="s">
        <v>66</v>
      </c>
      <c r="C305" t="s">
        <v>22</v>
      </c>
      <c r="D305">
        <v>7.3362550952338484E-2</v>
      </c>
      <c r="E305" t="s">
        <v>6</v>
      </c>
      <c r="G305" t="s">
        <v>67</v>
      </c>
      <c r="H305" t="s">
        <v>22</v>
      </c>
      <c r="I305">
        <v>1.7643657461791733E-2</v>
      </c>
      <c r="J305" t="s">
        <v>6</v>
      </c>
      <c r="L305" t="s">
        <v>68</v>
      </c>
      <c r="M305" t="s">
        <v>22</v>
      </c>
      <c r="N305">
        <v>2.5833738676630101E-2</v>
      </c>
      <c r="O305" t="s">
        <v>6</v>
      </c>
    </row>
    <row r="306" spans="2:15" x14ac:dyDescent="0.45">
      <c r="B306" t="s">
        <v>66</v>
      </c>
      <c r="C306" t="s">
        <v>23</v>
      </c>
      <c r="D306">
        <v>8.0460473390487938E-2</v>
      </c>
      <c r="E306" t="s">
        <v>6</v>
      </c>
      <c r="G306" t="s">
        <v>67</v>
      </c>
      <c r="H306" t="s">
        <v>23</v>
      </c>
      <c r="I306">
        <v>1.9600038779200361E-2</v>
      </c>
      <c r="J306" t="s">
        <v>6</v>
      </c>
      <c r="L306" t="s">
        <v>68</v>
      </c>
      <c r="M306" t="s">
        <v>23</v>
      </c>
      <c r="N306">
        <v>2.6969357015846018E-2</v>
      </c>
      <c r="O306" t="s">
        <v>6</v>
      </c>
    </row>
    <row r="307" spans="2:15" x14ac:dyDescent="0.45">
      <c r="B307" t="s">
        <v>66</v>
      </c>
      <c r="C307" t="s">
        <v>24</v>
      </c>
      <c r="D307">
        <v>6.4799977516907692E-2</v>
      </c>
      <c r="E307" t="s">
        <v>6</v>
      </c>
      <c r="G307" t="s">
        <v>67</v>
      </c>
      <c r="H307" t="s">
        <v>24</v>
      </c>
      <c r="I307">
        <v>2.0578648749871569E-2</v>
      </c>
      <c r="J307" t="s">
        <v>6</v>
      </c>
      <c r="L307" t="s">
        <v>68</v>
      </c>
      <c r="M307" t="s">
        <v>24</v>
      </c>
      <c r="N307">
        <v>2.7479093851835827E-2</v>
      </c>
      <c r="O307" t="s">
        <v>6</v>
      </c>
    </row>
    <row r="308" spans="2:15" x14ac:dyDescent="0.45">
      <c r="B308" t="s">
        <v>66</v>
      </c>
      <c r="C308" t="s">
        <v>25</v>
      </c>
      <c r="D308">
        <v>3.4661488090498883E-2</v>
      </c>
      <c r="E308" t="s">
        <v>6</v>
      </c>
      <c r="G308" t="s">
        <v>67</v>
      </c>
      <c r="H308" t="s">
        <v>25</v>
      </c>
      <c r="I308">
        <v>2.0031683603428326E-2</v>
      </c>
      <c r="J308" t="s">
        <v>6</v>
      </c>
      <c r="L308" t="s">
        <v>68</v>
      </c>
      <c r="M308" t="s">
        <v>25</v>
      </c>
      <c r="N308">
        <v>2.64327514938534E-2</v>
      </c>
      <c r="O308" t="s">
        <v>6</v>
      </c>
    </row>
    <row r="309" spans="2:15" x14ac:dyDescent="0.45">
      <c r="B309" t="s">
        <v>66</v>
      </c>
      <c r="C309" t="s">
        <v>26</v>
      </c>
      <c r="D309">
        <v>5.2051480674327154E-3</v>
      </c>
      <c r="E309" t="s">
        <v>6</v>
      </c>
      <c r="G309" t="s">
        <v>67</v>
      </c>
      <c r="H309" t="s">
        <v>26</v>
      </c>
      <c r="I309">
        <v>2.0092193862456226E-2</v>
      </c>
      <c r="J309" t="s">
        <v>6</v>
      </c>
      <c r="L309" t="s">
        <v>68</v>
      </c>
      <c r="M309" t="s">
        <v>26</v>
      </c>
      <c r="N309">
        <v>2.6628487889591778E-2</v>
      </c>
      <c r="O309" t="s">
        <v>6</v>
      </c>
    </row>
    <row r="310" spans="2:15" x14ac:dyDescent="0.45">
      <c r="B310" t="s">
        <v>66</v>
      </c>
      <c r="C310" t="s">
        <v>27</v>
      </c>
      <c r="D310">
        <v>1.1029904461016911E-5</v>
      </c>
      <c r="E310" t="s">
        <v>6</v>
      </c>
      <c r="G310" t="s">
        <v>67</v>
      </c>
      <c r="H310" t="s">
        <v>27</v>
      </c>
      <c r="I310">
        <v>3.2450841737057236E-2</v>
      </c>
      <c r="J310" t="s">
        <v>6</v>
      </c>
      <c r="L310" t="s">
        <v>68</v>
      </c>
      <c r="M310" t="s">
        <v>27</v>
      </c>
      <c r="N310">
        <v>4.0911943827185104E-2</v>
      </c>
      <c r="O310" t="s">
        <v>6</v>
      </c>
    </row>
    <row r="311" spans="2:15" x14ac:dyDescent="0.45">
      <c r="B311" t="s">
        <v>66</v>
      </c>
      <c r="C311" t="s">
        <v>28</v>
      </c>
      <c r="D311">
        <v>0</v>
      </c>
      <c r="E311" t="s">
        <v>6</v>
      </c>
      <c r="G311" t="s">
        <v>67</v>
      </c>
      <c r="H311" t="s">
        <v>28</v>
      </c>
      <c r="I311">
        <v>4.2626927461190726E-2</v>
      </c>
      <c r="J311" t="s">
        <v>6</v>
      </c>
      <c r="L311" t="s">
        <v>68</v>
      </c>
      <c r="M311" t="s">
        <v>28</v>
      </c>
      <c r="N311">
        <v>2.1078737596610369E-2</v>
      </c>
      <c r="O311" t="s">
        <v>6</v>
      </c>
    </row>
    <row r="312" spans="2:15" x14ac:dyDescent="0.45">
      <c r="B312" t="s">
        <v>66</v>
      </c>
      <c r="C312" t="s">
        <v>29</v>
      </c>
      <c r="D312">
        <v>3.6774457830564348E-4</v>
      </c>
      <c r="E312" t="s">
        <v>6</v>
      </c>
      <c r="G312" t="s">
        <v>67</v>
      </c>
      <c r="H312" t="s">
        <v>29</v>
      </c>
      <c r="I312">
        <v>1.4862466790051664E-2</v>
      </c>
      <c r="J312" t="s">
        <v>6</v>
      </c>
      <c r="L312" t="s">
        <v>68</v>
      </c>
      <c r="M312" t="s">
        <v>29</v>
      </c>
      <c r="N312">
        <v>7.8460675391890285E-3</v>
      </c>
      <c r="O312" t="s">
        <v>6</v>
      </c>
    </row>
    <row r="313" spans="2:15" x14ac:dyDescent="0.45">
      <c r="B313" t="s">
        <v>66</v>
      </c>
      <c r="C313" t="s">
        <v>30</v>
      </c>
      <c r="D313">
        <v>1.2013503021925848E-2</v>
      </c>
      <c r="E313" t="s">
        <v>6</v>
      </c>
      <c r="G313" t="s">
        <v>67</v>
      </c>
      <c r="H313" t="s">
        <v>30</v>
      </c>
      <c r="I313">
        <v>1.2700119865100747E-2</v>
      </c>
      <c r="J313" t="s">
        <v>6</v>
      </c>
      <c r="L313" t="s">
        <v>68</v>
      </c>
      <c r="M313" t="s">
        <v>30</v>
      </c>
      <c r="N313">
        <v>8.2341414849462363E-3</v>
      </c>
      <c r="O313" t="s">
        <v>6</v>
      </c>
    </row>
    <row r="314" spans="2:15" x14ac:dyDescent="0.45">
      <c r="B314" t="s">
        <v>66</v>
      </c>
      <c r="C314" t="s">
        <v>31</v>
      </c>
      <c r="D314">
        <v>4.9846393376869524E-2</v>
      </c>
      <c r="E314" t="s">
        <v>6</v>
      </c>
      <c r="G314" t="s">
        <v>67</v>
      </c>
      <c r="H314" t="s">
        <v>31</v>
      </c>
      <c r="I314">
        <v>1.1897986210403413E-2</v>
      </c>
      <c r="J314" t="s">
        <v>6</v>
      </c>
      <c r="L314" t="s">
        <v>68</v>
      </c>
      <c r="M314" t="s">
        <v>31</v>
      </c>
      <c r="N314">
        <v>9.6760839176622503E-3</v>
      </c>
      <c r="O314" t="s">
        <v>6</v>
      </c>
    </row>
    <row r="315" spans="2:15" x14ac:dyDescent="0.45">
      <c r="B315" t="s">
        <v>66</v>
      </c>
      <c r="C315" t="s">
        <v>32</v>
      </c>
      <c r="D315">
        <v>8.160162967651928E-2</v>
      </c>
      <c r="E315" t="s">
        <v>6</v>
      </c>
      <c r="G315" t="s">
        <v>67</v>
      </c>
      <c r="H315" t="s">
        <v>32</v>
      </c>
      <c r="I315">
        <v>1.13295522602296E-2</v>
      </c>
      <c r="J315" t="s">
        <v>6</v>
      </c>
      <c r="L315" t="s">
        <v>68</v>
      </c>
      <c r="M315" t="s">
        <v>32</v>
      </c>
      <c r="N315">
        <v>1.1697273216120227E-2</v>
      </c>
      <c r="O315" t="s">
        <v>6</v>
      </c>
    </row>
    <row r="316" spans="2:15" x14ac:dyDescent="0.45">
      <c r="B316" t="s">
        <v>66</v>
      </c>
      <c r="C316" t="s">
        <v>33</v>
      </c>
      <c r="D316">
        <v>9.0903529650408793E-2</v>
      </c>
      <c r="E316" t="s">
        <v>6</v>
      </c>
      <c r="G316" t="s">
        <v>67</v>
      </c>
      <c r="H316" t="s">
        <v>33</v>
      </c>
      <c r="I316">
        <v>1.3433980478971649E-2</v>
      </c>
      <c r="J316" t="s">
        <v>6</v>
      </c>
      <c r="L316" t="s">
        <v>68</v>
      </c>
      <c r="M316" t="s">
        <v>33</v>
      </c>
      <c r="N316">
        <v>1.1763135672995346E-2</v>
      </c>
      <c r="O316" t="s">
        <v>6</v>
      </c>
    </row>
    <row r="317" spans="2:15" x14ac:dyDescent="0.45">
      <c r="B317" t="s">
        <v>66</v>
      </c>
      <c r="C317" t="s">
        <v>34</v>
      </c>
      <c r="D317">
        <v>7.8841041941926177E-2</v>
      </c>
      <c r="E317" t="s">
        <v>6</v>
      </c>
      <c r="G317" t="s">
        <v>67</v>
      </c>
      <c r="H317" t="s">
        <v>34</v>
      </c>
      <c r="I317">
        <v>1.4733220987466883E-2</v>
      </c>
      <c r="J317" t="s">
        <v>6</v>
      </c>
      <c r="L317" t="s">
        <v>68</v>
      </c>
      <c r="M317" t="s">
        <v>34</v>
      </c>
      <c r="N317">
        <v>1.0741799175497129E-2</v>
      </c>
      <c r="O317" t="s">
        <v>6</v>
      </c>
    </row>
    <row r="318" spans="2:15" x14ac:dyDescent="0.45">
      <c r="B318" t="s">
        <v>66</v>
      </c>
      <c r="C318" t="s">
        <v>35</v>
      </c>
      <c r="D318">
        <v>4.7845580960606905E-2</v>
      </c>
      <c r="E318" t="s">
        <v>6</v>
      </c>
      <c r="G318" t="s">
        <v>67</v>
      </c>
      <c r="H318" t="s">
        <v>35</v>
      </c>
      <c r="I318">
        <v>1.5541285201980249E-2</v>
      </c>
      <c r="J318" t="s">
        <v>6</v>
      </c>
      <c r="L318" t="s">
        <v>68</v>
      </c>
      <c r="M318" t="s">
        <v>35</v>
      </c>
      <c r="N318">
        <v>9.6492849238611848E-3</v>
      </c>
      <c r="O318" t="s">
        <v>6</v>
      </c>
    </row>
    <row r="319" spans="2:15" x14ac:dyDescent="0.45">
      <c r="B319" t="s">
        <v>66</v>
      </c>
      <c r="C319" t="s">
        <v>36</v>
      </c>
      <c r="D319">
        <v>1.0848656068896703E-2</v>
      </c>
      <c r="E319" t="s">
        <v>6</v>
      </c>
      <c r="G319" t="s">
        <v>67</v>
      </c>
      <c r="H319" t="s">
        <v>36</v>
      </c>
      <c r="I319">
        <v>1.5757120180563907E-2</v>
      </c>
      <c r="J319" t="s">
        <v>6</v>
      </c>
      <c r="L319" t="s">
        <v>68</v>
      </c>
      <c r="M319" t="s">
        <v>36</v>
      </c>
      <c r="N319">
        <v>9.2064190696907397E-3</v>
      </c>
      <c r="O319" t="s">
        <v>6</v>
      </c>
    </row>
    <row r="320" spans="2:15" x14ac:dyDescent="0.45">
      <c r="B320" t="s">
        <v>66</v>
      </c>
      <c r="C320" t="s">
        <v>37</v>
      </c>
      <c r="D320">
        <v>1.9774112182324686E-4</v>
      </c>
      <c r="E320" t="s">
        <v>6</v>
      </c>
      <c r="G320" t="s">
        <v>67</v>
      </c>
      <c r="H320" t="s">
        <v>37</v>
      </c>
      <c r="I320">
        <v>2.7235865670326067E-2</v>
      </c>
      <c r="J320" t="s">
        <v>6</v>
      </c>
      <c r="L320" t="s">
        <v>68</v>
      </c>
      <c r="M320" t="s">
        <v>37</v>
      </c>
      <c r="N320">
        <v>1.3801165090065114E-2</v>
      </c>
      <c r="O320" t="s">
        <v>6</v>
      </c>
    </row>
    <row r="321" spans="2:15" x14ac:dyDescent="0.45">
      <c r="B321" t="s">
        <v>66</v>
      </c>
      <c r="C321" t="s">
        <v>38</v>
      </c>
      <c r="D321">
        <v>0</v>
      </c>
      <c r="E321" t="s">
        <v>6</v>
      </c>
      <c r="G321" t="s">
        <v>67</v>
      </c>
      <c r="H321" t="s">
        <v>38</v>
      </c>
      <c r="I321">
        <v>5.7689952737141441E-2</v>
      </c>
      <c r="J321" t="s">
        <v>6</v>
      </c>
      <c r="L321" t="s">
        <v>68</v>
      </c>
      <c r="M321" t="s">
        <v>38</v>
      </c>
      <c r="N321">
        <v>5.9404018909462036E-2</v>
      </c>
      <c r="O321" t="s">
        <v>6</v>
      </c>
    </row>
    <row r="322" spans="2:15" x14ac:dyDescent="0.45">
      <c r="B322" t="s">
        <v>66</v>
      </c>
      <c r="C322" t="s">
        <v>39</v>
      </c>
      <c r="D322">
        <v>0</v>
      </c>
      <c r="E322" t="s">
        <v>6</v>
      </c>
      <c r="G322" t="s">
        <v>67</v>
      </c>
      <c r="H322" t="s">
        <v>39</v>
      </c>
      <c r="I322">
        <v>2.2384004837753838E-2</v>
      </c>
      <c r="J322" t="s">
        <v>6</v>
      </c>
      <c r="L322" t="s">
        <v>68</v>
      </c>
      <c r="M322" t="s">
        <v>39</v>
      </c>
      <c r="N322">
        <v>2.2576398654714995E-2</v>
      </c>
      <c r="O322" t="s">
        <v>6</v>
      </c>
    </row>
    <row r="323" spans="2:15" x14ac:dyDescent="0.45">
      <c r="B323" t="s">
        <v>66</v>
      </c>
      <c r="C323" t="s">
        <v>40</v>
      </c>
      <c r="D323">
        <v>1.7672946929558845E-3</v>
      </c>
      <c r="E323" t="s">
        <v>6</v>
      </c>
      <c r="G323" t="s">
        <v>67</v>
      </c>
      <c r="H323" t="s">
        <v>40</v>
      </c>
      <c r="I323">
        <v>2.2136905201537441E-2</v>
      </c>
      <c r="J323" t="s">
        <v>6</v>
      </c>
      <c r="L323" t="s">
        <v>68</v>
      </c>
      <c r="M323" t="s">
        <v>40</v>
      </c>
      <c r="N323">
        <v>2.2301998719251401E-2</v>
      </c>
      <c r="O323" t="s">
        <v>6</v>
      </c>
    </row>
    <row r="324" spans="2:15" x14ac:dyDescent="0.45">
      <c r="B324" t="s">
        <v>66</v>
      </c>
      <c r="C324" t="s">
        <v>41</v>
      </c>
      <c r="D324">
        <v>2.3707021155306953E-2</v>
      </c>
      <c r="E324" t="s">
        <v>6</v>
      </c>
      <c r="G324" t="s">
        <v>67</v>
      </c>
      <c r="H324" t="s">
        <v>41</v>
      </c>
      <c r="I324">
        <v>2.1402374844053336E-2</v>
      </c>
      <c r="J324" t="s">
        <v>6</v>
      </c>
      <c r="L324" t="s">
        <v>68</v>
      </c>
      <c r="M324" t="s">
        <v>41</v>
      </c>
      <c r="N324">
        <v>2.2851870439771455E-2</v>
      </c>
      <c r="O324" t="s">
        <v>6</v>
      </c>
    </row>
    <row r="325" spans="2:15" x14ac:dyDescent="0.45">
      <c r="B325" t="s">
        <v>66</v>
      </c>
      <c r="C325" t="s">
        <v>42</v>
      </c>
      <c r="D325">
        <v>5.0265298061067339E-2</v>
      </c>
      <c r="E325" t="s">
        <v>6</v>
      </c>
      <c r="G325" t="s">
        <v>67</v>
      </c>
      <c r="H325" t="s">
        <v>42</v>
      </c>
      <c r="I325">
        <v>1.9861345560319335E-2</v>
      </c>
      <c r="J325" t="s">
        <v>6</v>
      </c>
      <c r="L325" t="s">
        <v>68</v>
      </c>
      <c r="M325" t="s">
        <v>42</v>
      </c>
      <c r="N325">
        <v>2.3326337773083877E-2</v>
      </c>
      <c r="O325" t="s">
        <v>6</v>
      </c>
    </row>
    <row r="326" spans="2:15" x14ac:dyDescent="0.45">
      <c r="B326" t="s">
        <v>66</v>
      </c>
      <c r="C326" t="s">
        <v>43</v>
      </c>
      <c r="D326">
        <v>5.6329600146318722E-2</v>
      </c>
      <c r="E326" t="s">
        <v>6</v>
      </c>
      <c r="G326" t="s">
        <v>67</v>
      </c>
      <c r="H326" t="s">
        <v>43</v>
      </c>
      <c r="I326">
        <v>2.2339510760254987E-2</v>
      </c>
      <c r="J326" t="s">
        <v>6</v>
      </c>
      <c r="L326" t="s">
        <v>68</v>
      </c>
      <c r="M326" t="s">
        <v>43</v>
      </c>
      <c r="N326">
        <v>2.3896221473195953E-2</v>
      </c>
      <c r="O326" t="s">
        <v>6</v>
      </c>
    </row>
    <row r="327" spans="2:15" x14ac:dyDescent="0.45">
      <c r="B327" t="s">
        <v>66</v>
      </c>
      <c r="C327" t="s">
        <v>44</v>
      </c>
      <c r="D327">
        <v>4.169056692402668E-2</v>
      </c>
      <c r="E327" t="s">
        <v>6</v>
      </c>
      <c r="G327" t="s">
        <v>67</v>
      </c>
      <c r="H327" t="s">
        <v>44</v>
      </c>
      <c r="I327">
        <v>2.3029809694633439E-2</v>
      </c>
      <c r="J327" t="s">
        <v>6</v>
      </c>
      <c r="L327" t="s">
        <v>68</v>
      </c>
      <c r="M327" t="s">
        <v>44</v>
      </c>
      <c r="N327">
        <v>2.4539479089271836E-2</v>
      </c>
      <c r="O327" t="s">
        <v>6</v>
      </c>
    </row>
    <row r="328" spans="2:15" x14ac:dyDescent="0.45">
      <c r="B328" t="s">
        <v>66</v>
      </c>
      <c r="C328" t="s">
        <v>45</v>
      </c>
      <c r="D328">
        <v>1.4536561647481776E-2</v>
      </c>
      <c r="E328" t="s">
        <v>6</v>
      </c>
      <c r="G328" t="s">
        <v>67</v>
      </c>
      <c r="H328" t="s">
        <v>45</v>
      </c>
      <c r="I328">
        <v>2.300698247765191E-2</v>
      </c>
      <c r="J328" t="s">
        <v>6</v>
      </c>
      <c r="L328" t="s">
        <v>68</v>
      </c>
      <c r="M328" t="s">
        <v>45</v>
      </c>
      <c r="N328">
        <v>2.4663238670164858E-2</v>
      </c>
      <c r="O328" t="s">
        <v>6</v>
      </c>
    </row>
    <row r="329" spans="2:15" x14ac:dyDescent="0.45">
      <c r="B329" t="s">
        <v>66</v>
      </c>
      <c r="C329" t="s">
        <v>46</v>
      </c>
      <c r="D329">
        <v>5.4972044500416922E-4</v>
      </c>
      <c r="E329" t="s">
        <v>6</v>
      </c>
      <c r="G329" t="s">
        <v>67</v>
      </c>
      <c r="H329" t="s">
        <v>46</v>
      </c>
      <c r="I329">
        <v>2.4098512987991632E-2</v>
      </c>
      <c r="J329" t="s">
        <v>6</v>
      </c>
      <c r="L329" t="s">
        <v>68</v>
      </c>
      <c r="M329" t="s">
        <v>46</v>
      </c>
      <c r="N329">
        <v>2.5671229054844043E-2</v>
      </c>
      <c r="O329" t="s">
        <v>6</v>
      </c>
    </row>
    <row r="330" spans="2:15" x14ac:dyDescent="0.45">
      <c r="B330" t="s">
        <v>66</v>
      </c>
      <c r="C330" t="s">
        <v>47</v>
      </c>
      <c r="D330">
        <v>0</v>
      </c>
      <c r="E330" t="s">
        <v>6</v>
      </c>
      <c r="G330" t="s">
        <v>67</v>
      </c>
      <c r="H330" t="s">
        <v>47</v>
      </c>
      <c r="I330">
        <v>3.6571472777499107E-2</v>
      </c>
      <c r="J330" t="s">
        <v>6</v>
      </c>
      <c r="L330" t="s">
        <v>68</v>
      </c>
      <c r="M330" t="s">
        <v>47</v>
      </c>
      <c r="N330">
        <v>3.7761223443936238E-2</v>
      </c>
      <c r="O330" t="s">
        <v>6</v>
      </c>
    </row>
    <row r="331" spans="2:15" x14ac:dyDescent="0.45">
      <c r="B331" t="s">
        <v>69</v>
      </c>
      <c r="C331" t="s">
        <v>5</v>
      </c>
      <c r="D331">
        <v>0</v>
      </c>
      <c r="E331" t="s">
        <v>6</v>
      </c>
      <c r="G331" t="s">
        <v>70</v>
      </c>
      <c r="H331" t="s">
        <v>5</v>
      </c>
      <c r="I331">
        <v>6.7472814902363648E-2</v>
      </c>
      <c r="J331" t="s">
        <v>6</v>
      </c>
      <c r="L331" t="s">
        <v>71</v>
      </c>
      <c r="M331" t="s">
        <v>5</v>
      </c>
      <c r="N331">
        <v>6.763825025006974E-2</v>
      </c>
      <c r="O331" t="s">
        <v>6</v>
      </c>
    </row>
    <row r="332" spans="2:15" x14ac:dyDescent="0.45">
      <c r="B332" t="s">
        <v>69</v>
      </c>
      <c r="C332" t="s">
        <v>9</v>
      </c>
      <c r="D332">
        <v>0</v>
      </c>
      <c r="E332" t="s">
        <v>6</v>
      </c>
      <c r="G332" t="s">
        <v>70</v>
      </c>
      <c r="H332" t="s">
        <v>9</v>
      </c>
      <c r="I332">
        <v>2.6073531057503842E-2</v>
      </c>
      <c r="J332" t="s">
        <v>6</v>
      </c>
      <c r="L332" t="s">
        <v>71</v>
      </c>
      <c r="M332" t="s">
        <v>9</v>
      </c>
      <c r="N332">
        <v>2.6710144905145602E-2</v>
      </c>
      <c r="O332" t="s">
        <v>6</v>
      </c>
    </row>
    <row r="333" spans="2:15" x14ac:dyDescent="0.45">
      <c r="B333" t="s">
        <v>69</v>
      </c>
      <c r="C333" t="s">
        <v>10</v>
      </c>
      <c r="D333">
        <v>0</v>
      </c>
      <c r="E333" t="s">
        <v>6</v>
      </c>
      <c r="G333" t="s">
        <v>70</v>
      </c>
      <c r="H333" t="s">
        <v>10</v>
      </c>
      <c r="I333">
        <v>2.5898290604286892E-2</v>
      </c>
      <c r="J333" t="s">
        <v>6</v>
      </c>
      <c r="L333" t="s">
        <v>71</v>
      </c>
      <c r="M333" t="s">
        <v>10</v>
      </c>
      <c r="N333">
        <v>2.6195752923539973E-2</v>
      </c>
      <c r="O333" t="s">
        <v>6</v>
      </c>
    </row>
    <row r="334" spans="2:15" x14ac:dyDescent="0.45">
      <c r="B334" t="s">
        <v>69</v>
      </c>
      <c r="C334" t="s">
        <v>11</v>
      </c>
      <c r="D334">
        <v>6.5099946886142115E-3</v>
      </c>
      <c r="E334" t="s">
        <v>6</v>
      </c>
      <c r="G334" t="s">
        <v>70</v>
      </c>
      <c r="H334" t="s">
        <v>11</v>
      </c>
      <c r="I334">
        <v>2.527818004157226E-2</v>
      </c>
      <c r="J334" t="s">
        <v>6</v>
      </c>
      <c r="L334" t="s">
        <v>71</v>
      </c>
      <c r="M334" t="s">
        <v>11</v>
      </c>
      <c r="N334">
        <v>2.4641726460276601E-2</v>
      </c>
      <c r="O334" t="s">
        <v>6</v>
      </c>
    </row>
    <row r="335" spans="2:15" x14ac:dyDescent="0.45">
      <c r="B335" t="s">
        <v>69</v>
      </c>
      <c r="C335" t="s">
        <v>12</v>
      </c>
      <c r="D335">
        <v>3.2183287072805641E-2</v>
      </c>
      <c r="E335" t="s">
        <v>6</v>
      </c>
      <c r="G335" t="s">
        <v>70</v>
      </c>
      <c r="H335" t="s">
        <v>12</v>
      </c>
      <c r="I335">
        <v>2.2045368275870985E-2</v>
      </c>
      <c r="J335" t="s">
        <v>6</v>
      </c>
      <c r="L335" t="s">
        <v>71</v>
      </c>
      <c r="M335" t="s">
        <v>12</v>
      </c>
      <c r="N335">
        <v>2.3533171709895676E-2</v>
      </c>
      <c r="O335" t="s">
        <v>6</v>
      </c>
    </row>
    <row r="336" spans="2:15" x14ac:dyDescent="0.45">
      <c r="B336" t="s">
        <v>69</v>
      </c>
      <c r="C336" t="s">
        <v>13</v>
      </c>
      <c r="D336">
        <v>4.6662102930480689E-2</v>
      </c>
      <c r="E336" t="s">
        <v>6</v>
      </c>
      <c r="G336" t="s">
        <v>70</v>
      </c>
      <c r="H336" t="s">
        <v>13</v>
      </c>
      <c r="I336">
        <v>2.315321811998091E-2</v>
      </c>
      <c r="J336" t="s">
        <v>6</v>
      </c>
      <c r="L336" t="s">
        <v>71</v>
      </c>
      <c r="M336" t="s">
        <v>13</v>
      </c>
      <c r="N336">
        <v>2.2924752232610996E-2</v>
      </c>
      <c r="O336" t="s">
        <v>6</v>
      </c>
    </row>
    <row r="337" spans="2:15" x14ac:dyDescent="0.45">
      <c r="B337" t="s">
        <v>69</v>
      </c>
      <c r="C337" t="s">
        <v>14</v>
      </c>
      <c r="D337">
        <v>3.7695211514987122E-2</v>
      </c>
      <c r="E337" t="s">
        <v>6</v>
      </c>
      <c r="G337" t="s">
        <v>70</v>
      </c>
      <c r="H337" t="s">
        <v>14</v>
      </c>
      <c r="I337">
        <v>2.3489988738129242E-2</v>
      </c>
      <c r="J337" t="s">
        <v>6</v>
      </c>
      <c r="L337" t="s">
        <v>71</v>
      </c>
      <c r="M337" t="s">
        <v>14</v>
      </c>
      <c r="N337">
        <v>2.3134976439407592E-2</v>
      </c>
      <c r="O337" t="s">
        <v>6</v>
      </c>
    </row>
    <row r="338" spans="2:15" x14ac:dyDescent="0.45">
      <c r="B338" t="s">
        <v>69</v>
      </c>
      <c r="C338" t="s">
        <v>15</v>
      </c>
      <c r="D338">
        <v>1.2842563781501611E-2</v>
      </c>
      <c r="E338" t="s">
        <v>6</v>
      </c>
      <c r="G338" t="s">
        <v>70</v>
      </c>
      <c r="H338" t="s">
        <v>15</v>
      </c>
      <c r="I338">
        <v>2.5342282515608328E-2</v>
      </c>
      <c r="J338" t="s">
        <v>6</v>
      </c>
      <c r="L338" t="s">
        <v>71</v>
      </c>
      <c r="M338" t="s">
        <v>15</v>
      </c>
      <c r="N338">
        <v>2.4190945709728597E-2</v>
      </c>
      <c r="O338" t="s">
        <v>6</v>
      </c>
    </row>
    <row r="339" spans="2:15" x14ac:dyDescent="0.45">
      <c r="B339" t="s">
        <v>69</v>
      </c>
      <c r="C339" t="s">
        <v>16</v>
      </c>
      <c r="D339">
        <v>2.6573436734070815E-4</v>
      </c>
      <c r="E339" t="s">
        <v>6</v>
      </c>
      <c r="G339" t="s">
        <v>70</v>
      </c>
      <c r="H339" t="s">
        <v>16</v>
      </c>
      <c r="I339">
        <v>2.7053240666154672E-2</v>
      </c>
      <c r="J339" t="s">
        <v>6</v>
      </c>
      <c r="L339" t="s">
        <v>71</v>
      </c>
      <c r="M339" t="s">
        <v>16</v>
      </c>
      <c r="N339">
        <v>2.5700325746558495E-2</v>
      </c>
      <c r="O339" t="s">
        <v>6</v>
      </c>
    </row>
    <row r="340" spans="2:15" x14ac:dyDescent="0.45">
      <c r="B340" t="s">
        <v>69</v>
      </c>
      <c r="C340" t="s">
        <v>17</v>
      </c>
      <c r="D340">
        <v>0</v>
      </c>
      <c r="E340" t="s">
        <v>6</v>
      </c>
      <c r="G340" t="s">
        <v>70</v>
      </c>
      <c r="H340" t="s">
        <v>17</v>
      </c>
      <c r="I340">
        <v>4.0941309981865119E-2</v>
      </c>
      <c r="J340" t="s">
        <v>6</v>
      </c>
      <c r="L340" t="s">
        <v>71</v>
      </c>
      <c r="M340" t="s">
        <v>17</v>
      </c>
      <c r="N340">
        <v>4.0706922382567089E-2</v>
      </c>
      <c r="O340" t="s">
        <v>6</v>
      </c>
    </row>
    <row r="341" spans="2:15" x14ac:dyDescent="0.45">
      <c r="B341" t="s">
        <v>69</v>
      </c>
      <c r="C341" t="s">
        <v>18</v>
      </c>
      <c r="D341">
        <v>0</v>
      </c>
      <c r="E341" t="s">
        <v>6</v>
      </c>
      <c r="G341" t="s">
        <v>70</v>
      </c>
      <c r="H341" t="s">
        <v>18</v>
      </c>
      <c r="I341">
        <v>5.3403653880358018E-2</v>
      </c>
      <c r="J341" t="s">
        <v>6</v>
      </c>
      <c r="L341" t="s">
        <v>71</v>
      </c>
      <c r="M341" t="s">
        <v>18</v>
      </c>
      <c r="N341">
        <v>5.5662643590639889E-2</v>
      </c>
      <c r="O341" t="s">
        <v>6</v>
      </c>
    </row>
    <row r="342" spans="2:15" x14ac:dyDescent="0.45">
      <c r="B342" t="s">
        <v>69</v>
      </c>
      <c r="C342" t="s">
        <v>19</v>
      </c>
      <c r="D342">
        <v>2.2341308552298535E-6</v>
      </c>
      <c r="E342" t="s">
        <v>6</v>
      </c>
      <c r="G342" t="s">
        <v>70</v>
      </c>
      <c r="H342" t="s">
        <v>19</v>
      </c>
      <c r="I342">
        <v>2.1459233581900123E-2</v>
      </c>
      <c r="J342" t="s">
        <v>6</v>
      </c>
      <c r="L342" t="s">
        <v>71</v>
      </c>
      <c r="M342" t="s">
        <v>19</v>
      </c>
      <c r="N342">
        <v>2.2972157076922503E-2</v>
      </c>
      <c r="O342" t="s">
        <v>6</v>
      </c>
    </row>
    <row r="343" spans="2:15" x14ac:dyDescent="0.45">
      <c r="B343" t="s">
        <v>69</v>
      </c>
      <c r="C343" t="s">
        <v>20</v>
      </c>
      <c r="D343">
        <v>4.552891111536065E-3</v>
      </c>
      <c r="E343" t="s">
        <v>6</v>
      </c>
      <c r="G343" t="s">
        <v>70</v>
      </c>
      <c r="H343" t="s">
        <v>20</v>
      </c>
      <c r="I343">
        <v>2.0983234090273847E-2</v>
      </c>
      <c r="J343" t="s">
        <v>6</v>
      </c>
      <c r="L343" t="s">
        <v>71</v>
      </c>
      <c r="M343" t="s">
        <v>20</v>
      </c>
      <c r="N343">
        <v>2.2640076428020461E-2</v>
      </c>
      <c r="O343" t="s">
        <v>6</v>
      </c>
    </row>
    <row r="344" spans="2:15" x14ac:dyDescent="0.45">
      <c r="B344" t="s">
        <v>69</v>
      </c>
      <c r="C344" t="s">
        <v>21</v>
      </c>
      <c r="D344">
        <v>3.419205741682807E-2</v>
      </c>
      <c r="E344" t="s">
        <v>6</v>
      </c>
      <c r="G344" t="s">
        <v>70</v>
      </c>
      <c r="H344" t="s">
        <v>21</v>
      </c>
      <c r="I344">
        <v>1.9795732800116327E-2</v>
      </c>
      <c r="J344" t="s">
        <v>6</v>
      </c>
      <c r="L344" t="s">
        <v>71</v>
      </c>
      <c r="M344" t="s">
        <v>21</v>
      </c>
      <c r="N344">
        <v>2.1274362199150017E-2</v>
      </c>
      <c r="O344" t="s">
        <v>6</v>
      </c>
    </row>
    <row r="345" spans="2:15" x14ac:dyDescent="0.45">
      <c r="B345" t="s">
        <v>69</v>
      </c>
      <c r="C345" t="s">
        <v>22</v>
      </c>
      <c r="D345">
        <v>6.6581118212701407E-2</v>
      </c>
      <c r="E345" t="s">
        <v>6</v>
      </c>
      <c r="G345" t="s">
        <v>70</v>
      </c>
      <c r="H345" t="s">
        <v>22</v>
      </c>
      <c r="I345">
        <v>1.5812872746140103E-2</v>
      </c>
      <c r="J345" t="s">
        <v>6</v>
      </c>
      <c r="L345" t="s">
        <v>71</v>
      </c>
      <c r="M345" t="s">
        <v>22</v>
      </c>
      <c r="N345">
        <v>2.052897215154206E-2</v>
      </c>
      <c r="O345" t="s">
        <v>6</v>
      </c>
    </row>
    <row r="346" spans="2:15" x14ac:dyDescent="0.45">
      <c r="B346" t="s">
        <v>69</v>
      </c>
      <c r="C346" t="s">
        <v>23</v>
      </c>
      <c r="D346">
        <v>8.0290002528258284E-2</v>
      </c>
      <c r="E346" t="s">
        <v>6</v>
      </c>
      <c r="G346" t="s">
        <v>70</v>
      </c>
      <c r="H346" t="s">
        <v>23</v>
      </c>
      <c r="I346">
        <v>1.8068122040624128E-2</v>
      </c>
      <c r="J346" t="s">
        <v>6</v>
      </c>
      <c r="L346" t="s">
        <v>71</v>
      </c>
      <c r="M346" t="s">
        <v>23</v>
      </c>
      <c r="N346">
        <v>2.13325378287661E-2</v>
      </c>
      <c r="O346" t="s">
        <v>6</v>
      </c>
    </row>
    <row r="347" spans="2:15" x14ac:dyDescent="0.45">
      <c r="B347" t="s">
        <v>69</v>
      </c>
      <c r="C347" t="s">
        <v>24</v>
      </c>
      <c r="D347">
        <v>7.0268890584346808E-2</v>
      </c>
      <c r="E347" t="s">
        <v>6</v>
      </c>
      <c r="G347" t="s">
        <v>70</v>
      </c>
      <c r="H347" t="s">
        <v>24</v>
      </c>
      <c r="I347">
        <v>1.9460378692837933E-2</v>
      </c>
      <c r="J347" t="s">
        <v>6</v>
      </c>
      <c r="L347" t="s">
        <v>71</v>
      </c>
      <c r="M347" t="s">
        <v>24</v>
      </c>
      <c r="N347">
        <v>2.3015162075839056E-2</v>
      </c>
      <c r="O347" t="s">
        <v>6</v>
      </c>
    </row>
    <row r="348" spans="2:15" x14ac:dyDescent="0.45">
      <c r="B348" t="s">
        <v>69</v>
      </c>
      <c r="C348" t="s">
        <v>25</v>
      </c>
      <c r="D348">
        <v>4.161175724408657E-2</v>
      </c>
      <c r="E348" t="s">
        <v>6</v>
      </c>
      <c r="G348" t="s">
        <v>70</v>
      </c>
      <c r="H348" t="s">
        <v>25</v>
      </c>
      <c r="I348">
        <v>1.9477197553809077E-2</v>
      </c>
      <c r="J348" t="s">
        <v>6</v>
      </c>
      <c r="L348" t="s">
        <v>71</v>
      </c>
      <c r="M348" t="s">
        <v>25</v>
      </c>
      <c r="N348">
        <v>2.3852832292036427E-2</v>
      </c>
      <c r="O348" t="s">
        <v>6</v>
      </c>
    </row>
    <row r="349" spans="2:15" x14ac:dyDescent="0.45">
      <c r="B349" t="s">
        <v>69</v>
      </c>
      <c r="C349" t="s">
        <v>26</v>
      </c>
      <c r="D349">
        <v>7.8732292418350093E-3</v>
      </c>
      <c r="E349" t="s">
        <v>6</v>
      </c>
      <c r="G349" t="s">
        <v>70</v>
      </c>
      <c r="H349" t="s">
        <v>26</v>
      </c>
      <c r="I349">
        <v>2.0253590543122341E-2</v>
      </c>
      <c r="J349" t="s">
        <v>6</v>
      </c>
      <c r="L349" t="s">
        <v>71</v>
      </c>
      <c r="M349" t="s">
        <v>26</v>
      </c>
      <c r="N349">
        <v>2.3008473251232342E-2</v>
      </c>
      <c r="O349" t="s">
        <v>6</v>
      </c>
    </row>
    <row r="350" spans="2:15" x14ac:dyDescent="0.45">
      <c r="B350" t="s">
        <v>69</v>
      </c>
      <c r="C350" t="s">
        <v>27</v>
      </c>
      <c r="D350">
        <v>4.7783447026815724E-5</v>
      </c>
      <c r="E350" t="s">
        <v>6</v>
      </c>
      <c r="G350" t="s">
        <v>70</v>
      </c>
      <c r="H350" t="s">
        <v>27</v>
      </c>
      <c r="I350">
        <v>3.2196366598730514E-2</v>
      </c>
      <c r="J350" t="s">
        <v>6</v>
      </c>
      <c r="L350" t="s">
        <v>71</v>
      </c>
      <c r="M350" t="s">
        <v>27</v>
      </c>
      <c r="N350">
        <v>3.1949487485770763E-2</v>
      </c>
      <c r="O350" t="s">
        <v>6</v>
      </c>
    </row>
    <row r="351" spans="2:15" x14ac:dyDescent="0.45">
      <c r="B351" t="s">
        <v>69</v>
      </c>
      <c r="C351" t="s">
        <v>28</v>
      </c>
      <c r="D351">
        <v>0</v>
      </c>
      <c r="E351" t="s">
        <v>6</v>
      </c>
      <c r="G351" t="s">
        <v>70</v>
      </c>
      <c r="H351" t="s">
        <v>28</v>
      </c>
      <c r="I351">
        <v>4.2078518412174387E-2</v>
      </c>
      <c r="J351" t="s">
        <v>6</v>
      </c>
      <c r="L351" t="s">
        <v>71</v>
      </c>
      <c r="M351" t="s">
        <v>28</v>
      </c>
      <c r="N351">
        <v>3.0284669754775669E-2</v>
      </c>
      <c r="O351" t="s">
        <v>6</v>
      </c>
    </row>
    <row r="352" spans="2:15" x14ac:dyDescent="0.45">
      <c r="B352" t="s">
        <v>69</v>
      </c>
      <c r="C352" t="s">
        <v>29</v>
      </c>
      <c r="D352">
        <v>3.3553146755859285E-5</v>
      </c>
      <c r="E352" t="s">
        <v>6</v>
      </c>
      <c r="G352" t="s">
        <v>70</v>
      </c>
      <c r="H352" t="s">
        <v>29</v>
      </c>
      <c r="I352">
        <v>1.5267677367068827E-2</v>
      </c>
      <c r="J352" t="s">
        <v>6</v>
      </c>
      <c r="L352" t="s">
        <v>71</v>
      </c>
      <c r="M352" t="s">
        <v>29</v>
      </c>
      <c r="N352">
        <v>1.031192849187694E-2</v>
      </c>
      <c r="O352" t="s">
        <v>6</v>
      </c>
    </row>
    <row r="353" spans="2:15" x14ac:dyDescent="0.45">
      <c r="B353" t="s">
        <v>69</v>
      </c>
      <c r="C353" t="s">
        <v>30</v>
      </c>
      <c r="D353">
        <v>7.3012108080266766E-3</v>
      </c>
      <c r="E353" t="s">
        <v>6</v>
      </c>
      <c r="G353" t="s">
        <v>70</v>
      </c>
      <c r="H353" t="s">
        <v>30</v>
      </c>
      <c r="I353">
        <v>1.2789568306905074E-2</v>
      </c>
      <c r="J353" t="s">
        <v>6</v>
      </c>
      <c r="L353" t="s">
        <v>71</v>
      </c>
      <c r="M353" t="s">
        <v>30</v>
      </c>
      <c r="N353">
        <v>9.354294989996164E-3</v>
      </c>
      <c r="O353" t="s">
        <v>6</v>
      </c>
    </row>
    <row r="354" spans="2:15" x14ac:dyDescent="0.45">
      <c r="B354" t="s">
        <v>69</v>
      </c>
      <c r="C354" t="s">
        <v>31</v>
      </c>
      <c r="D354">
        <v>4.0405315187009454E-2</v>
      </c>
      <c r="E354" t="s">
        <v>6</v>
      </c>
      <c r="G354" t="s">
        <v>70</v>
      </c>
      <c r="H354" t="s">
        <v>31</v>
      </c>
      <c r="I354">
        <v>1.145967191847733E-2</v>
      </c>
      <c r="J354" t="s">
        <v>6</v>
      </c>
      <c r="L354" t="s">
        <v>71</v>
      </c>
      <c r="M354" t="s">
        <v>31</v>
      </c>
      <c r="N354">
        <v>8.7007720231242654E-3</v>
      </c>
      <c r="O354" t="s">
        <v>6</v>
      </c>
    </row>
    <row r="355" spans="2:15" x14ac:dyDescent="0.45">
      <c r="B355" t="s">
        <v>69</v>
      </c>
      <c r="C355" t="s">
        <v>32</v>
      </c>
      <c r="D355">
        <v>7.2984883909172391E-2</v>
      </c>
      <c r="E355" t="s">
        <v>6</v>
      </c>
      <c r="G355" t="s">
        <v>70</v>
      </c>
      <c r="H355" t="s">
        <v>32</v>
      </c>
      <c r="I355">
        <v>9.994427437767836E-3</v>
      </c>
      <c r="J355" t="s">
        <v>6</v>
      </c>
      <c r="L355" t="s">
        <v>71</v>
      </c>
      <c r="M355" t="s">
        <v>32</v>
      </c>
      <c r="N355">
        <v>9.0081863171739534E-3</v>
      </c>
      <c r="O355" t="s">
        <v>6</v>
      </c>
    </row>
    <row r="356" spans="2:15" x14ac:dyDescent="0.45">
      <c r="B356" t="s">
        <v>69</v>
      </c>
      <c r="C356" t="s">
        <v>33</v>
      </c>
      <c r="D356">
        <v>8.7206400054358202E-2</v>
      </c>
      <c r="E356" t="s">
        <v>6</v>
      </c>
      <c r="G356" t="s">
        <v>70</v>
      </c>
      <c r="H356" t="s">
        <v>33</v>
      </c>
      <c r="I356">
        <v>1.1673503386955626E-2</v>
      </c>
      <c r="J356" t="s">
        <v>6</v>
      </c>
      <c r="L356" t="s">
        <v>71</v>
      </c>
      <c r="M356" t="s">
        <v>33</v>
      </c>
      <c r="N356">
        <v>1.210802975550164E-2</v>
      </c>
      <c r="O356" t="s">
        <v>6</v>
      </c>
    </row>
    <row r="357" spans="2:15" x14ac:dyDescent="0.45">
      <c r="B357" t="s">
        <v>69</v>
      </c>
      <c r="C357" t="s">
        <v>34</v>
      </c>
      <c r="D357">
        <v>7.9741735523433749E-2</v>
      </c>
      <c r="E357" t="s">
        <v>6</v>
      </c>
      <c r="G357" t="s">
        <v>70</v>
      </c>
      <c r="H357" t="s">
        <v>34</v>
      </c>
      <c r="I357">
        <v>1.251071312580012E-2</v>
      </c>
      <c r="J357" t="s">
        <v>6</v>
      </c>
      <c r="L357" t="s">
        <v>71</v>
      </c>
      <c r="M357" t="s">
        <v>34</v>
      </c>
      <c r="N357">
        <v>1.7063406583212953E-2</v>
      </c>
      <c r="O357" t="s">
        <v>6</v>
      </c>
    </row>
    <row r="358" spans="2:15" x14ac:dyDescent="0.45">
      <c r="B358" t="s">
        <v>69</v>
      </c>
      <c r="C358" t="s">
        <v>35</v>
      </c>
      <c r="D358">
        <v>5.2345799496348711E-2</v>
      </c>
      <c r="E358" t="s">
        <v>6</v>
      </c>
      <c r="G358" t="s">
        <v>70</v>
      </c>
      <c r="H358" t="s">
        <v>35</v>
      </c>
      <c r="I358">
        <v>1.2748479672990096E-2</v>
      </c>
      <c r="J358" t="s">
        <v>6</v>
      </c>
      <c r="L358" t="s">
        <v>71</v>
      </c>
      <c r="M358" t="s">
        <v>35</v>
      </c>
      <c r="N358">
        <v>1.9173031002422236E-2</v>
      </c>
      <c r="O358" t="s">
        <v>6</v>
      </c>
    </row>
    <row r="359" spans="2:15" x14ac:dyDescent="0.45">
      <c r="B359" t="s">
        <v>69</v>
      </c>
      <c r="C359" t="s">
        <v>36</v>
      </c>
      <c r="D359">
        <v>1.3983146986407182E-2</v>
      </c>
      <c r="E359" t="s">
        <v>6</v>
      </c>
      <c r="G359" t="s">
        <v>70</v>
      </c>
      <c r="H359" t="s">
        <v>36</v>
      </c>
      <c r="I359">
        <v>1.3622838425448591E-2</v>
      </c>
      <c r="J359" t="s">
        <v>6</v>
      </c>
      <c r="L359" t="s">
        <v>71</v>
      </c>
      <c r="M359" t="s">
        <v>36</v>
      </c>
      <c r="N359">
        <v>1.8911796584631786E-2</v>
      </c>
      <c r="O359" t="s">
        <v>6</v>
      </c>
    </row>
    <row r="360" spans="2:15" x14ac:dyDescent="0.45">
      <c r="B360" t="s">
        <v>69</v>
      </c>
      <c r="C360" t="s">
        <v>37</v>
      </c>
      <c r="D360">
        <v>4.1753758886640822E-4</v>
      </c>
      <c r="E360" t="s">
        <v>6</v>
      </c>
      <c r="G360" t="s">
        <v>70</v>
      </c>
      <c r="H360" t="s">
        <v>37</v>
      </c>
      <c r="I360">
        <v>2.5303155910658435E-2</v>
      </c>
      <c r="J360" t="s">
        <v>6</v>
      </c>
      <c r="L360" t="s">
        <v>71</v>
      </c>
      <c r="M360" t="s">
        <v>37</v>
      </c>
      <c r="N360">
        <v>2.3826886749071925E-2</v>
      </c>
      <c r="O360" t="s">
        <v>6</v>
      </c>
    </row>
    <row r="361" spans="2:15" x14ac:dyDescent="0.45">
      <c r="B361" t="s">
        <v>69</v>
      </c>
      <c r="C361" t="s">
        <v>38</v>
      </c>
      <c r="D361">
        <v>0</v>
      </c>
      <c r="E361" t="s">
        <v>6</v>
      </c>
      <c r="G361" t="s">
        <v>70</v>
      </c>
      <c r="H361" t="s">
        <v>38</v>
      </c>
      <c r="I361">
        <v>6.1646935102435269E-2</v>
      </c>
      <c r="J361" t="s">
        <v>6</v>
      </c>
      <c r="L361" t="s">
        <v>71</v>
      </c>
      <c r="M361" t="s">
        <v>38</v>
      </c>
      <c r="N361">
        <v>5.5704054633576833E-2</v>
      </c>
      <c r="O361" t="s">
        <v>6</v>
      </c>
    </row>
    <row r="362" spans="2:15" x14ac:dyDescent="0.45">
      <c r="B362" t="s">
        <v>69</v>
      </c>
      <c r="C362" t="s">
        <v>39</v>
      </c>
      <c r="D362">
        <v>0</v>
      </c>
      <c r="E362" t="s">
        <v>6</v>
      </c>
      <c r="G362" t="s">
        <v>70</v>
      </c>
      <c r="H362" t="s">
        <v>39</v>
      </c>
      <c r="I362">
        <v>2.339836935985519E-2</v>
      </c>
      <c r="J362" t="s">
        <v>6</v>
      </c>
      <c r="L362" t="s">
        <v>71</v>
      </c>
      <c r="M362" t="s">
        <v>39</v>
      </c>
      <c r="N362">
        <v>2.2373578914087228E-2</v>
      </c>
      <c r="O362" t="s">
        <v>6</v>
      </c>
    </row>
    <row r="363" spans="2:15" x14ac:dyDescent="0.45">
      <c r="B363" t="s">
        <v>69</v>
      </c>
      <c r="C363" t="s">
        <v>40</v>
      </c>
      <c r="D363">
        <v>7.4204432671846595E-4</v>
      </c>
      <c r="E363" t="s">
        <v>6</v>
      </c>
      <c r="G363" t="s">
        <v>70</v>
      </c>
      <c r="H363" t="s">
        <v>40</v>
      </c>
      <c r="I363">
        <v>2.3232425086229382E-2</v>
      </c>
      <c r="J363" t="s">
        <v>6</v>
      </c>
      <c r="L363" t="s">
        <v>71</v>
      </c>
      <c r="M363" t="s">
        <v>40</v>
      </c>
      <c r="N363">
        <v>2.2618708684605599E-2</v>
      </c>
      <c r="O363" t="s">
        <v>6</v>
      </c>
    </row>
    <row r="364" spans="2:15" x14ac:dyDescent="0.45">
      <c r="B364" t="s">
        <v>69</v>
      </c>
      <c r="C364" t="s">
        <v>41</v>
      </c>
      <c r="D364">
        <v>1.8875591586381621E-2</v>
      </c>
      <c r="E364" t="s">
        <v>6</v>
      </c>
      <c r="G364" t="s">
        <v>70</v>
      </c>
      <c r="H364" t="s">
        <v>41</v>
      </c>
      <c r="I364">
        <v>2.2380372313088193E-2</v>
      </c>
      <c r="J364" t="s">
        <v>6</v>
      </c>
      <c r="L364" t="s">
        <v>71</v>
      </c>
      <c r="M364" t="s">
        <v>41</v>
      </c>
      <c r="N364">
        <v>2.1083238850966225E-2</v>
      </c>
      <c r="O364" t="s">
        <v>6</v>
      </c>
    </row>
    <row r="365" spans="2:15" x14ac:dyDescent="0.45">
      <c r="B365" t="s">
        <v>69</v>
      </c>
      <c r="C365" t="s">
        <v>42</v>
      </c>
      <c r="D365">
        <v>4.9557869550240247E-2</v>
      </c>
      <c r="E365" t="s">
        <v>6</v>
      </c>
      <c r="G365" t="s">
        <v>70</v>
      </c>
      <c r="H365" t="s">
        <v>42</v>
      </c>
      <c r="I365">
        <v>2.0004410704799008E-2</v>
      </c>
      <c r="J365" t="s">
        <v>6</v>
      </c>
      <c r="L365" t="s">
        <v>71</v>
      </c>
      <c r="M365" t="s">
        <v>42</v>
      </c>
      <c r="N365">
        <v>1.9902043187260524E-2</v>
      </c>
      <c r="O365" t="s">
        <v>6</v>
      </c>
    </row>
    <row r="366" spans="2:15" x14ac:dyDescent="0.45">
      <c r="B366" t="s">
        <v>69</v>
      </c>
      <c r="C366" t="s">
        <v>43</v>
      </c>
      <c r="D366">
        <v>6.1700666239965354E-2</v>
      </c>
      <c r="E366" t="s">
        <v>6</v>
      </c>
      <c r="G366" t="s">
        <v>70</v>
      </c>
      <c r="H366" t="s">
        <v>43</v>
      </c>
      <c r="I366">
        <v>2.201476045724474E-2</v>
      </c>
      <c r="J366" t="s">
        <v>6</v>
      </c>
      <c r="L366" t="s">
        <v>71</v>
      </c>
      <c r="M366" t="s">
        <v>43</v>
      </c>
      <c r="N366">
        <v>2.1280279610496708E-2</v>
      </c>
      <c r="O366" t="s">
        <v>6</v>
      </c>
    </row>
    <row r="367" spans="2:15" x14ac:dyDescent="0.45">
      <c r="B367" t="s">
        <v>69</v>
      </c>
      <c r="C367" t="s">
        <v>44</v>
      </c>
      <c r="D367">
        <v>5.0485889643831328E-2</v>
      </c>
      <c r="E367" t="s">
        <v>6</v>
      </c>
      <c r="G367" t="s">
        <v>70</v>
      </c>
      <c r="H367" t="s">
        <v>44</v>
      </c>
      <c r="I367">
        <v>2.2935310047941332E-2</v>
      </c>
      <c r="J367" t="s">
        <v>6</v>
      </c>
      <c r="L367" t="s">
        <v>71</v>
      </c>
      <c r="M367" t="s">
        <v>44</v>
      </c>
      <c r="N367">
        <v>2.2819484052708179E-2</v>
      </c>
      <c r="O367" t="s">
        <v>6</v>
      </c>
    </row>
    <row r="368" spans="2:15" x14ac:dyDescent="0.45">
      <c r="B368" t="s">
        <v>69</v>
      </c>
      <c r="C368" t="s">
        <v>45</v>
      </c>
      <c r="D368">
        <v>2.1257518570290082E-2</v>
      </c>
      <c r="E368" t="s">
        <v>6</v>
      </c>
      <c r="G368" t="s">
        <v>70</v>
      </c>
      <c r="H368" t="s">
        <v>45</v>
      </c>
      <c r="I368">
        <v>2.3968973411906007E-2</v>
      </c>
      <c r="J368" t="s">
        <v>6</v>
      </c>
      <c r="L368" t="s">
        <v>71</v>
      </c>
      <c r="M368" t="s">
        <v>45</v>
      </c>
      <c r="N368">
        <v>2.3866868483013826E-2</v>
      </c>
      <c r="O368" t="s">
        <v>6</v>
      </c>
    </row>
    <row r="369" spans="2:15" x14ac:dyDescent="0.45">
      <c r="B369" t="s">
        <v>69</v>
      </c>
      <c r="C369" t="s">
        <v>46</v>
      </c>
      <c r="D369">
        <v>1.3819791089943454E-3</v>
      </c>
      <c r="E369" t="s">
        <v>6</v>
      </c>
      <c r="G369" t="s">
        <v>70</v>
      </c>
      <c r="H369" t="s">
        <v>46</v>
      </c>
      <c r="I369">
        <v>2.5923144695650366E-2</v>
      </c>
      <c r="J369" t="s">
        <v>6</v>
      </c>
      <c r="L369" t="s">
        <v>71</v>
      </c>
      <c r="M369" t="s">
        <v>46</v>
      </c>
      <c r="N369">
        <v>2.437217238906738E-2</v>
      </c>
      <c r="O369" t="s">
        <v>6</v>
      </c>
    </row>
    <row r="370" spans="2:15" x14ac:dyDescent="0.45">
      <c r="B370" t="s">
        <v>69</v>
      </c>
      <c r="C370" t="s">
        <v>47</v>
      </c>
      <c r="D370">
        <v>0</v>
      </c>
      <c r="E370" t="s">
        <v>6</v>
      </c>
      <c r="G370" t="s">
        <v>70</v>
      </c>
      <c r="H370" t="s">
        <v>47</v>
      </c>
      <c r="I370">
        <v>3.9388137425353298E-2</v>
      </c>
      <c r="J370" t="s">
        <v>6</v>
      </c>
      <c r="L370" t="s">
        <v>71</v>
      </c>
      <c r="M370" t="s">
        <v>47</v>
      </c>
      <c r="N370">
        <v>3.562289580270759E-2</v>
      </c>
      <c r="O370" t="s">
        <v>6</v>
      </c>
    </row>
    <row r="371" spans="2:15" x14ac:dyDescent="0.45">
      <c r="B371" t="s">
        <v>72</v>
      </c>
      <c r="C371" t="s">
        <v>5</v>
      </c>
      <c r="D371">
        <v>0</v>
      </c>
      <c r="E371" t="s">
        <v>6</v>
      </c>
      <c r="G371" t="s">
        <v>73</v>
      </c>
      <c r="H371" t="s">
        <v>5</v>
      </c>
      <c r="I371">
        <v>6.7210246832630188E-2</v>
      </c>
      <c r="J371" t="s">
        <v>6</v>
      </c>
      <c r="L371" t="s">
        <v>74</v>
      </c>
      <c r="M371" t="s">
        <v>5</v>
      </c>
      <c r="N371">
        <v>8.0608868252634872E-2</v>
      </c>
      <c r="O371" t="s">
        <v>6</v>
      </c>
    </row>
    <row r="372" spans="2:15" x14ac:dyDescent="0.45">
      <c r="B372" t="s">
        <v>72</v>
      </c>
      <c r="C372" t="s">
        <v>9</v>
      </c>
      <c r="D372">
        <v>0</v>
      </c>
      <c r="E372" t="s">
        <v>6</v>
      </c>
      <c r="G372" t="s">
        <v>73</v>
      </c>
      <c r="H372" t="s">
        <v>9</v>
      </c>
      <c r="I372">
        <v>2.686422713471567E-2</v>
      </c>
      <c r="J372" t="s">
        <v>6</v>
      </c>
      <c r="L372" t="s">
        <v>74</v>
      </c>
      <c r="M372" t="s">
        <v>9</v>
      </c>
      <c r="N372">
        <v>3.0278397192396302E-2</v>
      </c>
      <c r="O372" t="s">
        <v>6</v>
      </c>
    </row>
    <row r="373" spans="2:15" x14ac:dyDescent="0.45">
      <c r="B373" t="s">
        <v>72</v>
      </c>
      <c r="C373" t="s">
        <v>10</v>
      </c>
      <c r="D373">
        <v>0</v>
      </c>
      <c r="E373" t="s">
        <v>6</v>
      </c>
      <c r="G373" t="s">
        <v>73</v>
      </c>
      <c r="H373" t="s">
        <v>10</v>
      </c>
      <c r="I373">
        <v>2.6900788081734909E-2</v>
      </c>
      <c r="J373" t="s">
        <v>6</v>
      </c>
      <c r="L373" t="s">
        <v>74</v>
      </c>
      <c r="M373" t="s">
        <v>10</v>
      </c>
      <c r="N373">
        <v>3.041732590657777E-2</v>
      </c>
      <c r="O373" t="s">
        <v>6</v>
      </c>
    </row>
    <row r="374" spans="2:15" x14ac:dyDescent="0.45">
      <c r="B374" t="s">
        <v>72</v>
      </c>
      <c r="C374" t="s">
        <v>11</v>
      </c>
      <c r="D374">
        <v>7.6825078674722363E-3</v>
      </c>
      <c r="E374" t="s">
        <v>6</v>
      </c>
      <c r="G374" t="s">
        <v>73</v>
      </c>
      <c r="H374" t="s">
        <v>11</v>
      </c>
      <c r="I374">
        <v>2.6318304023763436E-2</v>
      </c>
      <c r="J374" t="s">
        <v>6</v>
      </c>
      <c r="L374" t="s">
        <v>74</v>
      </c>
      <c r="M374" t="s">
        <v>11</v>
      </c>
      <c r="N374">
        <v>2.8419886399430272E-2</v>
      </c>
      <c r="O374" t="s">
        <v>6</v>
      </c>
    </row>
    <row r="375" spans="2:15" x14ac:dyDescent="0.45">
      <c r="B375" t="s">
        <v>72</v>
      </c>
      <c r="C375" t="s">
        <v>12</v>
      </c>
      <c r="D375">
        <v>3.3923904525819747E-2</v>
      </c>
      <c r="E375" t="s">
        <v>6</v>
      </c>
      <c r="G375" t="s">
        <v>73</v>
      </c>
      <c r="H375" t="s">
        <v>12</v>
      </c>
      <c r="I375">
        <v>2.1817374775600751E-2</v>
      </c>
      <c r="J375" t="s">
        <v>6</v>
      </c>
      <c r="L375" t="s">
        <v>74</v>
      </c>
      <c r="M375" t="s">
        <v>12</v>
      </c>
      <c r="N375">
        <v>2.7410626299004728E-2</v>
      </c>
      <c r="O375" t="s">
        <v>6</v>
      </c>
    </row>
    <row r="376" spans="2:15" x14ac:dyDescent="0.45">
      <c r="B376" t="s">
        <v>72</v>
      </c>
      <c r="C376" t="s">
        <v>13</v>
      </c>
      <c r="D376">
        <v>4.6488716097733918E-2</v>
      </c>
      <c r="E376" t="s">
        <v>6</v>
      </c>
      <c r="G376" t="s">
        <v>73</v>
      </c>
      <c r="H376" t="s">
        <v>13</v>
      </c>
      <c r="I376">
        <v>2.2150484628713069E-2</v>
      </c>
      <c r="J376" t="s">
        <v>6</v>
      </c>
      <c r="L376" t="s">
        <v>74</v>
      </c>
      <c r="M376" t="s">
        <v>13</v>
      </c>
      <c r="N376">
        <v>2.8064362329415032E-2</v>
      </c>
      <c r="O376" t="s">
        <v>6</v>
      </c>
    </row>
    <row r="377" spans="2:15" x14ac:dyDescent="0.45">
      <c r="B377" t="s">
        <v>72</v>
      </c>
      <c r="C377" t="s">
        <v>14</v>
      </c>
      <c r="D377">
        <v>3.5922379184444887E-2</v>
      </c>
      <c r="E377" t="s">
        <v>6</v>
      </c>
      <c r="G377" t="s">
        <v>73</v>
      </c>
      <c r="H377" t="s">
        <v>14</v>
      </c>
      <c r="I377">
        <v>2.352637204726685E-2</v>
      </c>
      <c r="J377" t="s">
        <v>6</v>
      </c>
      <c r="L377" t="s">
        <v>74</v>
      </c>
      <c r="M377" t="s">
        <v>14</v>
      </c>
      <c r="N377">
        <v>2.7874212493616532E-2</v>
      </c>
      <c r="O377" t="s">
        <v>6</v>
      </c>
    </row>
    <row r="378" spans="2:15" x14ac:dyDescent="0.45">
      <c r="B378" t="s">
        <v>72</v>
      </c>
      <c r="C378" t="s">
        <v>15</v>
      </c>
      <c r="D378">
        <v>1.0463949781552108E-2</v>
      </c>
      <c r="E378" t="s">
        <v>6</v>
      </c>
      <c r="G378" t="s">
        <v>73</v>
      </c>
      <c r="H378" t="s">
        <v>15</v>
      </c>
      <c r="I378">
        <v>2.5559931522861415E-2</v>
      </c>
      <c r="J378" t="s">
        <v>6</v>
      </c>
      <c r="L378" t="s">
        <v>74</v>
      </c>
      <c r="M378" t="s">
        <v>15</v>
      </c>
      <c r="N378">
        <v>2.7115016692492507E-2</v>
      </c>
      <c r="O378" t="s">
        <v>6</v>
      </c>
    </row>
    <row r="379" spans="2:15" x14ac:dyDescent="0.45">
      <c r="B379" t="s">
        <v>72</v>
      </c>
      <c r="C379" t="s">
        <v>16</v>
      </c>
      <c r="D379">
        <v>9.4596660855535216E-6</v>
      </c>
      <c r="E379" t="s">
        <v>6</v>
      </c>
      <c r="G379" t="s">
        <v>73</v>
      </c>
      <c r="H379" t="s">
        <v>16</v>
      </c>
      <c r="I379">
        <v>2.7459052124704147E-2</v>
      </c>
      <c r="J379" t="s">
        <v>6</v>
      </c>
      <c r="L379" t="s">
        <v>74</v>
      </c>
      <c r="M379" t="s">
        <v>16</v>
      </c>
      <c r="N379">
        <v>2.6356403489230948E-2</v>
      </c>
      <c r="O379" t="s">
        <v>6</v>
      </c>
    </row>
    <row r="380" spans="2:15" x14ac:dyDescent="0.45">
      <c r="B380" t="s">
        <v>72</v>
      </c>
      <c r="C380" t="s">
        <v>17</v>
      </c>
      <c r="D380">
        <v>0</v>
      </c>
      <c r="E380" t="s">
        <v>6</v>
      </c>
      <c r="G380" t="s">
        <v>73</v>
      </c>
      <c r="H380" t="s">
        <v>17</v>
      </c>
      <c r="I380">
        <v>4.0940135356176133E-2</v>
      </c>
      <c r="J380" t="s">
        <v>6</v>
      </c>
      <c r="L380" t="s">
        <v>74</v>
      </c>
      <c r="M380" t="s">
        <v>17</v>
      </c>
      <c r="N380">
        <v>4.2848698161552581E-2</v>
      </c>
      <c r="O380" t="s">
        <v>6</v>
      </c>
    </row>
    <row r="381" spans="2:15" x14ac:dyDescent="0.45">
      <c r="B381" t="s">
        <v>72</v>
      </c>
      <c r="C381" t="s">
        <v>18</v>
      </c>
      <c r="D381">
        <v>0</v>
      </c>
      <c r="E381" t="s">
        <v>6</v>
      </c>
      <c r="G381" t="s">
        <v>73</v>
      </c>
      <c r="H381" t="s">
        <v>18</v>
      </c>
      <c r="I381">
        <v>5.6034154053513807E-2</v>
      </c>
      <c r="J381" t="s">
        <v>6</v>
      </c>
      <c r="L381" t="s">
        <v>74</v>
      </c>
      <c r="M381" t="s">
        <v>18</v>
      </c>
      <c r="N381">
        <v>5.4314255618296475E-2</v>
      </c>
      <c r="O381" t="s">
        <v>6</v>
      </c>
    </row>
    <row r="382" spans="2:15" x14ac:dyDescent="0.45">
      <c r="B382" t="s">
        <v>72</v>
      </c>
      <c r="C382" t="s">
        <v>19</v>
      </c>
      <c r="D382">
        <v>2.802757334097056E-5</v>
      </c>
      <c r="E382" t="s">
        <v>6</v>
      </c>
      <c r="G382" t="s">
        <v>73</v>
      </c>
      <c r="H382" t="s">
        <v>19</v>
      </c>
      <c r="I382">
        <v>2.2788994851974255E-2</v>
      </c>
      <c r="J382" t="s">
        <v>6</v>
      </c>
      <c r="L382" t="s">
        <v>74</v>
      </c>
      <c r="M382" t="s">
        <v>19</v>
      </c>
      <c r="N382">
        <v>2.5047243474955887E-2</v>
      </c>
      <c r="O382" t="s">
        <v>6</v>
      </c>
    </row>
    <row r="383" spans="2:15" x14ac:dyDescent="0.45">
      <c r="B383" t="s">
        <v>72</v>
      </c>
      <c r="C383" t="s">
        <v>20</v>
      </c>
      <c r="D383">
        <v>6.3554428801691201E-3</v>
      </c>
      <c r="E383" t="s">
        <v>6</v>
      </c>
      <c r="G383" t="s">
        <v>73</v>
      </c>
      <c r="H383" t="s">
        <v>20</v>
      </c>
      <c r="I383">
        <v>2.1712085972984008E-2</v>
      </c>
      <c r="J383" t="s">
        <v>6</v>
      </c>
      <c r="L383" t="s">
        <v>74</v>
      </c>
      <c r="M383" t="s">
        <v>20</v>
      </c>
      <c r="N383">
        <v>2.5638621607725912E-2</v>
      </c>
      <c r="O383" t="s">
        <v>6</v>
      </c>
    </row>
    <row r="384" spans="2:15" x14ac:dyDescent="0.45">
      <c r="B384" t="s">
        <v>72</v>
      </c>
      <c r="C384" t="s">
        <v>21</v>
      </c>
      <c r="D384">
        <v>3.9361027473066593E-2</v>
      </c>
      <c r="E384" t="s">
        <v>6</v>
      </c>
      <c r="G384" t="s">
        <v>73</v>
      </c>
      <c r="H384" t="s">
        <v>21</v>
      </c>
      <c r="I384">
        <v>1.9990068685104983E-2</v>
      </c>
      <c r="J384" t="s">
        <v>6</v>
      </c>
      <c r="L384" t="s">
        <v>74</v>
      </c>
      <c r="M384" t="s">
        <v>21</v>
      </c>
      <c r="N384">
        <v>2.3747244050830698E-2</v>
      </c>
      <c r="O384" t="s">
        <v>6</v>
      </c>
    </row>
    <row r="385" spans="2:15" x14ac:dyDescent="0.45">
      <c r="B385" t="s">
        <v>72</v>
      </c>
      <c r="C385" t="s">
        <v>22</v>
      </c>
      <c r="D385">
        <v>7.0413837929248241E-2</v>
      </c>
      <c r="E385" t="s">
        <v>6</v>
      </c>
      <c r="G385" t="s">
        <v>73</v>
      </c>
      <c r="H385" t="s">
        <v>22</v>
      </c>
      <c r="I385">
        <v>1.5719361624487324E-2</v>
      </c>
      <c r="J385" t="s">
        <v>6</v>
      </c>
      <c r="L385" t="s">
        <v>74</v>
      </c>
      <c r="M385" t="s">
        <v>22</v>
      </c>
      <c r="N385">
        <v>2.4158194798662814E-2</v>
      </c>
      <c r="O385" t="s">
        <v>6</v>
      </c>
    </row>
    <row r="386" spans="2:15" x14ac:dyDescent="0.45">
      <c r="B386" t="s">
        <v>72</v>
      </c>
      <c r="C386" t="s">
        <v>23</v>
      </c>
      <c r="D386">
        <v>7.915848068200175E-2</v>
      </c>
      <c r="E386" t="s">
        <v>6</v>
      </c>
      <c r="G386" t="s">
        <v>73</v>
      </c>
      <c r="H386" t="s">
        <v>23</v>
      </c>
      <c r="I386">
        <v>1.7592256732786585E-2</v>
      </c>
      <c r="J386" t="s">
        <v>6</v>
      </c>
      <c r="L386" t="s">
        <v>74</v>
      </c>
      <c r="M386" t="s">
        <v>23</v>
      </c>
      <c r="N386">
        <v>2.5478322879935823E-2</v>
      </c>
      <c r="O386" t="s">
        <v>6</v>
      </c>
    </row>
    <row r="387" spans="2:15" x14ac:dyDescent="0.45">
      <c r="B387" t="s">
        <v>72</v>
      </c>
      <c r="C387" t="s">
        <v>24</v>
      </c>
      <c r="D387">
        <v>6.5870577815655862E-2</v>
      </c>
      <c r="E387" t="s">
        <v>6</v>
      </c>
      <c r="G387" t="s">
        <v>73</v>
      </c>
      <c r="H387" t="s">
        <v>24</v>
      </c>
      <c r="I387">
        <v>1.8992168328736354E-2</v>
      </c>
      <c r="J387" t="s">
        <v>6</v>
      </c>
      <c r="L387" t="s">
        <v>74</v>
      </c>
      <c r="M387" t="s">
        <v>24</v>
      </c>
      <c r="N387">
        <v>2.6090308202127967E-2</v>
      </c>
      <c r="O387" t="s">
        <v>6</v>
      </c>
    </row>
    <row r="388" spans="2:15" x14ac:dyDescent="0.45">
      <c r="B388" t="s">
        <v>72</v>
      </c>
      <c r="C388" t="s">
        <v>25</v>
      </c>
      <c r="D388">
        <v>3.7128938241189999E-2</v>
      </c>
      <c r="E388" t="s">
        <v>6</v>
      </c>
      <c r="G388" t="s">
        <v>73</v>
      </c>
      <c r="H388" t="s">
        <v>25</v>
      </c>
      <c r="I388">
        <v>1.8932996090332926E-2</v>
      </c>
      <c r="J388" t="s">
        <v>6</v>
      </c>
      <c r="L388" t="s">
        <v>74</v>
      </c>
      <c r="M388" t="s">
        <v>25</v>
      </c>
      <c r="N388">
        <v>2.4855535478573935E-2</v>
      </c>
      <c r="O388" t="s">
        <v>6</v>
      </c>
    </row>
    <row r="389" spans="2:15" x14ac:dyDescent="0.45">
      <c r="B389" t="s">
        <v>72</v>
      </c>
      <c r="C389" t="s">
        <v>26</v>
      </c>
      <c r="D389">
        <v>6.1896767516789559E-3</v>
      </c>
      <c r="E389" t="s">
        <v>6</v>
      </c>
      <c r="G389" t="s">
        <v>73</v>
      </c>
      <c r="H389" t="s">
        <v>26</v>
      </c>
      <c r="I389">
        <v>2.0301217585082368E-2</v>
      </c>
      <c r="J389" t="s">
        <v>6</v>
      </c>
      <c r="L389" t="s">
        <v>74</v>
      </c>
      <c r="M389" t="s">
        <v>26</v>
      </c>
      <c r="N389">
        <v>2.3241182890959469E-2</v>
      </c>
      <c r="O389" t="s">
        <v>6</v>
      </c>
    </row>
    <row r="390" spans="2:15" x14ac:dyDescent="0.45">
      <c r="B390" t="s">
        <v>72</v>
      </c>
      <c r="C390" t="s">
        <v>27</v>
      </c>
      <c r="D390">
        <v>1.7649158924682716E-5</v>
      </c>
      <c r="E390" t="s">
        <v>6</v>
      </c>
      <c r="G390" t="s">
        <v>73</v>
      </c>
      <c r="H390" t="s">
        <v>27</v>
      </c>
      <c r="I390">
        <v>3.3079311678301249E-2</v>
      </c>
      <c r="J390" t="s">
        <v>6</v>
      </c>
      <c r="L390" t="s">
        <v>74</v>
      </c>
      <c r="M390" t="s">
        <v>27</v>
      </c>
      <c r="N390">
        <v>3.2929313748672452E-2</v>
      </c>
      <c r="O390" t="s">
        <v>6</v>
      </c>
    </row>
    <row r="391" spans="2:15" x14ac:dyDescent="0.45">
      <c r="B391" t="s">
        <v>72</v>
      </c>
      <c r="C391" t="s">
        <v>28</v>
      </c>
      <c r="D391">
        <v>0</v>
      </c>
      <c r="E391" t="s">
        <v>6</v>
      </c>
      <c r="G391" t="s">
        <v>73</v>
      </c>
      <c r="H391" t="s">
        <v>28</v>
      </c>
      <c r="I391">
        <v>4.1026721795924245E-2</v>
      </c>
      <c r="J391" t="s">
        <v>6</v>
      </c>
      <c r="L391" t="s">
        <v>74</v>
      </c>
      <c r="M391" t="s">
        <v>28</v>
      </c>
      <c r="N391">
        <v>2.0286578688898819E-2</v>
      </c>
      <c r="O391" t="s">
        <v>6</v>
      </c>
    </row>
    <row r="392" spans="2:15" x14ac:dyDescent="0.45">
      <c r="B392" t="s">
        <v>72</v>
      </c>
      <c r="C392" t="s">
        <v>29</v>
      </c>
      <c r="D392">
        <v>1.5989080677128592E-4</v>
      </c>
      <c r="E392" t="s">
        <v>6</v>
      </c>
      <c r="G392" t="s">
        <v>73</v>
      </c>
      <c r="H392" t="s">
        <v>29</v>
      </c>
      <c r="I392">
        <v>1.5016163148981118E-2</v>
      </c>
      <c r="J392" t="s">
        <v>6</v>
      </c>
      <c r="L392" t="s">
        <v>74</v>
      </c>
      <c r="M392" t="s">
        <v>29</v>
      </c>
      <c r="N392">
        <v>7.7008420094461403E-3</v>
      </c>
      <c r="O392" t="s">
        <v>6</v>
      </c>
    </row>
    <row r="393" spans="2:15" x14ac:dyDescent="0.45">
      <c r="B393" t="s">
        <v>72</v>
      </c>
      <c r="C393" t="s">
        <v>30</v>
      </c>
      <c r="D393">
        <v>1.0156184520939813E-2</v>
      </c>
      <c r="E393" t="s">
        <v>6</v>
      </c>
      <c r="G393" t="s">
        <v>73</v>
      </c>
      <c r="H393" t="s">
        <v>30</v>
      </c>
      <c r="I393">
        <v>1.1709003820486735E-2</v>
      </c>
      <c r="J393" t="s">
        <v>6</v>
      </c>
      <c r="L393" t="s">
        <v>74</v>
      </c>
      <c r="M393" t="s">
        <v>30</v>
      </c>
      <c r="N393">
        <v>8.0981072329579153E-3</v>
      </c>
      <c r="O393" t="s">
        <v>6</v>
      </c>
    </row>
    <row r="394" spans="2:15" x14ac:dyDescent="0.45">
      <c r="B394" t="s">
        <v>72</v>
      </c>
      <c r="C394" t="s">
        <v>31</v>
      </c>
      <c r="D394">
        <v>4.7211858163775045E-2</v>
      </c>
      <c r="E394" t="s">
        <v>6</v>
      </c>
      <c r="G394" t="s">
        <v>73</v>
      </c>
      <c r="H394" t="s">
        <v>31</v>
      </c>
      <c r="I394">
        <v>1.01926378229055E-2</v>
      </c>
      <c r="J394" t="s">
        <v>6</v>
      </c>
      <c r="L394" t="s">
        <v>74</v>
      </c>
      <c r="M394" t="s">
        <v>31</v>
      </c>
      <c r="N394">
        <v>8.8853590324100978E-3</v>
      </c>
      <c r="O394" t="s">
        <v>6</v>
      </c>
    </row>
    <row r="395" spans="2:15" x14ac:dyDescent="0.45">
      <c r="B395" t="s">
        <v>72</v>
      </c>
      <c r="C395" t="s">
        <v>32</v>
      </c>
      <c r="D395">
        <v>7.9688877973073322E-2</v>
      </c>
      <c r="E395" t="s">
        <v>6</v>
      </c>
      <c r="G395" t="s">
        <v>73</v>
      </c>
      <c r="H395" t="s">
        <v>32</v>
      </c>
      <c r="I395">
        <v>9.2865905419200565E-3</v>
      </c>
      <c r="J395" t="s">
        <v>6</v>
      </c>
      <c r="L395" t="s">
        <v>74</v>
      </c>
      <c r="M395" t="s">
        <v>32</v>
      </c>
      <c r="N395">
        <v>1.0104755127180697E-2</v>
      </c>
      <c r="O395" t="s">
        <v>6</v>
      </c>
    </row>
    <row r="396" spans="2:15" x14ac:dyDescent="0.45">
      <c r="B396" t="s">
        <v>72</v>
      </c>
      <c r="C396" t="s">
        <v>33</v>
      </c>
      <c r="D396">
        <v>8.8993650185760567E-2</v>
      </c>
      <c r="E396" t="s">
        <v>6</v>
      </c>
      <c r="G396" t="s">
        <v>73</v>
      </c>
      <c r="H396" t="s">
        <v>33</v>
      </c>
      <c r="I396">
        <v>1.1095207344230725E-2</v>
      </c>
      <c r="J396" t="s">
        <v>6</v>
      </c>
      <c r="L396" t="s">
        <v>74</v>
      </c>
      <c r="M396" t="s">
        <v>33</v>
      </c>
      <c r="N396">
        <v>1.3269326921783727E-2</v>
      </c>
      <c r="O396" t="s">
        <v>6</v>
      </c>
    </row>
    <row r="397" spans="2:15" x14ac:dyDescent="0.45">
      <c r="B397" t="s">
        <v>72</v>
      </c>
      <c r="C397" t="s">
        <v>34</v>
      </c>
      <c r="D397">
        <v>7.8057564713401445E-2</v>
      </c>
      <c r="E397" t="s">
        <v>6</v>
      </c>
      <c r="G397" t="s">
        <v>73</v>
      </c>
      <c r="H397" t="s">
        <v>34</v>
      </c>
      <c r="I397">
        <v>1.1721474566863059E-2</v>
      </c>
      <c r="J397" t="s">
        <v>6</v>
      </c>
      <c r="L397" t="s">
        <v>74</v>
      </c>
      <c r="M397" t="s">
        <v>34</v>
      </c>
      <c r="N397">
        <v>1.4970865839252369E-2</v>
      </c>
      <c r="O397" t="s">
        <v>6</v>
      </c>
    </row>
    <row r="398" spans="2:15" x14ac:dyDescent="0.45">
      <c r="B398" t="s">
        <v>72</v>
      </c>
      <c r="C398" t="s">
        <v>35</v>
      </c>
      <c r="D398">
        <v>4.9033251326391976E-2</v>
      </c>
      <c r="E398" t="s">
        <v>6</v>
      </c>
      <c r="G398" t="s">
        <v>73</v>
      </c>
      <c r="H398" t="s">
        <v>35</v>
      </c>
      <c r="I398">
        <v>1.1841614497491777E-2</v>
      </c>
      <c r="J398" t="s">
        <v>6</v>
      </c>
      <c r="L398" t="s">
        <v>74</v>
      </c>
      <c r="M398" t="s">
        <v>35</v>
      </c>
      <c r="N398">
        <v>1.2330533800164393E-2</v>
      </c>
      <c r="O398" t="s">
        <v>6</v>
      </c>
    </row>
    <row r="399" spans="2:15" x14ac:dyDescent="0.45">
      <c r="B399" t="s">
        <v>72</v>
      </c>
      <c r="C399" t="s">
        <v>36</v>
      </c>
      <c r="D399">
        <v>1.2121809305233936E-2</v>
      </c>
      <c r="E399" t="s">
        <v>6</v>
      </c>
      <c r="G399" t="s">
        <v>73</v>
      </c>
      <c r="H399" t="s">
        <v>36</v>
      </c>
      <c r="I399">
        <v>1.2818889768737496E-2</v>
      </c>
      <c r="J399" t="s">
        <v>6</v>
      </c>
      <c r="L399" t="s">
        <v>74</v>
      </c>
      <c r="M399" t="s">
        <v>36</v>
      </c>
      <c r="N399">
        <v>9.4614153257389592E-3</v>
      </c>
      <c r="O399" t="s">
        <v>6</v>
      </c>
    </row>
    <row r="400" spans="2:15" x14ac:dyDescent="0.45">
      <c r="B400" t="s">
        <v>72</v>
      </c>
      <c r="C400" t="s">
        <v>37</v>
      </c>
      <c r="D400">
        <v>2.5200134769913783E-4</v>
      </c>
      <c r="E400" t="s">
        <v>6</v>
      </c>
      <c r="G400" t="s">
        <v>73</v>
      </c>
      <c r="H400" t="s">
        <v>37</v>
      </c>
      <c r="I400">
        <v>2.5202257934964261E-2</v>
      </c>
      <c r="J400" t="s">
        <v>6</v>
      </c>
      <c r="L400" t="s">
        <v>74</v>
      </c>
      <c r="M400" t="s">
        <v>37</v>
      </c>
      <c r="N400">
        <v>1.3151925627352621E-2</v>
      </c>
      <c r="O400" t="s">
        <v>6</v>
      </c>
    </row>
    <row r="401" spans="2:15" x14ac:dyDescent="0.45">
      <c r="B401" t="s">
        <v>72</v>
      </c>
      <c r="C401" t="s">
        <v>38</v>
      </c>
      <c r="D401">
        <v>0</v>
      </c>
      <c r="E401" t="s">
        <v>6</v>
      </c>
      <c r="G401" t="s">
        <v>73</v>
      </c>
      <c r="H401" t="s">
        <v>38</v>
      </c>
      <c r="I401">
        <v>6.4170206501685909E-2</v>
      </c>
      <c r="J401" t="s">
        <v>6</v>
      </c>
      <c r="L401" t="s">
        <v>74</v>
      </c>
      <c r="M401" t="s">
        <v>38</v>
      </c>
      <c r="N401">
        <v>5.1216359320001535E-2</v>
      </c>
      <c r="O401" t="s">
        <v>6</v>
      </c>
    </row>
    <row r="402" spans="2:15" x14ac:dyDescent="0.45">
      <c r="B402" t="s">
        <v>72</v>
      </c>
      <c r="C402" t="s">
        <v>39</v>
      </c>
      <c r="D402">
        <v>0</v>
      </c>
      <c r="E402" t="s">
        <v>6</v>
      </c>
      <c r="G402" t="s">
        <v>73</v>
      </c>
      <c r="H402" t="s">
        <v>39</v>
      </c>
      <c r="I402">
        <v>2.4538523507479149E-2</v>
      </c>
      <c r="J402" t="s">
        <v>6</v>
      </c>
      <c r="L402" t="s">
        <v>74</v>
      </c>
      <c r="M402" t="s">
        <v>39</v>
      </c>
      <c r="N402">
        <v>2.0233331288653324E-2</v>
      </c>
      <c r="O402" t="s">
        <v>6</v>
      </c>
    </row>
    <row r="403" spans="2:15" x14ac:dyDescent="0.45">
      <c r="B403" t="s">
        <v>72</v>
      </c>
      <c r="C403" t="s">
        <v>40</v>
      </c>
      <c r="D403">
        <v>1.2599484016146991E-3</v>
      </c>
      <c r="E403" t="s">
        <v>6</v>
      </c>
      <c r="G403" t="s">
        <v>73</v>
      </c>
      <c r="H403" t="s">
        <v>40</v>
      </c>
      <c r="I403">
        <v>2.3984520592883314E-2</v>
      </c>
      <c r="J403" t="s">
        <v>6</v>
      </c>
      <c r="L403" t="s">
        <v>74</v>
      </c>
      <c r="M403" t="s">
        <v>40</v>
      </c>
      <c r="N403">
        <v>2.095101246214463E-2</v>
      </c>
      <c r="O403" t="s">
        <v>6</v>
      </c>
    </row>
    <row r="404" spans="2:15" x14ac:dyDescent="0.45">
      <c r="B404" t="s">
        <v>72</v>
      </c>
      <c r="C404" t="s">
        <v>41</v>
      </c>
      <c r="D404">
        <v>2.1204152142414761E-2</v>
      </c>
      <c r="E404" t="s">
        <v>6</v>
      </c>
      <c r="G404" t="s">
        <v>73</v>
      </c>
      <c r="H404" t="s">
        <v>41</v>
      </c>
      <c r="I404">
        <v>2.265678123875044E-2</v>
      </c>
      <c r="J404" t="s">
        <v>6</v>
      </c>
      <c r="L404" t="s">
        <v>74</v>
      </c>
      <c r="M404" t="s">
        <v>41</v>
      </c>
      <c r="N404">
        <v>1.9459540367181359E-2</v>
      </c>
      <c r="O404" t="s">
        <v>6</v>
      </c>
    </row>
    <row r="405" spans="2:15" x14ac:dyDescent="0.45">
      <c r="B405" t="s">
        <v>72</v>
      </c>
      <c r="C405" t="s">
        <v>42</v>
      </c>
      <c r="D405">
        <v>5.0041033307909016E-2</v>
      </c>
      <c r="E405" t="s">
        <v>6</v>
      </c>
      <c r="G405" t="s">
        <v>73</v>
      </c>
      <c r="H405" t="s">
        <v>42</v>
      </c>
      <c r="I405">
        <v>1.913650020182274E-2</v>
      </c>
      <c r="J405" t="s">
        <v>6</v>
      </c>
      <c r="L405" t="s">
        <v>74</v>
      </c>
      <c r="M405" t="s">
        <v>42</v>
      </c>
      <c r="N405">
        <v>1.8058431803819625E-2</v>
      </c>
      <c r="O405" t="s">
        <v>6</v>
      </c>
    </row>
    <row r="406" spans="2:15" x14ac:dyDescent="0.45">
      <c r="B406" t="s">
        <v>72</v>
      </c>
      <c r="C406" t="s">
        <v>43</v>
      </c>
      <c r="D406">
        <v>5.8112415876174453E-2</v>
      </c>
      <c r="E406" t="s">
        <v>6</v>
      </c>
      <c r="G406" t="s">
        <v>73</v>
      </c>
      <c r="H406" t="s">
        <v>43</v>
      </c>
      <c r="I406">
        <v>2.1248244959016799E-2</v>
      </c>
      <c r="J406" t="s">
        <v>6</v>
      </c>
      <c r="L406" t="s">
        <v>74</v>
      </c>
      <c r="M406" t="s">
        <v>43</v>
      </c>
      <c r="N406">
        <v>1.9118520153580256E-2</v>
      </c>
      <c r="O406" t="s">
        <v>6</v>
      </c>
    </row>
    <row r="407" spans="2:15" x14ac:dyDescent="0.45">
      <c r="B407" t="s">
        <v>72</v>
      </c>
      <c r="C407" t="s">
        <v>44</v>
      </c>
      <c r="D407">
        <v>4.5976826402717677E-2</v>
      </c>
      <c r="E407" t="s">
        <v>6</v>
      </c>
      <c r="G407" t="s">
        <v>73</v>
      </c>
      <c r="H407" t="s">
        <v>44</v>
      </c>
      <c r="I407">
        <v>2.1974968942311393E-2</v>
      </c>
      <c r="J407" t="s">
        <v>6</v>
      </c>
      <c r="L407" t="s">
        <v>74</v>
      </c>
      <c r="M407" t="s">
        <v>44</v>
      </c>
      <c r="N407">
        <v>2.0564482031027353E-2</v>
      </c>
      <c r="O407" t="s">
        <v>6</v>
      </c>
    </row>
    <row r="408" spans="2:15" x14ac:dyDescent="0.45">
      <c r="B408" t="s">
        <v>72</v>
      </c>
      <c r="C408" t="s">
        <v>45</v>
      </c>
      <c r="D408">
        <v>1.781961273629986E-2</v>
      </c>
      <c r="E408" t="s">
        <v>6</v>
      </c>
      <c r="G408" t="s">
        <v>73</v>
      </c>
      <c r="H408" t="s">
        <v>45</v>
      </c>
      <c r="I408">
        <v>2.2991310794773536E-2</v>
      </c>
      <c r="J408" t="s">
        <v>6</v>
      </c>
      <c r="L408" t="s">
        <v>74</v>
      </c>
      <c r="M408" t="s">
        <v>45</v>
      </c>
      <c r="N408">
        <v>2.1627670907145319E-2</v>
      </c>
      <c r="O408" t="s">
        <v>6</v>
      </c>
    </row>
    <row r="409" spans="2:15" x14ac:dyDescent="0.45">
      <c r="B409" t="s">
        <v>72</v>
      </c>
      <c r="C409" t="s">
        <v>46</v>
      </c>
      <c r="D409">
        <v>8.9634716143884691E-4</v>
      </c>
      <c r="E409" t="s">
        <v>6</v>
      </c>
      <c r="G409" t="s">
        <v>73</v>
      </c>
      <c r="H409" t="s">
        <v>46</v>
      </c>
      <c r="I409">
        <v>2.5475300599327171E-2</v>
      </c>
      <c r="J409" t="s">
        <v>6</v>
      </c>
      <c r="L409" t="s">
        <v>74</v>
      </c>
      <c r="M409" t="s">
        <v>46</v>
      </c>
      <c r="N409">
        <v>2.2648041180123663E-2</v>
      </c>
      <c r="O409" t="s">
        <v>6</v>
      </c>
    </row>
    <row r="410" spans="2:15" x14ac:dyDescent="0.45">
      <c r="B410" t="s">
        <v>72</v>
      </c>
      <c r="C410" t="s">
        <v>47</v>
      </c>
      <c r="D410">
        <v>0</v>
      </c>
      <c r="E410" t="s">
        <v>6</v>
      </c>
      <c r="G410" t="s">
        <v>73</v>
      </c>
      <c r="H410" t="s">
        <v>47</v>
      </c>
      <c r="I410">
        <v>4.0023549287976488E-2</v>
      </c>
      <c r="J410" t="s">
        <v>6</v>
      </c>
      <c r="L410" t="s">
        <v>74</v>
      </c>
      <c r="M410" t="s">
        <v>47</v>
      </c>
      <c r="N410">
        <v>3.2968880914044221E-2</v>
      </c>
      <c r="O410" t="s">
        <v>6</v>
      </c>
    </row>
    <row r="411" spans="2:15" x14ac:dyDescent="0.45">
      <c r="B411" t="s">
        <v>75</v>
      </c>
      <c r="C411" t="s">
        <v>5</v>
      </c>
      <c r="D411">
        <v>0</v>
      </c>
      <c r="E411" t="s">
        <v>6</v>
      </c>
      <c r="G411" t="s">
        <v>76</v>
      </c>
      <c r="H411" t="s">
        <v>5</v>
      </c>
      <c r="I411">
        <v>5.0584278621923884E-2</v>
      </c>
      <c r="J411" t="s">
        <v>6</v>
      </c>
      <c r="L411" t="s">
        <v>77</v>
      </c>
      <c r="M411" t="s">
        <v>5</v>
      </c>
      <c r="N411">
        <v>6.2563101829457665E-2</v>
      </c>
      <c r="O411" t="s">
        <v>6</v>
      </c>
    </row>
    <row r="412" spans="2:15" x14ac:dyDescent="0.45">
      <c r="B412" t="s">
        <v>75</v>
      </c>
      <c r="C412" t="s">
        <v>9</v>
      </c>
      <c r="D412">
        <v>0</v>
      </c>
      <c r="E412" t="s">
        <v>6</v>
      </c>
      <c r="G412" t="s">
        <v>76</v>
      </c>
      <c r="H412" t="s">
        <v>9</v>
      </c>
      <c r="I412">
        <v>2.0123739308572627E-2</v>
      </c>
      <c r="J412" t="s">
        <v>6</v>
      </c>
      <c r="L412" t="s">
        <v>77</v>
      </c>
      <c r="M412" t="s">
        <v>9</v>
      </c>
      <c r="N412">
        <v>2.5228665812463098E-2</v>
      </c>
      <c r="O412" t="s">
        <v>6</v>
      </c>
    </row>
    <row r="413" spans="2:15" x14ac:dyDescent="0.45">
      <c r="B413" t="s">
        <v>75</v>
      </c>
      <c r="C413" t="s">
        <v>10</v>
      </c>
      <c r="D413">
        <v>0</v>
      </c>
      <c r="E413" t="s">
        <v>6</v>
      </c>
      <c r="G413" t="s">
        <v>76</v>
      </c>
      <c r="H413" t="s">
        <v>10</v>
      </c>
      <c r="I413">
        <v>2.0889445857639265E-2</v>
      </c>
      <c r="J413" t="s">
        <v>6</v>
      </c>
      <c r="L413" t="s">
        <v>77</v>
      </c>
      <c r="M413" t="s">
        <v>10</v>
      </c>
      <c r="N413">
        <v>2.5274688264999217E-2</v>
      </c>
      <c r="O413" t="s">
        <v>6</v>
      </c>
    </row>
    <row r="414" spans="2:15" x14ac:dyDescent="0.45">
      <c r="B414" t="s">
        <v>75</v>
      </c>
      <c r="C414" t="s">
        <v>11</v>
      </c>
      <c r="D414">
        <v>6.5618884909416112E-3</v>
      </c>
      <c r="E414" t="s">
        <v>6</v>
      </c>
      <c r="G414" t="s">
        <v>76</v>
      </c>
      <c r="H414" t="s">
        <v>11</v>
      </c>
      <c r="I414">
        <v>2.1739962918012095E-2</v>
      </c>
      <c r="J414" t="s">
        <v>6</v>
      </c>
      <c r="L414" t="s">
        <v>77</v>
      </c>
      <c r="M414" t="s">
        <v>11</v>
      </c>
      <c r="N414">
        <v>2.448502586102156E-2</v>
      </c>
      <c r="O414" t="s">
        <v>6</v>
      </c>
    </row>
    <row r="415" spans="2:15" x14ac:dyDescent="0.45">
      <c r="B415" t="s">
        <v>75</v>
      </c>
      <c r="C415" t="s">
        <v>12</v>
      </c>
      <c r="D415">
        <v>3.2086538571802714E-2</v>
      </c>
      <c r="E415" t="s">
        <v>6</v>
      </c>
      <c r="G415" t="s">
        <v>76</v>
      </c>
      <c r="H415" t="s">
        <v>12</v>
      </c>
      <c r="I415">
        <v>2.1638653851125206E-2</v>
      </c>
      <c r="J415" t="s">
        <v>6</v>
      </c>
      <c r="L415" t="s">
        <v>77</v>
      </c>
      <c r="M415" t="s">
        <v>12</v>
      </c>
      <c r="N415">
        <v>2.3338813979168507E-2</v>
      </c>
      <c r="O415" t="s">
        <v>6</v>
      </c>
    </row>
    <row r="416" spans="2:15" x14ac:dyDescent="0.45">
      <c r="B416" t="s">
        <v>75</v>
      </c>
      <c r="C416" t="s">
        <v>13</v>
      </c>
      <c r="D416">
        <v>4.5184344206339204E-2</v>
      </c>
      <c r="E416" t="s">
        <v>6</v>
      </c>
      <c r="G416" t="s">
        <v>76</v>
      </c>
      <c r="H416" t="s">
        <v>13</v>
      </c>
      <c r="I416">
        <v>2.3365640979775028E-2</v>
      </c>
      <c r="J416" t="s">
        <v>6</v>
      </c>
      <c r="L416" t="s">
        <v>77</v>
      </c>
      <c r="M416" t="s">
        <v>13</v>
      </c>
      <c r="N416">
        <v>2.3019654446131365E-2</v>
      </c>
      <c r="O416" t="s">
        <v>6</v>
      </c>
    </row>
    <row r="417" spans="2:15" x14ac:dyDescent="0.45">
      <c r="B417" t="s">
        <v>75</v>
      </c>
      <c r="C417" t="s">
        <v>14</v>
      </c>
      <c r="D417">
        <v>3.4062001554536599E-2</v>
      </c>
      <c r="E417" t="s">
        <v>6</v>
      </c>
      <c r="G417" t="s">
        <v>76</v>
      </c>
      <c r="H417" t="s">
        <v>14</v>
      </c>
      <c r="I417">
        <v>2.3598861897663484E-2</v>
      </c>
      <c r="J417" t="s">
        <v>6</v>
      </c>
      <c r="L417" t="s">
        <v>77</v>
      </c>
      <c r="M417" t="s">
        <v>14</v>
      </c>
      <c r="N417">
        <v>2.3627705224219926E-2</v>
      </c>
      <c r="O417" t="s">
        <v>6</v>
      </c>
    </row>
    <row r="418" spans="2:15" x14ac:dyDescent="0.45">
      <c r="B418" t="s">
        <v>75</v>
      </c>
      <c r="C418" t="s">
        <v>15</v>
      </c>
      <c r="D418">
        <v>9.5296858494242319E-3</v>
      </c>
      <c r="E418" t="s">
        <v>6</v>
      </c>
      <c r="G418" t="s">
        <v>76</v>
      </c>
      <c r="H418" t="s">
        <v>15</v>
      </c>
      <c r="I418">
        <v>2.2637331082530351E-2</v>
      </c>
      <c r="J418" t="s">
        <v>6</v>
      </c>
      <c r="L418" t="s">
        <v>77</v>
      </c>
      <c r="M418" t="s">
        <v>15</v>
      </c>
      <c r="N418">
        <v>2.4857004145471265E-2</v>
      </c>
      <c r="O418" t="s">
        <v>6</v>
      </c>
    </row>
    <row r="419" spans="2:15" x14ac:dyDescent="0.45">
      <c r="B419" t="s">
        <v>75</v>
      </c>
      <c r="C419" t="s">
        <v>16</v>
      </c>
      <c r="D419">
        <v>1.3705013767333456E-5</v>
      </c>
      <c r="E419" t="s">
        <v>6</v>
      </c>
      <c r="G419" t="s">
        <v>76</v>
      </c>
      <c r="H419" t="s">
        <v>16</v>
      </c>
      <c r="I419">
        <v>2.1618162808327668E-2</v>
      </c>
      <c r="J419" t="s">
        <v>6</v>
      </c>
      <c r="L419" t="s">
        <v>77</v>
      </c>
      <c r="M419" t="s">
        <v>16</v>
      </c>
      <c r="N419">
        <v>2.6091580580402583E-2</v>
      </c>
      <c r="O419" t="s">
        <v>6</v>
      </c>
    </row>
    <row r="420" spans="2:15" x14ac:dyDescent="0.45">
      <c r="B420" t="s">
        <v>75</v>
      </c>
      <c r="C420" t="s">
        <v>17</v>
      </c>
      <c r="D420">
        <v>0</v>
      </c>
      <c r="E420" t="s">
        <v>6</v>
      </c>
      <c r="G420" t="s">
        <v>76</v>
      </c>
      <c r="H420" t="s">
        <v>17</v>
      </c>
      <c r="I420">
        <v>3.1263942292984161E-2</v>
      </c>
      <c r="J420" t="s">
        <v>6</v>
      </c>
      <c r="L420" t="s">
        <v>77</v>
      </c>
      <c r="M420" t="s">
        <v>17</v>
      </c>
      <c r="N420">
        <v>3.8674015053512346E-2</v>
      </c>
      <c r="O420" t="s">
        <v>6</v>
      </c>
    </row>
    <row r="421" spans="2:15" x14ac:dyDescent="0.45">
      <c r="B421" t="s">
        <v>75</v>
      </c>
      <c r="C421" t="s">
        <v>18</v>
      </c>
      <c r="D421">
        <v>0</v>
      </c>
      <c r="E421" t="s">
        <v>6</v>
      </c>
      <c r="G421" t="s">
        <v>76</v>
      </c>
      <c r="H421" t="s">
        <v>18</v>
      </c>
      <c r="I421">
        <v>6.8436580588054172E-2</v>
      </c>
      <c r="J421" t="s">
        <v>6</v>
      </c>
      <c r="L421" t="s">
        <v>77</v>
      </c>
      <c r="M421" t="s">
        <v>18</v>
      </c>
      <c r="N421">
        <v>5.7078997799602287E-2</v>
      </c>
      <c r="O421" t="s">
        <v>6</v>
      </c>
    </row>
    <row r="422" spans="2:15" x14ac:dyDescent="0.45">
      <c r="B422" t="s">
        <v>75</v>
      </c>
      <c r="C422" t="s">
        <v>19</v>
      </c>
      <c r="D422">
        <v>3.2034938947286003E-5</v>
      </c>
      <c r="E422" t="s">
        <v>6</v>
      </c>
      <c r="G422" t="s">
        <v>76</v>
      </c>
      <c r="H422" t="s">
        <v>19</v>
      </c>
      <c r="I422">
        <v>2.6677791596558233E-2</v>
      </c>
      <c r="J422" t="s">
        <v>6</v>
      </c>
      <c r="L422" t="s">
        <v>77</v>
      </c>
      <c r="M422" t="s">
        <v>19</v>
      </c>
      <c r="N422">
        <v>2.3312567472060345E-2</v>
      </c>
      <c r="O422" t="s">
        <v>6</v>
      </c>
    </row>
    <row r="423" spans="2:15" x14ac:dyDescent="0.45">
      <c r="B423" t="s">
        <v>75</v>
      </c>
      <c r="C423" t="s">
        <v>20</v>
      </c>
      <c r="D423">
        <v>5.7678292998694265E-3</v>
      </c>
      <c r="E423" t="s">
        <v>6</v>
      </c>
      <c r="G423" t="s">
        <v>76</v>
      </c>
      <c r="H423" t="s">
        <v>20</v>
      </c>
      <c r="I423">
        <v>2.6447249094990334E-2</v>
      </c>
      <c r="J423" t="s">
        <v>6</v>
      </c>
      <c r="L423" t="s">
        <v>77</v>
      </c>
      <c r="M423" t="s">
        <v>20</v>
      </c>
      <c r="N423">
        <v>2.2690735573937394E-2</v>
      </c>
      <c r="O423" t="s">
        <v>6</v>
      </c>
    </row>
    <row r="424" spans="2:15" x14ac:dyDescent="0.45">
      <c r="B424" t="s">
        <v>75</v>
      </c>
      <c r="C424" t="s">
        <v>21</v>
      </c>
      <c r="D424">
        <v>3.7113491253901482E-2</v>
      </c>
      <c r="E424" t="s">
        <v>6</v>
      </c>
      <c r="G424" t="s">
        <v>76</v>
      </c>
      <c r="H424" t="s">
        <v>21</v>
      </c>
      <c r="I424">
        <v>2.7326232890218613E-2</v>
      </c>
      <c r="J424" t="s">
        <v>6</v>
      </c>
      <c r="L424" t="s">
        <v>77</v>
      </c>
      <c r="M424" t="s">
        <v>21</v>
      </c>
      <c r="N424">
        <v>2.1663296145734527E-2</v>
      </c>
      <c r="O424" t="s">
        <v>6</v>
      </c>
    </row>
    <row r="425" spans="2:15" x14ac:dyDescent="0.45">
      <c r="B425" t="s">
        <v>75</v>
      </c>
      <c r="C425" t="s">
        <v>22</v>
      </c>
      <c r="D425">
        <v>7.0650818717367642E-2</v>
      </c>
      <c r="E425" t="s">
        <v>6</v>
      </c>
      <c r="G425" t="s">
        <v>76</v>
      </c>
      <c r="H425" t="s">
        <v>22</v>
      </c>
      <c r="I425">
        <v>2.7240952902371055E-2</v>
      </c>
      <c r="J425" t="s">
        <v>6</v>
      </c>
      <c r="L425" t="s">
        <v>77</v>
      </c>
      <c r="M425" t="s">
        <v>22</v>
      </c>
      <c r="N425">
        <v>2.0736983221007421E-2</v>
      </c>
      <c r="O425" t="s">
        <v>6</v>
      </c>
    </row>
    <row r="426" spans="2:15" x14ac:dyDescent="0.45">
      <c r="B426" t="s">
        <v>75</v>
      </c>
      <c r="C426" t="s">
        <v>23</v>
      </c>
      <c r="D426">
        <v>8.2697045436995908E-2</v>
      </c>
      <c r="E426" t="s">
        <v>6</v>
      </c>
      <c r="G426" t="s">
        <v>76</v>
      </c>
      <c r="H426" t="s">
        <v>23</v>
      </c>
      <c r="I426">
        <v>2.9748222813282786E-2</v>
      </c>
      <c r="J426" t="s">
        <v>6</v>
      </c>
      <c r="L426" t="s">
        <v>77</v>
      </c>
      <c r="M426" t="s">
        <v>23</v>
      </c>
      <c r="N426">
        <v>2.0799750258344629E-2</v>
      </c>
      <c r="O426" t="s">
        <v>6</v>
      </c>
    </row>
    <row r="427" spans="2:15" x14ac:dyDescent="0.45">
      <c r="B427" t="s">
        <v>75</v>
      </c>
      <c r="C427" t="s">
        <v>24</v>
      </c>
      <c r="D427">
        <v>7.1484785543104098E-2</v>
      </c>
      <c r="E427" t="s">
        <v>6</v>
      </c>
      <c r="G427" t="s">
        <v>76</v>
      </c>
      <c r="H427" t="s">
        <v>24</v>
      </c>
      <c r="I427">
        <v>3.127779066979422E-2</v>
      </c>
      <c r="J427" t="s">
        <v>6</v>
      </c>
      <c r="L427" t="s">
        <v>77</v>
      </c>
      <c r="M427" t="s">
        <v>24</v>
      </c>
      <c r="N427">
        <v>2.1538619412228965E-2</v>
      </c>
      <c r="O427" t="s">
        <v>6</v>
      </c>
    </row>
    <row r="428" spans="2:15" x14ac:dyDescent="0.45">
      <c r="B428" t="s">
        <v>75</v>
      </c>
      <c r="C428" t="s">
        <v>25</v>
      </c>
      <c r="D428">
        <v>4.0412720576623276E-2</v>
      </c>
      <c r="E428" t="s">
        <v>6</v>
      </c>
      <c r="G428" t="s">
        <v>76</v>
      </c>
      <c r="H428" t="s">
        <v>25</v>
      </c>
      <c r="I428">
        <v>3.0838165627782944E-2</v>
      </c>
      <c r="J428" t="s">
        <v>6</v>
      </c>
      <c r="L428" t="s">
        <v>77</v>
      </c>
      <c r="M428" t="s">
        <v>25</v>
      </c>
      <c r="N428">
        <v>2.2034321924719859E-2</v>
      </c>
      <c r="O428" t="s">
        <v>6</v>
      </c>
    </row>
    <row r="429" spans="2:15" x14ac:dyDescent="0.45">
      <c r="B429" t="s">
        <v>75</v>
      </c>
      <c r="C429" t="s">
        <v>26</v>
      </c>
      <c r="D429">
        <v>6.6414993959681137E-3</v>
      </c>
      <c r="E429" t="s">
        <v>6</v>
      </c>
      <c r="G429" t="s">
        <v>76</v>
      </c>
      <c r="H429" t="s">
        <v>26</v>
      </c>
      <c r="I429">
        <v>2.9092087743011676E-2</v>
      </c>
      <c r="J429" t="s">
        <v>6</v>
      </c>
      <c r="L429" t="s">
        <v>77</v>
      </c>
      <c r="M429" t="s">
        <v>26</v>
      </c>
      <c r="N429">
        <v>2.2320922477635476E-2</v>
      </c>
      <c r="O429" t="s">
        <v>6</v>
      </c>
    </row>
    <row r="430" spans="2:15" x14ac:dyDescent="0.45">
      <c r="B430" t="s">
        <v>75</v>
      </c>
      <c r="C430" t="s">
        <v>27</v>
      </c>
      <c r="D430">
        <v>2.4856587232886057E-5</v>
      </c>
      <c r="E430" t="s">
        <v>6</v>
      </c>
      <c r="G430" t="s">
        <v>76</v>
      </c>
      <c r="H430" t="s">
        <v>27</v>
      </c>
      <c r="I430">
        <v>4.2039963575758899E-2</v>
      </c>
      <c r="J430" t="s">
        <v>6</v>
      </c>
      <c r="L430" t="s">
        <v>77</v>
      </c>
      <c r="M430" t="s">
        <v>27</v>
      </c>
      <c r="N430">
        <v>3.3979115961606604E-2</v>
      </c>
      <c r="O430" t="s">
        <v>6</v>
      </c>
    </row>
    <row r="431" spans="2:15" x14ac:dyDescent="0.45">
      <c r="B431" t="s">
        <v>75</v>
      </c>
      <c r="C431" t="s">
        <v>28</v>
      </c>
      <c r="D431">
        <v>0</v>
      </c>
      <c r="E431" t="s">
        <v>6</v>
      </c>
      <c r="G431" t="s">
        <v>76</v>
      </c>
      <c r="H431" t="s">
        <v>28</v>
      </c>
      <c r="I431">
        <v>2.3357054496900301E-2</v>
      </c>
      <c r="J431" t="s">
        <v>6</v>
      </c>
      <c r="L431" t="s">
        <v>77</v>
      </c>
      <c r="M431" t="s">
        <v>28</v>
      </c>
      <c r="N431">
        <v>3.9380678913126278E-2</v>
      </c>
      <c r="O431" t="s">
        <v>6</v>
      </c>
    </row>
    <row r="432" spans="2:15" x14ac:dyDescent="0.45">
      <c r="B432" t="s">
        <v>75</v>
      </c>
      <c r="C432" t="s">
        <v>29</v>
      </c>
      <c r="D432">
        <v>1.6538036844466932E-4</v>
      </c>
      <c r="E432" t="s">
        <v>6</v>
      </c>
      <c r="G432" t="s">
        <v>76</v>
      </c>
      <c r="H432" t="s">
        <v>29</v>
      </c>
      <c r="I432">
        <v>8.4355569582823531E-3</v>
      </c>
      <c r="J432" t="s">
        <v>6</v>
      </c>
      <c r="L432" t="s">
        <v>77</v>
      </c>
      <c r="M432" t="s">
        <v>29</v>
      </c>
      <c r="N432">
        <v>1.4795008913533759E-2</v>
      </c>
      <c r="O432" t="s">
        <v>6</v>
      </c>
    </row>
    <row r="433" spans="2:15" x14ac:dyDescent="0.45">
      <c r="B433" t="s">
        <v>75</v>
      </c>
      <c r="C433" t="s">
        <v>30</v>
      </c>
      <c r="D433">
        <v>9.5493770009932866E-3</v>
      </c>
      <c r="E433" t="s">
        <v>6</v>
      </c>
      <c r="G433" t="s">
        <v>76</v>
      </c>
      <c r="H433" t="s">
        <v>30</v>
      </c>
      <c r="I433">
        <v>7.8936391970997402E-3</v>
      </c>
      <c r="J433" t="s">
        <v>6</v>
      </c>
      <c r="L433" t="s">
        <v>77</v>
      </c>
      <c r="M433" t="s">
        <v>30</v>
      </c>
      <c r="N433">
        <v>1.4399286736810631E-2</v>
      </c>
      <c r="O433" t="s">
        <v>6</v>
      </c>
    </row>
    <row r="434" spans="2:15" x14ac:dyDescent="0.45">
      <c r="B434" t="s">
        <v>75</v>
      </c>
      <c r="C434" t="s">
        <v>31</v>
      </c>
      <c r="D434">
        <v>4.4368553035169046E-2</v>
      </c>
      <c r="E434" t="s">
        <v>6</v>
      </c>
      <c r="G434" t="s">
        <v>76</v>
      </c>
      <c r="H434" t="s">
        <v>31</v>
      </c>
      <c r="I434">
        <v>8.4247744589936481E-3</v>
      </c>
      <c r="J434" t="s">
        <v>6</v>
      </c>
      <c r="L434" t="s">
        <v>77</v>
      </c>
      <c r="M434" t="s">
        <v>31</v>
      </c>
      <c r="N434">
        <v>1.2999981962621939E-2</v>
      </c>
      <c r="O434" t="s">
        <v>6</v>
      </c>
    </row>
    <row r="435" spans="2:15" x14ac:dyDescent="0.45">
      <c r="B435" t="s">
        <v>75</v>
      </c>
      <c r="C435" t="s">
        <v>32</v>
      </c>
      <c r="D435">
        <v>7.7186933181095568E-2</v>
      </c>
      <c r="E435" t="s">
        <v>6</v>
      </c>
      <c r="G435" t="s">
        <v>76</v>
      </c>
      <c r="H435" t="s">
        <v>32</v>
      </c>
      <c r="I435">
        <v>9.4820069714656677E-3</v>
      </c>
      <c r="J435" t="s">
        <v>6</v>
      </c>
      <c r="L435" t="s">
        <v>77</v>
      </c>
      <c r="M435" t="s">
        <v>32</v>
      </c>
      <c r="N435">
        <v>1.2120071798623813E-2</v>
      </c>
      <c r="O435" t="s">
        <v>6</v>
      </c>
    </row>
    <row r="436" spans="2:15" x14ac:dyDescent="0.45">
      <c r="B436" t="s">
        <v>75</v>
      </c>
      <c r="C436" t="s">
        <v>33</v>
      </c>
      <c r="D436">
        <v>9.1110659354006543E-2</v>
      </c>
      <c r="E436" t="s">
        <v>6</v>
      </c>
      <c r="G436" t="s">
        <v>76</v>
      </c>
      <c r="H436" t="s">
        <v>33</v>
      </c>
      <c r="I436">
        <v>1.1859322624956224E-2</v>
      </c>
      <c r="J436" t="s">
        <v>6</v>
      </c>
      <c r="L436" t="s">
        <v>77</v>
      </c>
      <c r="M436" t="s">
        <v>33</v>
      </c>
      <c r="N436">
        <v>1.2582754683773949E-2</v>
      </c>
      <c r="O436" t="s">
        <v>6</v>
      </c>
    </row>
    <row r="437" spans="2:15" x14ac:dyDescent="0.45">
      <c r="B437" t="s">
        <v>75</v>
      </c>
      <c r="C437" t="s">
        <v>34</v>
      </c>
      <c r="D437">
        <v>8.2065676131275883E-2</v>
      </c>
      <c r="E437" t="s">
        <v>6</v>
      </c>
      <c r="G437" t="s">
        <v>76</v>
      </c>
      <c r="H437" t="s">
        <v>34</v>
      </c>
      <c r="I437">
        <v>1.3253402033746415E-2</v>
      </c>
      <c r="J437" t="s">
        <v>6</v>
      </c>
      <c r="L437" t="s">
        <v>77</v>
      </c>
      <c r="M437" t="s">
        <v>34</v>
      </c>
      <c r="N437">
        <v>1.3091103201521265E-2</v>
      </c>
      <c r="O437" t="s">
        <v>6</v>
      </c>
    </row>
    <row r="438" spans="2:15" x14ac:dyDescent="0.45">
      <c r="B438" t="s">
        <v>75</v>
      </c>
      <c r="C438" t="s">
        <v>35</v>
      </c>
      <c r="D438">
        <v>5.2143548367509805E-2</v>
      </c>
      <c r="E438" t="s">
        <v>6</v>
      </c>
      <c r="G438" t="s">
        <v>76</v>
      </c>
      <c r="H438" t="s">
        <v>35</v>
      </c>
      <c r="I438">
        <v>1.2142857243719971E-2</v>
      </c>
      <c r="J438" t="s">
        <v>6</v>
      </c>
      <c r="L438" t="s">
        <v>77</v>
      </c>
      <c r="M438" t="s">
        <v>35</v>
      </c>
      <c r="N438">
        <v>1.4003101441280115E-2</v>
      </c>
      <c r="O438" t="s">
        <v>6</v>
      </c>
    </row>
    <row r="439" spans="2:15" x14ac:dyDescent="0.45">
      <c r="B439" t="s">
        <v>75</v>
      </c>
      <c r="C439" t="s">
        <v>36</v>
      </c>
      <c r="D439">
        <v>1.2623396813253E-2</v>
      </c>
      <c r="E439" t="s">
        <v>6</v>
      </c>
      <c r="G439" t="s">
        <v>76</v>
      </c>
      <c r="H439" t="s">
        <v>36</v>
      </c>
      <c r="I439">
        <v>1.0426233630092867E-2</v>
      </c>
      <c r="J439" t="s">
        <v>6</v>
      </c>
      <c r="L439" t="s">
        <v>77</v>
      </c>
      <c r="M439" t="s">
        <v>36</v>
      </c>
      <c r="N439">
        <v>1.5446476814407818E-2</v>
      </c>
      <c r="O439" t="s">
        <v>6</v>
      </c>
    </row>
    <row r="440" spans="2:15" x14ac:dyDescent="0.45">
      <c r="B440" t="s">
        <v>75</v>
      </c>
      <c r="C440" t="s">
        <v>37</v>
      </c>
      <c r="D440">
        <v>3.3172090976986749E-4</v>
      </c>
      <c r="E440" t="s">
        <v>6</v>
      </c>
      <c r="G440" t="s">
        <v>76</v>
      </c>
      <c r="H440" t="s">
        <v>37</v>
      </c>
      <c r="I440">
        <v>1.3677582801950857E-2</v>
      </c>
      <c r="J440" t="s">
        <v>6</v>
      </c>
      <c r="L440" t="s">
        <v>77</v>
      </c>
      <c r="M440" t="s">
        <v>37</v>
      </c>
      <c r="N440">
        <v>2.376635968892964E-2</v>
      </c>
      <c r="O440" t="s">
        <v>6</v>
      </c>
    </row>
    <row r="441" spans="2:15" x14ac:dyDescent="0.45">
      <c r="B441" t="s">
        <v>75</v>
      </c>
      <c r="C441" t="s">
        <v>38</v>
      </c>
      <c r="D441">
        <v>0</v>
      </c>
      <c r="E441" t="s">
        <v>6</v>
      </c>
      <c r="G441" t="s">
        <v>76</v>
      </c>
      <c r="H441" t="s">
        <v>38</v>
      </c>
      <c r="I441">
        <v>5.8672544939398344E-2</v>
      </c>
      <c r="J441" t="s">
        <v>6</v>
      </c>
      <c r="L441" t="s">
        <v>77</v>
      </c>
      <c r="M441" t="s">
        <v>38</v>
      </c>
      <c r="N441">
        <v>5.480907214167198E-2</v>
      </c>
      <c r="O441" t="s">
        <v>6</v>
      </c>
    </row>
    <row r="442" spans="2:15" x14ac:dyDescent="0.45">
      <c r="B442" t="s">
        <v>75</v>
      </c>
      <c r="C442" t="s">
        <v>39</v>
      </c>
      <c r="D442">
        <v>0</v>
      </c>
      <c r="E442" t="s">
        <v>6</v>
      </c>
      <c r="G442" t="s">
        <v>76</v>
      </c>
      <c r="H442" t="s">
        <v>39</v>
      </c>
      <c r="I442">
        <v>2.3074900397842362E-2</v>
      </c>
      <c r="J442" t="s">
        <v>6</v>
      </c>
      <c r="L442" t="s">
        <v>77</v>
      </c>
      <c r="M442" t="s">
        <v>39</v>
      </c>
      <c r="N442">
        <v>2.2183285158617862E-2</v>
      </c>
      <c r="O442" t="s">
        <v>6</v>
      </c>
    </row>
    <row r="443" spans="2:15" x14ac:dyDescent="0.45">
      <c r="B443" t="s">
        <v>75</v>
      </c>
      <c r="C443" t="s">
        <v>40</v>
      </c>
      <c r="D443">
        <v>1.1198889198419807E-3</v>
      </c>
      <c r="E443" t="s">
        <v>6</v>
      </c>
      <c r="G443" t="s">
        <v>76</v>
      </c>
      <c r="H443" t="s">
        <v>40</v>
      </c>
      <c r="I443">
        <v>2.2816585864351879E-2</v>
      </c>
      <c r="J443" t="s">
        <v>6</v>
      </c>
      <c r="L443" t="s">
        <v>77</v>
      </c>
      <c r="M443" t="s">
        <v>40</v>
      </c>
      <c r="N443">
        <v>2.2274223302841269E-2</v>
      </c>
      <c r="O443" t="s">
        <v>6</v>
      </c>
    </row>
    <row r="444" spans="2:15" x14ac:dyDescent="0.45">
      <c r="B444" t="s">
        <v>75</v>
      </c>
      <c r="C444" t="s">
        <v>41</v>
      </c>
      <c r="D444">
        <v>1.9587310302638099E-2</v>
      </c>
      <c r="E444" t="s">
        <v>6</v>
      </c>
      <c r="G444" t="s">
        <v>76</v>
      </c>
      <c r="H444" t="s">
        <v>41</v>
      </c>
      <c r="I444">
        <v>2.2930418952644971E-2</v>
      </c>
      <c r="J444" t="s">
        <v>6</v>
      </c>
      <c r="L444" t="s">
        <v>77</v>
      </c>
      <c r="M444" t="s">
        <v>41</v>
      </c>
      <c r="N444">
        <v>2.1894847887115192E-2</v>
      </c>
      <c r="O444" t="s">
        <v>6</v>
      </c>
    </row>
    <row r="445" spans="2:15" x14ac:dyDescent="0.45">
      <c r="B445" t="s">
        <v>75</v>
      </c>
      <c r="C445" t="s">
        <v>42</v>
      </c>
      <c r="D445">
        <v>4.6154684629390971E-2</v>
      </c>
      <c r="E445" t="s">
        <v>6</v>
      </c>
      <c r="G445" t="s">
        <v>76</v>
      </c>
      <c r="H445" t="s">
        <v>42</v>
      </c>
      <c r="I445">
        <v>2.3107133874032258E-2</v>
      </c>
      <c r="J445" t="s">
        <v>6</v>
      </c>
      <c r="L445" t="s">
        <v>77</v>
      </c>
      <c r="M445" t="s">
        <v>42</v>
      </c>
      <c r="N445">
        <v>2.1572153271585858E-2</v>
      </c>
      <c r="O445" t="s">
        <v>6</v>
      </c>
    </row>
    <row r="446" spans="2:15" x14ac:dyDescent="0.45">
      <c r="B446" t="s">
        <v>75</v>
      </c>
      <c r="C446" t="s">
        <v>43</v>
      </c>
      <c r="D446">
        <v>5.6918469419567436E-2</v>
      </c>
      <c r="E446" t="s">
        <v>6</v>
      </c>
      <c r="G446" t="s">
        <v>76</v>
      </c>
      <c r="H446" t="s">
        <v>43</v>
      </c>
      <c r="I446">
        <v>2.413504072229922E-2</v>
      </c>
      <c r="J446" t="s">
        <v>6</v>
      </c>
      <c r="L446" t="s">
        <v>77</v>
      </c>
      <c r="M446" t="s">
        <v>43</v>
      </c>
      <c r="N446">
        <v>2.1942582840379112E-2</v>
      </c>
      <c r="O446" t="s">
        <v>6</v>
      </c>
    </row>
    <row r="447" spans="2:15" x14ac:dyDescent="0.45">
      <c r="B447" t="s">
        <v>75</v>
      </c>
      <c r="C447" t="s">
        <v>44</v>
      </c>
      <c r="D447">
        <v>4.608770765457873E-2</v>
      </c>
      <c r="E447" t="s">
        <v>6</v>
      </c>
      <c r="G447" t="s">
        <v>76</v>
      </c>
      <c r="H447" t="s">
        <v>44</v>
      </c>
      <c r="I447">
        <v>2.4527782595188098E-2</v>
      </c>
      <c r="J447" t="s">
        <v>6</v>
      </c>
      <c r="L447" t="s">
        <v>77</v>
      </c>
      <c r="M447" t="s">
        <v>44</v>
      </c>
      <c r="N447">
        <v>2.2090050007653319E-2</v>
      </c>
      <c r="O447" t="s">
        <v>6</v>
      </c>
    </row>
    <row r="448" spans="2:15" x14ac:dyDescent="0.45">
      <c r="B448" t="s">
        <v>75</v>
      </c>
      <c r="C448" t="s">
        <v>45</v>
      </c>
      <c r="D448">
        <v>1.7444761351695967E-2</v>
      </c>
      <c r="E448" t="s">
        <v>6</v>
      </c>
      <c r="G448" t="s">
        <v>76</v>
      </c>
      <c r="H448" t="s">
        <v>45</v>
      </c>
      <c r="I448">
        <v>2.4460679488070049E-2</v>
      </c>
      <c r="J448" t="s">
        <v>6</v>
      </c>
      <c r="L448" t="s">
        <v>77</v>
      </c>
      <c r="M448" t="s">
        <v>45</v>
      </c>
      <c r="N448">
        <v>2.2206362339299582E-2</v>
      </c>
      <c r="O448" t="s">
        <v>6</v>
      </c>
    </row>
    <row r="449" spans="2:15" x14ac:dyDescent="0.45">
      <c r="B449" t="s">
        <v>75</v>
      </c>
      <c r="C449" t="s">
        <v>46</v>
      </c>
      <c r="D449">
        <v>8.7868712394923701E-4</v>
      </c>
      <c r="E449" t="s">
        <v>6</v>
      </c>
      <c r="G449" t="s">
        <v>76</v>
      </c>
      <c r="H449" t="s">
        <v>46</v>
      </c>
      <c r="I449">
        <v>2.4532731766454381E-2</v>
      </c>
      <c r="J449" t="s">
        <v>6</v>
      </c>
      <c r="L449" t="s">
        <v>77</v>
      </c>
      <c r="M449" t="s">
        <v>46</v>
      </c>
      <c r="N449">
        <v>2.2211603094322512E-2</v>
      </c>
      <c r="O449" t="s">
        <v>6</v>
      </c>
    </row>
    <row r="450" spans="2:15" x14ac:dyDescent="0.45">
      <c r="B450" t="s">
        <v>75</v>
      </c>
      <c r="C450" t="s">
        <v>47</v>
      </c>
      <c r="D450">
        <v>0</v>
      </c>
      <c r="E450" t="s">
        <v>6</v>
      </c>
      <c r="G450" t="s">
        <v>76</v>
      </c>
      <c r="H450" t="s">
        <v>47</v>
      </c>
      <c r="I450">
        <v>3.6204693862131911E-2</v>
      </c>
      <c r="J450" t="s">
        <v>6</v>
      </c>
      <c r="L450" t="s">
        <v>77</v>
      </c>
      <c r="M450" t="s">
        <v>47</v>
      </c>
      <c r="N450">
        <v>3.2915430358155029E-2</v>
      </c>
      <c r="O450" t="s">
        <v>6</v>
      </c>
    </row>
    <row r="451" spans="2:15" x14ac:dyDescent="0.45">
      <c r="B451" t="s">
        <v>78</v>
      </c>
      <c r="C451" t="s">
        <v>5</v>
      </c>
      <c r="D451">
        <v>0</v>
      </c>
      <c r="E451" t="s">
        <v>6</v>
      </c>
      <c r="G451" t="s">
        <v>79</v>
      </c>
      <c r="H451" t="s">
        <v>5</v>
      </c>
      <c r="I451">
        <v>5.2402002032045022E-2</v>
      </c>
      <c r="J451" t="s">
        <v>6</v>
      </c>
      <c r="L451" t="s">
        <v>80</v>
      </c>
      <c r="M451" t="s">
        <v>5</v>
      </c>
      <c r="N451">
        <v>6.4731878539206519E-2</v>
      </c>
      <c r="O451" t="s">
        <v>6</v>
      </c>
    </row>
    <row r="452" spans="2:15" x14ac:dyDescent="0.45">
      <c r="B452" t="s">
        <v>78</v>
      </c>
      <c r="C452" t="s">
        <v>9</v>
      </c>
      <c r="D452">
        <v>0</v>
      </c>
      <c r="E452" t="s">
        <v>6</v>
      </c>
      <c r="G452" t="s">
        <v>79</v>
      </c>
      <c r="H452" t="s">
        <v>9</v>
      </c>
      <c r="I452">
        <v>2.2348780163730323E-2</v>
      </c>
      <c r="J452" t="s">
        <v>6</v>
      </c>
      <c r="L452" t="s">
        <v>80</v>
      </c>
      <c r="M452" t="s">
        <v>9</v>
      </c>
      <c r="N452">
        <v>2.6149620515732871E-2</v>
      </c>
      <c r="O452" t="s">
        <v>6</v>
      </c>
    </row>
    <row r="453" spans="2:15" x14ac:dyDescent="0.45">
      <c r="B453" t="s">
        <v>78</v>
      </c>
      <c r="C453" t="s">
        <v>10</v>
      </c>
      <c r="D453">
        <v>1.1771769707025897E-5</v>
      </c>
      <c r="E453" t="s">
        <v>6</v>
      </c>
      <c r="G453" t="s">
        <v>79</v>
      </c>
      <c r="H453" t="s">
        <v>10</v>
      </c>
      <c r="I453">
        <v>2.2619494446009594E-2</v>
      </c>
      <c r="J453" t="s">
        <v>6</v>
      </c>
      <c r="L453" t="s">
        <v>80</v>
      </c>
      <c r="M453" t="s">
        <v>10</v>
      </c>
      <c r="N453">
        <v>2.5949837937970538E-2</v>
      </c>
      <c r="O453" t="s">
        <v>6</v>
      </c>
    </row>
    <row r="454" spans="2:15" x14ac:dyDescent="0.45">
      <c r="B454" t="s">
        <v>78</v>
      </c>
      <c r="C454" t="s">
        <v>11</v>
      </c>
      <c r="D454">
        <v>1.1274370543209926E-2</v>
      </c>
      <c r="E454" t="s">
        <v>6</v>
      </c>
      <c r="G454" t="s">
        <v>79</v>
      </c>
      <c r="H454" t="s">
        <v>11</v>
      </c>
      <c r="I454">
        <v>2.136107926856308E-2</v>
      </c>
      <c r="J454" t="s">
        <v>6</v>
      </c>
      <c r="L454" t="s">
        <v>80</v>
      </c>
      <c r="M454" t="s">
        <v>11</v>
      </c>
      <c r="N454">
        <v>2.4677772860311933E-2</v>
      </c>
      <c r="O454" t="s">
        <v>6</v>
      </c>
    </row>
    <row r="455" spans="2:15" x14ac:dyDescent="0.45">
      <c r="B455" t="s">
        <v>78</v>
      </c>
      <c r="C455" t="s">
        <v>12</v>
      </c>
      <c r="D455">
        <v>3.5229203687780541E-2</v>
      </c>
      <c r="E455" t="s">
        <v>6</v>
      </c>
      <c r="G455" t="s">
        <v>79</v>
      </c>
      <c r="H455" t="s">
        <v>12</v>
      </c>
      <c r="I455">
        <v>1.9775944670754116E-2</v>
      </c>
      <c r="J455" t="s">
        <v>6</v>
      </c>
      <c r="L455" t="s">
        <v>80</v>
      </c>
      <c r="M455" t="s">
        <v>12</v>
      </c>
      <c r="N455">
        <v>2.2950552172507081E-2</v>
      </c>
      <c r="O455" t="s">
        <v>6</v>
      </c>
    </row>
    <row r="456" spans="2:15" x14ac:dyDescent="0.45">
      <c r="B456" t="s">
        <v>78</v>
      </c>
      <c r="C456" t="s">
        <v>13</v>
      </c>
      <c r="D456">
        <v>4.2443032027247703E-2</v>
      </c>
      <c r="E456" t="s">
        <v>6</v>
      </c>
      <c r="G456" t="s">
        <v>79</v>
      </c>
      <c r="H456" t="s">
        <v>13</v>
      </c>
      <c r="I456">
        <v>2.1449428621366624E-2</v>
      </c>
      <c r="J456" t="s">
        <v>6</v>
      </c>
      <c r="L456" t="s">
        <v>80</v>
      </c>
      <c r="M456" t="s">
        <v>13</v>
      </c>
      <c r="N456">
        <v>2.2407010357687256E-2</v>
      </c>
      <c r="O456" t="s">
        <v>6</v>
      </c>
    </row>
    <row r="457" spans="2:15" x14ac:dyDescent="0.45">
      <c r="B457" t="s">
        <v>78</v>
      </c>
      <c r="C457" t="s">
        <v>14</v>
      </c>
      <c r="D457">
        <v>2.7055934253601879E-2</v>
      </c>
      <c r="E457" t="s">
        <v>6</v>
      </c>
      <c r="G457" t="s">
        <v>79</v>
      </c>
      <c r="H457" t="s">
        <v>14</v>
      </c>
      <c r="I457">
        <v>2.2622695388789402E-2</v>
      </c>
      <c r="J457" t="s">
        <v>6</v>
      </c>
      <c r="L457" t="s">
        <v>80</v>
      </c>
      <c r="M457" t="s">
        <v>14</v>
      </c>
      <c r="N457">
        <v>2.300745961151757E-2</v>
      </c>
      <c r="O457" t="s">
        <v>6</v>
      </c>
    </row>
    <row r="458" spans="2:15" x14ac:dyDescent="0.45">
      <c r="B458" t="s">
        <v>78</v>
      </c>
      <c r="C458" t="s">
        <v>15</v>
      </c>
      <c r="D458">
        <v>3.9318713393917256E-3</v>
      </c>
      <c r="E458" t="s">
        <v>6</v>
      </c>
      <c r="G458" t="s">
        <v>79</v>
      </c>
      <c r="H458" t="s">
        <v>15</v>
      </c>
      <c r="I458">
        <v>2.3658681460440926E-2</v>
      </c>
      <c r="J458" t="s">
        <v>6</v>
      </c>
      <c r="L458" t="s">
        <v>80</v>
      </c>
      <c r="M458" t="s">
        <v>15</v>
      </c>
      <c r="N458">
        <v>2.4239870605340351E-2</v>
      </c>
      <c r="O458" t="s">
        <v>6</v>
      </c>
    </row>
    <row r="459" spans="2:15" x14ac:dyDescent="0.45">
      <c r="B459" t="s">
        <v>78</v>
      </c>
      <c r="C459" t="s">
        <v>16</v>
      </c>
      <c r="D459">
        <v>0</v>
      </c>
      <c r="E459" t="s">
        <v>6</v>
      </c>
      <c r="G459" t="s">
        <v>79</v>
      </c>
      <c r="H459" t="s">
        <v>16</v>
      </c>
      <c r="I459">
        <v>2.2764618772127061E-2</v>
      </c>
      <c r="J459" t="s">
        <v>6</v>
      </c>
      <c r="L459" t="s">
        <v>80</v>
      </c>
      <c r="M459" t="s">
        <v>16</v>
      </c>
      <c r="N459">
        <v>2.6103739487739551E-2</v>
      </c>
      <c r="O459" t="s">
        <v>6</v>
      </c>
    </row>
    <row r="460" spans="2:15" x14ac:dyDescent="0.45">
      <c r="B460" t="s">
        <v>78</v>
      </c>
      <c r="C460" t="s">
        <v>17</v>
      </c>
      <c r="D460">
        <v>0</v>
      </c>
      <c r="E460" t="s">
        <v>6</v>
      </c>
      <c r="G460" t="s">
        <v>79</v>
      </c>
      <c r="H460" t="s">
        <v>17</v>
      </c>
      <c r="I460">
        <v>3.1471322077663309E-2</v>
      </c>
      <c r="J460" t="s">
        <v>6</v>
      </c>
      <c r="L460" t="s">
        <v>80</v>
      </c>
      <c r="M460" t="s">
        <v>17</v>
      </c>
      <c r="N460">
        <v>4.0068765049821889E-2</v>
      </c>
      <c r="O460" t="s">
        <v>6</v>
      </c>
    </row>
    <row r="461" spans="2:15" x14ac:dyDescent="0.45">
      <c r="B461" t="s">
        <v>78</v>
      </c>
      <c r="C461" t="s">
        <v>18</v>
      </c>
      <c r="D461">
        <v>0</v>
      </c>
      <c r="E461" t="s">
        <v>6</v>
      </c>
      <c r="G461" t="s">
        <v>79</v>
      </c>
      <c r="H461" t="s">
        <v>18</v>
      </c>
      <c r="I461">
        <v>5.847326941245614E-2</v>
      </c>
      <c r="J461" t="s">
        <v>6</v>
      </c>
      <c r="L461" t="s">
        <v>80</v>
      </c>
      <c r="M461" t="s">
        <v>18</v>
      </c>
      <c r="N461">
        <v>5.5561667089290362E-2</v>
      </c>
      <c r="O461" t="s">
        <v>6</v>
      </c>
    </row>
    <row r="462" spans="2:15" x14ac:dyDescent="0.45">
      <c r="B462" t="s">
        <v>78</v>
      </c>
      <c r="C462" t="s">
        <v>19</v>
      </c>
      <c r="D462">
        <v>2.1785932503030008E-4</v>
      </c>
      <c r="E462" t="s">
        <v>6</v>
      </c>
      <c r="G462" t="s">
        <v>79</v>
      </c>
      <c r="H462" t="s">
        <v>19</v>
      </c>
      <c r="I462">
        <v>2.3266360917794753E-2</v>
      </c>
      <c r="J462" t="s">
        <v>6</v>
      </c>
      <c r="L462" t="s">
        <v>80</v>
      </c>
      <c r="M462" t="s">
        <v>19</v>
      </c>
      <c r="N462">
        <v>2.2839437411180746E-2</v>
      </c>
      <c r="O462" t="s">
        <v>6</v>
      </c>
    </row>
    <row r="463" spans="2:15" x14ac:dyDescent="0.45">
      <c r="B463" t="s">
        <v>78</v>
      </c>
      <c r="C463" t="s">
        <v>20</v>
      </c>
      <c r="D463">
        <v>1.0388374608076978E-2</v>
      </c>
      <c r="E463" t="s">
        <v>6</v>
      </c>
      <c r="G463" t="s">
        <v>79</v>
      </c>
      <c r="H463" t="s">
        <v>20</v>
      </c>
      <c r="I463">
        <v>2.308836343882021E-2</v>
      </c>
      <c r="J463" t="s">
        <v>6</v>
      </c>
      <c r="L463" t="s">
        <v>80</v>
      </c>
      <c r="M463" t="s">
        <v>20</v>
      </c>
      <c r="N463">
        <v>2.2418000783752688E-2</v>
      </c>
      <c r="O463" t="s">
        <v>6</v>
      </c>
    </row>
    <row r="464" spans="2:15" x14ac:dyDescent="0.45">
      <c r="B464" t="s">
        <v>78</v>
      </c>
      <c r="C464" t="s">
        <v>21</v>
      </c>
      <c r="D464">
        <v>4.7523030697119273E-2</v>
      </c>
      <c r="E464" t="s">
        <v>6</v>
      </c>
      <c r="G464" t="s">
        <v>79</v>
      </c>
      <c r="H464" t="s">
        <v>21</v>
      </c>
      <c r="I464">
        <v>2.4225232652847154E-2</v>
      </c>
      <c r="J464" t="s">
        <v>6</v>
      </c>
      <c r="L464" t="s">
        <v>80</v>
      </c>
      <c r="M464" t="s">
        <v>21</v>
      </c>
      <c r="N464">
        <v>2.073935624577921E-2</v>
      </c>
      <c r="O464" t="s">
        <v>6</v>
      </c>
    </row>
    <row r="465" spans="2:15" x14ac:dyDescent="0.45">
      <c r="B465" t="s">
        <v>78</v>
      </c>
      <c r="C465" t="s">
        <v>22</v>
      </c>
      <c r="D465">
        <v>7.6830545346684279E-2</v>
      </c>
      <c r="E465" t="s">
        <v>6</v>
      </c>
      <c r="G465" t="s">
        <v>79</v>
      </c>
      <c r="H465" t="s">
        <v>22</v>
      </c>
      <c r="I465">
        <v>2.6333671020478185E-2</v>
      </c>
      <c r="J465" t="s">
        <v>6</v>
      </c>
      <c r="L465" t="s">
        <v>80</v>
      </c>
      <c r="M465" t="s">
        <v>22</v>
      </c>
      <c r="N465">
        <v>1.9368027839206003E-2</v>
      </c>
      <c r="O465" t="s">
        <v>6</v>
      </c>
    </row>
    <row r="466" spans="2:15" x14ac:dyDescent="0.45">
      <c r="B466" t="s">
        <v>78</v>
      </c>
      <c r="C466" t="s">
        <v>23</v>
      </c>
      <c r="D466">
        <v>8.0236967164311168E-2</v>
      </c>
      <c r="E466" t="s">
        <v>6</v>
      </c>
      <c r="G466" t="s">
        <v>79</v>
      </c>
      <c r="H466" t="s">
        <v>23</v>
      </c>
      <c r="I466">
        <v>3.095677121602786E-2</v>
      </c>
      <c r="J466" t="s">
        <v>6</v>
      </c>
      <c r="L466" t="s">
        <v>80</v>
      </c>
      <c r="M466" t="s">
        <v>23</v>
      </c>
      <c r="N466">
        <v>1.948950469455181E-2</v>
      </c>
      <c r="O466" t="s">
        <v>6</v>
      </c>
    </row>
    <row r="467" spans="2:15" x14ac:dyDescent="0.45">
      <c r="B467" t="s">
        <v>78</v>
      </c>
      <c r="C467" t="s">
        <v>24</v>
      </c>
      <c r="D467">
        <v>6.1837213070439677E-2</v>
      </c>
      <c r="E467" t="s">
        <v>6</v>
      </c>
      <c r="G467" t="s">
        <v>79</v>
      </c>
      <c r="H467" t="s">
        <v>24</v>
      </c>
      <c r="I467">
        <v>3.3362558107045935E-2</v>
      </c>
      <c r="J467" t="s">
        <v>6</v>
      </c>
      <c r="L467" t="s">
        <v>80</v>
      </c>
      <c r="M467" t="s">
        <v>24</v>
      </c>
      <c r="N467">
        <v>2.0648751288617453E-2</v>
      </c>
      <c r="O467" t="s">
        <v>6</v>
      </c>
    </row>
    <row r="468" spans="2:15" x14ac:dyDescent="0.45">
      <c r="B468" t="s">
        <v>78</v>
      </c>
      <c r="C468" t="s">
        <v>25</v>
      </c>
      <c r="D468">
        <v>2.778910897125304E-2</v>
      </c>
      <c r="E468" t="s">
        <v>6</v>
      </c>
      <c r="G468" t="s">
        <v>79</v>
      </c>
      <c r="H468" t="s">
        <v>25</v>
      </c>
      <c r="I468">
        <v>3.2750149515704784E-2</v>
      </c>
      <c r="J468" t="s">
        <v>6</v>
      </c>
      <c r="L468" t="s">
        <v>80</v>
      </c>
      <c r="M468" t="s">
        <v>25</v>
      </c>
      <c r="N468">
        <v>2.172941015583223E-2</v>
      </c>
      <c r="O468" t="s">
        <v>6</v>
      </c>
    </row>
    <row r="469" spans="2:15" x14ac:dyDescent="0.45">
      <c r="B469" t="s">
        <v>78</v>
      </c>
      <c r="C469" t="s">
        <v>26</v>
      </c>
      <c r="D469">
        <v>2.4809235989673687E-3</v>
      </c>
      <c r="E469" t="s">
        <v>6</v>
      </c>
      <c r="G469" t="s">
        <v>79</v>
      </c>
      <c r="H469" t="s">
        <v>26</v>
      </c>
      <c r="I469">
        <v>3.1416435403052327E-2</v>
      </c>
      <c r="J469" t="s">
        <v>6</v>
      </c>
      <c r="L469" t="s">
        <v>80</v>
      </c>
      <c r="M469" t="s">
        <v>26</v>
      </c>
      <c r="N469">
        <v>2.2093733855419784E-2</v>
      </c>
      <c r="O469" t="s">
        <v>6</v>
      </c>
    </row>
    <row r="470" spans="2:15" x14ac:dyDescent="0.45">
      <c r="B470" t="s">
        <v>78</v>
      </c>
      <c r="C470" t="s">
        <v>27</v>
      </c>
      <c r="D470">
        <v>0</v>
      </c>
      <c r="E470" t="s">
        <v>6</v>
      </c>
      <c r="G470" t="s">
        <v>79</v>
      </c>
      <c r="H470" t="s">
        <v>27</v>
      </c>
      <c r="I470">
        <v>4.1316635075487856E-2</v>
      </c>
      <c r="J470" t="s">
        <v>6</v>
      </c>
      <c r="L470" t="s">
        <v>80</v>
      </c>
      <c r="M470" t="s">
        <v>27</v>
      </c>
      <c r="N470">
        <v>3.2455467956790197E-2</v>
      </c>
      <c r="O470" t="s">
        <v>6</v>
      </c>
    </row>
    <row r="471" spans="2:15" x14ac:dyDescent="0.45">
      <c r="B471" t="s">
        <v>78</v>
      </c>
      <c r="C471" t="s">
        <v>28</v>
      </c>
      <c r="D471">
        <v>0</v>
      </c>
      <c r="E471" t="s">
        <v>6</v>
      </c>
      <c r="G471" t="s">
        <v>79</v>
      </c>
      <c r="H471" t="s">
        <v>28</v>
      </c>
      <c r="I471">
        <v>2.5834778598992612E-2</v>
      </c>
      <c r="J471" t="s">
        <v>6</v>
      </c>
      <c r="L471" t="s">
        <v>80</v>
      </c>
      <c r="M471" t="s">
        <v>28</v>
      </c>
      <c r="N471">
        <v>3.8999154818431567E-2</v>
      </c>
      <c r="O471" t="s">
        <v>6</v>
      </c>
    </row>
    <row r="472" spans="2:15" x14ac:dyDescent="0.45">
      <c r="B472" t="s">
        <v>78</v>
      </c>
      <c r="C472" t="s">
        <v>29</v>
      </c>
      <c r="D472">
        <v>8.3244519465874584E-4</v>
      </c>
      <c r="E472" t="s">
        <v>6</v>
      </c>
      <c r="G472" t="s">
        <v>79</v>
      </c>
      <c r="H472" t="s">
        <v>29</v>
      </c>
      <c r="I472">
        <v>8.2912760533164157E-3</v>
      </c>
      <c r="J472" t="s">
        <v>6</v>
      </c>
      <c r="L472" t="s">
        <v>80</v>
      </c>
      <c r="M472" t="s">
        <v>29</v>
      </c>
      <c r="N472">
        <v>1.4128319165445625E-2</v>
      </c>
      <c r="O472" t="s">
        <v>6</v>
      </c>
    </row>
    <row r="473" spans="2:15" x14ac:dyDescent="0.45">
      <c r="B473" t="s">
        <v>78</v>
      </c>
      <c r="C473" t="s">
        <v>30</v>
      </c>
      <c r="D473">
        <v>1.7853978133791901E-2</v>
      </c>
      <c r="E473" t="s">
        <v>6</v>
      </c>
      <c r="G473" t="s">
        <v>79</v>
      </c>
      <c r="H473" t="s">
        <v>30</v>
      </c>
      <c r="I473">
        <v>6.9602136492726372E-3</v>
      </c>
      <c r="J473" t="s">
        <v>6</v>
      </c>
      <c r="L473" t="s">
        <v>80</v>
      </c>
      <c r="M473" t="s">
        <v>30</v>
      </c>
      <c r="N473">
        <v>1.2885541844212457E-2</v>
      </c>
      <c r="O473" t="s">
        <v>6</v>
      </c>
    </row>
    <row r="474" spans="2:15" x14ac:dyDescent="0.45">
      <c r="B474" t="s">
        <v>78</v>
      </c>
      <c r="C474" t="s">
        <v>31</v>
      </c>
      <c r="D474">
        <v>6.0270495263704364E-2</v>
      </c>
      <c r="E474" t="s">
        <v>6</v>
      </c>
      <c r="G474" t="s">
        <v>79</v>
      </c>
      <c r="H474" t="s">
        <v>31</v>
      </c>
      <c r="I474">
        <v>8.3874694846122633E-3</v>
      </c>
      <c r="J474" t="s">
        <v>6</v>
      </c>
      <c r="L474" t="s">
        <v>80</v>
      </c>
      <c r="M474" t="s">
        <v>31</v>
      </c>
      <c r="N474">
        <v>1.0879892056471727E-2</v>
      </c>
      <c r="O474" t="s">
        <v>6</v>
      </c>
    </row>
    <row r="475" spans="2:15" x14ac:dyDescent="0.45">
      <c r="B475" t="s">
        <v>78</v>
      </c>
      <c r="C475" t="s">
        <v>32</v>
      </c>
      <c r="D475">
        <v>8.8504545394492873E-2</v>
      </c>
      <c r="E475" t="s">
        <v>6</v>
      </c>
      <c r="G475" t="s">
        <v>79</v>
      </c>
      <c r="H475" t="s">
        <v>32</v>
      </c>
      <c r="I475">
        <v>9.800513935755234E-3</v>
      </c>
      <c r="J475" t="s">
        <v>6</v>
      </c>
      <c r="L475" t="s">
        <v>80</v>
      </c>
      <c r="M475" t="s">
        <v>32</v>
      </c>
      <c r="N475">
        <v>1.036460288567346E-2</v>
      </c>
      <c r="O475" t="s">
        <v>6</v>
      </c>
    </row>
    <row r="476" spans="2:15" x14ac:dyDescent="0.45">
      <c r="B476" t="s">
        <v>78</v>
      </c>
      <c r="C476" t="s">
        <v>33</v>
      </c>
      <c r="D476">
        <v>9.3251314842586683E-2</v>
      </c>
      <c r="E476" t="s">
        <v>6</v>
      </c>
      <c r="G476" t="s">
        <v>79</v>
      </c>
      <c r="H476" t="s">
        <v>33</v>
      </c>
      <c r="I476">
        <v>1.2525300087964372E-2</v>
      </c>
      <c r="J476" t="s">
        <v>6</v>
      </c>
      <c r="L476" t="s">
        <v>80</v>
      </c>
      <c r="M476" t="s">
        <v>33</v>
      </c>
      <c r="N476">
        <v>1.2072419553739538E-2</v>
      </c>
      <c r="O476" t="s">
        <v>6</v>
      </c>
    </row>
    <row r="477" spans="2:15" x14ac:dyDescent="0.45">
      <c r="B477" t="s">
        <v>78</v>
      </c>
      <c r="C477" t="s">
        <v>34</v>
      </c>
      <c r="D477">
        <v>7.7083615514812923E-2</v>
      </c>
      <c r="E477" t="s">
        <v>6</v>
      </c>
      <c r="G477" t="s">
        <v>79</v>
      </c>
      <c r="H477" t="s">
        <v>34</v>
      </c>
      <c r="I477">
        <v>1.4655134980803963E-2</v>
      </c>
      <c r="J477" t="s">
        <v>6</v>
      </c>
      <c r="L477" t="s">
        <v>80</v>
      </c>
      <c r="M477" t="s">
        <v>34</v>
      </c>
      <c r="N477">
        <v>1.496739227573575E-2</v>
      </c>
      <c r="O477" t="s">
        <v>6</v>
      </c>
    </row>
    <row r="478" spans="2:15" x14ac:dyDescent="0.45">
      <c r="B478" t="s">
        <v>78</v>
      </c>
      <c r="C478" t="s">
        <v>35</v>
      </c>
      <c r="D478">
        <v>4.1269920957834633E-2</v>
      </c>
      <c r="E478" t="s">
        <v>6</v>
      </c>
      <c r="G478" t="s">
        <v>79</v>
      </c>
      <c r="H478" t="s">
        <v>35</v>
      </c>
      <c r="I478">
        <v>1.554906387376712E-2</v>
      </c>
      <c r="J478" t="s">
        <v>6</v>
      </c>
      <c r="L478" t="s">
        <v>80</v>
      </c>
      <c r="M478" t="s">
        <v>35</v>
      </c>
      <c r="N478">
        <v>1.6748231529424014E-2</v>
      </c>
      <c r="O478" t="s">
        <v>6</v>
      </c>
    </row>
    <row r="479" spans="2:15" x14ac:dyDescent="0.45">
      <c r="B479" t="s">
        <v>78</v>
      </c>
      <c r="C479" t="s">
        <v>36</v>
      </c>
      <c r="D479">
        <v>6.9915354643514246E-3</v>
      </c>
      <c r="E479" t="s">
        <v>6</v>
      </c>
      <c r="G479" t="s">
        <v>79</v>
      </c>
      <c r="H479" t="s">
        <v>36</v>
      </c>
      <c r="I479">
        <v>1.4908712457385771E-2</v>
      </c>
      <c r="J479" t="s">
        <v>6</v>
      </c>
      <c r="L479" t="s">
        <v>80</v>
      </c>
      <c r="M479" t="s">
        <v>36</v>
      </c>
      <c r="N479">
        <v>1.7792655082178973E-2</v>
      </c>
      <c r="O479" t="s">
        <v>6</v>
      </c>
    </row>
    <row r="480" spans="2:15" x14ac:dyDescent="0.45">
      <c r="B480" t="s">
        <v>78</v>
      </c>
      <c r="C480" t="s">
        <v>37</v>
      </c>
      <c r="D480">
        <v>1.8995278306083201E-6</v>
      </c>
      <c r="E480" t="s">
        <v>6</v>
      </c>
      <c r="G480" t="s">
        <v>79</v>
      </c>
      <c r="H480" t="s">
        <v>37</v>
      </c>
      <c r="I480">
        <v>1.9987684317287664E-2</v>
      </c>
      <c r="J480" t="s">
        <v>6</v>
      </c>
      <c r="L480" t="s">
        <v>80</v>
      </c>
      <c r="M480" t="s">
        <v>37</v>
      </c>
      <c r="N480">
        <v>2.6188408746290286E-2</v>
      </c>
      <c r="O480" t="s">
        <v>6</v>
      </c>
    </row>
    <row r="481" spans="2:15" x14ac:dyDescent="0.45">
      <c r="B481" t="s">
        <v>78</v>
      </c>
      <c r="C481" t="s">
        <v>38</v>
      </c>
      <c r="D481">
        <v>0</v>
      </c>
      <c r="E481" t="s">
        <v>6</v>
      </c>
      <c r="G481" t="s">
        <v>79</v>
      </c>
      <c r="H481" t="s">
        <v>38</v>
      </c>
      <c r="I481">
        <v>5.7542836832939669E-2</v>
      </c>
      <c r="J481" t="s">
        <v>6</v>
      </c>
      <c r="L481" t="s">
        <v>80</v>
      </c>
      <c r="M481" t="s">
        <v>38</v>
      </c>
      <c r="N481">
        <v>5.3661598642050862E-2</v>
      </c>
      <c r="O481" t="s">
        <v>6</v>
      </c>
    </row>
    <row r="482" spans="2:15" x14ac:dyDescent="0.45">
      <c r="B482" t="s">
        <v>78</v>
      </c>
      <c r="C482" t="s">
        <v>39</v>
      </c>
      <c r="D482">
        <v>0</v>
      </c>
      <c r="E482" t="s">
        <v>6</v>
      </c>
      <c r="G482" t="s">
        <v>79</v>
      </c>
      <c r="H482" t="s">
        <v>39</v>
      </c>
      <c r="I482">
        <v>2.1790281211195354E-2</v>
      </c>
      <c r="J482" t="s">
        <v>6</v>
      </c>
      <c r="L482" t="s">
        <v>80</v>
      </c>
      <c r="M482" t="s">
        <v>39</v>
      </c>
      <c r="N482">
        <v>2.2216144479089033E-2</v>
      </c>
      <c r="O482" t="s">
        <v>6</v>
      </c>
    </row>
    <row r="483" spans="2:15" x14ac:dyDescent="0.45">
      <c r="B483" t="s">
        <v>78</v>
      </c>
      <c r="C483" t="s">
        <v>40</v>
      </c>
      <c r="D483">
        <v>3.0235469955280305E-3</v>
      </c>
      <c r="E483" t="s">
        <v>6</v>
      </c>
      <c r="G483" t="s">
        <v>79</v>
      </c>
      <c r="H483" t="s">
        <v>40</v>
      </c>
      <c r="I483">
        <v>2.0642052356090682E-2</v>
      </c>
      <c r="J483" t="s">
        <v>6</v>
      </c>
      <c r="L483" t="s">
        <v>80</v>
      </c>
      <c r="M483" t="s">
        <v>40</v>
      </c>
      <c r="N483">
        <v>2.2611824118369733E-2</v>
      </c>
      <c r="O483" t="s">
        <v>6</v>
      </c>
    </row>
    <row r="484" spans="2:15" x14ac:dyDescent="0.45">
      <c r="B484" t="s">
        <v>78</v>
      </c>
      <c r="C484" t="s">
        <v>41</v>
      </c>
      <c r="D484">
        <v>2.6274785407533911E-2</v>
      </c>
      <c r="E484" t="s">
        <v>6</v>
      </c>
      <c r="G484" t="s">
        <v>79</v>
      </c>
      <c r="H484" t="s">
        <v>41</v>
      </c>
      <c r="I484">
        <v>2.0336539494752906E-2</v>
      </c>
      <c r="J484" t="s">
        <v>6</v>
      </c>
      <c r="L484" t="s">
        <v>80</v>
      </c>
      <c r="M484" t="s">
        <v>41</v>
      </c>
      <c r="N484">
        <v>2.1626995743207623E-2</v>
      </c>
      <c r="O484" t="s">
        <v>6</v>
      </c>
    </row>
    <row r="485" spans="2:15" x14ac:dyDescent="0.45">
      <c r="B485" t="s">
        <v>78</v>
      </c>
      <c r="C485" t="s">
        <v>42</v>
      </c>
      <c r="D485">
        <v>5.2664612072356502E-2</v>
      </c>
      <c r="E485" t="s">
        <v>6</v>
      </c>
      <c r="G485" t="s">
        <v>79</v>
      </c>
      <c r="H485" t="s">
        <v>42</v>
      </c>
      <c r="I485">
        <v>2.0682560009353378E-2</v>
      </c>
      <c r="J485" t="s">
        <v>6</v>
      </c>
      <c r="L485" t="s">
        <v>80</v>
      </c>
      <c r="M485" t="s">
        <v>42</v>
      </c>
      <c r="N485">
        <v>2.1326142337596062E-2</v>
      </c>
      <c r="O485" t="s">
        <v>6</v>
      </c>
    </row>
    <row r="486" spans="2:15" x14ac:dyDescent="0.45">
      <c r="B486" t="s">
        <v>78</v>
      </c>
      <c r="C486" t="s">
        <v>43</v>
      </c>
      <c r="D486">
        <v>5.6001479259524381E-2</v>
      </c>
      <c r="E486" t="s">
        <v>6</v>
      </c>
      <c r="G486" t="s">
        <v>79</v>
      </c>
      <c r="H486" t="s">
        <v>43</v>
      </c>
      <c r="I486">
        <v>2.2890851337766846E-2</v>
      </c>
      <c r="J486" t="s">
        <v>6</v>
      </c>
      <c r="L486" t="s">
        <v>80</v>
      </c>
      <c r="M486" t="s">
        <v>43</v>
      </c>
      <c r="N486">
        <v>2.2264722918535398E-2</v>
      </c>
      <c r="O486" t="s">
        <v>6</v>
      </c>
    </row>
    <row r="487" spans="2:15" x14ac:dyDescent="0.45">
      <c r="B487" t="s">
        <v>78</v>
      </c>
      <c r="C487" t="s">
        <v>44</v>
      </c>
      <c r="D487">
        <v>3.7989812114139723E-2</v>
      </c>
      <c r="E487" t="s">
        <v>6</v>
      </c>
      <c r="G487" t="s">
        <v>79</v>
      </c>
      <c r="H487" t="s">
        <v>44</v>
      </c>
      <c r="I487">
        <v>2.5040154871830148E-2</v>
      </c>
      <c r="J487" t="s">
        <v>6</v>
      </c>
      <c r="L487" t="s">
        <v>80</v>
      </c>
      <c r="M487" t="s">
        <v>44</v>
      </c>
      <c r="N487">
        <v>2.317185180789598E-2</v>
      </c>
      <c r="O487" t="s">
        <v>6</v>
      </c>
    </row>
    <row r="488" spans="2:15" x14ac:dyDescent="0.45">
      <c r="B488" t="s">
        <v>78</v>
      </c>
      <c r="C488" t="s">
        <v>45</v>
      </c>
      <c r="D488">
        <v>1.0590921263957314E-2</v>
      </c>
      <c r="E488" t="s">
        <v>6</v>
      </c>
      <c r="G488" t="s">
        <v>79</v>
      </c>
      <c r="H488" t="s">
        <v>45</v>
      </c>
      <c r="I488">
        <v>2.5695632374553034E-2</v>
      </c>
      <c r="J488" t="s">
        <v>6</v>
      </c>
      <c r="L488" t="s">
        <v>80</v>
      </c>
      <c r="M488" t="s">
        <v>45</v>
      </c>
      <c r="N488">
        <v>2.3469617840912095E-2</v>
      </c>
      <c r="O488" t="s">
        <v>6</v>
      </c>
    </row>
    <row r="489" spans="2:15" x14ac:dyDescent="0.45">
      <c r="B489" t="s">
        <v>78</v>
      </c>
      <c r="C489" t="s">
        <v>46</v>
      </c>
      <c r="D489">
        <v>1.4488619007608041E-4</v>
      </c>
      <c r="E489" t="s">
        <v>6</v>
      </c>
      <c r="G489" t="s">
        <v>79</v>
      </c>
      <c r="H489" t="s">
        <v>46</v>
      </c>
      <c r="I489">
        <v>2.5715570626171472E-2</v>
      </c>
      <c r="J489" t="s">
        <v>6</v>
      </c>
      <c r="L489" t="s">
        <v>80</v>
      </c>
      <c r="M489" t="s">
        <v>46</v>
      </c>
      <c r="N489">
        <v>2.3131119575910457E-2</v>
      </c>
      <c r="O489" t="s">
        <v>6</v>
      </c>
    </row>
    <row r="490" spans="2:15" x14ac:dyDescent="0.45">
      <c r="B490" t="s">
        <v>78</v>
      </c>
      <c r="C490" t="s">
        <v>47</v>
      </c>
      <c r="D490">
        <v>0</v>
      </c>
      <c r="E490" t="s">
        <v>6</v>
      </c>
      <c r="G490" t="s">
        <v>79</v>
      </c>
      <c r="H490" t="s">
        <v>47</v>
      </c>
      <c r="I490">
        <v>3.7099879784987591E-2</v>
      </c>
      <c r="J490" t="s">
        <v>6</v>
      </c>
      <c r="L490" t="s">
        <v>80</v>
      </c>
      <c r="M490" t="s">
        <v>47</v>
      </c>
      <c r="N490">
        <v>3.3863500120571828E-2</v>
      </c>
      <c r="O490" t="s">
        <v>6</v>
      </c>
    </row>
    <row r="491" spans="2:15" x14ac:dyDescent="0.45">
      <c r="B491" t="s">
        <v>81</v>
      </c>
      <c r="C491" t="s">
        <v>5</v>
      </c>
      <c r="D491">
        <v>0</v>
      </c>
      <c r="E491" t="s">
        <v>6</v>
      </c>
      <c r="G491" t="s">
        <v>82</v>
      </c>
      <c r="H491" t="s">
        <v>5</v>
      </c>
      <c r="I491">
        <v>4.6317334588474736E-2</v>
      </c>
      <c r="J491" t="s">
        <v>6</v>
      </c>
      <c r="L491" t="s">
        <v>83</v>
      </c>
      <c r="M491" t="s">
        <v>5</v>
      </c>
      <c r="N491">
        <v>5.8259936696854329E-2</v>
      </c>
      <c r="O491" t="s">
        <v>6</v>
      </c>
    </row>
    <row r="492" spans="2:15" x14ac:dyDescent="0.45">
      <c r="B492" t="s">
        <v>81</v>
      </c>
      <c r="C492" t="s">
        <v>9</v>
      </c>
      <c r="D492">
        <v>0</v>
      </c>
      <c r="E492" t="s">
        <v>6</v>
      </c>
      <c r="G492" t="s">
        <v>82</v>
      </c>
      <c r="H492" t="s">
        <v>9</v>
      </c>
      <c r="I492">
        <v>2.0609385979014367E-2</v>
      </c>
      <c r="J492" t="s">
        <v>6</v>
      </c>
      <c r="L492" t="s">
        <v>83</v>
      </c>
      <c r="M492" t="s">
        <v>9</v>
      </c>
      <c r="N492">
        <v>2.3598314120304657E-2</v>
      </c>
      <c r="O492" t="s">
        <v>6</v>
      </c>
    </row>
    <row r="493" spans="2:15" x14ac:dyDescent="0.45">
      <c r="B493" t="s">
        <v>81</v>
      </c>
      <c r="C493" t="s">
        <v>10</v>
      </c>
      <c r="D493">
        <v>4.4731003261611713E-5</v>
      </c>
      <c r="E493" t="s">
        <v>6</v>
      </c>
      <c r="G493" t="s">
        <v>82</v>
      </c>
      <c r="H493" t="s">
        <v>10</v>
      </c>
      <c r="I493">
        <v>2.1308344810404986E-2</v>
      </c>
      <c r="J493" t="s">
        <v>6</v>
      </c>
      <c r="L493" t="s">
        <v>83</v>
      </c>
      <c r="M493" t="s">
        <v>10</v>
      </c>
      <c r="N493">
        <v>2.3656334619825876E-2</v>
      </c>
      <c r="O493" t="s">
        <v>6</v>
      </c>
    </row>
    <row r="494" spans="2:15" x14ac:dyDescent="0.45">
      <c r="B494" t="s">
        <v>81</v>
      </c>
      <c r="C494" t="s">
        <v>11</v>
      </c>
      <c r="D494">
        <v>1.443709371504415E-2</v>
      </c>
      <c r="E494" t="s">
        <v>6</v>
      </c>
      <c r="G494" t="s">
        <v>82</v>
      </c>
      <c r="H494" t="s">
        <v>11</v>
      </c>
      <c r="I494">
        <v>2.0071708877088635E-2</v>
      </c>
      <c r="J494" t="s">
        <v>6</v>
      </c>
      <c r="L494" t="s">
        <v>83</v>
      </c>
      <c r="M494" t="s">
        <v>11</v>
      </c>
      <c r="N494">
        <v>2.3568908480921118E-2</v>
      </c>
      <c r="O494" t="s">
        <v>6</v>
      </c>
    </row>
    <row r="495" spans="2:15" x14ac:dyDescent="0.45">
      <c r="B495" t="s">
        <v>81</v>
      </c>
      <c r="C495" t="s">
        <v>12</v>
      </c>
      <c r="D495">
        <v>4.2694585647976832E-2</v>
      </c>
      <c r="E495" t="s">
        <v>6</v>
      </c>
      <c r="G495" t="s">
        <v>82</v>
      </c>
      <c r="H495" t="s">
        <v>12</v>
      </c>
      <c r="I495">
        <v>1.855372338225467E-2</v>
      </c>
      <c r="J495" t="s">
        <v>6</v>
      </c>
      <c r="L495" t="s">
        <v>83</v>
      </c>
      <c r="M495" t="s">
        <v>12</v>
      </c>
      <c r="N495">
        <v>2.3498385237275245E-2</v>
      </c>
      <c r="O495" t="s">
        <v>6</v>
      </c>
    </row>
    <row r="496" spans="2:15" x14ac:dyDescent="0.45">
      <c r="B496" t="s">
        <v>81</v>
      </c>
      <c r="C496" t="s">
        <v>13</v>
      </c>
      <c r="D496">
        <v>5.0536975508565E-2</v>
      </c>
      <c r="E496" t="s">
        <v>6</v>
      </c>
      <c r="G496" t="s">
        <v>82</v>
      </c>
      <c r="H496" t="s">
        <v>13</v>
      </c>
      <c r="I496">
        <v>2.1453823970386386E-2</v>
      </c>
      <c r="J496" t="s">
        <v>6</v>
      </c>
      <c r="L496" t="s">
        <v>83</v>
      </c>
      <c r="M496" t="s">
        <v>13</v>
      </c>
      <c r="N496">
        <v>2.3112402981574617E-2</v>
      </c>
      <c r="O496" t="s">
        <v>6</v>
      </c>
    </row>
    <row r="497" spans="2:15" x14ac:dyDescent="0.45">
      <c r="B497" t="s">
        <v>81</v>
      </c>
      <c r="C497" t="s">
        <v>14</v>
      </c>
      <c r="D497">
        <v>3.1574696450429277E-2</v>
      </c>
      <c r="E497" t="s">
        <v>6</v>
      </c>
      <c r="G497" t="s">
        <v>82</v>
      </c>
      <c r="H497" t="s">
        <v>14</v>
      </c>
      <c r="I497">
        <v>2.2062546931776079E-2</v>
      </c>
      <c r="J497" t="s">
        <v>6</v>
      </c>
      <c r="L497" t="s">
        <v>83</v>
      </c>
      <c r="M497" t="s">
        <v>14</v>
      </c>
      <c r="N497">
        <v>2.3264208935122772E-2</v>
      </c>
      <c r="O497" t="s">
        <v>6</v>
      </c>
    </row>
    <row r="498" spans="2:15" x14ac:dyDescent="0.45">
      <c r="B498" t="s">
        <v>81</v>
      </c>
      <c r="C498" t="s">
        <v>15</v>
      </c>
      <c r="D498">
        <v>4.8418537391340614E-3</v>
      </c>
      <c r="E498" t="s">
        <v>6</v>
      </c>
      <c r="G498" t="s">
        <v>82</v>
      </c>
      <c r="H498" t="s">
        <v>15</v>
      </c>
      <c r="I498">
        <v>2.1203939464278416E-2</v>
      </c>
      <c r="J498" t="s">
        <v>6</v>
      </c>
      <c r="L498" t="s">
        <v>83</v>
      </c>
      <c r="M498" t="s">
        <v>15</v>
      </c>
      <c r="N498">
        <v>2.3500801051049389E-2</v>
      </c>
      <c r="O498" t="s">
        <v>6</v>
      </c>
    </row>
    <row r="499" spans="2:15" x14ac:dyDescent="0.45">
      <c r="B499" t="s">
        <v>81</v>
      </c>
      <c r="C499" t="s">
        <v>16</v>
      </c>
      <c r="D499">
        <v>0</v>
      </c>
      <c r="E499" t="s">
        <v>6</v>
      </c>
      <c r="G499" t="s">
        <v>82</v>
      </c>
      <c r="H499" t="s">
        <v>16</v>
      </c>
      <c r="I499">
        <v>1.939519543266819E-2</v>
      </c>
      <c r="J499" t="s">
        <v>6</v>
      </c>
      <c r="L499" t="s">
        <v>83</v>
      </c>
      <c r="M499" t="s">
        <v>16</v>
      </c>
      <c r="N499">
        <v>2.34941932819283E-2</v>
      </c>
      <c r="O499" t="s">
        <v>6</v>
      </c>
    </row>
    <row r="500" spans="2:15" x14ac:dyDescent="0.45">
      <c r="B500" t="s">
        <v>81</v>
      </c>
      <c r="C500" t="s">
        <v>17</v>
      </c>
      <c r="D500">
        <v>0</v>
      </c>
      <c r="E500" t="s">
        <v>6</v>
      </c>
      <c r="G500" t="s">
        <v>82</v>
      </c>
      <c r="H500" t="s">
        <v>17</v>
      </c>
      <c r="I500">
        <v>2.6053253324273478E-2</v>
      </c>
      <c r="J500" t="s">
        <v>6</v>
      </c>
      <c r="L500" t="s">
        <v>83</v>
      </c>
      <c r="M500" t="s">
        <v>17</v>
      </c>
      <c r="N500">
        <v>3.4827780750067087E-2</v>
      </c>
      <c r="O500" t="s">
        <v>6</v>
      </c>
    </row>
    <row r="501" spans="2:15" x14ac:dyDescent="0.45">
      <c r="B501" t="s">
        <v>81</v>
      </c>
      <c r="C501" t="s">
        <v>18</v>
      </c>
      <c r="D501">
        <v>0</v>
      </c>
      <c r="E501" t="s">
        <v>6</v>
      </c>
      <c r="G501" t="s">
        <v>82</v>
      </c>
      <c r="H501" t="s">
        <v>18</v>
      </c>
      <c r="I501">
        <v>6.4713647146806205E-2</v>
      </c>
      <c r="J501" t="s">
        <v>6</v>
      </c>
      <c r="L501" t="s">
        <v>83</v>
      </c>
      <c r="M501" t="s">
        <v>18</v>
      </c>
      <c r="N501">
        <v>5.7213856297955376E-2</v>
      </c>
      <c r="O501" t="s">
        <v>6</v>
      </c>
    </row>
    <row r="502" spans="2:15" x14ac:dyDescent="0.45">
      <c r="B502" t="s">
        <v>81</v>
      </c>
      <c r="C502" t="s">
        <v>19</v>
      </c>
      <c r="D502">
        <v>2.0313271337926706E-4</v>
      </c>
      <c r="E502" t="s">
        <v>6</v>
      </c>
      <c r="G502" t="s">
        <v>82</v>
      </c>
      <c r="H502" t="s">
        <v>19</v>
      </c>
      <c r="I502">
        <v>2.5141006116275483E-2</v>
      </c>
      <c r="J502" t="s">
        <v>6</v>
      </c>
      <c r="L502" t="s">
        <v>83</v>
      </c>
      <c r="M502" t="s">
        <v>19</v>
      </c>
      <c r="N502">
        <v>2.2175898729473321E-2</v>
      </c>
      <c r="O502" t="s">
        <v>6</v>
      </c>
    </row>
    <row r="503" spans="2:15" x14ac:dyDescent="0.45">
      <c r="B503" t="s">
        <v>81</v>
      </c>
      <c r="C503" t="s">
        <v>20</v>
      </c>
      <c r="D503">
        <v>1.0147482611092259E-2</v>
      </c>
      <c r="E503" t="s">
        <v>6</v>
      </c>
      <c r="G503" t="s">
        <v>82</v>
      </c>
      <c r="H503" t="s">
        <v>20</v>
      </c>
      <c r="I503">
        <v>2.4831656414585523E-2</v>
      </c>
      <c r="J503" t="s">
        <v>6</v>
      </c>
      <c r="L503" t="s">
        <v>83</v>
      </c>
      <c r="M503" t="s">
        <v>20</v>
      </c>
      <c r="N503">
        <v>2.1789781256190344E-2</v>
      </c>
      <c r="O503" t="s">
        <v>6</v>
      </c>
    </row>
    <row r="504" spans="2:15" x14ac:dyDescent="0.45">
      <c r="B504" t="s">
        <v>81</v>
      </c>
      <c r="C504" t="s">
        <v>21</v>
      </c>
      <c r="D504">
        <v>4.572258725755185E-2</v>
      </c>
      <c r="E504" t="s">
        <v>6</v>
      </c>
      <c r="G504" t="s">
        <v>82</v>
      </c>
      <c r="H504" t="s">
        <v>21</v>
      </c>
      <c r="I504">
        <v>2.588618153933752E-2</v>
      </c>
      <c r="J504" t="s">
        <v>6</v>
      </c>
      <c r="L504" t="s">
        <v>83</v>
      </c>
      <c r="M504" t="s">
        <v>21</v>
      </c>
      <c r="N504">
        <v>2.0960410893428802E-2</v>
      </c>
      <c r="O504" t="s">
        <v>6</v>
      </c>
    </row>
    <row r="505" spans="2:15" x14ac:dyDescent="0.45">
      <c r="B505" t="s">
        <v>81</v>
      </c>
      <c r="C505" t="s">
        <v>22</v>
      </c>
      <c r="D505">
        <v>7.3119937581629324E-2</v>
      </c>
      <c r="E505" t="s">
        <v>6</v>
      </c>
      <c r="G505" t="s">
        <v>82</v>
      </c>
      <c r="H505" t="s">
        <v>22</v>
      </c>
      <c r="I505">
        <v>2.7239034989775528E-2</v>
      </c>
      <c r="J505" t="s">
        <v>6</v>
      </c>
      <c r="L505" t="s">
        <v>83</v>
      </c>
      <c r="M505" t="s">
        <v>22</v>
      </c>
      <c r="N505">
        <v>2.0818511764555941E-2</v>
      </c>
      <c r="O505" t="s">
        <v>6</v>
      </c>
    </row>
    <row r="506" spans="2:15" x14ac:dyDescent="0.45">
      <c r="B506" t="s">
        <v>81</v>
      </c>
      <c r="C506" t="s">
        <v>23</v>
      </c>
      <c r="D506">
        <v>7.645714909852E-2</v>
      </c>
      <c r="E506" t="s">
        <v>6</v>
      </c>
      <c r="G506" t="s">
        <v>82</v>
      </c>
      <c r="H506" t="s">
        <v>23</v>
      </c>
      <c r="I506">
        <v>3.3080156078521425E-2</v>
      </c>
      <c r="J506" t="s">
        <v>6</v>
      </c>
      <c r="L506" t="s">
        <v>83</v>
      </c>
      <c r="M506" t="s">
        <v>23</v>
      </c>
      <c r="N506">
        <v>2.1516992482143549E-2</v>
      </c>
      <c r="O506" t="s">
        <v>6</v>
      </c>
    </row>
    <row r="507" spans="2:15" x14ac:dyDescent="0.45">
      <c r="B507" t="s">
        <v>81</v>
      </c>
      <c r="C507" t="s">
        <v>24</v>
      </c>
      <c r="D507">
        <v>5.6763407271236209E-2</v>
      </c>
      <c r="E507" t="s">
        <v>6</v>
      </c>
      <c r="G507" t="s">
        <v>82</v>
      </c>
      <c r="H507" t="s">
        <v>24</v>
      </c>
      <c r="I507">
        <v>3.5786485436206827E-2</v>
      </c>
      <c r="J507" t="s">
        <v>6</v>
      </c>
      <c r="L507" t="s">
        <v>83</v>
      </c>
      <c r="M507" t="s">
        <v>24</v>
      </c>
      <c r="N507">
        <v>2.2635001824677606E-2</v>
      </c>
      <c r="O507" t="s">
        <v>6</v>
      </c>
    </row>
    <row r="508" spans="2:15" x14ac:dyDescent="0.45">
      <c r="B508" t="s">
        <v>81</v>
      </c>
      <c r="C508" t="s">
        <v>25</v>
      </c>
      <c r="D508">
        <v>2.5170297464628198E-2</v>
      </c>
      <c r="E508" t="s">
        <v>6</v>
      </c>
      <c r="G508" t="s">
        <v>82</v>
      </c>
      <c r="H508" t="s">
        <v>25</v>
      </c>
      <c r="I508">
        <v>3.54093537465019E-2</v>
      </c>
      <c r="J508" t="s">
        <v>6</v>
      </c>
      <c r="L508" t="s">
        <v>83</v>
      </c>
      <c r="M508" t="s">
        <v>25</v>
      </c>
      <c r="N508">
        <v>2.3718877948859074E-2</v>
      </c>
      <c r="O508" t="s">
        <v>6</v>
      </c>
    </row>
    <row r="509" spans="2:15" x14ac:dyDescent="0.45">
      <c r="B509" t="s">
        <v>81</v>
      </c>
      <c r="C509" t="s">
        <v>26</v>
      </c>
      <c r="D509">
        <v>2.0664731278654115E-3</v>
      </c>
      <c r="E509" t="s">
        <v>6</v>
      </c>
      <c r="G509" t="s">
        <v>82</v>
      </c>
      <c r="H509" t="s">
        <v>26</v>
      </c>
      <c r="I509">
        <v>3.4371663245053863E-2</v>
      </c>
      <c r="J509" t="s">
        <v>6</v>
      </c>
      <c r="L509" t="s">
        <v>83</v>
      </c>
      <c r="M509" t="s">
        <v>26</v>
      </c>
      <c r="N509">
        <v>2.4304093415756352E-2</v>
      </c>
      <c r="O509" t="s">
        <v>6</v>
      </c>
    </row>
    <row r="510" spans="2:15" x14ac:dyDescent="0.45">
      <c r="B510" t="s">
        <v>81</v>
      </c>
      <c r="C510" t="s">
        <v>27</v>
      </c>
      <c r="D510">
        <v>0</v>
      </c>
      <c r="E510" t="s">
        <v>6</v>
      </c>
      <c r="G510" t="s">
        <v>82</v>
      </c>
      <c r="H510" t="s">
        <v>27</v>
      </c>
      <c r="I510">
        <v>4.4310131888875275E-2</v>
      </c>
      <c r="J510" t="s">
        <v>6</v>
      </c>
      <c r="L510" t="s">
        <v>83</v>
      </c>
      <c r="M510" t="s">
        <v>27</v>
      </c>
      <c r="N510">
        <v>3.5314192402642899E-2</v>
      </c>
      <c r="O510" t="s">
        <v>6</v>
      </c>
    </row>
    <row r="511" spans="2:15" x14ac:dyDescent="0.45">
      <c r="B511" t="s">
        <v>81</v>
      </c>
      <c r="C511" t="s">
        <v>28</v>
      </c>
      <c r="D511">
        <v>0</v>
      </c>
      <c r="E511" t="s">
        <v>6</v>
      </c>
      <c r="G511" t="s">
        <v>82</v>
      </c>
      <c r="H511" t="s">
        <v>28</v>
      </c>
      <c r="I511">
        <v>1.8128724823734933E-2</v>
      </c>
      <c r="J511" t="s">
        <v>6</v>
      </c>
      <c r="L511" t="s">
        <v>83</v>
      </c>
      <c r="M511" t="s">
        <v>28</v>
      </c>
      <c r="N511">
        <v>4.1581132416003065E-2</v>
      </c>
      <c r="O511" t="s">
        <v>6</v>
      </c>
    </row>
    <row r="512" spans="2:15" x14ac:dyDescent="0.45">
      <c r="B512" t="s">
        <v>81</v>
      </c>
      <c r="C512" t="s">
        <v>29</v>
      </c>
      <c r="D512">
        <v>7.5221507548862076E-4</v>
      </c>
      <c r="E512" t="s">
        <v>6</v>
      </c>
      <c r="G512" t="s">
        <v>82</v>
      </c>
      <c r="H512" t="s">
        <v>29</v>
      </c>
      <c r="I512">
        <v>6.3306956371705358E-3</v>
      </c>
      <c r="J512" t="s">
        <v>6</v>
      </c>
      <c r="L512" t="s">
        <v>83</v>
      </c>
      <c r="M512" t="s">
        <v>29</v>
      </c>
      <c r="N512">
        <v>1.6250289233667722E-2</v>
      </c>
      <c r="O512" t="s">
        <v>6</v>
      </c>
    </row>
    <row r="513" spans="2:15" x14ac:dyDescent="0.45">
      <c r="B513" t="s">
        <v>81</v>
      </c>
      <c r="C513" t="s">
        <v>30</v>
      </c>
      <c r="D513">
        <v>1.7934050985750568E-2</v>
      </c>
      <c r="E513" t="s">
        <v>6</v>
      </c>
      <c r="G513" t="s">
        <v>82</v>
      </c>
      <c r="H513" t="s">
        <v>30</v>
      </c>
      <c r="I513">
        <v>5.2871474701819835E-3</v>
      </c>
      <c r="J513" t="s">
        <v>6</v>
      </c>
      <c r="L513" t="s">
        <v>83</v>
      </c>
      <c r="M513" t="s">
        <v>30</v>
      </c>
      <c r="N513">
        <v>1.5783828934304477E-2</v>
      </c>
      <c r="O513" t="s">
        <v>6</v>
      </c>
    </row>
    <row r="514" spans="2:15" x14ac:dyDescent="0.45">
      <c r="B514" t="s">
        <v>81</v>
      </c>
      <c r="C514" t="s">
        <v>31</v>
      </c>
      <c r="D514">
        <v>5.9852214118967219E-2</v>
      </c>
      <c r="E514" t="s">
        <v>6</v>
      </c>
      <c r="G514" t="s">
        <v>82</v>
      </c>
      <c r="H514" t="s">
        <v>31</v>
      </c>
      <c r="I514">
        <v>6.5327661364238416E-3</v>
      </c>
      <c r="J514" t="s">
        <v>6</v>
      </c>
      <c r="L514" t="s">
        <v>83</v>
      </c>
      <c r="M514" t="s">
        <v>31</v>
      </c>
      <c r="N514">
        <v>1.5055804161548135E-2</v>
      </c>
      <c r="O514" t="s">
        <v>6</v>
      </c>
    </row>
    <row r="515" spans="2:15" x14ac:dyDescent="0.45">
      <c r="B515" t="s">
        <v>81</v>
      </c>
      <c r="C515" t="s">
        <v>32</v>
      </c>
      <c r="D515">
        <v>8.7464497446495426E-2</v>
      </c>
      <c r="E515" t="s">
        <v>6</v>
      </c>
      <c r="G515" t="s">
        <v>82</v>
      </c>
      <c r="H515" t="s">
        <v>32</v>
      </c>
      <c r="I515">
        <v>7.5650779134608529E-3</v>
      </c>
      <c r="J515" t="s">
        <v>6</v>
      </c>
      <c r="L515" t="s">
        <v>83</v>
      </c>
      <c r="M515" t="s">
        <v>32</v>
      </c>
      <c r="N515">
        <v>1.4612281180023192E-2</v>
      </c>
      <c r="O515" t="s">
        <v>6</v>
      </c>
    </row>
    <row r="516" spans="2:15" x14ac:dyDescent="0.45">
      <c r="B516" t="s">
        <v>81</v>
      </c>
      <c r="C516" t="s">
        <v>33</v>
      </c>
      <c r="D516">
        <v>9.0495155109275041E-2</v>
      </c>
      <c r="E516" t="s">
        <v>6</v>
      </c>
      <c r="G516" t="s">
        <v>82</v>
      </c>
      <c r="H516" t="s">
        <v>33</v>
      </c>
      <c r="I516">
        <v>1.0427151158943609E-2</v>
      </c>
      <c r="J516" t="s">
        <v>6</v>
      </c>
      <c r="L516" t="s">
        <v>83</v>
      </c>
      <c r="M516" t="s">
        <v>33</v>
      </c>
      <c r="N516">
        <v>1.5702864511758077E-2</v>
      </c>
      <c r="O516" t="s">
        <v>6</v>
      </c>
    </row>
    <row r="517" spans="2:15" x14ac:dyDescent="0.45">
      <c r="B517" t="s">
        <v>81</v>
      </c>
      <c r="C517" t="s">
        <v>34</v>
      </c>
      <c r="D517">
        <v>7.3151112081554601E-2</v>
      </c>
      <c r="E517" t="s">
        <v>6</v>
      </c>
      <c r="G517" t="s">
        <v>82</v>
      </c>
      <c r="H517" t="s">
        <v>34</v>
      </c>
      <c r="I517">
        <v>1.1109855120929157E-2</v>
      </c>
      <c r="J517" t="s">
        <v>6</v>
      </c>
      <c r="L517" t="s">
        <v>83</v>
      </c>
      <c r="M517" t="s">
        <v>34</v>
      </c>
      <c r="N517">
        <v>1.7005143814037744E-2</v>
      </c>
      <c r="O517" t="s">
        <v>6</v>
      </c>
    </row>
    <row r="518" spans="2:15" x14ac:dyDescent="0.45">
      <c r="B518" t="s">
        <v>81</v>
      </c>
      <c r="C518" t="s">
        <v>35</v>
      </c>
      <c r="D518">
        <v>3.9360386339054247E-2</v>
      </c>
      <c r="E518" t="s">
        <v>6</v>
      </c>
      <c r="G518" t="s">
        <v>82</v>
      </c>
      <c r="H518" t="s">
        <v>35</v>
      </c>
      <c r="I518">
        <v>1.0342351551339991E-2</v>
      </c>
      <c r="J518" t="s">
        <v>6</v>
      </c>
      <c r="L518" t="s">
        <v>83</v>
      </c>
      <c r="M518" t="s">
        <v>35</v>
      </c>
      <c r="N518">
        <v>1.7596424912215618E-2</v>
      </c>
      <c r="O518" t="s">
        <v>6</v>
      </c>
    </row>
    <row r="519" spans="2:15" x14ac:dyDescent="0.45">
      <c r="B519" t="s">
        <v>81</v>
      </c>
      <c r="C519" t="s">
        <v>36</v>
      </c>
      <c r="D519">
        <v>6.2590170991468994E-3</v>
      </c>
      <c r="E519" t="s">
        <v>6</v>
      </c>
      <c r="G519" t="s">
        <v>82</v>
      </c>
      <c r="H519" t="s">
        <v>36</v>
      </c>
      <c r="I519">
        <v>1.0812902696441183E-2</v>
      </c>
      <c r="J519" t="s">
        <v>6</v>
      </c>
      <c r="L519" t="s">
        <v>83</v>
      </c>
      <c r="M519" t="s">
        <v>36</v>
      </c>
      <c r="N519">
        <v>1.7551431487578057E-2</v>
      </c>
      <c r="O519" t="s">
        <v>6</v>
      </c>
    </row>
    <row r="520" spans="2:15" x14ac:dyDescent="0.45">
      <c r="B520" t="s">
        <v>81</v>
      </c>
      <c r="C520" t="s">
        <v>37</v>
      </c>
      <c r="D520">
        <v>0</v>
      </c>
      <c r="E520" t="s">
        <v>6</v>
      </c>
      <c r="G520" t="s">
        <v>82</v>
      </c>
      <c r="H520" t="s">
        <v>37</v>
      </c>
      <c r="I520">
        <v>1.5854504534298375E-2</v>
      </c>
      <c r="J520" t="s">
        <v>6</v>
      </c>
      <c r="L520" t="s">
        <v>83</v>
      </c>
      <c r="M520" t="s">
        <v>37</v>
      </c>
      <c r="N520">
        <v>2.5361350665056546E-2</v>
      </c>
      <c r="O520" t="s">
        <v>6</v>
      </c>
    </row>
    <row r="521" spans="2:15" x14ac:dyDescent="0.45">
      <c r="B521" t="s">
        <v>81</v>
      </c>
      <c r="C521" t="s">
        <v>38</v>
      </c>
      <c r="D521">
        <v>0</v>
      </c>
      <c r="E521" t="s">
        <v>6</v>
      </c>
      <c r="G521" t="s">
        <v>82</v>
      </c>
      <c r="H521" t="s">
        <v>38</v>
      </c>
      <c r="I521">
        <v>6.2261320185556746E-2</v>
      </c>
      <c r="J521" t="s">
        <v>6</v>
      </c>
      <c r="L521" t="s">
        <v>83</v>
      </c>
      <c r="M521" t="s">
        <v>38</v>
      </c>
      <c r="N521">
        <v>5.3624540716567998E-2</v>
      </c>
      <c r="O521" t="s">
        <v>6</v>
      </c>
    </row>
    <row r="522" spans="2:15" x14ac:dyDescent="0.45">
      <c r="B522" t="s">
        <v>81</v>
      </c>
      <c r="C522" t="s">
        <v>39</v>
      </c>
      <c r="D522">
        <v>0</v>
      </c>
      <c r="E522" t="s">
        <v>6</v>
      </c>
      <c r="G522" t="s">
        <v>82</v>
      </c>
      <c r="H522" t="s">
        <v>39</v>
      </c>
      <c r="I522">
        <v>2.1902318411535528E-2</v>
      </c>
      <c r="J522" t="s">
        <v>6</v>
      </c>
      <c r="L522" t="s">
        <v>83</v>
      </c>
      <c r="M522" t="s">
        <v>39</v>
      </c>
      <c r="N522">
        <v>2.0670547433281814E-2</v>
      </c>
      <c r="O522" t="s">
        <v>6</v>
      </c>
    </row>
    <row r="523" spans="2:15" x14ac:dyDescent="0.45">
      <c r="B523" t="s">
        <v>81</v>
      </c>
      <c r="C523" t="s">
        <v>40</v>
      </c>
      <c r="D523">
        <v>2.9937959034298596E-3</v>
      </c>
      <c r="E523" t="s">
        <v>6</v>
      </c>
      <c r="G523" t="s">
        <v>82</v>
      </c>
      <c r="H523" t="s">
        <v>40</v>
      </c>
      <c r="I523">
        <v>2.0803025703636551E-2</v>
      </c>
      <c r="J523" t="s">
        <v>6</v>
      </c>
      <c r="L523" t="s">
        <v>83</v>
      </c>
      <c r="M523" t="s">
        <v>40</v>
      </c>
      <c r="N523">
        <v>2.0838190341400314E-2</v>
      </c>
      <c r="O523" t="s">
        <v>6</v>
      </c>
    </row>
    <row r="524" spans="2:15" x14ac:dyDescent="0.45">
      <c r="B524" t="s">
        <v>81</v>
      </c>
      <c r="C524" t="s">
        <v>41</v>
      </c>
      <c r="D524">
        <v>2.6799729589259368E-2</v>
      </c>
      <c r="E524" t="s">
        <v>6</v>
      </c>
      <c r="G524" t="s">
        <v>82</v>
      </c>
      <c r="H524" t="s">
        <v>41</v>
      </c>
      <c r="I524">
        <v>2.0761512298787917E-2</v>
      </c>
      <c r="J524" t="s">
        <v>6</v>
      </c>
      <c r="L524" t="s">
        <v>83</v>
      </c>
      <c r="M524" t="s">
        <v>41</v>
      </c>
      <c r="N524">
        <v>2.0775713904257437E-2</v>
      </c>
      <c r="O524" t="s">
        <v>6</v>
      </c>
    </row>
    <row r="525" spans="2:15" x14ac:dyDescent="0.45">
      <c r="B525" t="s">
        <v>81</v>
      </c>
      <c r="C525" t="s">
        <v>42</v>
      </c>
      <c r="D525">
        <v>5.3430187373836646E-2</v>
      </c>
      <c r="E525" t="s">
        <v>6</v>
      </c>
      <c r="G525" t="s">
        <v>82</v>
      </c>
      <c r="H525" t="s">
        <v>42</v>
      </c>
      <c r="I525">
        <v>2.2181044139393098E-2</v>
      </c>
      <c r="J525" t="s">
        <v>6</v>
      </c>
      <c r="L525" t="s">
        <v>83</v>
      </c>
      <c r="M525" t="s">
        <v>42</v>
      </c>
      <c r="N525">
        <v>2.0089732648676126E-2</v>
      </c>
      <c r="O525" t="s">
        <v>6</v>
      </c>
    </row>
    <row r="526" spans="2:15" x14ac:dyDescent="0.45">
      <c r="B526" t="s">
        <v>81</v>
      </c>
      <c r="C526" t="s">
        <v>43</v>
      </c>
      <c r="D526">
        <v>5.7566490894340509E-2</v>
      </c>
      <c r="E526" t="s">
        <v>6</v>
      </c>
      <c r="G526" t="s">
        <v>82</v>
      </c>
      <c r="H526" t="s">
        <v>43</v>
      </c>
      <c r="I526">
        <v>2.5657165974792982E-2</v>
      </c>
      <c r="J526" t="s">
        <v>6</v>
      </c>
      <c r="L526" t="s">
        <v>83</v>
      </c>
      <c r="M526" t="s">
        <v>43</v>
      </c>
      <c r="N526">
        <v>2.0178694554301085E-2</v>
      </c>
      <c r="O526" t="s">
        <v>6</v>
      </c>
    </row>
    <row r="527" spans="2:15" x14ac:dyDescent="0.45">
      <c r="B527" t="s">
        <v>81</v>
      </c>
      <c r="C527" t="s">
        <v>44</v>
      </c>
      <c r="D527">
        <v>3.9324274501956601E-2</v>
      </c>
      <c r="E527" t="s">
        <v>6</v>
      </c>
      <c r="G527" t="s">
        <v>82</v>
      </c>
      <c r="H527" t="s">
        <v>44</v>
      </c>
      <c r="I527">
        <v>2.9196684904217306E-2</v>
      </c>
      <c r="J527" t="s">
        <v>6</v>
      </c>
      <c r="L527" t="s">
        <v>83</v>
      </c>
      <c r="M527" t="s">
        <v>44</v>
      </c>
      <c r="N527">
        <v>2.0931842870173356E-2</v>
      </c>
      <c r="O527" t="s">
        <v>6</v>
      </c>
    </row>
    <row r="528" spans="2:15" x14ac:dyDescent="0.45">
      <c r="B528" t="s">
        <v>81</v>
      </c>
      <c r="C528" t="s">
        <v>45</v>
      </c>
      <c r="D528">
        <v>1.0718427807523735E-2</v>
      </c>
      <c r="E528" t="s">
        <v>6</v>
      </c>
      <c r="G528" t="s">
        <v>82</v>
      </c>
      <c r="H528" t="s">
        <v>45</v>
      </c>
      <c r="I528">
        <v>3.0730940229331406E-2</v>
      </c>
      <c r="J528" t="s">
        <v>6</v>
      </c>
      <c r="L528" t="s">
        <v>83</v>
      </c>
      <c r="M528" t="s">
        <v>45</v>
      </c>
      <c r="N528">
        <v>2.1336277470606759E-2</v>
      </c>
      <c r="O528" t="s">
        <v>6</v>
      </c>
    </row>
    <row r="529" spans="2:15" x14ac:dyDescent="0.45">
      <c r="B529" t="s">
        <v>81</v>
      </c>
      <c r="C529" t="s">
        <v>46</v>
      </c>
      <c r="D529">
        <v>1.18042483605755E-4</v>
      </c>
      <c r="E529" t="s">
        <v>6</v>
      </c>
      <c r="G529" t="s">
        <v>82</v>
      </c>
      <c r="H529" t="s">
        <v>46</v>
      </c>
      <c r="I529">
        <v>3.1419029501826345E-2</v>
      </c>
      <c r="J529" t="s">
        <v>6</v>
      </c>
      <c r="L529" t="s">
        <v>83</v>
      </c>
      <c r="M529" t="s">
        <v>46</v>
      </c>
      <c r="N529">
        <v>2.1630170943854447E-2</v>
      </c>
      <c r="O529" t="s">
        <v>6</v>
      </c>
    </row>
    <row r="530" spans="2:15" x14ac:dyDescent="0.45">
      <c r="B530" t="s">
        <v>81</v>
      </c>
      <c r="C530" t="s">
        <v>47</v>
      </c>
      <c r="D530">
        <v>0</v>
      </c>
      <c r="E530" t="s">
        <v>6</v>
      </c>
      <c r="G530" t="s">
        <v>82</v>
      </c>
      <c r="H530" t="s">
        <v>47</v>
      </c>
      <c r="I530">
        <v>4.489720824543713E-2</v>
      </c>
      <c r="J530" t="s">
        <v>6</v>
      </c>
      <c r="L530" t="s">
        <v>83</v>
      </c>
      <c r="M530" t="s">
        <v>47</v>
      </c>
      <c r="N530">
        <v>3.219485463008559E-2</v>
      </c>
      <c r="O530" t="s">
        <v>6</v>
      </c>
    </row>
    <row r="531" spans="2:15" x14ac:dyDescent="0.45">
      <c r="B531" t="s">
        <v>84</v>
      </c>
      <c r="C531" t="s">
        <v>5</v>
      </c>
      <c r="D531">
        <v>0</v>
      </c>
      <c r="E531" t="s">
        <v>6</v>
      </c>
      <c r="G531" t="s">
        <v>85</v>
      </c>
      <c r="H531" t="s">
        <v>5</v>
      </c>
      <c r="I531">
        <v>6.6851892352080944E-2</v>
      </c>
      <c r="J531" t="s">
        <v>6</v>
      </c>
      <c r="L531" t="s">
        <v>86</v>
      </c>
      <c r="M531" t="s">
        <v>5</v>
      </c>
      <c r="N531">
        <v>5.8080969674517369E-2</v>
      </c>
      <c r="O531" t="s">
        <v>6</v>
      </c>
    </row>
    <row r="532" spans="2:15" x14ac:dyDescent="0.45">
      <c r="B532" t="s">
        <v>84</v>
      </c>
      <c r="C532" t="s">
        <v>9</v>
      </c>
      <c r="D532">
        <v>0</v>
      </c>
      <c r="E532" t="s">
        <v>6</v>
      </c>
      <c r="G532" t="s">
        <v>85</v>
      </c>
      <c r="H532" t="s">
        <v>9</v>
      </c>
      <c r="I532">
        <v>2.8466986282242229E-2</v>
      </c>
      <c r="J532" t="s">
        <v>6</v>
      </c>
      <c r="L532" t="s">
        <v>86</v>
      </c>
      <c r="M532" t="s">
        <v>9</v>
      </c>
      <c r="N532">
        <v>2.3566036949307891E-2</v>
      </c>
      <c r="O532" t="s">
        <v>6</v>
      </c>
    </row>
    <row r="533" spans="2:15" x14ac:dyDescent="0.45">
      <c r="B533" t="s">
        <v>84</v>
      </c>
      <c r="C533" t="s">
        <v>10</v>
      </c>
      <c r="D533">
        <v>0</v>
      </c>
      <c r="E533" t="s">
        <v>6</v>
      </c>
      <c r="G533" t="s">
        <v>85</v>
      </c>
      <c r="H533" t="s">
        <v>10</v>
      </c>
      <c r="I533">
        <v>2.9963235271031192E-2</v>
      </c>
      <c r="J533" t="s">
        <v>6</v>
      </c>
      <c r="L533" t="s">
        <v>86</v>
      </c>
      <c r="M533" t="s">
        <v>10</v>
      </c>
      <c r="N533">
        <v>2.3753816881927649E-2</v>
      </c>
      <c r="O533" t="s">
        <v>6</v>
      </c>
    </row>
    <row r="534" spans="2:15" x14ac:dyDescent="0.45">
      <c r="B534" t="s">
        <v>84</v>
      </c>
      <c r="C534" t="s">
        <v>11</v>
      </c>
      <c r="D534">
        <v>1.0116449030126286E-2</v>
      </c>
      <c r="E534" t="s">
        <v>6</v>
      </c>
      <c r="G534" t="s">
        <v>85</v>
      </c>
      <c r="H534" t="s">
        <v>11</v>
      </c>
      <c r="I534">
        <v>2.9895008142679525E-2</v>
      </c>
      <c r="J534" t="s">
        <v>6</v>
      </c>
      <c r="L534" t="s">
        <v>86</v>
      </c>
      <c r="M534" t="s">
        <v>11</v>
      </c>
      <c r="N534">
        <v>2.329241365969674E-2</v>
      </c>
      <c r="O534" t="s">
        <v>6</v>
      </c>
    </row>
    <row r="535" spans="2:15" x14ac:dyDescent="0.45">
      <c r="B535" t="s">
        <v>84</v>
      </c>
      <c r="C535" t="s">
        <v>12</v>
      </c>
      <c r="D535">
        <v>3.5567664532735618E-2</v>
      </c>
      <c r="E535" t="s">
        <v>6</v>
      </c>
      <c r="G535" t="s">
        <v>85</v>
      </c>
      <c r="H535" t="s">
        <v>12</v>
      </c>
      <c r="I535">
        <v>2.6399751377838496E-2</v>
      </c>
      <c r="J535" t="s">
        <v>6</v>
      </c>
      <c r="L535" t="s">
        <v>86</v>
      </c>
      <c r="M535" t="s">
        <v>12</v>
      </c>
      <c r="N535">
        <v>2.277770606924415E-2</v>
      </c>
      <c r="O535" t="s">
        <v>6</v>
      </c>
    </row>
    <row r="536" spans="2:15" x14ac:dyDescent="0.45">
      <c r="B536" t="s">
        <v>84</v>
      </c>
      <c r="C536" t="s">
        <v>13</v>
      </c>
      <c r="D536">
        <v>4.4364923731875783E-2</v>
      </c>
      <c r="E536" t="s">
        <v>6</v>
      </c>
      <c r="G536" t="s">
        <v>85</v>
      </c>
      <c r="H536" t="s">
        <v>13</v>
      </c>
      <c r="I536">
        <v>2.5553868519231006E-2</v>
      </c>
      <c r="J536" t="s">
        <v>6</v>
      </c>
      <c r="L536" t="s">
        <v>86</v>
      </c>
      <c r="M536" t="s">
        <v>13</v>
      </c>
      <c r="N536">
        <v>2.2615786575675222E-2</v>
      </c>
      <c r="O536" t="s">
        <v>6</v>
      </c>
    </row>
    <row r="537" spans="2:15" x14ac:dyDescent="0.45">
      <c r="B537" t="s">
        <v>84</v>
      </c>
      <c r="C537" t="s">
        <v>14</v>
      </c>
      <c r="D537">
        <v>3.0175140847555199E-2</v>
      </c>
      <c r="E537" t="s">
        <v>6</v>
      </c>
      <c r="G537" t="s">
        <v>85</v>
      </c>
      <c r="H537" t="s">
        <v>14</v>
      </c>
      <c r="I537">
        <v>2.612993352933991E-2</v>
      </c>
      <c r="J537" t="s">
        <v>6</v>
      </c>
      <c r="L537" t="s">
        <v>86</v>
      </c>
      <c r="M537" t="s">
        <v>14</v>
      </c>
      <c r="N537">
        <v>2.2742878232265059E-2</v>
      </c>
      <c r="O537" t="s">
        <v>6</v>
      </c>
    </row>
    <row r="538" spans="2:15" x14ac:dyDescent="0.45">
      <c r="B538" t="s">
        <v>84</v>
      </c>
      <c r="C538" t="s">
        <v>15</v>
      </c>
      <c r="D538">
        <v>6.8982832750500321E-3</v>
      </c>
      <c r="E538" t="s">
        <v>6</v>
      </c>
      <c r="G538" t="s">
        <v>85</v>
      </c>
      <c r="H538" t="s">
        <v>15</v>
      </c>
      <c r="I538">
        <v>2.7029626286702534E-2</v>
      </c>
      <c r="J538" t="s">
        <v>6</v>
      </c>
      <c r="L538" t="s">
        <v>86</v>
      </c>
      <c r="M538" t="s">
        <v>15</v>
      </c>
      <c r="N538">
        <v>2.3134816402386169E-2</v>
      </c>
      <c r="O538" t="s">
        <v>6</v>
      </c>
    </row>
    <row r="539" spans="2:15" x14ac:dyDescent="0.45">
      <c r="B539" t="s">
        <v>84</v>
      </c>
      <c r="C539" t="s">
        <v>16</v>
      </c>
      <c r="D539">
        <v>0</v>
      </c>
      <c r="E539" t="s">
        <v>6</v>
      </c>
      <c r="G539" t="s">
        <v>85</v>
      </c>
      <c r="H539" t="s">
        <v>16</v>
      </c>
      <c r="I539">
        <v>2.755944203029469E-2</v>
      </c>
      <c r="J539" t="s">
        <v>6</v>
      </c>
      <c r="L539" t="s">
        <v>86</v>
      </c>
      <c r="M539" t="s">
        <v>16</v>
      </c>
      <c r="N539">
        <v>2.3596666912726025E-2</v>
      </c>
      <c r="O539" t="s">
        <v>6</v>
      </c>
    </row>
    <row r="540" spans="2:15" x14ac:dyDescent="0.45">
      <c r="B540" t="s">
        <v>84</v>
      </c>
      <c r="C540" t="s">
        <v>17</v>
      </c>
      <c r="D540">
        <v>0</v>
      </c>
      <c r="E540" t="s">
        <v>6</v>
      </c>
      <c r="G540" t="s">
        <v>85</v>
      </c>
      <c r="H540" t="s">
        <v>17</v>
      </c>
      <c r="I540">
        <v>3.9266349551840322E-2</v>
      </c>
      <c r="J540" t="s">
        <v>6</v>
      </c>
      <c r="L540" t="s">
        <v>86</v>
      </c>
      <c r="M540" t="s">
        <v>17</v>
      </c>
      <c r="N540">
        <v>3.5027491724274412E-2</v>
      </c>
      <c r="O540" t="s">
        <v>6</v>
      </c>
    </row>
    <row r="541" spans="2:15" x14ac:dyDescent="0.45">
      <c r="B541" t="s">
        <v>84</v>
      </c>
      <c r="C541" t="s">
        <v>18</v>
      </c>
      <c r="D541">
        <v>0</v>
      </c>
      <c r="E541" t="s">
        <v>6</v>
      </c>
      <c r="G541" t="s">
        <v>85</v>
      </c>
      <c r="H541" t="s">
        <v>18</v>
      </c>
      <c r="I541">
        <v>6.3054697125221645E-2</v>
      </c>
      <c r="J541" t="s">
        <v>6</v>
      </c>
      <c r="L541" t="s">
        <v>86</v>
      </c>
      <c r="M541" t="s">
        <v>18</v>
      </c>
      <c r="N541">
        <v>5.5877931042971639E-2</v>
      </c>
      <c r="O541" t="s">
        <v>6</v>
      </c>
    </row>
    <row r="542" spans="2:15" x14ac:dyDescent="0.45">
      <c r="B542" t="s">
        <v>84</v>
      </c>
      <c r="C542" t="s">
        <v>19</v>
      </c>
      <c r="D542">
        <v>1.1669559646086656E-4</v>
      </c>
      <c r="E542" t="s">
        <v>6</v>
      </c>
      <c r="G542" t="s">
        <v>85</v>
      </c>
      <c r="H542" t="s">
        <v>19</v>
      </c>
      <c r="I542">
        <v>2.3506591211136334E-2</v>
      </c>
      <c r="J542" t="s">
        <v>6</v>
      </c>
      <c r="L542" t="s">
        <v>86</v>
      </c>
      <c r="M542" t="s">
        <v>19</v>
      </c>
      <c r="N542">
        <v>2.2009173985725307E-2</v>
      </c>
      <c r="O542" t="s">
        <v>6</v>
      </c>
    </row>
    <row r="543" spans="2:15" x14ac:dyDescent="0.45">
      <c r="B543" t="s">
        <v>84</v>
      </c>
      <c r="C543" t="s">
        <v>20</v>
      </c>
      <c r="D543">
        <v>8.316316119544925E-3</v>
      </c>
      <c r="E543" t="s">
        <v>6</v>
      </c>
      <c r="G543" t="s">
        <v>85</v>
      </c>
      <c r="H543" t="s">
        <v>20</v>
      </c>
      <c r="I543">
        <v>2.3028624023677721E-2</v>
      </c>
      <c r="J543" t="s">
        <v>6</v>
      </c>
      <c r="L543" t="s">
        <v>86</v>
      </c>
      <c r="M543" t="s">
        <v>20</v>
      </c>
      <c r="N543">
        <v>2.1700332032623781E-2</v>
      </c>
      <c r="O543" t="s">
        <v>6</v>
      </c>
    </row>
    <row r="544" spans="2:15" x14ac:dyDescent="0.45">
      <c r="B544" t="s">
        <v>84</v>
      </c>
      <c r="C544" t="s">
        <v>21</v>
      </c>
      <c r="D544">
        <v>4.2976354261208764E-2</v>
      </c>
      <c r="E544" t="s">
        <v>6</v>
      </c>
      <c r="G544" t="s">
        <v>85</v>
      </c>
      <c r="H544" t="s">
        <v>21</v>
      </c>
      <c r="I544">
        <v>2.221369621851646E-2</v>
      </c>
      <c r="J544" t="s">
        <v>6</v>
      </c>
      <c r="L544" t="s">
        <v>86</v>
      </c>
      <c r="M544" t="s">
        <v>21</v>
      </c>
      <c r="N544">
        <v>2.0680546669623913E-2</v>
      </c>
      <c r="O544" t="s">
        <v>6</v>
      </c>
    </row>
    <row r="545" spans="2:15" x14ac:dyDescent="0.45">
      <c r="B545" t="s">
        <v>84</v>
      </c>
      <c r="C545" t="s">
        <v>22</v>
      </c>
      <c r="D545">
        <v>7.2680519477501815E-2</v>
      </c>
      <c r="E545" t="s">
        <v>6</v>
      </c>
      <c r="G545" t="s">
        <v>85</v>
      </c>
      <c r="H545" t="s">
        <v>22</v>
      </c>
      <c r="I545">
        <v>2.3856340085971078E-2</v>
      </c>
      <c r="J545" t="s">
        <v>6</v>
      </c>
      <c r="L545" t="s">
        <v>86</v>
      </c>
      <c r="M545" t="s">
        <v>22</v>
      </c>
      <c r="N545">
        <v>2.0030487986957106E-2</v>
      </c>
      <c r="O545" t="s">
        <v>6</v>
      </c>
    </row>
    <row r="546" spans="2:15" x14ac:dyDescent="0.45">
      <c r="B546" t="s">
        <v>84</v>
      </c>
      <c r="C546" t="s">
        <v>23</v>
      </c>
      <c r="D546">
        <v>7.7777415630452734E-2</v>
      </c>
      <c r="E546" t="s">
        <v>6</v>
      </c>
      <c r="G546" t="s">
        <v>85</v>
      </c>
      <c r="H546" t="s">
        <v>23</v>
      </c>
      <c r="I546">
        <v>2.6890414194762218E-2</v>
      </c>
      <c r="J546" t="s">
        <v>6</v>
      </c>
      <c r="L546" t="s">
        <v>86</v>
      </c>
      <c r="M546" t="s">
        <v>23</v>
      </c>
      <c r="N546">
        <v>2.0299289656165839E-2</v>
      </c>
      <c r="O546" t="s">
        <v>6</v>
      </c>
    </row>
    <row r="547" spans="2:15" x14ac:dyDescent="0.45">
      <c r="B547" t="s">
        <v>84</v>
      </c>
      <c r="C547" t="s">
        <v>24</v>
      </c>
      <c r="D547">
        <v>6.0810686775036919E-2</v>
      </c>
      <c r="E547" t="s">
        <v>6</v>
      </c>
      <c r="G547" t="s">
        <v>85</v>
      </c>
      <c r="H547" t="s">
        <v>24</v>
      </c>
      <c r="I547">
        <v>2.8113228403341531E-2</v>
      </c>
      <c r="J547" t="s">
        <v>6</v>
      </c>
      <c r="L547" t="s">
        <v>86</v>
      </c>
      <c r="M547" t="s">
        <v>24</v>
      </c>
      <c r="N547">
        <v>2.0952732469732695E-2</v>
      </c>
      <c r="O547" t="s">
        <v>6</v>
      </c>
    </row>
    <row r="548" spans="2:15" x14ac:dyDescent="0.45">
      <c r="B548" t="s">
        <v>84</v>
      </c>
      <c r="C548" t="s">
        <v>25</v>
      </c>
      <c r="D548">
        <v>2.9450660606511303E-2</v>
      </c>
      <c r="E548" t="s">
        <v>6</v>
      </c>
      <c r="G548" t="s">
        <v>85</v>
      </c>
      <c r="H548" t="s">
        <v>25</v>
      </c>
      <c r="I548">
        <v>2.5398554801952779E-2</v>
      </c>
      <c r="J548" t="s">
        <v>6</v>
      </c>
      <c r="L548" t="s">
        <v>86</v>
      </c>
      <c r="M548" t="s">
        <v>25</v>
      </c>
      <c r="N548">
        <v>2.1789456754599496E-2</v>
      </c>
      <c r="O548" t="s">
        <v>6</v>
      </c>
    </row>
    <row r="549" spans="2:15" x14ac:dyDescent="0.45">
      <c r="B549" t="s">
        <v>84</v>
      </c>
      <c r="C549" t="s">
        <v>26</v>
      </c>
      <c r="D549">
        <v>3.6369157606523849E-3</v>
      </c>
      <c r="E549" t="s">
        <v>6</v>
      </c>
      <c r="G549" t="s">
        <v>85</v>
      </c>
      <c r="H549" t="s">
        <v>26</v>
      </c>
      <c r="I549">
        <v>2.4086474154120508E-2</v>
      </c>
      <c r="J549" t="s">
        <v>6</v>
      </c>
      <c r="L549" t="s">
        <v>86</v>
      </c>
      <c r="M549" t="s">
        <v>26</v>
      </c>
      <c r="N549">
        <v>2.2558714656303634E-2</v>
      </c>
      <c r="O549" t="s">
        <v>6</v>
      </c>
    </row>
    <row r="550" spans="2:15" x14ac:dyDescent="0.45">
      <c r="B550" t="s">
        <v>84</v>
      </c>
      <c r="C550" t="s">
        <v>27</v>
      </c>
      <c r="D550">
        <v>0</v>
      </c>
      <c r="E550" t="s">
        <v>6</v>
      </c>
      <c r="G550" t="s">
        <v>85</v>
      </c>
      <c r="H550" t="s">
        <v>27</v>
      </c>
      <c r="I550">
        <v>3.5731881641653765E-2</v>
      </c>
      <c r="J550" t="s">
        <v>6</v>
      </c>
      <c r="L550" t="s">
        <v>86</v>
      </c>
      <c r="M550" t="s">
        <v>27</v>
      </c>
      <c r="N550">
        <v>3.3778380756993999E-2</v>
      </c>
      <c r="O550" t="s">
        <v>6</v>
      </c>
    </row>
    <row r="551" spans="2:15" x14ac:dyDescent="0.45">
      <c r="B551" t="s">
        <v>84</v>
      </c>
      <c r="C551" t="s">
        <v>28</v>
      </c>
      <c r="D551">
        <v>0</v>
      </c>
      <c r="E551" t="s">
        <v>6</v>
      </c>
      <c r="G551" t="s">
        <v>85</v>
      </c>
      <c r="H551" t="s">
        <v>28</v>
      </c>
      <c r="I551">
        <v>1.7764381100781955E-2</v>
      </c>
      <c r="J551" t="s">
        <v>6</v>
      </c>
      <c r="L551" t="s">
        <v>86</v>
      </c>
      <c r="M551" t="s">
        <v>28</v>
      </c>
      <c r="N551">
        <v>4.2718843543700931E-2</v>
      </c>
      <c r="O551" t="s">
        <v>6</v>
      </c>
    </row>
    <row r="552" spans="2:15" x14ac:dyDescent="0.45">
      <c r="B552" t="s">
        <v>84</v>
      </c>
      <c r="C552" t="s">
        <v>29</v>
      </c>
      <c r="D552">
        <v>4.830869410563969E-4</v>
      </c>
      <c r="E552" t="s">
        <v>6</v>
      </c>
      <c r="G552" t="s">
        <v>85</v>
      </c>
      <c r="H552" t="s">
        <v>29</v>
      </c>
      <c r="I552">
        <v>8.1007465829558648E-3</v>
      </c>
      <c r="J552" t="s">
        <v>6</v>
      </c>
      <c r="L552" t="s">
        <v>86</v>
      </c>
      <c r="M552" t="s">
        <v>29</v>
      </c>
      <c r="N552">
        <v>1.6323819098477441E-2</v>
      </c>
      <c r="O552" t="s">
        <v>6</v>
      </c>
    </row>
    <row r="553" spans="2:15" x14ac:dyDescent="0.45">
      <c r="B553" t="s">
        <v>84</v>
      </c>
      <c r="C553" t="s">
        <v>30</v>
      </c>
      <c r="D553">
        <v>1.4488831684956894E-2</v>
      </c>
      <c r="E553" t="s">
        <v>6</v>
      </c>
      <c r="G553" t="s">
        <v>85</v>
      </c>
      <c r="H553" t="s">
        <v>30</v>
      </c>
      <c r="I553">
        <v>8.0223298159755006E-3</v>
      </c>
      <c r="J553" t="s">
        <v>6</v>
      </c>
      <c r="L553" t="s">
        <v>86</v>
      </c>
      <c r="M553" t="s">
        <v>30</v>
      </c>
      <c r="N553">
        <v>1.6288493800181641E-2</v>
      </c>
      <c r="O553" t="s">
        <v>6</v>
      </c>
    </row>
    <row r="554" spans="2:15" x14ac:dyDescent="0.45">
      <c r="B554" t="s">
        <v>84</v>
      </c>
      <c r="C554" t="s">
        <v>31</v>
      </c>
      <c r="D554">
        <v>5.6694439818129508E-2</v>
      </c>
      <c r="E554" t="s">
        <v>6</v>
      </c>
      <c r="G554" t="s">
        <v>85</v>
      </c>
      <c r="H554" t="s">
        <v>31</v>
      </c>
      <c r="I554">
        <v>6.5328752343339919E-3</v>
      </c>
      <c r="J554" t="s">
        <v>6</v>
      </c>
      <c r="L554" t="s">
        <v>86</v>
      </c>
      <c r="M554" t="s">
        <v>31</v>
      </c>
      <c r="N554">
        <v>1.5466794663636027E-2</v>
      </c>
      <c r="O554" t="s">
        <v>6</v>
      </c>
    </row>
    <row r="555" spans="2:15" x14ac:dyDescent="0.45">
      <c r="B555" t="s">
        <v>84</v>
      </c>
      <c r="C555" t="s">
        <v>32</v>
      </c>
      <c r="D555">
        <v>8.8984323344401872E-2</v>
      </c>
      <c r="E555" t="s">
        <v>6</v>
      </c>
      <c r="G555" t="s">
        <v>85</v>
      </c>
      <c r="H555" t="s">
        <v>32</v>
      </c>
      <c r="I555">
        <v>7.5546142137825536E-3</v>
      </c>
      <c r="J555" t="s">
        <v>6</v>
      </c>
      <c r="L555" t="s">
        <v>86</v>
      </c>
      <c r="M555" t="s">
        <v>32</v>
      </c>
      <c r="N555">
        <v>1.5250401913324659E-2</v>
      </c>
      <c r="O555" t="s">
        <v>6</v>
      </c>
    </row>
    <row r="556" spans="2:15" x14ac:dyDescent="0.45">
      <c r="B556" t="s">
        <v>84</v>
      </c>
      <c r="C556" t="s">
        <v>33</v>
      </c>
      <c r="D556">
        <v>9.3397463331431105E-2</v>
      </c>
      <c r="E556" t="s">
        <v>6</v>
      </c>
      <c r="G556" t="s">
        <v>85</v>
      </c>
      <c r="H556" t="s">
        <v>33</v>
      </c>
      <c r="I556">
        <v>9.0989810806308691E-3</v>
      </c>
      <c r="J556" t="s">
        <v>6</v>
      </c>
      <c r="L556" t="s">
        <v>86</v>
      </c>
      <c r="M556" t="s">
        <v>33</v>
      </c>
      <c r="N556">
        <v>1.5940614169805113E-2</v>
      </c>
      <c r="O556" t="s">
        <v>6</v>
      </c>
    </row>
    <row r="557" spans="2:15" x14ac:dyDescent="0.45">
      <c r="B557" t="s">
        <v>84</v>
      </c>
      <c r="C557" t="s">
        <v>34</v>
      </c>
      <c r="D557">
        <v>7.6786168962013956E-2</v>
      </c>
      <c r="E557" t="s">
        <v>6</v>
      </c>
      <c r="G557" t="s">
        <v>85</v>
      </c>
      <c r="H557" t="s">
        <v>34</v>
      </c>
      <c r="I557">
        <v>6.3694404269588681E-3</v>
      </c>
      <c r="J557" t="s">
        <v>6</v>
      </c>
      <c r="L557" t="s">
        <v>86</v>
      </c>
      <c r="M557" t="s">
        <v>34</v>
      </c>
      <c r="N557">
        <v>1.6660948269853794E-2</v>
      </c>
      <c r="O557" t="s">
        <v>6</v>
      </c>
    </row>
    <row r="558" spans="2:15" x14ac:dyDescent="0.45">
      <c r="B558" t="s">
        <v>84</v>
      </c>
      <c r="C558" t="s">
        <v>35</v>
      </c>
      <c r="D558">
        <v>4.3920221908142196E-2</v>
      </c>
      <c r="E558" t="s">
        <v>6</v>
      </c>
      <c r="G558" t="s">
        <v>85</v>
      </c>
      <c r="H558" t="s">
        <v>35</v>
      </c>
      <c r="I558">
        <v>4.6510535402727931E-3</v>
      </c>
      <c r="J558" t="s">
        <v>6</v>
      </c>
      <c r="L558" t="s">
        <v>86</v>
      </c>
      <c r="M558" t="s">
        <v>35</v>
      </c>
      <c r="N558">
        <v>1.7451854133448037E-2</v>
      </c>
      <c r="O558" t="s">
        <v>6</v>
      </c>
    </row>
    <row r="559" spans="2:15" x14ac:dyDescent="0.45">
      <c r="B559" t="s">
        <v>84</v>
      </c>
      <c r="C559" t="s">
        <v>36</v>
      </c>
      <c r="D559">
        <v>8.7752666146366769E-3</v>
      </c>
      <c r="E559" t="s">
        <v>6</v>
      </c>
      <c r="G559" t="s">
        <v>85</v>
      </c>
      <c r="H559" t="s">
        <v>36</v>
      </c>
      <c r="I559">
        <v>4.4273626368509338E-3</v>
      </c>
      <c r="J559" t="s">
        <v>6</v>
      </c>
      <c r="L559" t="s">
        <v>86</v>
      </c>
      <c r="M559" t="s">
        <v>36</v>
      </c>
      <c r="N559">
        <v>1.8287783665842276E-2</v>
      </c>
      <c r="O559" t="s">
        <v>6</v>
      </c>
    </row>
    <row r="560" spans="2:15" x14ac:dyDescent="0.45">
      <c r="B560" t="s">
        <v>84</v>
      </c>
      <c r="C560" t="s">
        <v>37</v>
      </c>
      <c r="D560">
        <v>5.4354464636797463E-5</v>
      </c>
      <c r="E560" t="s">
        <v>6</v>
      </c>
      <c r="G560" t="s">
        <v>85</v>
      </c>
      <c r="H560" t="s">
        <v>37</v>
      </c>
      <c r="I560">
        <v>7.923635644950338E-3</v>
      </c>
      <c r="J560" t="s">
        <v>6</v>
      </c>
      <c r="L560" t="s">
        <v>86</v>
      </c>
      <c r="M560" t="s">
        <v>37</v>
      </c>
      <c r="N560">
        <v>2.7501579365388124E-2</v>
      </c>
      <c r="O560" t="s">
        <v>6</v>
      </c>
    </row>
    <row r="561" spans="2:15" x14ac:dyDescent="0.45">
      <c r="B561" t="s">
        <v>84</v>
      </c>
      <c r="C561" t="s">
        <v>38</v>
      </c>
      <c r="D561">
        <v>0</v>
      </c>
      <c r="E561" t="s">
        <v>6</v>
      </c>
      <c r="G561" t="s">
        <v>85</v>
      </c>
      <c r="H561" t="s">
        <v>38</v>
      </c>
      <c r="I561">
        <v>6.6069698757394602E-2</v>
      </c>
      <c r="J561" t="s">
        <v>6</v>
      </c>
      <c r="L561" t="s">
        <v>86</v>
      </c>
      <c r="M561" t="s">
        <v>38</v>
      </c>
      <c r="N561">
        <v>5.2827958883094286E-2</v>
      </c>
      <c r="O561" t="s">
        <v>6</v>
      </c>
    </row>
    <row r="562" spans="2:15" x14ac:dyDescent="0.45">
      <c r="B562" t="s">
        <v>84</v>
      </c>
      <c r="C562" t="s">
        <v>39</v>
      </c>
      <c r="D562">
        <v>0</v>
      </c>
      <c r="E562" t="s">
        <v>6</v>
      </c>
      <c r="G562" t="s">
        <v>85</v>
      </c>
      <c r="H562" t="s">
        <v>39</v>
      </c>
      <c r="I562">
        <v>2.5540702190674794E-2</v>
      </c>
      <c r="J562" t="s">
        <v>6</v>
      </c>
      <c r="L562" t="s">
        <v>86</v>
      </c>
      <c r="M562" t="s">
        <v>39</v>
      </c>
      <c r="N562">
        <v>2.0621923226971435E-2</v>
      </c>
      <c r="O562" t="s">
        <v>6</v>
      </c>
    </row>
    <row r="563" spans="2:15" x14ac:dyDescent="0.45">
      <c r="B563" t="s">
        <v>84</v>
      </c>
      <c r="C563" t="s">
        <v>40</v>
      </c>
      <c r="D563">
        <v>2.2930953429744598E-3</v>
      </c>
      <c r="E563" t="s">
        <v>6</v>
      </c>
      <c r="G563" t="s">
        <v>85</v>
      </c>
      <c r="H563" t="s">
        <v>40</v>
      </c>
      <c r="I563">
        <v>2.4139386008821356E-2</v>
      </c>
      <c r="J563" t="s">
        <v>6</v>
      </c>
      <c r="L563" t="s">
        <v>86</v>
      </c>
      <c r="M563" t="s">
        <v>40</v>
      </c>
      <c r="N563">
        <v>2.1193365478401796E-2</v>
      </c>
      <c r="O563" t="s">
        <v>6</v>
      </c>
    </row>
    <row r="564" spans="2:15" x14ac:dyDescent="0.45">
      <c r="B564" t="s">
        <v>84</v>
      </c>
      <c r="C564" t="s">
        <v>41</v>
      </c>
      <c r="D564">
        <v>2.6433250871242851E-2</v>
      </c>
      <c r="E564" t="s">
        <v>6</v>
      </c>
      <c r="G564" t="s">
        <v>85</v>
      </c>
      <c r="H564" t="s">
        <v>41</v>
      </c>
      <c r="I564">
        <v>2.2039477282562513E-2</v>
      </c>
      <c r="J564" t="s">
        <v>6</v>
      </c>
      <c r="L564" t="s">
        <v>86</v>
      </c>
      <c r="M564" t="s">
        <v>41</v>
      </c>
      <c r="N564">
        <v>2.154458135706195E-2</v>
      </c>
      <c r="O564" t="s">
        <v>6</v>
      </c>
    </row>
    <row r="565" spans="2:15" x14ac:dyDescent="0.45">
      <c r="B565" t="s">
        <v>84</v>
      </c>
      <c r="C565" t="s">
        <v>42</v>
      </c>
      <c r="D565">
        <v>5.3365718132666572E-2</v>
      </c>
      <c r="E565" t="s">
        <v>6</v>
      </c>
      <c r="G565" t="s">
        <v>85</v>
      </c>
      <c r="H565" t="s">
        <v>42</v>
      </c>
      <c r="I565">
        <v>2.0353106538633606E-2</v>
      </c>
      <c r="J565" t="s">
        <v>6</v>
      </c>
      <c r="L565" t="s">
        <v>86</v>
      </c>
      <c r="M565" t="s">
        <v>42</v>
      </c>
      <c r="N565">
        <v>2.1196201361665903E-2</v>
      </c>
      <c r="O565" t="s">
        <v>6</v>
      </c>
    </row>
    <row r="566" spans="2:15" x14ac:dyDescent="0.45">
      <c r="B566" t="s">
        <v>84</v>
      </c>
      <c r="C566" t="s">
        <v>43</v>
      </c>
      <c r="D566">
        <v>5.7948890559741111E-2</v>
      </c>
      <c r="E566" t="s">
        <v>6</v>
      </c>
      <c r="G566" t="s">
        <v>85</v>
      </c>
      <c r="H566" t="s">
        <v>43</v>
      </c>
      <c r="I566">
        <v>2.3723490974432278E-2</v>
      </c>
      <c r="J566" t="s">
        <v>6</v>
      </c>
      <c r="L566" t="s">
        <v>86</v>
      </c>
      <c r="M566" t="s">
        <v>43</v>
      </c>
      <c r="N566">
        <v>2.1418607916324429E-2</v>
      </c>
      <c r="O566" t="s">
        <v>6</v>
      </c>
    </row>
    <row r="567" spans="2:15" x14ac:dyDescent="0.45">
      <c r="B567" t="s">
        <v>84</v>
      </c>
      <c r="C567" t="s">
        <v>44</v>
      </c>
      <c r="D567">
        <v>4.1074854123066412E-2</v>
      </c>
      <c r="E567" t="s">
        <v>6</v>
      </c>
      <c r="G567" t="s">
        <v>85</v>
      </c>
      <c r="H567" t="s">
        <v>44</v>
      </c>
      <c r="I567">
        <v>2.4422095558074144E-2</v>
      </c>
      <c r="J567" t="s">
        <v>6</v>
      </c>
      <c r="L567" t="s">
        <v>86</v>
      </c>
      <c r="M567" t="s">
        <v>44</v>
      </c>
      <c r="N567">
        <v>2.2225375030807432E-2</v>
      </c>
      <c r="O567" t="s">
        <v>6</v>
      </c>
    </row>
    <row r="568" spans="2:15" x14ac:dyDescent="0.45">
      <c r="B568" t="s">
        <v>84</v>
      </c>
      <c r="C568" t="s">
        <v>45</v>
      </c>
      <c r="D568">
        <v>1.2105506912309287E-2</v>
      </c>
      <c r="E568" t="s">
        <v>6</v>
      </c>
      <c r="G568" t="s">
        <v>85</v>
      </c>
      <c r="H568" t="s">
        <v>45</v>
      </c>
      <c r="I568">
        <v>2.441144258853058E-2</v>
      </c>
      <c r="J568" t="s">
        <v>6</v>
      </c>
      <c r="L568" t="s">
        <v>86</v>
      </c>
      <c r="M568" t="s">
        <v>45</v>
      </c>
      <c r="N568">
        <v>2.2928036804281977E-2</v>
      </c>
      <c r="O568" t="s">
        <v>6</v>
      </c>
    </row>
    <row r="569" spans="2:15" x14ac:dyDescent="0.45">
      <c r="B569" t="s">
        <v>84</v>
      </c>
      <c r="C569" t="s">
        <v>46</v>
      </c>
      <c r="D569">
        <v>3.0650134388038216E-4</v>
      </c>
      <c r="E569" t="s">
        <v>6</v>
      </c>
      <c r="G569" t="s">
        <v>85</v>
      </c>
      <c r="H569" t="s">
        <v>46</v>
      </c>
      <c r="I569">
        <v>2.5658588514205716E-2</v>
      </c>
      <c r="J569" t="s">
        <v>6</v>
      </c>
      <c r="L569" t="s">
        <v>86</v>
      </c>
      <c r="M569" t="s">
        <v>46</v>
      </c>
      <c r="N569">
        <v>2.2732380094075626E-2</v>
      </c>
      <c r="O569" t="s">
        <v>6</v>
      </c>
    </row>
    <row r="570" spans="2:15" x14ac:dyDescent="0.45">
      <c r="B570" t="s">
        <v>84</v>
      </c>
      <c r="C570" t="s">
        <v>47</v>
      </c>
      <c r="D570">
        <v>0</v>
      </c>
      <c r="E570" t="s">
        <v>6</v>
      </c>
      <c r="G570" t="s">
        <v>85</v>
      </c>
      <c r="H570" t="s">
        <v>47</v>
      </c>
      <c r="I570">
        <v>4.0199996105541848E-2</v>
      </c>
      <c r="J570" t="s">
        <v>6</v>
      </c>
      <c r="L570" t="s">
        <v>86</v>
      </c>
      <c r="M570" t="s">
        <v>47</v>
      </c>
      <c r="N570">
        <v>3.3154808129937076E-2</v>
      </c>
      <c r="O570" t="s">
        <v>6</v>
      </c>
    </row>
    <row r="571" spans="2:15" x14ac:dyDescent="0.45">
      <c r="B571" t="s">
        <v>87</v>
      </c>
      <c r="C571" t="s">
        <v>5</v>
      </c>
      <c r="D571">
        <v>0</v>
      </c>
      <c r="E571" t="s">
        <v>6</v>
      </c>
      <c r="G571" t="s">
        <v>88</v>
      </c>
      <c r="H571" t="s">
        <v>5</v>
      </c>
      <c r="I571">
        <v>6.3328237570916768E-2</v>
      </c>
      <c r="J571" t="s">
        <v>6</v>
      </c>
      <c r="L571" t="s">
        <v>89</v>
      </c>
      <c r="M571" t="s">
        <v>5</v>
      </c>
      <c r="N571">
        <v>6.0224565072621791E-2</v>
      </c>
      <c r="O571" t="s">
        <v>6</v>
      </c>
    </row>
    <row r="572" spans="2:15" x14ac:dyDescent="0.45">
      <c r="B572" t="s">
        <v>87</v>
      </c>
      <c r="C572" t="s">
        <v>9</v>
      </c>
      <c r="D572">
        <v>0</v>
      </c>
      <c r="E572" t="s">
        <v>6</v>
      </c>
      <c r="G572" t="s">
        <v>88</v>
      </c>
      <c r="H572" t="s">
        <v>9</v>
      </c>
      <c r="I572">
        <v>2.5053315458679833E-2</v>
      </c>
      <c r="J572" t="s">
        <v>6</v>
      </c>
      <c r="L572" t="s">
        <v>89</v>
      </c>
      <c r="M572" t="s">
        <v>9</v>
      </c>
      <c r="N572">
        <v>2.4236724245989705E-2</v>
      </c>
      <c r="O572" t="s">
        <v>6</v>
      </c>
    </row>
    <row r="573" spans="2:15" x14ac:dyDescent="0.45">
      <c r="B573" t="s">
        <v>87</v>
      </c>
      <c r="C573" t="s">
        <v>10</v>
      </c>
      <c r="D573">
        <v>0</v>
      </c>
      <c r="E573" t="s">
        <v>6</v>
      </c>
      <c r="G573" t="s">
        <v>88</v>
      </c>
      <c r="H573" t="s">
        <v>10</v>
      </c>
      <c r="I573">
        <v>2.4952949862091844E-2</v>
      </c>
      <c r="J573" t="s">
        <v>6</v>
      </c>
      <c r="L573" t="s">
        <v>89</v>
      </c>
      <c r="M573" t="s">
        <v>10</v>
      </c>
      <c r="N573">
        <v>2.4312123067176193E-2</v>
      </c>
      <c r="O573" t="s">
        <v>6</v>
      </c>
    </row>
    <row r="574" spans="2:15" x14ac:dyDescent="0.45">
      <c r="B574" t="s">
        <v>87</v>
      </c>
      <c r="C574" t="s">
        <v>11</v>
      </c>
      <c r="D574">
        <v>1.0453944482944294E-2</v>
      </c>
      <c r="E574" t="s">
        <v>6</v>
      </c>
      <c r="G574" t="s">
        <v>88</v>
      </c>
      <c r="H574" t="s">
        <v>11</v>
      </c>
      <c r="I574">
        <v>2.4179829403826087E-2</v>
      </c>
      <c r="J574" t="s">
        <v>6</v>
      </c>
      <c r="L574" t="s">
        <v>89</v>
      </c>
      <c r="M574" t="s">
        <v>11</v>
      </c>
      <c r="N574">
        <v>2.3824171923746432E-2</v>
      </c>
      <c r="O574" t="s">
        <v>6</v>
      </c>
    </row>
    <row r="575" spans="2:15" x14ac:dyDescent="0.45">
      <c r="B575" t="s">
        <v>87</v>
      </c>
      <c r="C575" t="s">
        <v>12</v>
      </c>
      <c r="D575">
        <v>3.6786358142343614E-2</v>
      </c>
      <c r="E575" t="s">
        <v>6</v>
      </c>
      <c r="G575" t="s">
        <v>88</v>
      </c>
      <c r="H575" t="s">
        <v>12</v>
      </c>
      <c r="I575">
        <v>2.2534923943133695E-2</v>
      </c>
      <c r="J575" t="s">
        <v>6</v>
      </c>
      <c r="L575" t="s">
        <v>89</v>
      </c>
      <c r="M575" t="s">
        <v>12</v>
      </c>
      <c r="N575">
        <v>2.3566501405431997E-2</v>
      </c>
      <c r="O575" t="s">
        <v>6</v>
      </c>
    </row>
    <row r="576" spans="2:15" x14ac:dyDescent="0.45">
      <c r="B576" t="s">
        <v>87</v>
      </c>
      <c r="C576" t="s">
        <v>13</v>
      </c>
      <c r="D576">
        <v>4.5506557462229459E-2</v>
      </c>
      <c r="E576" t="s">
        <v>6</v>
      </c>
      <c r="G576" t="s">
        <v>88</v>
      </c>
      <c r="H576" t="s">
        <v>13</v>
      </c>
      <c r="I576">
        <v>2.4725485695105354E-2</v>
      </c>
      <c r="J576" t="s">
        <v>6</v>
      </c>
      <c r="L576" t="s">
        <v>89</v>
      </c>
      <c r="M576" t="s">
        <v>13</v>
      </c>
      <c r="N576">
        <v>2.3946310032576242E-2</v>
      </c>
      <c r="O576" t="s">
        <v>6</v>
      </c>
    </row>
    <row r="577" spans="2:15" x14ac:dyDescent="0.45">
      <c r="B577" t="s">
        <v>87</v>
      </c>
      <c r="C577" t="s">
        <v>14</v>
      </c>
      <c r="D577">
        <v>2.984764687342779E-2</v>
      </c>
      <c r="E577" t="s">
        <v>6</v>
      </c>
      <c r="G577" t="s">
        <v>88</v>
      </c>
      <c r="H577" t="s">
        <v>14</v>
      </c>
      <c r="I577">
        <v>2.5921054368520931E-2</v>
      </c>
      <c r="J577" t="s">
        <v>6</v>
      </c>
      <c r="L577" t="s">
        <v>89</v>
      </c>
      <c r="M577" t="s">
        <v>14</v>
      </c>
      <c r="N577">
        <v>2.4149965812835215E-2</v>
      </c>
      <c r="O577" t="s">
        <v>6</v>
      </c>
    </row>
    <row r="578" spans="2:15" x14ac:dyDescent="0.45">
      <c r="B578" t="s">
        <v>87</v>
      </c>
      <c r="C578" t="s">
        <v>15</v>
      </c>
      <c r="D578">
        <v>5.3654819075022531E-3</v>
      </c>
      <c r="E578" t="s">
        <v>6</v>
      </c>
      <c r="G578" t="s">
        <v>88</v>
      </c>
      <c r="H578" t="s">
        <v>15</v>
      </c>
      <c r="I578">
        <v>2.6923968403717885E-2</v>
      </c>
      <c r="J578" t="s">
        <v>6</v>
      </c>
      <c r="L578" t="s">
        <v>89</v>
      </c>
      <c r="M578" t="s">
        <v>15</v>
      </c>
      <c r="N578">
        <v>2.4189034454452463E-2</v>
      </c>
      <c r="O578" t="s">
        <v>6</v>
      </c>
    </row>
    <row r="579" spans="2:15" x14ac:dyDescent="0.45">
      <c r="B579" t="s">
        <v>87</v>
      </c>
      <c r="C579" t="s">
        <v>16</v>
      </c>
      <c r="D579">
        <v>0</v>
      </c>
      <c r="E579" t="s">
        <v>6</v>
      </c>
      <c r="G579" t="s">
        <v>88</v>
      </c>
      <c r="H579" t="s">
        <v>16</v>
      </c>
      <c r="I579">
        <v>2.7688604442649679E-2</v>
      </c>
      <c r="J579" t="s">
        <v>6</v>
      </c>
      <c r="L579" t="s">
        <v>89</v>
      </c>
      <c r="M579" t="s">
        <v>16</v>
      </c>
      <c r="N579">
        <v>2.4106210723660891E-2</v>
      </c>
      <c r="O579" t="s">
        <v>6</v>
      </c>
    </row>
    <row r="580" spans="2:15" x14ac:dyDescent="0.45">
      <c r="B580" t="s">
        <v>87</v>
      </c>
      <c r="C580" t="s">
        <v>17</v>
      </c>
      <c r="D580">
        <v>0</v>
      </c>
      <c r="E580" t="s">
        <v>6</v>
      </c>
      <c r="G580" t="s">
        <v>88</v>
      </c>
      <c r="H580" t="s">
        <v>17</v>
      </c>
      <c r="I580">
        <v>3.9468005012407652E-2</v>
      </c>
      <c r="J580" t="s">
        <v>6</v>
      </c>
      <c r="L580" t="s">
        <v>89</v>
      </c>
      <c r="M580" t="s">
        <v>17</v>
      </c>
      <c r="N580">
        <v>3.58092860826731E-2</v>
      </c>
      <c r="O580" t="s">
        <v>6</v>
      </c>
    </row>
    <row r="581" spans="2:15" x14ac:dyDescent="0.45">
      <c r="B581" t="s">
        <v>87</v>
      </c>
      <c r="C581" t="s">
        <v>18</v>
      </c>
      <c r="D581">
        <v>0</v>
      </c>
      <c r="E581" t="s">
        <v>6</v>
      </c>
      <c r="G581" t="s">
        <v>88</v>
      </c>
      <c r="H581" t="s">
        <v>18</v>
      </c>
      <c r="I581">
        <v>4.1476969500457601E-2</v>
      </c>
      <c r="J581" t="s">
        <v>6</v>
      </c>
      <c r="L581" t="s">
        <v>89</v>
      </c>
      <c r="M581" t="s">
        <v>18</v>
      </c>
      <c r="N581">
        <v>5.8971361347978209E-2</v>
      </c>
      <c r="O581" t="s">
        <v>6</v>
      </c>
    </row>
    <row r="582" spans="2:15" x14ac:dyDescent="0.45">
      <c r="B582" t="s">
        <v>87</v>
      </c>
      <c r="C582" t="s">
        <v>19</v>
      </c>
      <c r="D582">
        <v>1.5636823513611394E-4</v>
      </c>
      <c r="E582" t="s">
        <v>6</v>
      </c>
      <c r="G582" t="s">
        <v>88</v>
      </c>
      <c r="H582" t="s">
        <v>19</v>
      </c>
      <c r="I582">
        <v>1.625279268569331E-2</v>
      </c>
      <c r="J582" t="s">
        <v>6</v>
      </c>
      <c r="L582" t="s">
        <v>89</v>
      </c>
      <c r="M582" t="s">
        <v>19</v>
      </c>
      <c r="N582">
        <v>2.3648392229097176E-2</v>
      </c>
      <c r="O582" t="s">
        <v>6</v>
      </c>
    </row>
    <row r="583" spans="2:15" x14ac:dyDescent="0.45">
      <c r="B583" t="s">
        <v>87</v>
      </c>
      <c r="C583" t="s">
        <v>20</v>
      </c>
      <c r="D583">
        <v>9.0029623015450734E-3</v>
      </c>
      <c r="E583" t="s">
        <v>6</v>
      </c>
      <c r="G583" t="s">
        <v>88</v>
      </c>
      <c r="H583" t="s">
        <v>20</v>
      </c>
      <c r="I583">
        <v>1.6220771096277356E-2</v>
      </c>
      <c r="J583" t="s">
        <v>6</v>
      </c>
      <c r="L583" t="s">
        <v>89</v>
      </c>
      <c r="M583" t="s">
        <v>20</v>
      </c>
      <c r="N583">
        <v>2.3157249846815411E-2</v>
      </c>
      <c r="O583" t="s">
        <v>6</v>
      </c>
    </row>
    <row r="584" spans="2:15" x14ac:dyDescent="0.45">
      <c r="B584" t="s">
        <v>87</v>
      </c>
      <c r="C584" t="s">
        <v>21</v>
      </c>
      <c r="D584">
        <v>4.460892149011534E-2</v>
      </c>
      <c r="E584" t="s">
        <v>6</v>
      </c>
      <c r="G584" t="s">
        <v>88</v>
      </c>
      <c r="H584" t="s">
        <v>21</v>
      </c>
      <c r="I584">
        <v>1.7860351680776248E-2</v>
      </c>
      <c r="J584" t="s">
        <v>6</v>
      </c>
      <c r="L584" t="s">
        <v>89</v>
      </c>
      <c r="M584" t="s">
        <v>21</v>
      </c>
      <c r="N584">
        <v>2.2653532048691565E-2</v>
      </c>
      <c r="O584" t="s">
        <v>6</v>
      </c>
    </row>
    <row r="585" spans="2:15" x14ac:dyDescent="0.45">
      <c r="B585" t="s">
        <v>87</v>
      </c>
      <c r="C585" t="s">
        <v>22</v>
      </c>
      <c r="D585">
        <v>7.3983605884573742E-2</v>
      </c>
      <c r="E585" t="s">
        <v>6</v>
      </c>
      <c r="G585" t="s">
        <v>88</v>
      </c>
      <c r="H585" t="s">
        <v>22</v>
      </c>
      <c r="I585">
        <v>1.8822836797096353E-2</v>
      </c>
      <c r="J585" t="s">
        <v>6</v>
      </c>
      <c r="L585" t="s">
        <v>89</v>
      </c>
      <c r="M585" t="s">
        <v>22</v>
      </c>
      <c r="N585">
        <v>2.2701218243087969E-2</v>
      </c>
      <c r="O585" t="s">
        <v>6</v>
      </c>
    </row>
    <row r="586" spans="2:15" x14ac:dyDescent="0.45">
      <c r="B586" t="s">
        <v>87</v>
      </c>
      <c r="C586" t="s">
        <v>23</v>
      </c>
      <c r="D586">
        <v>7.888738272757255E-2</v>
      </c>
      <c r="E586" t="s">
        <v>6</v>
      </c>
      <c r="G586" t="s">
        <v>88</v>
      </c>
      <c r="H586" t="s">
        <v>23</v>
      </c>
      <c r="I586">
        <v>2.1463815163972326E-2</v>
      </c>
      <c r="J586" t="s">
        <v>6</v>
      </c>
      <c r="L586" t="s">
        <v>89</v>
      </c>
      <c r="M586" t="s">
        <v>23</v>
      </c>
      <c r="N586">
        <v>2.3099600180251079E-2</v>
      </c>
      <c r="O586" t="s">
        <v>6</v>
      </c>
    </row>
    <row r="587" spans="2:15" x14ac:dyDescent="0.45">
      <c r="B587" t="s">
        <v>87</v>
      </c>
      <c r="C587" t="s">
        <v>24</v>
      </c>
      <c r="D587">
        <v>6.163293542986676E-2</v>
      </c>
      <c r="E587" t="s">
        <v>6</v>
      </c>
      <c r="G587" t="s">
        <v>88</v>
      </c>
      <c r="H587" t="s">
        <v>24</v>
      </c>
      <c r="I587">
        <v>2.3061968973552699E-2</v>
      </c>
      <c r="J587" t="s">
        <v>6</v>
      </c>
      <c r="L587" t="s">
        <v>89</v>
      </c>
      <c r="M587" t="s">
        <v>24</v>
      </c>
      <c r="N587">
        <v>2.3638008551694595E-2</v>
      </c>
      <c r="O587" t="s">
        <v>6</v>
      </c>
    </row>
    <row r="588" spans="2:15" x14ac:dyDescent="0.45">
      <c r="B588" t="s">
        <v>87</v>
      </c>
      <c r="C588" t="s">
        <v>25</v>
      </c>
      <c r="D588">
        <v>2.9316874439072712E-2</v>
      </c>
      <c r="E588" t="s">
        <v>6</v>
      </c>
      <c r="G588" t="s">
        <v>88</v>
      </c>
      <c r="H588" t="s">
        <v>25</v>
      </c>
      <c r="I588">
        <v>2.2233242085038376E-2</v>
      </c>
      <c r="J588" t="s">
        <v>6</v>
      </c>
      <c r="L588" t="s">
        <v>89</v>
      </c>
      <c r="M588" t="s">
        <v>25</v>
      </c>
      <c r="N588">
        <v>2.4060172441189596E-2</v>
      </c>
      <c r="O588" t="s">
        <v>6</v>
      </c>
    </row>
    <row r="589" spans="2:15" x14ac:dyDescent="0.45">
      <c r="B589" t="s">
        <v>87</v>
      </c>
      <c r="C589" t="s">
        <v>26</v>
      </c>
      <c r="D589">
        <v>3.0949371055316532E-3</v>
      </c>
      <c r="E589" t="s">
        <v>6</v>
      </c>
      <c r="G589" t="s">
        <v>88</v>
      </c>
      <c r="H589" t="s">
        <v>26</v>
      </c>
      <c r="I589">
        <v>2.1112008006453388E-2</v>
      </c>
      <c r="J589" t="s">
        <v>6</v>
      </c>
      <c r="L589" t="s">
        <v>89</v>
      </c>
      <c r="M589" t="s">
        <v>26</v>
      </c>
      <c r="N589">
        <v>2.4147269355845859E-2</v>
      </c>
      <c r="O589" t="s">
        <v>6</v>
      </c>
    </row>
    <row r="590" spans="2:15" x14ac:dyDescent="0.45">
      <c r="B590" t="s">
        <v>87</v>
      </c>
      <c r="C590" t="s">
        <v>27</v>
      </c>
      <c r="D590">
        <v>0</v>
      </c>
      <c r="E590" t="s">
        <v>6</v>
      </c>
      <c r="G590" t="s">
        <v>88</v>
      </c>
      <c r="H590" t="s">
        <v>27</v>
      </c>
      <c r="I590">
        <v>2.853401506791893E-2</v>
      </c>
      <c r="J590" t="s">
        <v>6</v>
      </c>
      <c r="L590" t="s">
        <v>89</v>
      </c>
      <c r="M590" t="s">
        <v>27</v>
      </c>
      <c r="N590">
        <v>3.4725419540783439E-2</v>
      </c>
      <c r="O590" t="s">
        <v>6</v>
      </c>
    </row>
    <row r="591" spans="2:15" x14ac:dyDescent="0.45">
      <c r="B591" t="s">
        <v>87</v>
      </c>
      <c r="C591" t="s">
        <v>28</v>
      </c>
      <c r="D591">
        <v>0</v>
      </c>
      <c r="E591" t="s">
        <v>6</v>
      </c>
      <c r="G591" t="s">
        <v>88</v>
      </c>
      <c r="H591" t="s">
        <v>28</v>
      </c>
      <c r="I591">
        <v>4.1422835336783981E-2</v>
      </c>
      <c r="J591" t="s">
        <v>6</v>
      </c>
      <c r="L591" t="s">
        <v>89</v>
      </c>
      <c r="M591" t="s">
        <v>28</v>
      </c>
      <c r="N591">
        <v>4.1307426922502062E-2</v>
      </c>
      <c r="O591" t="s">
        <v>6</v>
      </c>
    </row>
    <row r="592" spans="2:15" x14ac:dyDescent="0.45">
      <c r="B592" t="s">
        <v>87</v>
      </c>
      <c r="C592" t="s">
        <v>29</v>
      </c>
      <c r="D592">
        <v>6.5202526461097081E-4</v>
      </c>
      <c r="E592" t="s">
        <v>6</v>
      </c>
      <c r="G592" t="s">
        <v>88</v>
      </c>
      <c r="H592" t="s">
        <v>29</v>
      </c>
      <c r="I592">
        <v>1.5072335169377071E-2</v>
      </c>
      <c r="J592" t="s">
        <v>6</v>
      </c>
      <c r="L592" t="s">
        <v>89</v>
      </c>
      <c r="M592" t="s">
        <v>29</v>
      </c>
      <c r="N592">
        <v>1.6131488869344519E-2</v>
      </c>
      <c r="O592" t="s">
        <v>6</v>
      </c>
    </row>
    <row r="593" spans="2:15" x14ac:dyDescent="0.45">
      <c r="B593" t="s">
        <v>87</v>
      </c>
      <c r="C593" t="s">
        <v>30</v>
      </c>
      <c r="D593">
        <v>1.5945113177559454E-2</v>
      </c>
      <c r="E593" t="s">
        <v>6</v>
      </c>
      <c r="G593" t="s">
        <v>88</v>
      </c>
      <c r="H593" t="s">
        <v>30</v>
      </c>
      <c r="I593">
        <v>1.3562431133889618E-2</v>
      </c>
      <c r="J593" t="s">
        <v>6</v>
      </c>
      <c r="L593" t="s">
        <v>89</v>
      </c>
      <c r="M593" t="s">
        <v>30</v>
      </c>
      <c r="N593">
        <v>1.5809969853229078E-2</v>
      </c>
      <c r="O593" t="s">
        <v>6</v>
      </c>
    </row>
    <row r="594" spans="2:15" x14ac:dyDescent="0.45">
      <c r="B594" t="s">
        <v>87</v>
      </c>
      <c r="C594" t="s">
        <v>31</v>
      </c>
      <c r="D594">
        <v>5.7464902701374845E-2</v>
      </c>
      <c r="E594" t="s">
        <v>6</v>
      </c>
      <c r="G594" t="s">
        <v>88</v>
      </c>
      <c r="H594" t="s">
        <v>31</v>
      </c>
      <c r="I594">
        <v>1.5401400955122232E-2</v>
      </c>
      <c r="J594" t="s">
        <v>6</v>
      </c>
      <c r="L594" t="s">
        <v>89</v>
      </c>
      <c r="M594" t="s">
        <v>31</v>
      </c>
      <c r="N594">
        <v>1.5149592547744482E-2</v>
      </c>
      <c r="O594" t="s">
        <v>6</v>
      </c>
    </row>
    <row r="595" spans="2:15" x14ac:dyDescent="0.45">
      <c r="B595" t="s">
        <v>87</v>
      </c>
      <c r="C595" t="s">
        <v>32</v>
      </c>
      <c r="D595">
        <v>8.8925518212982793E-2</v>
      </c>
      <c r="E595" t="s">
        <v>6</v>
      </c>
      <c r="G595" t="s">
        <v>88</v>
      </c>
      <c r="H595" t="s">
        <v>32</v>
      </c>
      <c r="I595">
        <v>1.5816860755135838E-2</v>
      </c>
      <c r="J595" t="s">
        <v>6</v>
      </c>
      <c r="L595" t="s">
        <v>89</v>
      </c>
      <c r="M595" t="s">
        <v>32</v>
      </c>
      <c r="N595">
        <v>1.4826715323938623E-2</v>
      </c>
      <c r="O595" t="s">
        <v>6</v>
      </c>
    </row>
    <row r="596" spans="2:15" x14ac:dyDescent="0.45">
      <c r="B596" t="s">
        <v>87</v>
      </c>
      <c r="C596" t="s">
        <v>33</v>
      </c>
      <c r="D596">
        <v>9.428973210482712E-2</v>
      </c>
      <c r="E596" t="s">
        <v>6</v>
      </c>
      <c r="G596" t="s">
        <v>88</v>
      </c>
      <c r="H596" t="s">
        <v>33</v>
      </c>
      <c r="I596">
        <v>1.7851163191642788E-2</v>
      </c>
      <c r="J596" t="s">
        <v>6</v>
      </c>
      <c r="L596" t="s">
        <v>89</v>
      </c>
      <c r="M596" t="s">
        <v>33</v>
      </c>
      <c r="N596">
        <v>1.5590692029539343E-2</v>
      </c>
      <c r="O596" t="s">
        <v>6</v>
      </c>
    </row>
    <row r="597" spans="2:15" x14ac:dyDescent="0.45">
      <c r="B597" t="s">
        <v>87</v>
      </c>
      <c r="C597" t="s">
        <v>34</v>
      </c>
      <c r="D597">
        <v>7.6507386183561357E-2</v>
      </c>
      <c r="E597" t="s">
        <v>6</v>
      </c>
      <c r="G597" t="s">
        <v>88</v>
      </c>
      <c r="H597" t="s">
        <v>34</v>
      </c>
      <c r="I597">
        <v>1.9085913880272001E-2</v>
      </c>
      <c r="J597" t="s">
        <v>6</v>
      </c>
      <c r="L597" t="s">
        <v>89</v>
      </c>
      <c r="M597" t="s">
        <v>34</v>
      </c>
      <c r="N597">
        <v>1.6787377791213264E-2</v>
      </c>
      <c r="O597" t="s">
        <v>6</v>
      </c>
    </row>
    <row r="598" spans="2:15" x14ac:dyDescent="0.45">
      <c r="B598" t="s">
        <v>87</v>
      </c>
      <c r="C598" t="s">
        <v>35</v>
      </c>
      <c r="D598">
        <v>4.1957439722649495E-2</v>
      </c>
      <c r="E598" t="s">
        <v>6</v>
      </c>
      <c r="G598" t="s">
        <v>88</v>
      </c>
      <c r="H598" t="s">
        <v>35</v>
      </c>
      <c r="I598">
        <v>1.9474675007692569E-2</v>
      </c>
      <c r="J598" t="s">
        <v>6</v>
      </c>
      <c r="L598" t="s">
        <v>89</v>
      </c>
      <c r="M598" t="s">
        <v>35</v>
      </c>
      <c r="N598">
        <v>1.7646350196890159E-2</v>
      </c>
      <c r="O598" t="s">
        <v>6</v>
      </c>
    </row>
    <row r="599" spans="2:15" x14ac:dyDescent="0.45">
      <c r="B599" t="s">
        <v>87</v>
      </c>
      <c r="C599" t="s">
        <v>36</v>
      </c>
      <c r="D599">
        <v>8.1082867076850539E-3</v>
      </c>
      <c r="E599" t="s">
        <v>6</v>
      </c>
      <c r="G599" t="s">
        <v>88</v>
      </c>
      <c r="H599" t="s">
        <v>36</v>
      </c>
      <c r="I599">
        <v>1.8656900268707553E-2</v>
      </c>
      <c r="J599" t="s">
        <v>6</v>
      </c>
      <c r="L599" t="s">
        <v>89</v>
      </c>
      <c r="M599" t="s">
        <v>36</v>
      </c>
      <c r="N599">
        <v>1.7637496394591362E-2</v>
      </c>
      <c r="O599" t="s">
        <v>6</v>
      </c>
    </row>
    <row r="600" spans="2:15" x14ac:dyDescent="0.45">
      <c r="B600" t="s">
        <v>87</v>
      </c>
      <c r="C600" t="s">
        <v>37</v>
      </c>
      <c r="D600">
        <v>2.3002725035880693E-5</v>
      </c>
      <c r="E600" t="s">
        <v>6</v>
      </c>
      <c r="G600" t="s">
        <v>88</v>
      </c>
      <c r="H600" t="s">
        <v>37</v>
      </c>
      <c r="I600">
        <v>2.6928921858822761E-2</v>
      </c>
      <c r="J600" t="s">
        <v>6</v>
      </c>
      <c r="L600" t="s">
        <v>89</v>
      </c>
      <c r="M600" t="s">
        <v>37</v>
      </c>
      <c r="N600">
        <v>2.5215598193303077E-2</v>
      </c>
      <c r="O600" t="s">
        <v>6</v>
      </c>
    </row>
    <row r="601" spans="2:15" x14ac:dyDescent="0.45">
      <c r="B601" t="s">
        <v>87</v>
      </c>
      <c r="C601" t="s">
        <v>38</v>
      </c>
      <c r="D601">
        <v>0</v>
      </c>
      <c r="E601" t="s">
        <v>6</v>
      </c>
      <c r="G601" t="s">
        <v>88</v>
      </c>
      <c r="H601" t="s">
        <v>38</v>
      </c>
      <c r="I601">
        <v>5.5354683910100906E-2</v>
      </c>
      <c r="J601" t="s">
        <v>6</v>
      </c>
      <c r="L601" t="s">
        <v>89</v>
      </c>
      <c r="M601" t="s">
        <v>38</v>
      </c>
      <c r="N601">
        <v>4.8622535029693284E-2</v>
      </c>
      <c r="O601" t="s">
        <v>6</v>
      </c>
    </row>
    <row r="602" spans="2:15" x14ac:dyDescent="0.45">
      <c r="B602" t="s">
        <v>87</v>
      </c>
      <c r="C602" t="s">
        <v>39</v>
      </c>
      <c r="D602">
        <v>0</v>
      </c>
      <c r="E602" t="s">
        <v>6</v>
      </c>
      <c r="G602" t="s">
        <v>88</v>
      </c>
      <c r="H602" t="s">
        <v>39</v>
      </c>
      <c r="I602">
        <v>2.1689156613048946E-2</v>
      </c>
      <c r="J602" t="s">
        <v>6</v>
      </c>
      <c r="L602" t="s">
        <v>89</v>
      </c>
      <c r="M602" t="s">
        <v>39</v>
      </c>
      <c r="N602">
        <v>1.9329635620842726E-2</v>
      </c>
      <c r="O602" t="s">
        <v>6</v>
      </c>
    </row>
    <row r="603" spans="2:15" x14ac:dyDescent="0.45">
      <c r="B603" t="s">
        <v>87</v>
      </c>
      <c r="C603" t="s">
        <v>40</v>
      </c>
      <c r="D603">
        <v>2.5303355094457099E-3</v>
      </c>
      <c r="E603" t="s">
        <v>6</v>
      </c>
      <c r="G603" t="s">
        <v>88</v>
      </c>
      <c r="H603" t="s">
        <v>40</v>
      </c>
      <c r="I603">
        <v>2.0813713439861589E-2</v>
      </c>
      <c r="J603" t="s">
        <v>6</v>
      </c>
      <c r="L603" t="s">
        <v>89</v>
      </c>
      <c r="M603" t="s">
        <v>40</v>
      </c>
      <c r="N603">
        <v>1.9325790596078165E-2</v>
      </c>
      <c r="O603" t="s">
        <v>6</v>
      </c>
    </row>
    <row r="604" spans="2:15" x14ac:dyDescent="0.45">
      <c r="B604" t="s">
        <v>87</v>
      </c>
      <c r="C604" t="s">
        <v>41</v>
      </c>
      <c r="D604">
        <v>2.5817346187753745E-2</v>
      </c>
      <c r="E604" t="s">
        <v>6</v>
      </c>
      <c r="G604" t="s">
        <v>88</v>
      </c>
      <c r="H604" t="s">
        <v>41</v>
      </c>
      <c r="I604">
        <v>2.0289702605375191E-2</v>
      </c>
      <c r="J604" t="s">
        <v>6</v>
      </c>
      <c r="L604" t="s">
        <v>89</v>
      </c>
      <c r="M604" t="s">
        <v>41</v>
      </c>
      <c r="N604">
        <v>1.9367262024303052E-2</v>
      </c>
      <c r="O604" t="s">
        <v>6</v>
      </c>
    </row>
    <row r="605" spans="2:15" x14ac:dyDescent="0.45">
      <c r="B605" t="s">
        <v>87</v>
      </c>
      <c r="C605" t="s">
        <v>42</v>
      </c>
      <c r="D605">
        <v>5.18629244344012E-2</v>
      </c>
      <c r="E605" t="s">
        <v>6</v>
      </c>
      <c r="G605" t="s">
        <v>88</v>
      </c>
      <c r="H605" t="s">
        <v>42</v>
      </c>
      <c r="I605">
        <v>2.0644872039739092E-2</v>
      </c>
      <c r="J605" t="s">
        <v>6</v>
      </c>
      <c r="L605" t="s">
        <v>89</v>
      </c>
      <c r="M605" t="s">
        <v>42</v>
      </c>
      <c r="N605">
        <v>1.939175903204245E-2</v>
      </c>
      <c r="O605" t="s">
        <v>6</v>
      </c>
    </row>
    <row r="606" spans="2:15" x14ac:dyDescent="0.45">
      <c r="B606" t="s">
        <v>87</v>
      </c>
      <c r="C606" t="s">
        <v>43</v>
      </c>
      <c r="D606">
        <v>5.5921435895092589E-2</v>
      </c>
      <c r="E606" t="s">
        <v>6</v>
      </c>
      <c r="G606" t="s">
        <v>88</v>
      </c>
      <c r="H606" t="s">
        <v>43</v>
      </c>
      <c r="I606">
        <v>2.2785637051426125E-2</v>
      </c>
      <c r="J606" t="s">
        <v>6</v>
      </c>
      <c r="L606" t="s">
        <v>89</v>
      </c>
      <c r="M606" t="s">
        <v>43</v>
      </c>
      <c r="N606">
        <v>1.929390483741265E-2</v>
      </c>
      <c r="O606" t="s">
        <v>6</v>
      </c>
    </row>
    <row r="607" spans="2:15" x14ac:dyDescent="0.45">
      <c r="B607" t="s">
        <v>87</v>
      </c>
      <c r="C607" t="s">
        <v>44</v>
      </c>
      <c r="D607">
        <v>3.9645957267543289E-2</v>
      </c>
      <c r="E607" t="s">
        <v>6</v>
      </c>
      <c r="G607" t="s">
        <v>88</v>
      </c>
      <c r="H607" t="s">
        <v>44</v>
      </c>
      <c r="I607">
        <v>2.3161006434673909E-2</v>
      </c>
      <c r="J607" t="s">
        <v>6</v>
      </c>
      <c r="L607" t="s">
        <v>89</v>
      </c>
      <c r="M607" t="s">
        <v>44</v>
      </c>
      <c r="N607">
        <v>1.966017642347653E-2</v>
      </c>
      <c r="O607" t="s">
        <v>6</v>
      </c>
    </row>
    <row r="608" spans="2:15" x14ac:dyDescent="0.45">
      <c r="B608" t="s">
        <v>87</v>
      </c>
      <c r="C608" t="s">
        <v>45</v>
      </c>
      <c r="D608">
        <v>1.1488843462781355E-2</v>
      </c>
      <c r="E608" t="s">
        <v>6</v>
      </c>
      <c r="G608" t="s">
        <v>88</v>
      </c>
      <c r="H608" t="s">
        <v>45</v>
      </c>
      <c r="I608">
        <v>2.3226499524799722E-2</v>
      </c>
      <c r="J608" t="s">
        <v>6</v>
      </c>
      <c r="L608" t="s">
        <v>89</v>
      </c>
      <c r="M608" t="s">
        <v>45</v>
      </c>
      <c r="N608">
        <v>2.0071812040437897E-2</v>
      </c>
      <c r="O608" t="s">
        <v>6</v>
      </c>
    </row>
    <row r="609" spans="2:15" x14ac:dyDescent="0.45">
      <c r="B609" t="s">
        <v>87</v>
      </c>
      <c r="C609" t="s">
        <v>46</v>
      </c>
      <c r="D609">
        <v>2.1577396083619904E-4</v>
      </c>
      <c r="E609" t="s">
        <v>6</v>
      </c>
      <c r="G609" t="s">
        <v>88</v>
      </c>
      <c r="H609" t="s">
        <v>46</v>
      </c>
      <c r="I609">
        <v>2.3246260820029223E-2</v>
      </c>
      <c r="J609" t="s">
        <v>6</v>
      </c>
      <c r="L609" t="s">
        <v>89</v>
      </c>
      <c r="M609" t="s">
        <v>46</v>
      </c>
      <c r="N609">
        <v>2.0048134720119556E-2</v>
      </c>
      <c r="O609" t="s">
        <v>6</v>
      </c>
    </row>
    <row r="610" spans="2:15" x14ac:dyDescent="0.45">
      <c r="B610" t="s">
        <v>87</v>
      </c>
      <c r="C610" t="s">
        <v>47</v>
      </c>
      <c r="D610">
        <v>0</v>
      </c>
      <c r="E610" t="s">
        <v>6</v>
      </c>
      <c r="G610" t="s">
        <v>88</v>
      </c>
      <c r="H610" t="s">
        <v>47</v>
      </c>
      <c r="I610">
        <v>3.369988478521474E-2</v>
      </c>
      <c r="J610" t="s">
        <v>6</v>
      </c>
      <c r="L610" t="s">
        <v>89</v>
      </c>
      <c r="M610" t="s">
        <v>47</v>
      </c>
      <c r="N610">
        <v>2.9619164946702057E-2</v>
      </c>
      <c r="O610" t="s">
        <v>6</v>
      </c>
    </row>
    <row r="611" spans="2:15" x14ac:dyDescent="0.45">
      <c r="B611" t="s">
        <v>90</v>
      </c>
      <c r="C611" t="s">
        <v>5</v>
      </c>
      <c r="D611">
        <v>0</v>
      </c>
      <c r="E611" t="s">
        <v>6</v>
      </c>
      <c r="G611" t="s">
        <v>91</v>
      </c>
      <c r="H611" t="s">
        <v>5</v>
      </c>
      <c r="I611">
        <v>5.9249500705124983E-2</v>
      </c>
      <c r="J611" t="s">
        <v>6</v>
      </c>
      <c r="L611" t="s">
        <v>92</v>
      </c>
      <c r="M611" t="s">
        <v>5</v>
      </c>
      <c r="N611">
        <v>6.0555719327188298E-2</v>
      </c>
      <c r="O611" t="s">
        <v>6</v>
      </c>
    </row>
    <row r="612" spans="2:15" x14ac:dyDescent="0.45">
      <c r="B612" t="s">
        <v>90</v>
      </c>
      <c r="C612" t="s">
        <v>9</v>
      </c>
      <c r="D612">
        <v>0</v>
      </c>
      <c r="E612" t="s">
        <v>6</v>
      </c>
      <c r="G612" t="s">
        <v>91</v>
      </c>
      <c r="H612" t="s">
        <v>9</v>
      </c>
      <c r="I612">
        <v>2.3704694760510268E-2</v>
      </c>
      <c r="J612" t="s">
        <v>6</v>
      </c>
      <c r="L612" t="s">
        <v>92</v>
      </c>
      <c r="M612" t="s">
        <v>9</v>
      </c>
      <c r="N612">
        <v>2.4475642749350855E-2</v>
      </c>
      <c r="O612" t="s">
        <v>6</v>
      </c>
    </row>
    <row r="613" spans="2:15" x14ac:dyDescent="0.45">
      <c r="B613" t="s">
        <v>90</v>
      </c>
      <c r="C613" t="s">
        <v>10</v>
      </c>
      <c r="D613">
        <v>4.9264904054549247E-7</v>
      </c>
      <c r="E613" t="s">
        <v>6</v>
      </c>
      <c r="G613" t="s">
        <v>91</v>
      </c>
      <c r="H613" t="s">
        <v>10</v>
      </c>
      <c r="I613">
        <v>2.3477236718729776E-2</v>
      </c>
      <c r="J613" t="s">
        <v>6</v>
      </c>
      <c r="L613" t="s">
        <v>92</v>
      </c>
      <c r="M613" t="s">
        <v>10</v>
      </c>
      <c r="N613">
        <v>2.4278057185841039E-2</v>
      </c>
      <c r="O613" t="s">
        <v>6</v>
      </c>
    </row>
    <row r="614" spans="2:15" x14ac:dyDescent="0.45">
      <c r="B614" t="s">
        <v>90</v>
      </c>
      <c r="C614" t="s">
        <v>11</v>
      </c>
      <c r="D614">
        <v>1.2770752388103313E-2</v>
      </c>
      <c r="E614" t="s">
        <v>6</v>
      </c>
      <c r="G614" t="s">
        <v>91</v>
      </c>
      <c r="H614" t="s">
        <v>11</v>
      </c>
      <c r="I614">
        <v>2.2422189938267677E-2</v>
      </c>
      <c r="J614" t="s">
        <v>6</v>
      </c>
      <c r="L614" t="s">
        <v>92</v>
      </c>
      <c r="M614" t="s">
        <v>11</v>
      </c>
      <c r="N614">
        <v>2.3606167624490179E-2</v>
      </c>
      <c r="O614" t="s">
        <v>6</v>
      </c>
    </row>
    <row r="615" spans="2:15" x14ac:dyDescent="0.45">
      <c r="B615" t="s">
        <v>90</v>
      </c>
      <c r="C615" t="s">
        <v>12</v>
      </c>
      <c r="D615">
        <v>4.1551941074349591E-2</v>
      </c>
      <c r="E615" t="s">
        <v>6</v>
      </c>
      <c r="G615" t="s">
        <v>91</v>
      </c>
      <c r="H615" t="s">
        <v>12</v>
      </c>
      <c r="I615">
        <v>2.0418893722434311E-2</v>
      </c>
      <c r="J615" t="s">
        <v>6</v>
      </c>
      <c r="L615" t="s">
        <v>92</v>
      </c>
      <c r="M615" t="s">
        <v>12</v>
      </c>
      <c r="N615">
        <v>2.3146530879347378E-2</v>
      </c>
      <c r="O615" t="s">
        <v>6</v>
      </c>
    </row>
    <row r="616" spans="2:15" x14ac:dyDescent="0.45">
      <c r="B616" t="s">
        <v>90</v>
      </c>
      <c r="C616" t="s">
        <v>13</v>
      </c>
      <c r="D616">
        <v>4.967430644610641E-2</v>
      </c>
      <c r="E616" t="s">
        <v>6</v>
      </c>
      <c r="G616" t="s">
        <v>91</v>
      </c>
      <c r="H616" t="s">
        <v>13</v>
      </c>
      <c r="I616">
        <v>2.4107107146069839E-2</v>
      </c>
      <c r="J616" t="s">
        <v>6</v>
      </c>
      <c r="L616" t="s">
        <v>92</v>
      </c>
      <c r="M616" t="s">
        <v>13</v>
      </c>
      <c r="N616">
        <v>2.370976493818645E-2</v>
      </c>
      <c r="O616" t="s">
        <v>6</v>
      </c>
    </row>
    <row r="617" spans="2:15" x14ac:dyDescent="0.45">
      <c r="B617" t="s">
        <v>90</v>
      </c>
      <c r="C617" t="s">
        <v>14</v>
      </c>
      <c r="D617">
        <v>3.3284151050073207E-2</v>
      </c>
      <c r="E617" t="s">
        <v>6</v>
      </c>
      <c r="G617" t="s">
        <v>91</v>
      </c>
      <c r="H617" t="s">
        <v>14</v>
      </c>
      <c r="I617">
        <v>2.6085572677731487E-2</v>
      </c>
      <c r="J617" t="s">
        <v>6</v>
      </c>
      <c r="L617" t="s">
        <v>92</v>
      </c>
      <c r="M617" t="s">
        <v>14</v>
      </c>
      <c r="N617">
        <v>2.395866670832424E-2</v>
      </c>
      <c r="O617" t="s">
        <v>6</v>
      </c>
    </row>
    <row r="618" spans="2:15" x14ac:dyDescent="0.45">
      <c r="B618" t="s">
        <v>90</v>
      </c>
      <c r="C618" t="s">
        <v>15</v>
      </c>
      <c r="D618">
        <v>7.8381369623265664E-3</v>
      </c>
      <c r="E618" t="s">
        <v>6</v>
      </c>
      <c r="G618" t="s">
        <v>91</v>
      </c>
      <c r="H618" t="s">
        <v>15</v>
      </c>
      <c r="I618">
        <v>2.7048816426631143E-2</v>
      </c>
      <c r="J618" t="s">
        <v>6</v>
      </c>
      <c r="L618" t="s">
        <v>92</v>
      </c>
      <c r="M618" t="s">
        <v>15</v>
      </c>
      <c r="N618">
        <v>2.4305227488453256E-2</v>
      </c>
      <c r="O618" t="s">
        <v>6</v>
      </c>
    </row>
    <row r="619" spans="2:15" x14ac:dyDescent="0.45">
      <c r="B619" t="s">
        <v>90</v>
      </c>
      <c r="C619" t="s">
        <v>16</v>
      </c>
      <c r="D619">
        <v>0</v>
      </c>
      <c r="E619" t="s">
        <v>6</v>
      </c>
      <c r="G619" t="s">
        <v>91</v>
      </c>
      <c r="H619" t="s">
        <v>16</v>
      </c>
      <c r="I619">
        <v>2.6134372157596099E-2</v>
      </c>
      <c r="J619" t="s">
        <v>6</v>
      </c>
      <c r="L619" t="s">
        <v>92</v>
      </c>
      <c r="M619" t="s">
        <v>16</v>
      </c>
      <c r="N619">
        <v>2.4660482486277373E-2</v>
      </c>
      <c r="O619" t="s">
        <v>6</v>
      </c>
    </row>
    <row r="620" spans="2:15" x14ac:dyDescent="0.45">
      <c r="B620" t="s">
        <v>90</v>
      </c>
      <c r="C620" t="s">
        <v>17</v>
      </c>
      <c r="D620">
        <v>0</v>
      </c>
      <c r="E620" t="s">
        <v>6</v>
      </c>
      <c r="G620" t="s">
        <v>91</v>
      </c>
      <c r="H620" t="s">
        <v>17</v>
      </c>
      <c r="I620">
        <v>3.6434531510964575E-2</v>
      </c>
      <c r="J620" t="s">
        <v>6</v>
      </c>
      <c r="L620" t="s">
        <v>92</v>
      </c>
      <c r="M620" t="s">
        <v>17</v>
      </c>
      <c r="N620">
        <v>3.6096928459258083E-2</v>
      </c>
      <c r="O620" t="s">
        <v>6</v>
      </c>
    </row>
    <row r="621" spans="2:15" x14ac:dyDescent="0.45">
      <c r="B621" t="s">
        <v>90</v>
      </c>
      <c r="C621" t="s">
        <v>18</v>
      </c>
      <c r="D621">
        <v>0</v>
      </c>
      <c r="E621" t="s">
        <v>6</v>
      </c>
      <c r="G621" t="s">
        <v>91</v>
      </c>
      <c r="H621" t="s">
        <v>18</v>
      </c>
      <c r="I621">
        <v>5.023092859546037E-2</v>
      </c>
      <c r="J621" t="s">
        <v>6</v>
      </c>
      <c r="L621" t="s">
        <v>92</v>
      </c>
      <c r="M621" t="s">
        <v>18</v>
      </c>
      <c r="N621">
        <v>5.7913599777428444E-2</v>
      </c>
      <c r="O621" t="s">
        <v>6</v>
      </c>
    </row>
    <row r="622" spans="2:15" x14ac:dyDescent="0.45">
      <c r="B622" t="s">
        <v>90</v>
      </c>
      <c r="C622" t="s">
        <v>19</v>
      </c>
      <c r="D622">
        <v>1.2162106798170149E-4</v>
      </c>
      <c r="E622" t="s">
        <v>6</v>
      </c>
      <c r="G622" t="s">
        <v>91</v>
      </c>
      <c r="H622" t="s">
        <v>19</v>
      </c>
      <c r="I622">
        <v>2.0057242378797344E-2</v>
      </c>
      <c r="J622" t="s">
        <v>6</v>
      </c>
      <c r="L622" t="s">
        <v>92</v>
      </c>
      <c r="M622" t="s">
        <v>19</v>
      </c>
      <c r="N622">
        <v>2.3300655705531005E-2</v>
      </c>
      <c r="O622" t="s">
        <v>6</v>
      </c>
    </row>
    <row r="623" spans="2:15" x14ac:dyDescent="0.45">
      <c r="B623" t="s">
        <v>90</v>
      </c>
      <c r="C623" t="s">
        <v>20</v>
      </c>
      <c r="D623">
        <v>8.4941864856303353E-3</v>
      </c>
      <c r="E623" t="s">
        <v>6</v>
      </c>
      <c r="G623" t="s">
        <v>91</v>
      </c>
      <c r="H623" t="s">
        <v>20</v>
      </c>
      <c r="I623">
        <v>1.9549170706594142E-2</v>
      </c>
      <c r="J623" t="s">
        <v>6</v>
      </c>
      <c r="L623" t="s">
        <v>92</v>
      </c>
      <c r="M623" t="s">
        <v>20</v>
      </c>
      <c r="N623">
        <v>2.3285115632445404E-2</v>
      </c>
      <c r="O623" t="s">
        <v>6</v>
      </c>
    </row>
    <row r="624" spans="2:15" x14ac:dyDescent="0.45">
      <c r="B624" t="s">
        <v>90</v>
      </c>
      <c r="C624" t="s">
        <v>21</v>
      </c>
      <c r="D624">
        <v>4.3608825146096493E-2</v>
      </c>
      <c r="E624" t="s">
        <v>6</v>
      </c>
      <c r="G624" t="s">
        <v>91</v>
      </c>
      <c r="H624" t="s">
        <v>21</v>
      </c>
      <c r="I624">
        <v>2.1591050792583964E-2</v>
      </c>
      <c r="J624" t="s">
        <v>6</v>
      </c>
      <c r="L624" t="s">
        <v>92</v>
      </c>
      <c r="M624" t="s">
        <v>21</v>
      </c>
      <c r="N624">
        <v>2.3115056295953319E-2</v>
      </c>
      <c r="O624" t="s">
        <v>6</v>
      </c>
    </row>
    <row r="625" spans="2:15" x14ac:dyDescent="0.45">
      <c r="B625" t="s">
        <v>90</v>
      </c>
      <c r="C625" t="s">
        <v>22</v>
      </c>
      <c r="D625">
        <v>7.0403484179108272E-2</v>
      </c>
      <c r="E625" t="s">
        <v>6</v>
      </c>
      <c r="G625" t="s">
        <v>91</v>
      </c>
      <c r="H625" t="s">
        <v>22</v>
      </c>
      <c r="I625">
        <v>2.513946728469817E-2</v>
      </c>
      <c r="J625" t="s">
        <v>6</v>
      </c>
      <c r="L625" t="s">
        <v>92</v>
      </c>
      <c r="M625" t="s">
        <v>22</v>
      </c>
      <c r="N625">
        <v>2.3204300411183022E-2</v>
      </c>
      <c r="O625" t="s">
        <v>6</v>
      </c>
    </row>
    <row r="626" spans="2:15" x14ac:dyDescent="0.45">
      <c r="B626" t="s">
        <v>90</v>
      </c>
      <c r="C626" t="s">
        <v>23</v>
      </c>
      <c r="D626">
        <v>7.4024919868011602E-2</v>
      </c>
      <c r="E626" t="s">
        <v>6</v>
      </c>
      <c r="G626" t="s">
        <v>91</v>
      </c>
      <c r="H626" t="s">
        <v>23</v>
      </c>
      <c r="I626">
        <v>3.0420330451481636E-2</v>
      </c>
      <c r="J626" t="s">
        <v>6</v>
      </c>
      <c r="L626" t="s">
        <v>92</v>
      </c>
      <c r="M626" t="s">
        <v>23</v>
      </c>
      <c r="N626">
        <v>2.3246998787365906E-2</v>
      </c>
      <c r="O626" t="s">
        <v>6</v>
      </c>
    </row>
    <row r="627" spans="2:15" x14ac:dyDescent="0.45">
      <c r="B627" t="s">
        <v>90</v>
      </c>
      <c r="C627" t="s">
        <v>24</v>
      </c>
      <c r="D627">
        <v>5.5935937515154029E-2</v>
      </c>
      <c r="E627" t="s">
        <v>6</v>
      </c>
      <c r="G627" t="s">
        <v>91</v>
      </c>
      <c r="H627" t="s">
        <v>24</v>
      </c>
      <c r="I627">
        <v>3.2948882117512228E-2</v>
      </c>
      <c r="J627" t="s">
        <v>6</v>
      </c>
      <c r="L627" t="s">
        <v>92</v>
      </c>
      <c r="M627" t="s">
        <v>24</v>
      </c>
      <c r="N627">
        <v>2.3769003392501518E-2</v>
      </c>
      <c r="O627" t="s">
        <v>6</v>
      </c>
    </row>
    <row r="628" spans="2:15" x14ac:dyDescent="0.45">
      <c r="B628" t="s">
        <v>90</v>
      </c>
      <c r="C628" t="s">
        <v>25</v>
      </c>
      <c r="D628">
        <v>2.6740485506398088E-2</v>
      </c>
      <c r="E628" t="s">
        <v>6</v>
      </c>
      <c r="G628" t="s">
        <v>91</v>
      </c>
      <c r="H628" t="s">
        <v>25</v>
      </c>
      <c r="I628">
        <v>3.1271784895506013E-2</v>
      </c>
      <c r="J628" t="s">
        <v>6</v>
      </c>
      <c r="L628" t="s">
        <v>92</v>
      </c>
      <c r="M628" t="s">
        <v>25</v>
      </c>
      <c r="N628">
        <v>2.3975569668450526E-2</v>
      </c>
      <c r="O628" t="s">
        <v>6</v>
      </c>
    </row>
    <row r="629" spans="2:15" x14ac:dyDescent="0.45">
      <c r="B629" t="s">
        <v>90</v>
      </c>
      <c r="C629" t="s">
        <v>26</v>
      </c>
      <c r="D629">
        <v>2.7889555914082952E-3</v>
      </c>
      <c r="E629" t="s">
        <v>6</v>
      </c>
      <c r="G629" t="s">
        <v>91</v>
      </c>
      <c r="H629" t="s">
        <v>26</v>
      </c>
      <c r="I629">
        <v>2.8017608164933063E-2</v>
      </c>
      <c r="J629" t="s">
        <v>6</v>
      </c>
      <c r="L629" t="s">
        <v>92</v>
      </c>
      <c r="M629" t="s">
        <v>26</v>
      </c>
      <c r="N629">
        <v>2.3813596938928837E-2</v>
      </c>
      <c r="O629" t="s">
        <v>6</v>
      </c>
    </row>
    <row r="630" spans="2:15" x14ac:dyDescent="0.45">
      <c r="B630" t="s">
        <v>90</v>
      </c>
      <c r="C630" t="s">
        <v>27</v>
      </c>
      <c r="D630">
        <v>0</v>
      </c>
      <c r="E630" t="s">
        <v>6</v>
      </c>
      <c r="G630" t="s">
        <v>91</v>
      </c>
      <c r="H630" t="s">
        <v>27</v>
      </c>
      <c r="I630">
        <v>3.4737413564315825E-2</v>
      </c>
      <c r="J630" t="s">
        <v>6</v>
      </c>
      <c r="L630" t="s">
        <v>92</v>
      </c>
      <c r="M630" t="s">
        <v>27</v>
      </c>
      <c r="N630">
        <v>3.455590497174911E-2</v>
      </c>
      <c r="O630" t="s">
        <v>6</v>
      </c>
    </row>
    <row r="631" spans="2:15" x14ac:dyDescent="0.45">
      <c r="B631" t="s">
        <v>90</v>
      </c>
      <c r="C631" t="s">
        <v>28</v>
      </c>
      <c r="D631">
        <v>0</v>
      </c>
      <c r="E631" t="s">
        <v>6</v>
      </c>
      <c r="G631" t="s">
        <v>91</v>
      </c>
      <c r="H631" t="s">
        <v>28</v>
      </c>
      <c r="I631">
        <v>3.1006397005504244E-2</v>
      </c>
      <c r="J631" t="s">
        <v>6</v>
      </c>
      <c r="L631" t="s">
        <v>92</v>
      </c>
      <c r="M631" t="s">
        <v>28</v>
      </c>
      <c r="N631">
        <v>4.088734601916974E-2</v>
      </c>
      <c r="O631" t="s">
        <v>6</v>
      </c>
    </row>
    <row r="632" spans="2:15" x14ac:dyDescent="0.45">
      <c r="B632" t="s">
        <v>90</v>
      </c>
      <c r="C632" t="s">
        <v>29</v>
      </c>
      <c r="D632">
        <v>4.9856791849808998E-4</v>
      </c>
      <c r="E632" t="s">
        <v>6</v>
      </c>
      <c r="G632" t="s">
        <v>91</v>
      </c>
      <c r="H632" t="s">
        <v>29</v>
      </c>
      <c r="I632">
        <v>9.7936634840603953E-3</v>
      </c>
      <c r="J632" t="s">
        <v>6</v>
      </c>
      <c r="L632" t="s">
        <v>92</v>
      </c>
      <c r="M632" t="s">
        <v>29</v>
      </c>
      <c r="N632">
        <v>1.5729808915858453E-2</v>
      </c>
      <c r="O632" t="s">
        <v>6</v>
      </c>
    </row>
    <row r="633" spans="2:15" x14ac:dyDescent="0.45">
      <c r="B633" t="s">
        <v>90</v>
      </c>
      <c r="C633" t="s">
        <v>30</v>
      </c>
      <c r="D633">
        <v>1.5101264167761723E-2</v>
      </c>
      <c r="E633" t="s">
        <v>6</v>
      </c>
      <c r="G633" t="s">
        <v>91</v>
      </c>
      <c r="H633" t="s">
        <v>30</v>
      </c>
      <c r="I633">
        <v>8.2215079464853791E-3</v>
      </c>
      <c r="J633" t="s">
        <v>6</v>
      </c>
      <c r="L633" t="s">
        <v>92</v>
      </c>
      <c r="M633" t="s">
        <v>30</v>
      </c>
      <c r="N633">
        <v>1.4811947273077433E-2</v>
      </c>
      <c r="O633" t="s">
        <v>6</v>
      </c>
    </row>
    <row r="634" spans="2:15" x14ac:dyDescent="0.45">
      <c r="B634" t="s">
        <v>90</v>
      </c>
      <c r="C634" t="s">
        <v>31</v>
      </c>
      <c r="D634">
        <v>5.6643583386504007E-2</v>
      </c>
      <c r="E634" t="s">
        <v>6</v>
      </c>
      <c r="G634" t="s">
        <v>91</v>
      </c>
      <c r="H634" t="s">
        <v>31</v>
      </c>
      <c r="I634">
        <v>1.0914846094032413E-2</v>
      </c>
      <c r="J634" t="s">
        <v>6</v>
      </c>
      <c r="L634" t="s">
        <v>92</v>
      </c>
      <c r="M634" t="s">
        <v>31</v>
      </c>
      <c r="N634">
        <v>1.3427011545594414E-2</v>
      </c>
      <c r="O634" t="s">
        <v>6</v>
      </c>
    </row>
    <row r="635" spans="2:15" x14ac:dyDescent="0.45">
      <c r="B635" t="s">
        <v>90</v>
      </c>
      <c r="C635" t="s">
        <v>32</v>
      </c>
      <c r="D635">
        <v>8.7891209028924652E-2</v>
      </c>
      <c r="E635" t="s">
        <v>6</v>
      </c>
      <c r="G635" t="s">
        <v>91</v>
      </c>
      <c r="H635" t="s">
        <v>32</v>
      </c>
      <c r="I635">
        <v>1.3236990322258094E-2</v>
      </c>
      <c r="J635" t="s">
        <v>6</v>
      </c>
      <c r="L635" t="s">
        <v>92</v>
      </c>
      <c r="M635" t="s">
        <v>32</v>
      </c>
      <c r="N635">
        <v>1.2839520513459468E-2</v>
      </c>
      <c r="O635" t="s">
        <v>6</v>
      </c>
    </row>
    <row r="636" spans="2:15" x14ac:dyDescent="0.45">
      <c r="B636" t="s">
        <v>90</v>
      </c>
      <c r="C636" t="s">
        <v>33</v>
      </c>
      <c r="D636">
        <v>9.2915528273267836E-2</v>
      </c>
      <c r="E636" t="s">
        <v>6</v>
      </c>
      <c r="G636" t="s">
        <v>91</v>
      </c>
      <c r="H636" t="s">
        <v>33</v>
      </c>
      <c r="I636">
        <v>1.7387371819112336E-2</v>
      </c>
      <c r="J636" t="s">
        <v>6</v>
      </c>
      <c r="L636" t="s">
        <v>92</v>
      </c>
      <c r="M636" t="s">
        <v>33</v>
      </c>
      <c r="N636">
        <v>1.3451443564321465E-2</v>
      </c>
      <c r="O636" t="s">
        <v>6</v>
      </c>
    </row>
    <row r="637" spans="2:15" x14ac:dyDescent="0.45">
      <c r="B637" t="s">
        <v>90</v>
      </c>
      <c r="C637" t="s">
        <v>34</v>
      </c>
      <c r="D637">
        <v>7.5537114027952032E-2</v>
      </c>
      <c r="E637" t="s">
        <v>6</v>
      </c>
      <c r="G637" t="s">
        <v>91</v>
      </c>
      <c r="H637" t="s">
        <v>34</v>
      </c>
      <c r="I637">
        <v>2.0294660490266795E-2</v>
      </c>
      <c r="J637" t="s">
        <v>6</v>
      </c>
      <c r="L637" t="s">
        <v>92</v>
      </c>
      <c r="M637" t="s">
        <v>34</v>
      </c>
      <c r="N637">
        <v>1.4641080130381297E-2</v>
      </c>
      <c r="O637" t="s">
        <v>6</v>
      </c>
    </row>
    <row r="638" spans="2:15" x14ac:dyDescent="0.45">
      <c r="B638" t="s">
        <v>90</v>
      </c>
      <c r="C638" t="s">
        <v>35</v>
      </c>
      <c r="D638">
        <v>4.1706473638511744E-2</v>
      </c>
      <c r="E638" t="s">
        <v>6</v>
      </c>
      <c r="G638" t="s">
        <v>91</v>
      </c>
      <c r="H638" t="s">
        <v>35</v>
      </c>
      <c r="I638">
        <v>2.1445429857621857E-2</v>
      </c>
      <c r="J638" t="s">
        <v>6</v>
      </c>
      <c r="L638" t="s">
        <v>92</v>
      </c>
      <c r="M638" t="s">
        <v>35</v>
      </c>
      <c r="N638">
        <v>1.6184502559826595E-2</v>
      </c>
      <c r="O638" t="s">
        <v>6</v>
      </c>
    </row>
    <row r="639" spans="2:15" x14ac:dyDescent="0.45">
      <c r="B639" t="s">
        <v>90</v>
      </c>
      <c r="C639" t="s">
        <v>36</v>
      </c>
      <c r="D639">
        <v>7.7611401104056305E-3</v>
      </c>
      <c r="E639" t="s">
        <v>6</v>
      </c>
      <c r="G639" t="s">
        <v>91</v>
      </c>
      <c r="H639" t="s">
        <v>36</v>
      </c>
      <c r="I639">
        <v>1.9285281231189506E-2</v>
      </c>
      <c r="J639" t="s">
        <v>6</v>
      </c>
      <c r="L639" t="s">
        <v>92</v>
      </c>
      <c r="M639" t="s">
        <v>36</v>
      </c>
      <c r="N639">
        <v>1.7318260626506661E-2</v>
      </c>
      <c r="O639" t="s">
        <v>6</v>
      </c>
    </row>
    <row r="640" spans="2:15" x14ac:dyDescent="0.45">
      <c r="B640" t="s">
        <v>90</v>
      </c>
      <c r="C640" t="s">
        <v>37</v>
      </c>
      <c r="D640">
        <v>6.0638347365327016E-6</v>
      </c>
      <c r="E640" t="s">
        <v>6</v>
      </c>
      <c r="G640" t="s">
        <v>91</v>
      </c>
      <c r="H640" t="s">
        <v>37</v>
      </c>
      <c r="I640">
        <v>2.285573035832026E-2</v>
      </c>
      <c r="J640" t="s">
        <v>6</v>
      </c>
      <c r="L640" t="s">
        <v>92</v>
      </c>
      <c r="M640" t="s">
        <v>37</v>
      </c>
      <c r="N640">
        <v>2.6017578626940728E-2</v>
      </c>
      <c r="O640" t="s">
        <v>6</v>
      </c>
    </row>
    <row r="641" spans="2:15" x14ac:dyDescent="0.45">
      <c r="B641" t="s">
        <v>90</v>
      </c>
      <c r="C641" t="s">
        <v>38</v>
      </c>
      <c r="D641">
        <v>0</v>
      </c>
      <c r="E641" t="s">
        <v>6</v>
      </c>
      <c r="G641" t="s">
        <v>91</v>
      </c>
      <c r="H641" t="s">
        <v>38</v>
      </c>
      <c r="I641">
        <v>4.811126317363703E-2</v>
      </c>
      <c r="J641" t="s">
        <v>6</v>
      </c>
      <c r="L641" t="s">
        <v>92</v>
      </c>
      <c r="M641" t="s">
        <v>38</v>
      </c>
      <c r="N641">
        <v>5.1690863905938772E-2</v>
      </c>
      <c r="O641" t="s">
        <v>6</v>
      </c>
    </row>
    <row r="642" spans="2:15" x14ac:dyDescent="0.45">
      <c r="B642" t="s">
        <v>90</v>
      </c>
      <c r="C642" t="s">
        <v>39</v>
      </c>
      <c r="D642">
        <v>0</v>
      </c>
      <c r="E642" t="s">
        <v>6</v>
      </c>
      <c r="G642" t="s">
        <v>91</v>
      </c>
      <c r="H642" t="s">
        <v>39</v>
      </c>
      <c r="I642">
        <v>1.9167633015886743E-2</v>
      </c>
      <c r="J642" t="s">
        <v>6</v>
      </c>
      <c r="L642" t="s">
        <v>92</v>
      </c>
      <c r="M642" t="s">
        <v>39</v>
      </c>
      <c r="N642">
        <v>2.0701441446546093E-2</v>
      </c>
      <c r="O642" t="s">
        <v>6</v>
      </c>
    </row>
    <row r="643" spans="2:15" x14ac:dyDescent="0.45">
      <c r="B643" t="s">
        <v>90</v>
      </c>
      <c r="C643" t="s">
        <v>40</v>
      </c>
      <c r="D643">
        <v>2.2431422381710749E-3</v>
      </c>
      <c r="E643" t="s">
        <v>6</v>
      </c>
      <c r="G643" t="s">
        <v>91</v>
      </c>
      <c r="H643" t="s">
        <v>40</v>
      </c>
      <c r="I643">
        <v>1.8667569934702297E-2</v>
      </c>
      <c r="J643" t="s">
        <v>6</v>
      </c>
      <c r="L643" t="s">
        <v>92</v>
      </c>
      <c r="M643" t="s">
        <v>40</v>
      </c>
      <c r="N643">
        <v>2.0745355349774518E-2</v>
      </c>
      <c r="O643" t="s">
        <v>6</v>
      </c>
    </row>
    <row r="644" spans="2:15" x14ac:dyDescent="0.45">
      <c r="B644" t="s">
        <v>90</v>
      </c>
      <c r="C644" t="s">
        <v>41</v>
      </c>
      <c r="D644">
        <v>2.5579479492448341E-2</v>
      </c>
      <c r="E644" t="s">
        <v>6</v>
      </c>
      <c r="G644" t="s">
        <v>91</v>
      </c>
      <c r="H644" t="s">
        <v>41</v>
      </c>
      <c r="I644">
        <v>1.7559674294542665E-2</v>
      </c>
      <c r="J644" t="s">
        <v>6</v>
      </c>
      <c r="L644" t="s">
        <v>92</v>
      </c>
      <c r="M644" t="s">
        <v>41</v>
      </c>
      <c r="N644">
        <v>2.0740626818632112E-2</v>
      </c>
      <c r="O644" t="s">
        <v>6</v>
      </c>
    </row>
    <row r="645" spans="2:15" x14ac:dyDescent="0.45">
      <c r="B645" t="s">
        <v>90</v>
      </c>
      <c r="C645" t="s">
        <v>42</v>
      </c>
      <c r="D645">
        <v>5.3078267131665628E-2</v>
      </c>
      <c r="E645" t="s">
        <v>6</v>
      </c>
      <c r="G645" t="s">
        <v>91</v>
      </c>
      <c r="H645" t="s">
        <v>42</v>
      </c>
      <c r="I645">
        <v>1.8105900893115048E-2</v>
      </c>
      <c r="J645" t="s">
        <v>6</v>
      </c>
      <c r="L645" t="s">
        <v>92</v>
      </c>
      <c r="M645" t="s">
        <v>42</v>
      </c>
      <c r="N645">
        <v>2.024799887436202E-2</v>
      </c>
      <c r="O645" t="s">
        <v>6</v>
      </c>
    </row>
    <row r="646" spans="2:15" x14ac:dyDescent="0.45">
      <c r="B646" t="s">
        <v>90</v>
      </c>
      <c r="C646" t="s">
        <v>43</v>
      </c>
      <c r="D646">
        <v>5.9086707161892502E-2</v>
      </c>
      <c r="E646" t="s">
        <v>6</v>
      </c>
      <c r="G646" t="s">
        <v>91</v>
      </c>
      <c r="H646" t="s">
        <v>43</v>
      </c>
      <c r="I646">
        <v>2.1414699351853833E-2</v>
      </c>
      <c r="J646" t="s">
        <v>6</v>
      </c>
      <c r="L646" t="s">
        <v>92</v>
      </c>
      <c r="M646" t="s">
        <v>43</v>
      </c>
      <c r="N646">
        <v>2.0099238352106242E-2</v>
      </c>
      <c r="O646" t="s">
        <v>6</v>
      </c>
    </row>
    <row r="647" spans="2:15" x14ac:dyDescent="0.45">
      <c r="B647" t="s">
        <v>90</v>
      </c>
      <c r="C647" t="s">
        <v>44</v>
      </c>
      <c r="D647">
        <v>4.214618933838498E-2</v>
      </c>
      <c r="E647" t="s">
        <v>6</v>
      </c>
      <c r="G647" t="s">
        <v>91</v>
      </c>
      <c r="H647" t="s">
        <v>44</v>
      </c>
      <c r="I647">
        <v>2.3018073020294669E-2</v>
      </c>
      <c r="J647" t="s">
        <v>6</v>
      </c>
      <c r="L647" t="s">
        <v>92</v>
      </c>
      <c r="M647" t="s">
        <v>44</v>
      </c>
      <c r="N647">
        <v>2.0386805254091499E-2</v>
      </c>
      <c r="O647" t="s">
        <v>6</v>
      </c>
    </row>
    <row r="648" spans="2:15" x14ac:dyDescent="0.45">
      <c r="B648" t="s">
        <v>90</v>
      </c>
      <c r="C648" t="s">
        <v>45</v>
      </c>
      <c r="D648">
        <v>1.2333540906546848E-2</v>
      </c>
      <c r="E648" t="s">
        <v>6</v>
      </c>
      <c r="G648" t="s">
        <v>91</v>
      </c>
      <c r="H648" t="s">
        <v>45</v>
      </c>
      <c r="I648">
        <v>2.3491540302069239E-2</v>
      </c>
      <c r="J648" t="s">
        <v>6</v>
      </c>
      <c r="L648" t="s">
        <v>92</v>
      </c>
      <c r="M648" t="s">
        <v>45</v>
      </c>
      <c r="N648">
        <v>2.0518756859603072E-2</v>
      </c>
      <c r="O648" t="s">
        <v>6</v>
      </c>
    </row>
    <row r="649" spans="2:15" x14ac:dyDescent="0.45">
      <c r="B649" t="s">
        <v>90</v>
      </c>
      <c r="C649" t="s">
        <v>46</v>
      </c>
      <c r="D649">
        <v>2.3353341453915877E-4</v>
      </c>
      <c r="E649" t="s">
        <v>6</v>
      </c>
      <c r="G649" t="s">
        <v>91</v>
      </c>
      <c r="H649" t="s">
        <v>46</v>
      </c>
      <c r="I649">
        <v>2.2334097371424461E-2</v>
      </c>
      <c r="J649" t="s">
        <v>6</v>
      </c>
      <c r="L649" t="s">
        <v>92</v>
      </c>
      <c r="M649" t="s">
        <v>46</v>
      </c>
      <c r="N649">
        <v>2.0311249672750442E-2</v>
      </c>
      <c r="O649" t="s">
        <v>6</v>
      </c>
    </row>
    <row r="650" spans="2:15" x14ac:dyDescent="0.45">
      <c r="B650" t="s">
        <v>90</v>
      </c>
      <c r="C650" t="s">
        <v>47</v>
      </c>
      <c r="D650">
        <v>0</v>
      </c>
      <c r="E650" t="s">
        <v>6</v>
      </c>
      <c r="G650" t="s">
        <v>91</v>
      </c>
      <c r="H650" t="s">
        <v>47</v>
      </c>
      <c r="I650">
        <v>3.0640875317678808E-2</v>
      </c>
      <c r="J650" t="s">
        <v>6</v>
      </c>
      <c r="L650" t="s">
        <v>92</v>
      </c>
      <c r="M650" t="s">
        <v>47</v>
      </c>
      <c r="N650">
        <v>3.027617426280077E-2</v>
      </c>
      <c r="O650" t="s">
        <v>6</v>
      </c>
    </row>
    <row r="651" spans="2:15" x14ac:dyDescent="0.45">
      <c r="B651" t="s">
        <v>93</v>
      </c>
      <c r="C651" t="s">
        <v>5</v>
      </c>
      <c r="D651">
        <v>0</v>
      </c>
      <c r="E651" t="s">
        <v>6</v>
      </c>
      <c r="G651" t="s">
        <v>94</v>
      </c>
      <c r="H651" t="s">
        <v>5</v>
      </c>
      <c r="I651">
        <v>5.8164416279611927E-2</v>
      </c>
      <c r="J651" t="s">
        <v>6</v>
      </c>
      <c r="L651" t="s">
        <v>95</v>
      </c>
      <c r="M651" t="s">
        <v>5</v>
      </c>
      <c r="N651">
        <v>5.9468753993830697E-2</v>
      </c>
      <c r="O651" t="s">
        <v>6</v>
      </c>
    </row>
    <row r="652" spans="2:15" x14ac:dyDescent="0.45">
      <c r="B652" t="s">
        <v>93</v>
      </c>
      <c r="C652" t="s">
        <v>9</v>
      </c>
      <c r="D652">
        <v>0</v>
      </c>
      <c r="E652" t="s">
        <v>6</v>
      </c>
      <c r="G652" t="s">
        <v>94</v>
      </c>
      <c r="H652" t="s">
        <v>9</v>
      </c>
      <c r="I652">
        <v>2.2469383472950032E-2</v>
      </c>
      <c r="J652" t="s">
        <v>6</v>
      </c>
      <c r="L652" t="s">
        <v>95</v>
      </c>
      <c r="M652" t="s">
        <v>9</v>
      </c>
      <c r="N652">
        <v>2.4141402542405314E-2</v>
      </c>
      <c r="O652" t="s">
        <v>6</v>
      </c>
    </row>
    <row r="653" spans="2:15" x14ac:dyDescent="0.45">
      <c r="B653" t="s">
        <v>93</v>
      </c>
      <c r="C653" t="s">
        <v>10</v>
      </c>
      <c r="D653">
        <v>0</v>
      </c>
      <c r="E653" t="s">
        <v>6</v>
      </c>
      <c r="G653" t="s">
        <v>94</v>
      </c>
      <c r="H653" t="s">
        <v>10</v>
      </c>
      <c r="I653">
        <v>2.2395305877348892E-2</v>
      </c>
      <c r="J653" t="s">
        <v>6</v>
      </c>
      <c r="L653" t="s">
        <v>95</v>
      </c>
      <c r="M653" t="s">
        <v>10</v>
      </c>
      <c r="N653">
        <v>2.409502158378643E-2</v>
      </c>
      <c r="O653" t="s">
        <v>6</v>
      </c>
    </row>
    <row r="654" spans="2:15" x14ac:dyDescent="0.45">
      <c r="B654" t="s">
        <v>93</v>
      </c>
      <c r="C654" t="s">
        <v>11</v>
      </c>
      <c r="D654">
        <v>1.0987627414962273E-2</v>
      </c>
      <c r="E654" t="s">
        <v>6</v>
      </c>
      <c r="G654" t="s">
        <v>94</v>
      </c>
      <c r="H654" t="s">
        <v>11</v>
      </c>
      <c r="I654">
        <v>2.2191216439077493E-2</v>
      </c>
      <c r="J654" t="s">
        <v>6</v>
      </c>
      <c r="L654" t="s">
        <v>95</v>
      </c>
      <c r="M654" t="s">
        <v>11</v>
      </c>
      <c r="N654">
        <v>2.3396053909640262E-2</v>
      </c>
      <c r="O654" t="s">
        <v>6</v>
      </c>
    </row>
    <row r="655" spans="2:15" x14ac:dyDescent="0.45">
      <c r="B655" t="s">
        <v>93</v>
      </c>
      <c r="C655" t="s">
        <v>12</v>
      </c>
      <c r="D655">
        <v>3.8179131682745948E-2</v>
      </c>
      <c r="E655" t="s">
        <v>6</v>
      </c>
      <c r="G655" t="s">
        <v>94</v>
      </c>
      <c r="H655" t="s">
        <v>12</v>
      </c>
      <c r="I655">
        <v>2.2055142118368027E-2</v>
      </c>
      <c r="J655" t="s">
        <v>6</v>
      </c>
      <c r="L655" t="s">
        <v>95</v>
      </c>
      <c r="M655" t="s">
        <v>12</v>
      </c>
      <c r="N655">
        <v>2.2421001232399294E-2</v>
      </c>
      <c r="O655" t="s">
        <v>6</v>
      </c>
    </row>
    <row r="656" spans="2:15" x14ac:dyDescent="0.45">
      <c r="B656" t="s">
        <v>93</v>
      </c>
      <c r="C656" t="s">
        <v>13</v>
      </c>
      <c r="D656">
        <v>4.7622401713167894E-2</v>
      </c>
      <c r="E656" t="s">
        <v>6</v>
      </c>
      <c r="G656" t="s">
        <v>94</v>
      </c>
      <c r="H656" t="s">
        <v>13</v>
      </c>
      <c r="I656">
        <v>2.4394627060992314E-2</v>
      </c>
      <c r="J656" t="s">
        <v>6</v>
      </c>
      <c r="L656" t="s">
        <v>95</v>
      </c>
      <c r="M656" t="s">
        <v>13</v>
      </c>
      <c r="N656">
        <v>2.2596206679954382E-2</v>
      </c>
      <c r="O656" t="s">
        <v>6</v>
      </c>
    </row>
    <row r="657" spans="2:15" x14ac:dyDescent="0.45">
      <c r="B657" t="s">
        <v>93</v>
      </c>
      <c r="C657" t="s">
        <v>14</v>
      </c>
      <c r="D657">
        <v>3.4887835672716666E-2</v>
      </c>
      <c r="E657" t="s">
        <v>6</v>
      </c>
      <c r="G657" t="s">
        <v>94</v>
      </c>
      <c r="H657" t="s">
        <v>14</v>
      </c>
      <c r="I657">
        <v>2.5101252468823439E-2</v>
      </c>
      <c r="J657" t="s">
        <v>6</v>
      </c>
      <c r="L657" t="s">
        <v>95</v>
      </c>
      <c r="M657" t="s">
        <v>14</v>
      </c>
      <c r="N657">
        <v>2.3253327126004565E-2</v>
      </c>
      <c r="O657" t="s">
        <v>6</v>
      </c>
    </row>
    <row r="658" spans="2:15" x14ac:dyDescent="0.45">
      <c r="B658" t="s">
        <v>93</v>
      </c>
      <c r="C658" t="s">
        <v>15</v>
      </c>
      <c r="D658">
        <v>8.8322472907607537E-3</v>
      </c>
      <c r="E658" t="s">
        <v>6</v>
      </c>
      <c r="G658" t="s">
        <v>94</v>
      </c>
      <c r="H658" t="s">
        <v>15</v>
      </c>
      <c r="I658">
        <v>2.4968555453669963E-2</v>
      </c>
      <c r="J658" t="s">
        <v>6</v>
      </c>
      <c r="L658" t="s">
        <v>95</v>
      </c>
      <c r="M658" t="s">
        <v>15</v>
      </c>
      <c r="N658">
        <v>2.4222055636413133E-2</v>
      </c>
      <c r="O658" t="s">
        <v>6</v>
      </c>
    </row>
    <row r="659" spans="2:15" x14ac:dyDescent="0.45">
      <c r="B659" t="s">
        <v>93</v>
      </c>
      <c r="C659" t="s">
        <v>16</v>
      </c>
      <c r="D659">
        <v>0</v>
      </c>
      <c r="E659" t="s">
        <v>6</v>
      </c>
      <c r="G659" t="s">
        <v>94</v>
      </c>
      <c r="H659" t="s">
        <v>16</v>
      </c>
      <c r="I659">
        <v>2.4598549824602169E-2</v>
      </c>
      <c r="J659" t="s">
        <v>6</v>
      </c>
      <c r="L659" t="s">
        <v>95</v>
      </c>
      <c r="M659" t="s">
        <v>16</v>
      </c>
      <c r="N659">
        <v>2.4743137482710339E-2</v>
      </c>
      <c r="O659" t="s">
        <v>6</v>
      </c>
    </row>
    <row r="660" spans="2:15" x14ac:dyDescent="0.45">
      <c r="B660" t="s">
        <v>93</v>
      </c>
      <c r="C660" t="s">
        <v>17</v>
      </c>
      <c r="D660">
        <v>0</v>
      </c>
      <c r="E660" t="s">
        <v>6</v>
      </c>
      <c r="G660" t="s">
        <v>94</v>
      </c>
      <c r="H660" t="s">
        <v>17</v>
      </c>
      <c r="I660">
        <v>3.607500248131229E-2</v>
      </c>
      <c r="J660" t="s">
        <v>6</v>
      </c>
      <c r="L660" t="s">
        <v>95</v>
      </c>
      <c r="M660" t="s">
        <v>17</v>
      </c>
      <c r="N660">
        <v>3.6303999507133984E-2</v>
      </c>
      <c r="O660" t="s">
        <v>6</v>
      </c>
    </row>
    <row r="661" spans="2:15" x14ac:dyDescent="0.45">
      <c r="B661" t="s">
        <v>93</v>
      </c>
      <c r="C661" t="s">
        <v>18</v>
      </c>
      <c r="D661">
        <v>0</v>
      </c>
      <c r="E661" t="s">
        <v>6</v>
      </c>
      <c r="G661" t="s">
        <v>94</v>
      </c>
      <c r="H661" t="s">
        <v>18</v>
      </c>
      <c r="I661">
        <v>4.8682070949284791E-2</v>
      </c>
      <c r="J661" t="s">
        <v>6</v>
      </c>
      <c r="L661" t="s">
        <v>95</v>
      </c>
      <c r="M661" t="s">
        <v>18</v>
      </c>
      <c r="N661">
        <v>5.8192813492167546E-2</v>
      </c>
      <c r="O661" t="s">
        <v>6</v>
      </c>
    </row>
    <row r="662" spans="2:15" x14ac:dyDescent="0.45">
      <c r="B662" t="s">
        <v>93</v>
      </c>
      <c r="C662" t="s">
        <v>19</v>
      </c>
      <c r="D662">
        <v>7.1861735620821183E-5</v>
      </c>
      <c r="E662" t="s">
        <v>6</v>
      </c>
      <c r="G662" t="s">
        <v>94</v>
      </c>
      <c r="H662" t="s">
        <v>19</v>
      </c>
      <c r="I662">
        <v>2.0135513577600062E-2</v>
      </c>
      <c r="J662" t="s">
        <v>6</v>
      </c>
      <c r="L662" t="s">
        <v>95</v>
      </c>
      <c r="M662" t="s">
        <v>19</v>
      </c>
      <c r="N662">
        <v>2.3356524215335548E-2</v>
      </c>
      <c r="O662" t="s">
        <v>6</v>
      </c>
    </row>
    <row r="663" spans="2:15" x14ac:dyDescent="0.45">
      <c r="B663" t="s">
        <v>93</v>
      </c>
      <c r="C663" t="s">
        <v>20</v>
      </c>
      <c r="D663">
        <v>7.4408089060421234E-3</v>
      </c>
      <c r="E663" t="s">
        <v>6</v>
      </c>
      <c r="G663" t="s">
        <v>94</v>
      </c>
      <c r="H663" t="s">
        <v>20</v>
      </c>
      <c r="I663">
        <v>2.048473639588386E-2</v>
      </c>
      <c r="J663" t="s">
        <v>6</v>
      </c>
      <c r="L663" t="s">
        <v>95</v>
      </c>
      <c r="M663" t="s">
        <v>20</v>
      </c>
      <c r="N663">
        <v>2.2691015472657852E-2</v>
      </c>
      <c r="O663" t="s">
        <v>6</v>
      </c>
    </row>
    <row r="664" spans="2:15" x14ac:dyDescent="0.45">
      <c r="B664" t="s">
        <v>93</v>
      </c>
      <c r="C664" t="s">
        <v>21</v>
      </c>
      <c r="D664">
        <v>4.0896574066900997E-2</v>
      </c>
      <c r="E664" t="s">
        <v>6</v>
      </c>
      <c r="G664" t="s">
        <v>94</v>
      </c>
      <c r="H664" t="s">
        <v>21</v>
      </c>
      <c r="I664">
        <v>2.170950698736689E-2</v>
      </c>
      <c r="J664" t="s">
        <v>6</v>
      </c>
      <c r="L664" t="s">
        <v>95</v>
      </c>
      <c r="M664" t="s">
        <v>21</v>
      </c>
      <c r="N664">
        <v>2.1632679926698983E-2</v>
      </c>
      <c r="O664" t="s">
        <v>6</v>
      </c>
    </row>
    <row r="665" spans="2:15" x14ac:dyDescent="0.45">
      <c r="B665" t="s">
        <v>93</v>
      </c>
      <c r="C665" t="s">
        <v>22</v>
      </c>
      <c r="D665">
        <v>6.9747706018726277E-2</v>
      </c>
      <c r="E665" t="s">
        <v>6</v>
      </c>
      <c r="G665" t="s">
        <v>94</v>
      </c>
      <c r="H665" t="s">
        <v>22</v>
      </c>
      <c r="I665">
        <v>2.1867187659842403E-2</v>
      </c>
      <c r="J665" t="s">
        <v>6</v>
      </c>
      <c r="L665" t="s">
        <v>95</v>
      </c>
      <c r="M665" t="s">
        <v>22</v>
      </c>
      <c r="N665">
        <v>2.0820555389416146E-2</v>
      </c>
      <c r="O665" t="s">
        <v>6</v>
      </c>
    </row>
    <row r="666" spans="2:15" x14ac:dyDescent="0.45">
      <c r="B666" t="s">
        <v>93</v>
      </c>
      <c r="C666" t="s">
        <v>23</v>
      </c>
      <c r="D666">
        <v>7.5153238708249026E-2</v>
      </c>
      <c r="E666" t="s">
        <v>6</v>
      </c>
      <c r="G666" t="s">
        <v>94</v>
      </c>
      <c r="H666" t="s">
        <v>23</v>
      </c>
      <c r="I666">
        <v>2.3692792124220281E-2</v>
      </c>
      <c r="J666" t="s">
        <v>6</v>
      </c>
      <c r="L666" t="s">
        <v>95</v>
      </c>
      <c r="M666" t="s">
        <v>23</v>
      </c>
      <c r="N666">
        <v>2.1178799101068447E-2</v>
      </c>
      <c r="O666" t="s">
        <v>6</v>
      </c>
    </row>
    <row r="667" spans="2:15" x14ac:dyDescent="0.45">
      <c r="B667" t="s">
        <v>93</v>
      </c>
      <c r="C667" t="s">
        <v>24</v>
      </c>
      <c r="D667">
        <v>5.9813291251600766E-2</v>
      </c>
      <c r="E667" t="s">
        <v>6</v>
      </c>
      <c r="G667" t="s">
        <v>94</v>
      </c>
      <c r="H667" t="s">
        <v>24</v>
      </c>
      <c r="I667">
        <v>2.4588386170156674E-2</v>
      </c>
      <c r="J667" t="s">
        <v>6</v>
      </c>
      <c r="L667" t="s">
        <v>95</v>
      </c>
      <c r="M667" t="s">
        <v>24</v>
      </c>
      <c r="N667">
        <v>2.2271965222418817E-2</v>
      </c>
      <c r="O667" t="s">
        <v>6</v>
      </c>
    </row>
    <row r="668" spans="2:15" x14ac:dyDescent="0.45">
      <c r="B668" t="s">
        <v>93</v>
      </c>
      <c r="C668" t="s">
        <v>25</v>
      </c>
      <c r="D668">
        <v>2.9755662608169281E-2</v>
      </c>
      <c r="E668" t="s">
        <v>6</v>
      </c>
      <c r="G668" t="s">
        <v>94</v>
      </c>
      <c r="H668" t="s">
        <v>25</v>
      </c>
      <c r="I668">
        <v>2.3479578781730317E-2</v>
      </c>
      <c r="J668" t="s">
        <v>6</v>
      </c>
      <c r="L668" t="s">
        <v>95</v>
      </c>
      <c r="M668" t="s">
        <v>25</v>
      </c>
      <c r="N668">
        <v>2.3251329034728919E-2</v>
      </c>
      <c r="O668" t="s">
        <v>6</v>
      </c>
    </row>
    <row r="669" spans="2:15" x14ac:dyDescent="0.45">
      <c r="B669" t="s">
        <v>93</v>
      </c>
      <c r="C669" t="s">
        <v>26</v>
      </c>
      <c r="D669">
        <v>3.5724902950524523E-3</v>
      </c>
      <c r="E669" t="s">
        <v>6</v>
      </c>
      <c r="G669" t="s">
        <v>94</v>
      </c>
      <c r="H669" t="s">
        <v>26</v>
      </c>
      <c r="I669">
        <v>2.2238183475739113E-2</v>
      </c>
      <c r="J669" t="s">
        <v>6</v>
      </c>
      <c r="L669" t="s">
        <v>95</v>
      </c>
      <c r="M669" t="s">
        <v>26</v>
      </c>
      <c r="N669">
        <v>2.3596171501919914E-2</v>
      </c>
      <c r="O669" t="s">
        <v>6</v>
      </c>
    </row>
    <row r="670" spans="2:15" x14ac:dyDescent="0.45">
      <c r="B670" t="s">
        <v>93</v>
      </c>
      <c r="C670" t="s">
        <v>27</v>
      </c>
      <c r="D670">
        <v>0</v>
      </c>
      <c r="E670" t="s">
        <v>6</v>
      </c>
      <c r="G670" t="s">
        <v>94</v>
      </c>
      <c r="H670" t="s">
        <v>27</v>
      </c>
      <c r="I670">
        <v>3.1261876578010848E-2</v>
      </c>
      <c r="J670" t="s">
        <v>6</v>
      </c>
      <c r="L670" t="s">
        <v>95</v>
      </c>
      <c r="M670" t="s">
        <v>27</v>
      </c>
      <c r="N670">
        <v>3.5270473029511112E-2</v>
      </c>
      <c r="O670" t="s">
        <v>6</v>
      </c>
    </row>
    <row r="671" spans="2:15" x14ac:dyDescent="0.45">
      <c r="B671" t="s">
        <v>93</v>
      </c>
      <c r="C671" t="s">
        <v>28</v>
      </c>
      <c r="D671">
        <v>0</v>
      </c>
      <c r="E671" t="s">
        <v>6</v>
      </c>
      <c r="G671" t="s">
        <v>94</v>
      </c>
      <c r="H671" t="s">
        <v>28</v>
      </c>
      <c r="I671">
        <v>3.546795998827236E-2</v>
      </c>
      <c r="J671" t="s">
        <v>6</v>
      </c>
      <c r="L671" t="s">
        <v>95</v>
      </c>
      <c r="M671" t="s">
        <v>28</v>
      </c>
      <c r="N671">
        <v>4.3198048285166074E-2</v>
      </c>
      <c r="O671" t="s">
        <v>6</v>
      </c>
    </row>
    <row r="672" spans="2:15" x14ac:dyDescent="0.45">
      <c r="B672" t="s">
        <v>93</v>
      </c>
      <c r="C672" t="s">
        <v>29</v>
      </c>
      <c r="D672">
        <v>3.2032452811808825E-4</v>
      </c>
      <c r="E672" t="s">
        <v>6</v>
      </c>
      <c r="G672" t="s">
        <v>94</v>
      </c>
      <c r="H672" t="s">
        <v>29</v>
      </c>
      <c r="I672">
        <v>1.3771872985976697E-2</v>
      </c>
      <c r="J672" t="s">
        <v>6</v>
      </c>
      <c r="L672" t="s">
        <v>95</v>
      </c>
      <c r="M672" t="s">
        <v>29</v>
      </c>
      <c r="N672">
        <v>1.6203822942062834E-2</v>
      </c>
      <c r="O672" t="s">
        <v>6</v>
      </c>
    </row>
    <row r="673" spans="2:15" x14ac:dyDescent="0.45">
      <c r="B673" t="s">
        <v>93</v>
      </c>
      <c r="C673" t="s">
        <v>30</v>
      </c>
      <c r="D673">
        <v>1.343514575515376E-2</v>
      </c>
      <c r="E673" t="s">
        <v>6</v>
      </c>
      <c r="G673" t="s">
        <v>94</v>
      </c>
      <c r="H673" t="s">
        <v>30</v>
      </c>
      <c r="I673">
        <v>1.3363330513161641E-2</v>
      </c>
      <c r="J673" t="s">
        <v>6</v>
      </c>
      <c r="L673" t="s">
        <v>95</v>
      </c>
      <c r="M673" t="s">
        <v>30</v>
      </c>
      <c r="N673">
        <v>1.5100872848314278E-2</v>
      </c>
      <c r="O673" t="s">
        <v>6</v>
      </c>
    </row>
    <row r="674" spans="2:15" x14ac:dyDescent="0.45">
      <c r="B674" t="s">
        <v>93</v>
      </c>
      <c r="C674" t="s">
        <v>31</v>
      </c>
      <c r="D674">
        <v>5.4290641444480439E-2</v>
      </c>
      <c r="E674" t="s">
        <v>6</v>
      </c>
      <c r="G674" t="s">
        <v>94</v>
      </c>
      <c r="H674" t="s">
        <v>31</v>
      </c>
      <c r="I674">
        <v>1.4473404904389676E-2</v>
      </c>
      <c r="J674" t="s">
        <v>6</v>
      </c>
      <c r="L674" t="s">
        <v>95</v>
      </c>
      <c r="M674" t="s">
        <v>31</v>
      </c>
      <c r="N674">
        <v>1.306715012461541E-2</v>
      </c>
      <c r="O674" t="s">
        <v>6</v>
      </c>
    </row>
    <row r="675" spans="2:15" x14ac:dyDescent="0.45">
      <c r="B675" t="s">
        <v>93</v>
      </c>
      <c r="C675" t="s">
        <v>32</v>
      </c>
      <c r="D675">
        <v>8.6468650138787878E-2</v>
      </c>
      <c r="E675" t="s">
        <v>6</v>
      </c>
      <c r="G675" t="s">
        <v>94</v>
      </c>
      <c r="H675" t="s">
        <v>32</v>
      </c>
      <c r="I675">
        <v>1.4624545467335E-2</v>
      </c>
      <c r="J675" t="s">
        <v>6</v>
      </c>
      <c r="L675" t="s">
        <v>95</v>
      </c>
      <c r="M675" t="s">
        <v>32</v>
      </c>
      <c r="N675">
        <v>1.2028092240301944E-2</v>
      </c>
      <c r="O675" t="s">
        <v>6</v>
      </c>
    </row>
    <row r="676" spans="2:15" x14ac:dyDescent="0.45">
      <c r="B676" t="s">
        <v>93</v>
      </c>
      <c r="C676" t="s">
        <v>33</v>
      </c>
      <c r="D676">
        <v>9.2580741661431404E-2</v>
      </c>
      <c r="E676" t="s">
        <v>6</v>
      </c>
      <c r="G676" t="s">
        <v>94</v>
      </c>
      <c r="H676" t="s">
        <v>33</v>
      </c>
      <c r="I676">
        <v>1.6170606479490892E-2</v>
      </c>
      <c r="J676" t="s">
        <v>6</v>
      </c>
      <c r="L676" t="s">
        <v>95</v>
      </c>
      <c r="M676" t="s">
        <v>33</v>
      </c>
      <c r="N676">
        <v>1.2286959031031219E-2</v>
      </c>
      <c r="O676" t="s">
        <v>6</v>
      </c>
    </row>
    <row r="677" spans="2:15" x14ac:dyDescent="0.45">
      <c r="B677" t="s">
        <v>93</v>
      </c>
      <c r="C677" t="s">
        <v>34</v>
      </c>
      <c r="D677">
        <v>7.6912022346402639E-2</v>
      </c>
      <c r="E677" t="s">
        <v>6</v>
      </c>
      <c r="G677" t="s">
        <v>94</v>
      </c>
      <c r="H677" t="s">
        <v>34</v>
      </c>
      <c r="I677">
        <v>1.7473853364643174E-2</v>
      </c>
      <c r="J677" t="s">
        <v>6</v>
      </c>
      <c r="L677" t="s">
        <v>95</v>
      </c>
      <c r="M677" t="s">
        <v>34</v>
      </c>
      <c r="N677">
        <v>1.326876260489333E-2</v>
      </c>
      <c r="O677" t="s">
        <v>6</v>
      </c>
    </row>
    <row r="678" spans="2:15" x14ac:dyDescent="0.45">
      <c r="B678" t="s">
        <v>93</v>
      </c>
      <c r="C678" t="s">
        <v>35</v>
      </c>
      <c r="D678">
        <v>4.3314674342665518E-2</v>
      </c>
      <c r="E678" t="s">
        <v>6</v>
      </c>
      <c r="G678" t="s">
        <v>94</v>
      </c>
      <c r="H678" t="s">
        <v>35</v>
      </c>
      <c r="I678">
        <v>1.7501941380932355E-2</v>
      </c>
      <c r="J678" t="s">
        <v>6</v>
      </c>
      <c r="L678" t="s">
        <v>95</v>
      </c>
      <c r="M678" t="s">
        <v>35</v>
      </c>
      <c r="N678">
        <v>1.531910612013216E-2</v>
      </c>
      <c r="O678" t="s">
        <v>6</v>
      </c>
    </row>
    <row r="679" spans="2:15" x14ac:dyDescent="0.45">
      <c r="B679" t="s">
        <v>93</v>
      </c>
      <c r="C679" t="s">
        <v>36</v>
      </c>
      <c r="D679">
        <v>8.604635840625971E-3</v>
      </c>
      <c r="E679" t="s">
        <v>6</v>
      </c>
      <c r="G679" t="s">
        <v>94</v>
      </c>
      <c r="H679" t="s">
        <v>36</v>
      </c>
      <c r="I679">
        <v>1.6051642804501526E-2</v>
      </c>
      <c r="J679" t="s">
        <v>6</v>
      </c>
      <c r="L679" t="s">
        <v>95</v>
      </c>
      <c r="M679" t="s">
        <v>36</v>
      </c>
      <c r="N679">
        <v>1.7495805930519817E-2</v>
      </c>
      <c r="O679" t="s">
        <v>6</v>
      </c>
    </row>
    <row r="680" spans="2:15" x14ac:dyDescent="0.45">
      <c r="B680" t="s">
        <v>93</v>
      </c>
      <c r="C680" t="s">
        <v>37</v>
      </c>
      <c r="D680">
        <v>2.4789030481081573E-5</v>
      </c>
      <c r="E680" t="s">
        <v>6</v>
      </c>
      <c r="G680" t="s">
        <v>94</v>
      </c>
      <c r="H680" t="s">
        <v>37</v>
      </c>
      <c r="I680">
        <v>2.2443173963965994E-2</v>
      </c>
      <c r="J680" t="s">
        <v>6</v>
      </c>
      <c r="L680" t="s">
        <v>95</v>
      </c>
      <c r="M680" t="s">
        <v>37</v>
      </c>
      <c r="N680">
        <v>2.7104798086254413E-2</v>
      </c>
      <c r="O680" t="s">
        <v>6</v>
      </c>
    </row>
    <row r="681" spans="2:15" x14ac:dyDescent="0.45">
      <c r="B681" t="s">
        <v>93</v>
      </c>
      <c r="C681" t="s">
        <v>38</v>
      </c>
      <c r="D681">
        <v>0</v>
      </c>
      <c r="E681" t="s">
        <v>6</v>
      </c>
      <c r="G681" t="s">
        <v>94</v>
      </c>
      <c r="H681" t="s">
        <v>38</v>
      </c>
      <c r="I681">
        <v>5.6069175153465219E-2</v>
      </c>
      <c r="J681" t="s">
        <v>6</v>
      </c>
      <c r="L681" t="s">
        <v>95</v>
      </c>
      <c r="M681" t="s">
        <v>38</v>
      </c>
      <c r="N681">
        <v>5.4411001994267481E-2</v>
      </c>
      <c r="O681" t="s">
        <v>6</v>
      </c>
    </row>
    <row r="682" spans="2:15" x14ac:dyDescent="0.45">
      <c r="B682" t="s">
        <v>93</v>
      </c>
      <c r="C682" t="s">
        <v>39</v>
      </c>
      <c r="D682">
        <v>0</v>
      </c>
      <c r="E682" t="s">
        <v>6</v>
      </c>
      <c r="G682" t="s">
        <v>94</v>
      </c>
      <c r="H682" t="s">
        <v>39</v>
      </c>
      <c r="I682">
        <v>2.2609509122956527E-2</v>
      </c>
      <c r="J682" t="s">
        <v>6</v>
      </c>
      <c r="L682" t="s">
        <v>95</v>
      </c>
      <c r="M682" t="s">
        <v>39</v>
      </c>
      <c r="N682">
        <v>2.1838882796550378E-2</v>
      </c>
      <c r="O682" t="s">
        <v>6</v>
      </c>
    </row>
    <row r="683" spans="2:15" x14ac:dyDescent="0.45">
      <c r="B683" t="s">
        <v>93</v>
      </c>
      <c r="C683" t="s">
        <v>40</v>
      </c>
      <c r="D683">
        <v>2.0046469555575434E-3</v>
      </c>
      <c r="E683" t="s">
        <v>6</v>
      </c>
      <c r="G683" t="s">
        <v>94</v>
      </c>
      <c r="H683" t="s">
        <v>40</v>
      </c>
      <c r="I683">
        <v>2.2493495266780829E-2</v>
      </c>
      <c r="J683" t="s">
        <v>6</v>
      </c>
      <c r="L683" t="s">
        <v>95</v>
      </c>
      <c r="M683" t="s">
        <v>40</v>
      </c>
      <c r="N683">
        <v>2.1746205021511686E-2</v>
      </c>
      <c r="O683" t="s">
        <v>6</v>
      </c>
    </row>
    <row r="684" spans="2:15" x14ac:dyDescent="0.45">
      <c r="B684" t="s">
        <v>93</v>
      </c>
      <c r="C684" t="s">
        <v>41</v>
      </c>
      <c r="D684">
        <v>2.5711862769890188E-2</v>
      </c>
      <c r="E684" t="s">
        <v>6</v>
      </c>
      <c r="G684" t="s">
        <v>94</v>
      </c>
      <c r="H684" t="s">
        <v>41</v>
      </c>
      <c r="I684">
        <v>2.2634943602417506E-2</v>
      </c>
      <c r="J684" t="s">
        <v>6</v>
      </c>
      <c r="L684" t="s">
        <v>95</v>
      </c>
      <c r="M684" t="s">
        <v>41</v>
      </c>
      <c r="N684">
        <v>2.1472587895566841E-2</v>
      </c>
      <c r="O684" t="s">
        <v>6</v>
      </c>
    </row>
    <row r="685" spans="2:15" x14ac:dyDescent="0.45">
      <c r="B685" t="s">
        <v>93</v>
      </c>
      <c r="C685" t="s">
        <v>42</v>
      </c>
      <c r="D685">
        <v>5.3294243523650926E-2</v>
      </c>
      <c r="E685" t="s">
        <v>6</v>
      </c>
      <c r="G685" t="s">
        <v>94</v>
      </c>
      <c r="H685" t="s">
        <v>42</v>
      </c>
      <c r="I685">
        <v>2.2783938205262266E-2</v>
      </c>
      <c r="J685" t="s">
        <v>6</v>
      </c>
      <c r="L685" t="s">
        <v>95</v>
      </c>
      <c r="M685" t="s">
        <v>42</v>
      </c>
      <c r="N685">
        <v>2.071719466843961E-2</v>
      </c>
      <c r="O685" t="s">
        <v>6</v>
      </c>
    </row>
    <row r="686" spans="2:15" x14ac:dyDescent="0.45">
      <c r="B686" t="s">
        <v>93</v>
      </c>
      <c r="C686" t="s">
        <v>43</v>
      </c>
      <c r="D686">
        <v>5.9384281202485983E-2</v>
      </c>
      <c r="E686" t="s">
        <v>6</v>
      </c>
      <c r="G686" t="s">
        <v>94</v>
      </c>
      <c r="H686" t="s">
        <v>43</v>
      </c>
      <c r="I686">
        <v>2.4233125428329141E-2</v>
      </c>
      <c r="J686" t="s">
        <v>6</v>
      </c>
      <c r="L686" t="s">
        <v>95</v>
      </c>
      <c r="M686" t="s">
        <v>43</v>
      </c>
      <c r="N686">
        <v>2.0861802667237479E-2</v>
      </c>
      <c r="O686" t="s">
        <v>6</v>
      </c>
    </row>
    <row r="687" spans="2:15" x14ac:dyDescent="0.45">
      <c r="B687" t="s">
        <v>93</v>
      </c>
      <c r="C687" t="s">
        <v>44</v>
      </c>
      <c r="D687">
        <v>4.3070537445959109E-2</v>
      </c>
      <c r="E687" t="s">
        <v>6</v>
      </c>
      <c r="G687" t="s">
        <v>94</v>
      </c>
      <c r="H687" t="s">
        <v>44</v>
      </c>
      <c r="I687">
        <v>2.4754417878126093E-2</v>
      </c>
      <c r="J687" t="s">
        <v>6</v>
      </c>
      <c r="L687" t="s">
        <v>95</v>
      </c>
      <c r="M687" t="s">
        <v>44</v>
      </c>
      <c r="N687">
        <v>2.1235490636006018E-2</v>
      </c>
      <c r="O687" t="s">
        <v>6</v>
      </c>
    </row>
    <row r="688" spans="2:15" x14ac:dyDescent="0.45">
      <c r="B688" t="s">
        <v>93</v>
      </c>
      <c r="C688" t="s">
        <v>45</v>
      </c>
      <c r="D688">
        <v>1.327141218480259E-2</v>
      </c>
      <c r="E688" t="s">
        <v>6</v>
      </c>
      <c r="G688" t="s">
        <v>94</v>
      </c>
      <c r="H688" t="s">
        <v>45</v>
      </c>
      <c r="I688">
        <v>2.4352075368900043E-2</v>
      </c>
      <c r="J688" t="s">
        <v>6</v>
      </c>
      <c r="L688" t="s">
        <v>95</v>
      </c>
      <c r="M688" t="s">
        <v>45</v>
      </c>
      <c r="N688">
        <v>2.1643724708075004E-2</v>
      </c>
      <c r="O688" t="s">
        <v>6</v>
      </c>
    </row>
    <row r="689" spans="2:15" x14ac:dyDescent="0.45">
      <c r="B689" t="s">
        <v>93</v>
      </c>
      <c r="C689" t="s">
        <v>46</v>
      </c>
      <c r="D689">
        <v>3.5051346478917627E-4</v>
      </c>
      <c r="E689" t="s">
        <v>6</v>
      </c>
      <c r="G689" t="s">
        <v>94</v>
      </c>
      <c r="H689" t="s">
        <v>46</v>
      </c>
      <c r="I689">
        <v>2.3687047931904747E-2</v>
      </c>
      <c r="J689" t="s">
        <v>6</v>
      </c>
      <c r="L689" t="s">
        <v>95</v>
      </c>
      <c r="M689" t="s">
        <v>46</v>
      </c>
      <c r="N689">
        <v>2.175234478667349E-2</v>
      </c>
      <c r="O689" t="s">
        <v>6</v>
      </c>
    </row>
    <row r="690" spans="2:15" x14ac:dyDescent="0.45">
      <c r="B690" t="s">
        <v>93</v>
      </c>
      <c r="C690" t="s">
        <v>47</v>
      </c>
      <c r="D690">
        <v>0</v>
      </c>
      <c r="E690" t="s">
        <v>6</v>
      </c>
      <c r="G690" t="s">
        <v>94</v>
      </c>
      <c r="H690" t="s">
        <v>47</v>
      </c>
      <c r="I690">
        <v>3.4486656012600245E-2</v>
      </c>
      <c r="J690" t="s">
        <v>6</v>
      </c>
      <c r="L690" t="s">
        <v>95</v>
      </c>
      <c r="M690" t="s">
        <v>47</v>
      </c>
      <c r="N690">
        <v>3.2344060532175652E-2</v>
      </c>
      <c r="O690" t="s">
        <v>6</v>
      </c>
    </row>
    <row r="691" spans="2:15" x14ac:dyDescent="0.45">
      <c r="B691" t="s">
        <v>96</v>
      </c>
      <c r="C691" t="s">
        <v>5</v>
      </c>
      <c r="D691">
        <v>0</v>
      </c>
      <c r="E691" t="s">
        <v>6</v>
      </c>
      <c r="G691" t="s">
        <v>97</v>
      </c>
      <c r="H691" t="s">
        <v>5</v>
      </c>
      <c r="I691">
        <v>6.9385212100304239E-2</v>
      </c>
      <c r="J691" t="s">
        <v>6</v>
      </c>
    </row>
    <row r="692" spans="2:15" x14ac:dyDescent="0.45">
      <c r="B692" t="s">
        <v>96</v>
      </c>
      <c r="C692" t="s">
        <v>9</v>
      </c>
      <c r="D692">
        <v>0</v>
      </c>
      <c r="E692" t="s">
        <v>6</v>
      </c>
      <c r="G692" t="s">
        <v>97</v>
      </c>
      <c r="H692" t="s">
        <v>9</v>
      </c>
      <c r="I692">
        <v>2.7733136896164749E-2</v>
      </c>
      <c r="J692" t="s">
        <v>6</v>
      </c>
    </row>
    <row r="693" spans="2:15" x14ac:dyDescent="0.45">
      <c r="B693" t="s">
        <v>96</v>
      </c>
      <c r="C693" t="s">
        <v>10</v>
      </c>
      <c r="D693">
        <v>3.6658125596373636E-4</v>
      </c>
      <c r="E693" t="s">
        <v>6</v>
      </c>
      <c r="G693" t="s">
        <v>97</v>
      </c>
      <c r="H693" t="s">
        <v>10</v>
      </c>
      <c r="I693">
        <v>2.7563876729936779E-2</v>
      </c>
      <c r="J693" t="s">
        <v>6</v>
      </c>
    </row>
    <row r="694" spans="2:15" x14ac:dyDescent="0.45">
      <c r="B694" t="s">
        <v>96</v>
      </c>
      <c r="C694" t="s">
        <v>11</v>
      </c>
      <c r="D694">
        <v>2.2814094009925484E-2</v>
      </c>
      <c r="E694" t="s">
        <v>6</v>
      </c>
      <c r="G694" t="s">
        <v>97</v>
      </c>
      <c r="H694" t="s">
        <v>11</v>
      </c>
      <c r="I694">
        <v>2.6533829379603829E-2</v>
      </c>
      <c r="J694" t="s">
        <v>6</v>
      </c>
    </row>
    <row r="695" spans="2:15" x14ac:dyDescent="0.45">
      <c r="B695" t="s">
        <v>96</v>
      </c>
      <c r="C695" t="s">
        <v>12</v>
      </c>
      <c r="D695">
        <v>5.1500396716576469E-2</v>
      </c>
      <c r="E695" t="s">
        <v>6</v>
      </c>
      <c r="G695" t="s">
        <v>97</v>
      </c>
      <c r="H695" t="s">
        <v>12</v>
      </c>
      <c r="I695">
        <v>2.3751041876842974E-2</v>
      </c>
      <c r="J695" t="s">
        <v>6</v>
      </c>
    </row>
    <row r="696" spans="2:15" x14ac:dyDescent="0.45">
      <c r="B696" t="s">
        <v>96</v>
      </c>
      <c r="C696" t="s">
        <v>13</v>
      </c>
      <c r="D696">
        <v>5.6156190534178238E-2</v>
      </c>
      <c r="E696" t="s">
        <v>6</v>
      </c>
      <c r="G696" t="s">
        <v>97</v>
      </c>
      <c r="H696" t="s">
        <v>13</v>
      </c>
      <c r="I696">
        <v>2.345528799576686E-2</v>
      </c>
      <c r="J696" t="s">
        <v>6</v>
      </c>
    </row>
    <row r="697" spans="2:15" x14ac:dyDescent="0.45">
      <c r="B697" t="s">
        <v>96</v>
      </c>
      <c r="C697" t="s">
        <v>14</v>
      </c>
      <c r="D697">
        <v>3.7844417179981604E-2</v>
      </c>
      <c r="E697" t="s">
        <v>6</v>
      </c>
      <c r="G697" t="s">
        <v>97</v>
      </c>
      <c r="H697" t="s">
        <v>14</v>
      </c>
      <c r="I697">
        <v>2.4268764951369877E-2</v>
      </c>
      <c r="J697" t="s">
        <v>6</v>
      </c>
    </row>
    <row r="698" spans="2:15" x14ac:dyDescent="0.45">
      <c r="B698" t="s">
        <v>96</v>
      </c>
      <c r="C698" t="s">
        <v>15</v>
      </c>
      <c r="D698">
        <v>7.9624568189643717E-3</v>
      </c>
      <c r="E698" t="s">
        <v>6</v>
      </c>
      <c r="G698" t="s">
        <v>97</v>
      </c>
      <c r="H698" t="s">
        <v>15</v>
      </c>
      <c r="I698">
        <v>2.4552935334709421E-2</v>
      </c>
      <c r="J698" t="s">
        <v>6</v>
      </c>
    </row>
    <row r="699" spans="2:15" x14ac:dyDescent="0.45">
      <c r="B699" t="s">
        <v>96</v>
      </c>
      <c r="C699" t="s">
        <v>16</v>
      </c>
      <c r="D699">
        <v>0</v>
      </c>
      <c r="E699" t="s">
        <v>6</v>
      </c>
      <c r="G699" t="s">
        <v>97</v>
      </c>
      <c r="H699" t="s">
        <v>16</v>
      </c>
      <c r="I699">
        <v>2.6443669674952885E-2</v>
      </c>
      <c r="J699" t="s">
        <v>6</v>
      </c>
    </row>
    <row r="700" spans="2:15" x14ac:dyDescent="0.45">
      <c r="B700" t="s">
        <v>96</v>
      </c>
      <c r="C700" t="s">
        <v>17</v>
      </c>
      <c r="D700">
        <v>0</v>
      </c>
      <c r="E700" t="s">
        <v>6</v>
      </c>
      <c r="G700" t="s">
        <v>97</v>
      </c>
      <c r="H700" t="s">
        <v>17</v>
      </c>
      <c r="I700">
        <v>4.1213574232634415E-2</v>
      </c>
      <c r="J700" t="s">
        <v>6</v>
      </c>
    </row>
    <row r="701" spans="2:15" x14ac:dyDescent="0.45">
      <c r="B701" t="s">
        <v>96</v>
      </c>
      <c r="C701" t="s">
        <v>18</v>
      </c>
      <c r="D701">
        <v>0</v>
      </c>
      <c r="E701" t="s">
        <v>6</v>
      </c>
      <c r="G701" t="s">
        <v>97</v>
      </c>
      <c r="H701" t="s">
        <v>18</v>
      </c>
      <c r="I701">
        <v>5.398872713576848E-2</v>
      </c>
      <c r="J701" t="s">
        <v>6</v>
      </c>
    </row>
    <row r="702" spans="2:15" x14ac:dyDescent="0.45">
      <c r="B702" t="s">
        <v>96</v>
      </c>
      <c r="C702" t="s">
        <v>19</v>
      </c>
      <c r="D702">
        <v>1.3555546855681033E-4</v>
      </c>
      <c r="E702" t="s">
        <v>6</v>
      </c>
      <c r="G702" t="s">
        <v>97</v>
      </c>
      <c r="H702" t="s">
        <v>19</v>
      </c>
      <c r="I702">
        <v>2.2355694892603788E-2</v>
      </c>
      <c r="J702" t="s">
        <v>6</v>
      </c>
    </row>
    <row r="703" spans="2:15" x14ac:dyDescent="0.45">
      <c r="B703" t="s">
        <v>96</v>
      </c>
      <c r="C703" t="s">
        <v>20</v>
      </c>
      <c r="D703">
        <v>1.0931848184698107E-2</v>
      </c>
      <c r="E703" t="s">
        <v>6</v>
      </c>
      <c r="G703" t="s">
        <v>97</v>
      </c>
      <c r="H703" t="s">
        <v>20</v>
      </c>
      <c r="I703">
        <v>2.1766772457828227E-2</v>
      </c>
      <c r="J703" t="s">
        <v>6</v>
      </c>
    </row>
    <row r="704" spans="2:15" x14ac:dyDescent="0.45">
      <c r="B704" t="s">
        <v>96</v>
      </c>
      <c r="C704" t="s">
        <v>21</v>
      </c>
      <c r="D704">
        <v>4.2830768242463103E-2</v>
      </c>
      <c r="E704" t="s">
        <v>6</v>
      </c>
      <c r="G704" t="s">
        <v>97</v>
      </c>
      <c r="H704" t="s">
        <v>21</v>
      </c>
      <c r="I704">
        <v>1.8869488492032991E-2</v>
      </c>
      <c r="J704" t="s">
        <v>6</v>
      </c>
    </row>
    <row r="705" spans="2:10" x14ac:dyDescent="0.45">
      <c r="B705" t="s">
        <v>96</v>
      </c>
      <c r="C705" t="s">
        <v>22</v>
      </c>
      <c r="D705">
        <v>6.6459835565447725E-2</v>
      </c>
      <c r="E705" t="s">
        <v>6</v>
      </c>
      <c r="G705" t="s">
        <v>97</v>
      </c>
      <c r="H705" t="s">
        <v>22</v>
      </c>
      <c r="I705">
        <v>1.5775436583074162E-2</v>
      </c>
      <c r="J705" t="s">
        <v>6</v>
      </c>
    </row>
    <row r="706" spans="2:10" x14ac:dyDescent="0.45">
      <c r="B706" t="s">
        <v>96</v>
      </c>
      <c r="C706" t="s">
        <v>23</v>
      </c>
      <c r="D706">
        <v>7.1793989909581066E-2</v>
      </c>
      <c r="E706" t="s">
        <v>6</v>
      </c>
      <c r="G706" t="s">
        <v>97</v>
      </c>
      <c r="H706" t="s">
        <v>23</v>
      </c>
      <c r="I706">
        <v>1.765298142977853E-2</v>
      </c>
      <c r="J706" t="s">
        <v>6</v>
      </c>
    </row>
    <row r="707" spans="2:10" x14ac:dyDescent="0.45">
      <c r="B707" t="s">
        <v>96</v>
      </c>
      <c r="C707" t="s">
        <v>24</v>
      </c>
      <c r="D707">
        <v>5.6638438400890431E-2</v>
      </c>
      <c r="E707" t="s">
        <v>6</v>
      </c>
      <c r="G707" t="s">
        <v>97</v>
      </c>
      <c r="H707" t="s">
        <v>24</v>
      </c>
      <c r="I707">
        <v>2.0236580470923259E-2</v>
      </c>
      <c r="J707" t="s">
        <v>6</v>
      </c>
    </row>
    <row r="708" spans="2:10" x14ac:dyDescent="0.45">
      <c r="B708" t="s">
        <v>96</v>
      </c>
      <c r="C708" t="s">
        <v>25</v>
      </c>
      <c r="D708">
        <v>2.4750036637861579E-2</v>
      </c>
      <c r="E708" t="s">
        <v>6</v>
      </c>
      <c r="G708" t="s">
        <v>97</v>
      </c>
      <c r="H708" t="s">
        <v>25</v>
      </c>
      <c r="I708">
        <v>2.1027770208858231E-2</v>
      </c>
      <c r="J708" t="s">
        <v>6</v>
      </c>
    </row>
    <row r="709" spans="2:10" x14ac:dyDescent="0.45">
      <c r="B709" t="s">
        <v>96</v>
      </c>
      <c r="C709" t="s">
        <v>26</v>
      </c>
      <c r="D709">
        <v>1.0834806337767511E-3</v>
      </c>
      <c r="E709" t="s">
        <v>6</v>
      </c>
      <c r="G709" t="s">
        <v>97</v>
      </c>
      <c r="H709" t="s">
        <v>26</v>
      </c>
      <c r="I709">
        <v>2.0942085782155975E-2</v>
      </c>
      <c r="J709" t="s">
        <v>6</v>
      </c>
    </row>
    <row r="710" spans="2:10" x14ac:dyDescent="0.45">
      <c r="B710" t="s">
        <v>96</v>
      </c>
      <c r="C710" t="s">
        <v>27</v>
      </c>
      <c r="D710">
        <v>0</v>
      </c>
      <c r="E710" t="s">
        <v>6</v>
      </c>
      <c r="G710" t="s">
        <v>97</v>
      </c>
      <c r="H710" t="s">
        <v>27</v>
      </c>
      <c r="I710">
        <v>3.1652380746555332E-2</v>
      </c>
      <c r="J710" t="s">
        <v>6</v>
      </c>
    </row>
    <row r="711" spans="2:10" x14ac:dyDescent="0.45">
      <c r="B711" t="s">
        <v>96</v>
      </c>
      <c r="C711" t="s">
        <v>28</v>
      </c>
      <c r="D711">
        <v>0</v>
      </c>
      <c r="E711" t="s">
        <v>6</v>
      </c>
      <c r="G711" t="s">
        <v>97</v>
      </c>
      <c r="H711" t="s">
        <v>28</v>
      </c>
      <c r="I711">
        <v>3.95080546502155E-2</v>
      </c>
      <c r="J711" t="s">
        <v>6</v>
      </c>
    </row>
    <row r="712" spans="2:10" x14ac:dyDescent="0.45">
      <c r="B712" t="s">
        <v>96</v>
      </c>
      <c r="C712" t="s">
        <v>29</v>
      </c>
      <c r="D712">
        <v>4.2219639813512812E-4</v>
      </c>
      <c r="E712" t="s">
        <v>6</v>
      </c>
      <c r="G712" t="s">
        <v>97</v>
      </c>
      <c r="H712" t="s">
        <v>29</v>
      </c>
      <c r="I712">
        <v>1.4936624279771972E-2</v>
      </c>
      <c r="J712" t="s">
        <v>6</v>
      </c>
    </row>
    <row r="713" spans="2:10" x14ac:dyDescent="0.45">
      <c r="B713" t="s">
        <v>96</v>
      </c>
      <c r="C713" t="s">
        <v>30</v>
      </c>
      <c r="D713">
        <v>1.6469239067431751E-2</v>
      </c>
      <c r="E713" t="s">
        <v>6</v>
      </c>
      <c r="G713" t="s">
        <v>97</v>
      </c>
      <c r="H713" t="s">
        <v>30</v>
      </c>
      <c r="I713">
        <v>1.2281987716867107E-2</v>
      </c>
      <c r="J713" t="s">
        <v>6</v>
      </c>
    </row>
    <row r="714" spans="2:10" x14ac:dyDescent="0.45">
      <c r="B714" t="s">
        <v>96</v>
      </c>
      <c r="C714" t="s">
        <v>31</v>
      </c>
      <c r="D714">
        <v>5.4747143738490031E-2</v>
      </c>
      <c r="E714" t="s">
        <v>6</v>
      </c>
      <c r="G714" t="s">
        <v>97</v>
      </c>
      <c r="H714" t="s">
        <v>31</v>
      </c>
      <c r="I714">
        <v>9.9876425197664327E-3</v>
      </c>
      <c r="J714" t="s">
        <v>6</v>
      </c>
    </row>
    <row r="715" spans="2:10" x14ac:dyDescent="0.45">
      <c r="B715" t="s">
        <v>96</v>
      </c>
      <c r="C715" t="s">
        <v>32</v>
      </c>
      <c r="D715">
        <v>7.7745374966226452E-2</v>
      </c>
      <c r="E715" t="s">
        <v>6</v>
      </c>
      <c r="G715" t="s">
        <v>97</v>
      </c>
      <c r="H715" t="s">
        <v>32</v>
      </c>
      <c r="I715">
        <v>1.0886522549017614E-2</v>
      </c>
      <c r="J715" t="s">
        <v>6</v>
      </c>
    </row>
    <row r="716" spans="2:10" x14ac:dyDescent="0.45">
      <c r="B716" t="s">
        <v>96</v>
      </c>
      <c r="C716" t="s">
        <v>33</v>
      </c>
      <c r="D716">
        <v>7.9843814176154618E-2</v>
      </c>
      <c r="E716" t="s">
        <v>6</v>
      </c>
      <c r="G716" t="s">
        <v>97</v>
      </c>
      <c r="H716" t="s">
        <v>33</v>
      </c>
      <c r="I716">
        <v>1.2476201214683099E-2</v>
      </c>
      <c r="J716" t="s">
        <v>6</v>
      </c>
    </row>
    <row r="717" spans="2:10" x14ac:dyDescent="0.45">
      <c r="B717" t="s">
        <v>96</v>
      </c>
      <c r="C717" t="s">
        <v>34</v>
      </c>
      <c r="D717">
        <v>6.3727152536378132E-2</v>
      </c>
      <c r="E717" t="s">
        <v>6</v>
      </c>
      <c r="G717" t="s">
        <v>97</v>
      </c>
      <c r="H717" t="s">
        <v>34</v>
      </c>
      <c r="I717">
        <v>1.374062743276539E-2</v>
      </c>
      <c r="J717" t="s">
        <v>6</v>
      </c>
    </row>
    <row r="718" spans="2:10" x14ac:dyDescent="0.45">
      <c r="B718" t="s">
        <v>96</v>
      </c>
      <c r="C718" t="s">
        <v>35</v>
      </c>
      <c r="D718">
        <v>3.2414504668860596E-2</v>
      </c>
      <c r="E718" t="s">
        <v>6</v>
      </c>
      <c r="G718" t="s">
        <v>97</v>
      </c>
      <c r="H718" t="s">
        <v>35</v>
      </c>
      <c r="I718">
        <v>1.4485177192843769E-2</v>
      </c>
      <c r="J718" t="s">
        <v>6</v>
      </c>
    </row>
    <row r="719" spans="2:10" x14ac:dyDescent="0.45">
      <c r="B719" t="s">
        <v>96</v>
      </c>
      <c r="C719" t="s">
        <v>36</v>
      </c>
      <c r="D719">
        <v>3.1942791140029433E-3</v>
      </c>
      <c r="E719" t="s">
        <v>6</v>
      </c>
      <c r="G719" t="s">
        <v>97</v>
      </c>
      <c r="H719" t="s">
        <v>36</v>
      </c>
      <c r="I719">
        <v>1.4107414395183815E-2</v>
      </c>
      <c r="J719" t="s">
        <v>6</v>
      </c>
    </row>
    <row r="720" spans="2:10" x14ac:dyDescent="0.45">
      <c r="B720" t="s">
        <v>96</v>
      </c>
      <c r="C720" t="s">
        <v>37</v>
      </c>
      <c r="D720">
        <v>0</v>
      </c>
      <c r="E720" t="s">
        <v>6</v>
      </c>
      <c r="G720" t="s">
        <v>97</v>
      </c>
      <c r="H720" t="s">
        <v>37</v>
      </c>
      <c r="I720">
        <v>2.5102764896323165E-2</v>
      </c>
      <c r="J720" t="s">
        <v>6</v>
      </c>
    </row>
    <row r="721" spans="2:10" x14ac:dyDescent="0.45">
      <c r="B721" t="s">
        <v>96</v>
      </c>
      <c r="C721" t="s">
        <v>38</v>
      </c>
      <c r="D721">
        <v>0</v>
      </c>
      <c r="E721" t="s">
        <v>6</v>
      </c>
      <c r="G721" t="s">
        <v>97</v>
      </c>
      <c r="H721" t="s">
        <v>38</v>
      </c>
      <c r="I721">
        <v>5.6642538747948869E-2</v>
      </c>
      <c r="J721" t="s">
        <v>6</v>
      </c>
    </row>
    <row r="722" spans="2:10" x14ac:dyDescent="0.45">
      <c r="B722" t="s">
        <v>96</v>
      </c>
      <c r="C722" t="s">
        <v>39</v>
      </c>
      <c r="D722">
        <v>0</v>
      </c>
      <c r="E722" t="s">
        <v>6</v>
      </c>
      <c r="G722" t="s">
        <v>97</v>
      </c>
      <c r="H722" t="s">
        <v>39</v>
      </c>
      <c r="I722">
        <v>2.2268087530903133E-2</v>
      </c>
      <c r="J722" t="s">
        <v>6</v>
      </c>
    </row>
    <row r="723" spans="2:10" x14ac:dyDescent="0.45">
      <c r="B723" t="s">
        <v>96</v>
      </c>
      <c r="C723" t="s">
        <v>40</v>
      </c>
      <c r="D723">
        <v>5.6187247113239878E-3</v>
      </c>
      <c r="E723" t="s">
        <v>6</v>
      </c>
      <c r="G723" t="s">
        <v>97</v>
      </c>
      <c r="H723" t="s">
        <v>40</v>
      </c>
      <c r="I723">
        <v>2.2750723004888132E-2</v>
      </c>
      <c r="J723" t="s">
        <v>6</v>
      </c>
    </row>
    <row r="724" spans="2:10" x14ac:dyDescent="0.45">
      <c r="B724" t="s">
        <v>96</v>
      </c>
      <c r="C724" t="s">
        <v>41</v>
      </c>
      <c r="D724">
        <v>3.7309757951653311E-2</v>
      </c>
      <c r="E724" t="s">
        <v>6</v>
      </c>
      <c r="G724" t="s">
        <v>97</v>
      </c>
      <c r="H724" t="s">
        <v>41</v>
      </c>
      <c r="I724">
        <v>2.1897436369965734E-2</v>
      </c>
      <c r="J724" t="s">
        <v>6</v>
      </c>
    </row>
    <row r="725" spans="2:10" x14ac:dyDescent="0.45">
      <c r="B725" t="s">
        <v>96</v>
      </c>
      <c r="C725" t="s">
        <v>42</v>
      </c>
      <c r="D725">
        <v>6.1646737631567722E-2</v>
      </c>
      <c r="E725" t="s">
        <v>6</v>
      </c>
      <c r="G725" t="s">
        <v>97</v>
      </c>
      <c r="H725" t="s">
        <v>42</v>
      </c>
      <c r="I725">
        <v>2.0343241681228093E-2</v>
      </c>
      <c r="J725" t="s">
        <v>6</v>
      </c>
    </row>
    <row r="726" spans="2:10" x14ac:dyDescent="0.45">
      <c r="B726" t="s">
        <v>96</v>
      </c>
      <c r="C726" t="s">
        <v>43</v>
      </c>
      <c r="D726">
        <v>6.1814153387130977E-2</v>
      </c>
      <c r="E726" t="s">
        <v>6</v>
      </c>
      <c r="G726" t="s">
        <v>97</v>
      </c>
      <c r="H726" t="s">
        <v>43</v>
      </c>
      <c r="I726">
        <v>2.1664618483204834E-2</v>
      </c>
      <c r="J726" t="s">
        <v>6</v>
      </c>
    </row>
    <row r="727" spans="2:10" x14ac:dyDescent="0.45">
      <c r="B727" t="s">
        <v>96</v>
      </c>
      <c r="C727" t="s">
        <v>44</v>
      </c>
      <c r="D727">
        <v>4.259795838077779E-2</v>
      </c>
      <c r="E727" t="s">
        <v>6</v>
      </c>
      <c r="G727" t="s">
        <v>97</v>
      </c>
      <c r="H727" t="s">
        <v>44</v>
      </c>
      <c r="I727">
        <v>2.3235029312567074E-2</v>
      </c>
      <c r="J727" t="s">
        <v>6</v>
      </c>
    </row>
    <row r="728" spans="2:10" x14ac:dyDescent="0.45">
      <c r="B728" t="s">
        <v>96</v>
      </c>
      <c r="C728" t="s">
        <v>45</v>
      </c>
      <c r="D728">
        <v>1.1147590603026697E-2</v>
      </c>
      <c r="E728" t="s">
        <v>6</v>
      </c>
      <c r="G728" t="s">
        <v>97</v>
      </c>
      <c r="H728" t="s">
        <v>45</v>
      </c>
      <c r="I728">
        <v>2.3342417388136499E-2</v>
      </c>
      <c r="J728" t="s">
        <v>6</v>
      </c>
    </row>
    <row r="729" spans="2:10" x14ac:dyDescent="0.45">
      <c r="B729" t="s">
        <v>96</v>
      </c>
      <c r="C729" t="s">
        <v>46</v>
      </c>
      <c r="D729">
        <v>3.328310997528053E-5</v>
      </c>
      <c r="E729" t="s">
        <v>6</v>
      </c>
      <c r="G729" t="s">
        <v>97</v>
      </c>
      <c r="H729" t="s">
        <v>46</v>
      </c>
      <c r="I729">
        <v>2.4377655178508532E-2</v>
      </c>
      <c r="J729" t="s">
        <v>6</v>
      </c>
    </row>
    <row r="730" spans="2:10" x14ac:dyDescent="0.45">
      <c r="B730" t="s">
        <v>96</v>
      </c>
      <c r="C730" t="s">
        <v>47</v>
      </c>
      <c r="D730">
        <v>0</v>
      </c>
      <c r="E730" t="s">
        <v>6</v>
      </c>
      <c r="G730" t="s">
        <v>97</v>
      </c>
      <c r="H730" t="s">
        <v>47</v>
      </c>
      <c r="I730">
        <v>3.6795988083345173E-2</v>
      </c>
      <c r="J730" t="s">
        <v>6</v>
      </c>
    </row>
    <row r="731" spans="2:10" x14ac:dyDescent="0.45">
      <c r="B731" t="s">
        <v>98</v>
      </c>
      <c r="C731" t="s">
        <v>5</v>
      </c>
      <c r="D731">
        <v>0</v>
      </c>
      <c r="E731" t="s">
        <v>6</v>
      </c>
      <c r="G731" t="s">
        <v>99</v>
      </c>
      <c r="H731" t="s">
        <v>5</v>
      </c>
      <c r="I731">
        <v>7.0599869584967861E-2</v>
      </c>
      <c r="J731" t="s">
        <v>6</v>
      </c>
    </row>
    <row r="732" spans="2:10" x14ac:dyDescent="0.45">
      <c r="B732" t="s">
        <v>98</v>
      </c>
      <c r="C732" t="s">
        <v>9</v>
      </c>
      <c r="D732">
        <v>0</v>
      </c>
      <c r="E732" t="s">
        <v>6</v>
      </c>
      <c r="G732" t="s">
        <v>99</v>
      </c>
      <c r="H732" t="s">
        <v>9</v>
      </c>
      <c r="I732">
        <v>2.8116357582118941E-2</v>
      </c>
      <c r="J732" t="s">
        <v>6</v>
      </c>
    </row>
    <row r="733" spans="2:10" x14ac:dyDescent="0.45">
      <c r="B733" t="s">
        <v>98</v>
      </c>
      <c r="C733" t="s">
        <v>10</v>
      </c>
      <c r="D733">
        <v>9.4382009043282553E-5</v>
      </c>
      <c r="E733" t="s">
        <v>6</v>
      </c>
      <c r="G733" t="s">
        <v>99</v>
      </c>
      <c r="H733" t="s">
        <v>10</v>
      </c>
      <c r="I733">
        <v>2.7206654691313985E-2</v>
      </c>
      <c r="J733" t="s">
        <v>6</v>
      </c>
    </row>
    <row r="734" spans="2:10" x14ac:dyDescent="0.45">
      <c r="B734" t="s">
        <v>98</v>
      </c>
      <c r="C734" t="s">
        <v>11</v>
      </c>
      <c r="D734">
        <v>2.225468309537831E-2</v>
      </c>
      <c r="E734" t="s">
        <v>6</v>
      </c>
      <c r="G734" t="s">
        <v>99</v>
      </c>
      <c r="H734" t="s">
        <v>11</v>
      </c>
      <c r="I734">
        <v>2.5390512111195897E-2</v>
      </c>
      <c r="J734" t="s">
        <v>6</v>
      </c>
    </row>
    <row r="735" spans="2:10" x14ac:dyDescent="0.45">
      <c r="B735" t="s">
        <v>98</v>
      </c>
      <c r="C735" t="s">
        <v>12</v>
      </c>
      <c r="D735">
        <v>5.4516599324003871E-2</v>
      </c>
      <c r="E735" t="s">
        <v>6</v>
      </c>
      <c r="G735" t="s">
        <v>99</v>
      </c>
      <c r="H735" t="s">
        <v>12</v>
      </c>
      <c r="I735">
        <v>2.1734967924308062E-2</v>
      </c>
      <c r="J735" t="s">
        <v>6</v>
      </c>
    </row>
    <row r="736" spans="2:10" x14ac:dyDescent="0.45">
      <c r="B736" t="s">
        <v>98</v>
      </c>
      <c r="C736" t="s">
        <v>13</v>
      </c>
      <c r="D736">
        <v>6.3549574668021372E-2</v>
      </c>
      <c r="E736" t="s">
        <v>6</v>
      </c>
      <c r="G736" t="s">
        <v>99</v>
      </c>
      <c r="H736" t="s">
        <v>13</v>
      </c>
      <c r="I736">
        <v>2.1584813885224405E-2</v>
      </c>
      <c r="J736" t="s">
        <v>6</v>
      </c>
    </row>
    <row r="737" spans="2:10" x14ac:dyDescent="0.45">
      <c r="B737" t="s">
        <v>98</v>
      </c>
      <c r="C737" t="s">
        <v>14</v>
      </c>
      <c r="D737">
        <v>4.5197314268474301E-2</v>
      </c>
      <c r="E737" t="s">
        <v>6</v>
      </c>
      <c r="G737" t="s">
        <v>99</v>
      </c>
      <c r="H737" t="s">
        <v>14</v>
      </c>
      <c r="I737">
        <v>2.3199647666629738E-2</v>
      </c>
      <c r="J737" t="s">
        <v>6</v>
      </c>
    </row>
    <row r="738" spans="2:10" x14ac:dyDescent="0.45">
      <c r="B738" t="s">
        <v>98</v>
      </c>
      <c r="C738" t="s">
        <v>15</v>
      </c>
      <c r="D738">
        <v>1.1032791985157385E-2</v>
      </c>
      <c r="E738" t="s">
        <v>6</v>
      </c>
      <c r="G738" t="s">
        <v>99</v>
      </c>
      <c r="H738" t="s">
        <v>15</v>
      </c>
      <c r="I738">
        <v>2.3899056990795798E-2</v>
      </c>
      <c r="J738" t="s">
        <v>6</v>
      </c>
    </row>
    <row r="739" spans="2:10" x14ac:dyDescent="0.45">
      <c r="B739" t="s">
        <v>98</v>
      </c>
      <c r="C739" t="s">
        <v>16</v>
      </c>
      <c r="D739">
        <v>0</v>
      </c>
      <c r="E739" t="s">
        <v>6</v>
      </c>
      <c r="G739" t="s">
        <v>99</v>
      </c>
      <c r="H739" t="s">
        <v>16</v>
      </c>
      <c r="I739">
        <v>2.6053634396882033E-2</v>
      </c>
      <c r="J739" t="s">
        <v>6</v>
      </c>
    </row>
    <row r="740" spans="2:10" x14ac:dyDescent="0.45">
      <c r="B740" t="s">
        <v>98</v>
      </c>
      <c r="C740" t="s">
        <v>17</v>
      </c>
      <c r="D740">
        <v>0</v>
      </c>
      <c r="E740" t="s">
        <v>6</v>
      </c>
      <c r="G740" t="s">
        <v>99</v>
      </c>
      <c r="H740" t="s">
        <v>17</v>
      </c>
      <c r="I740">
        <v>4.1647894189400438E-2</v>
      </c>
      <c r="J740" t="s">
        <v>6</v>
      </c>
    </row>
    <row r="741" spans="2:10" x14ac:dyDescent="0.45">
      <c r="B741" t="s">
        <v>98</v>
      </c>
      <c r="C741" t="s">
        <v>18</v>
      </c>
      <c r="D741">
        <v>0</v>
      </c>
      <c r="E741" t="s">
        <v>6</v>
      </c>
      <c r="G741" t="s">
        <v>99</v>
      </c>
      <c r="H741" t="s">
        <v>18</v>
      </c>
      <c r="I741">
        <v>5.4444242825609862E-2</v>
      </c>
      <c r="J741" t="s">
        <v>6</v>
      </c>
    </row>
    <row r="742" spans="2:10" x14ac:dyDescent="0.45">
      <c r="B742" t="s">
        <v>98</v>
      </c>
      <c r="C742" t="s">
        <v>19</v>
      </c>
      <c r="D742">
        <v>1.0145162790798699E-4</v>
      </c>
      <c r="E742" t="s">
        <v>6</v>
      </c>
      <c r="G742" t="s">
        <v>99</v>
      </c>
      <c r="H742" t="s">
        <v>19</v>
      </c>
      <c r="I742">
        <v>2.2561129744955704E-2</v>
      </c>
      <c r="J742" t="s">
        <v>6</v>
      </c>
    </row>
    <row r="743" spans="2:10" x14ac:dyDescent="0.45">
      <c r="B743" t="s">
        <v>98</v>
      </c>
      <c r="C743" t="s">
        <v>20</v>
      </c>
      <c r="D743">
        <v>9.1673772555562714E-3</v>
      </c>
      <c r="E743" t="s">
        <v>6</v>
      </c>
      <c r="G743" t="s">
        <v>99</v>
      </c>
      <c r="H743" t="s">
        <v>20</v>
      </c>
      <c r="I743">
        <v>2.1598497387500949E-2</v>
      </c>
      <c r="J743" t="s">
        <v>6</v>
      </c>
    </row>
    <row r="744" spans="2:10" x14ac:dyDescent="0.45">
      <c r="B744" t="s">
        <v>98</v>
      </c>
      <c r="C744" t="s">
        <v>21</v>
      </c>
      <c r="D744">
        <v>4.1580705629631939E-2</v>
      </c>
      <c r="E744" t="s">
        <v>6</v>
      </c>
      <c r="G744" t="s">
        <v>99</v>
      </c>
      <c r="H744" t="s">
        <v>21</v>
      </c>
      <c r="I744">
        <v>1.8227604447141336E-2</v>
      </c>
      <c r="J744" t="s">
        <v>6</v>
      </c>
    </row>
    <row r="745" spans="2:10" x14ac:dyDescent="0.45">
      <c r="B745" t="s">
        <v>98</v>
      </c>
      <c r="C745" t="s">
        <v>22</v>
      </c>
      <c r="D745">
        <v>6.5813982826324349E-2</v>
      </c>
      <c r="E745" t="s">
        <v>6</v>
      </c>
      <c r="G745" t="s">
        <v>99</v>
      </c>
      <c r="H745" t="s">
        <v>22</v>
      </c>
      <c r="I745">
        <v>1.6975760340164115E-2</v>
      </c>
      <c r="J745" t="s">
        <v>6</v>
      </c>
    </row>
    <row r="746" spans="2:10" x14ac:dyDescent="0.45">
      <c r="B746" t="s">
        <v>98</v>
      </c>
      <c r="C746" t="s">
        <v>23</v>
      </c>
      <c r="D746">
        <v>7.0412780070256892E-2</v>
      </c>
      <c r="E746" t="s">
        <v>6</v>
      </c>
      <c r="G746" t="s">
        <v>99</v>
      </c>
      <c r="H746" t="s">
        <v>23</v>
      </c>
      <c r="I746">
        <v>2.0405501807977042E-2</v>
      </c>
      <c r="J746" t="s">
        <v>6</v>
      </c>
    </row>
    <row r="747" spans="2:10" x14ac:dyDescent="0.45">
      <c r="B747" t="s">
        <v>98</v>
      </c>
      <c r="C747" t="s">
        <v>24</v>
      </c>
      <c r="D747">
        <v>5.6708958803701859E-2</v>
      </c>
      <c r="E747" t="s">
        <v>6</v>
      </c>
      <c r="G747" t="s">
        <v>99</v>
      </c>
      <c r="H747" t="s">
        <v>24</v>
      </c>
      <c r="I747">
        <v>2.3938832766691381E-2</v>
      </c>
      <c r="J747" t="s">
        <v>6</v>
      </c>
    </row>
    <row r="748" spans="2:10" x14ac:dyDescent="0.45">
      <c r="B748" t="s">
        <v>98</v>
      </c>
      <c r="C748" t="s">
        <v>25</v>
      </c>
      <c r="D748">
        <v>2.7019679506898535E-2</v>
      </c>
      <c r="E748" t="s">
        <v>6</v>
      </c>
      <c r="G748" t="s">
        <v>99</v>
      </c>
      <c r="H748" t="s">
        <v>25</v>
      </c>
      <c r="I748">
        <v>2.439435277128997E-2</v>
      </c>
      <c r="J748" t="s">
        <v>6</v>
      </c>
    </row>
    <row r="749" spans="2:10" x14ac:dyDescent="0.45">
      <c r="B749" t="s">
        <v>98</v>
      </c>
      <c r="C749" t="s">
        <v>26</v>
      </c>
      <c r="D749">
        <v>1.9357424965203698E-3</v>
      </c>
      <c r="E749" t="s">
        <v>6</v>
      </c>
      <c r="G749" t="s">
        <v>99</v>
      </c>
      <c r="H749" t="s">
        <v>26</v>
      </c>
      <c r="I749">
        <v>2.3221417642410397E-2</v>
      </c>
      <c r="J749" t="s">
        <v>6</v>
      </c>
    </row>
    <row r="750" spans="2:10" x14ac:dyDescent="0.45">
      <c r="B750" t="s">
        <v>98</v>
      </c>
      <c r="C750" t="s">
        <v>27</v>
      </c>
      <c r="D750">
        <v>0</v>
      </c>
      <c r="E750" t="s">
        <v>6</v>
      </c>
      <c r="G750" t="s">
        <v>99</v>
      </c>
      <c r="H750" t="s">
        <v>27</v>
      </c>
      <c r="I750">
        <v>3.4216262644302588E-2</v>
      </c>
      <c r="J750" t="s">
        <v>6</v>
      </c>
    </row>
    <row r="751" spans="2:10" x14ac:dyDescent="0.45">
      <c r="B751" t="s">
        <v>98</v>
      </c>
      <c r="C751" t="s">
        <v>28</v>
      </c>
      <c r="D751">
        <v>0</v>
      </c>
      <c r="E751" t="s">
        <v>6</v>
      </c>
      <c r="G751" t="s">
        <v>99</v>
      </c>
      <c r="H751" t="s">
        <v>28</v>
      </c>
      <c r="I751">
        <v>3.8568374915972099E-2</v>
      </c>
      <c r="J751" t="s">
        <v>6</v>
      </c>
    </row>
    <row r="752" spans="2:10" x14ac:dyDescent="0.45">
      <c r="B752" t="s">
        <v>98</v>
      </c>
      <c r="C752" t="s">
        <v>29</v>
      </c>
      <c r="D752">
        <v>3.2598806733739297E-4</v>
      </c>
      <c r="E752" t="s">
        <v>6</v>
      </c>
      <c r="G752" t="s">
        <v>99</v>
      </c>
      <c r="H752" t="s">
        <v>29</v>
      </c>
      <c r="I752">
        <v>1.3430291940562266E-2</v>
      </c>
      <c r="J752" t="s">
        <v>6</v>
      </c>
    </row>
    <row r="753" spans="2:10" x14ac:dyDescent="0.45">
      <c r="B753" t="s">
        <v>98</v>
      </c>
      <c r="C753" t="s">
        <v>30</v>
      </c>
      <c r="D753">
        <v>1.4030078794775502E-2</v>
      </c>
      <c r="E753" t="s">
        <v>6</v>
      </c>
      <c r="G753" t="s">
        <v>99</v>
      </c>
      <c r="H753" t="s">
        <v>30</v>
      </c>
      <c r="I753">
        <v>1.0485242136665756E-2</v>
      </c>
      <c r="J753" t="s">
        <v>6</v>
      </c>
    </row>
    <row r="754" spans="2:10" x14ac:dyDescent="0.45">
      <c r="B754" t="s">
        <v>98</v>
      </c>
      <c r="C754" t="s">
        <v>31</v>
      </c>
      <c r="D754">
        <v>5.1513335633919764E-2</v>
      </c>
      <c r="E754" t="s">
        <v>6</v>
      </c>
      <c r="G754" t="s">
        <v>99</v>
      </c>
      <c r="H754" t="s">
        <v>31</v>
      </c>
      <c r="I754">
        <v>8.0274606235569233E-3</v>
      </c>
      <c r="J754" t="s">
        <v>6</v>
      </c>
    </row>
    <row r="755" spans="2:10" x14ac:dyDescent="0.45">
      <c r="B755" t="s">
        <v>98</v>
      </c>
      <c r="C755" t="s">
        <v>32</v>
      </c>
      <c r="D755">
        <v>7.607709506759569E-2</v>
      </c>
      <c r="E755" t="s">
        <v>6</v>
      </c>
      <c r="G755" t="s">
        <v>99</v>
      </c>
      <c r="H755" t="s">
        <v>32</v>
      </c>
      <c r="I755">
        <v>8.9066450753816102E-3</v>
      </c>
      <c r="J755" t="s">
        <v>6</v>
      </c>
    </row>
    <row r="756" spans="2:10" x14ac:dyDescent="0.45">
      <c r="B756" t="s">
        <v>98</v>
      </c>
      <c r="C756" t="s">
        <v>33</v>
      </c>
      <c r="D756">
        <v>7.9429247588991794E-2</v>
      </c>
      <c r="E756" t="s">
        <v>6</v>
      </c>
      <c r="G756" t="s">
        <v>99</v>
      </c>
      <c r="H756" t="s">
        <v>33</v>
      </c>
      <c r="I756">
        <v>1.0159483229762564E-2</v>
      </c>
      <c r="J756" t="s">
        <v>6</v>
      </c>
    </row>
    <row r="757" spans="2:10" x14ac:dyDescent="0.45">
      <c r="B757" t="s">
        <v>98</v>
      </c>
      <c r="C757" t="s">
        <v>34</v>
      </c>
      <c r="D757">
        <v>6.3720254855131414E-2</v>
      </c>
      <c r="E757" t="s">
        <v>6</v>
      </c>
      <c r="G757" t="s">
        <v>99</v>
      </c>
      <c r="H757" t="s">
        <v>34</v>
      </c>
      <c r="I757">
        <v>1.2270738766027542E-2</v>
      </c>
      <c r="J757" t="s">
        <v>6</v>
      </c>
    </row>
    <row r="758" spans="2:10" x14ac:dyDescent="0.45">
      <c r="B758" t="s">
        <v>98</v>
      </c>
      <c r="C758" t="s">
        <v>35</v>
      </c>
      <c r="D758">
        <v>3.344672781064835E-2</v>
      </c>
      <c r="E758" t="s">
        <v>6</v>
      </c>
      <c r="G758" t="s">
        <v>99</v>
      </c>
      <c r="H758" t="s">
        <v>35</v>
      </c>
      <c r="I758">
        <v>1.4110537234349761E-2</v>
      </c>
      <c r="J758" t="s">
        <v>6</v>
      </c>
    </row>
    <row r="759" spans="2:10" x14ac:dyDescent="0.45">
      <c r="B759" t="s">
        <v>98</v>
      </c>
      <c r="C759" t="s">
        <v>36</v>
      </c>
      <c r="D759">
        <v>4.8373829926138751E-3</v>
      </c>
      <c r="E759" t="s">
        <v>6</v>
      </c>
      <c r="G759" t="s">
        <v>99</v>
      </c>
      <c r="H759" t="s">
        <v>36</v>
      </c>
      <c r="I759">
        <v>1.5356412777045648E-2</v>
      </c>
      <c r="J759" t="s">
        <v>6</v>
      </c>
    </row>
    <row r="760" spans="2:10" x14ac:dyDescent="0.45">
      <c r="B760" t="s">
        <v>98</v>
      </c>
      <c r="C760" t="s">
        <v>37</v>
      </c>
      <c r="D760">
        <v>0</v>
      </c>
      <c r="E760" t="s">
        <v>6</v>
      </c>
      <c r="G760" t="s">
        <v>99</v>
      </c>
      <c r="H760" t="s">
        <v>37</v>
      </c>
      <c r="I760">
        <v>2.7548933502299026E-2</v>
      </c>
      <c r="J760" t="s">
        <v>6</v>
      </c>
    </row>
    <row r="761" spans="2:10" x14ac:dyDescent="0.45">
      <c r="B761" t="s">
        <v>98</v>
      </c>
      <c r="C761" t="s">
        <v>38</v>
      </c>
      <c r="D761">
        <v>0</v>
      </c>
      <c r="E761" t="s">
        <v>6</v>
      </c>
      <c r="G761" t="s">
        <v>99</v>
      </c>
      <c r="H761" t="s">
        <v>38</v>
      </c>
      <c r="I761">
        <v>5.8630819932311479E-2</v>
      </c>
      <c r="J761" t="s">
        <v>6</v>
      </c>
    </row>
    <row r="762" spans="2:10" x14ac:dyDescent="0.45">
      <c r="B762" t="s">
        <v>98</v>
      </c>
      <c r="C762" t="s">
        <v>39</v>
      </c>
      <c r="D762">
        <v>0</v>
      </c>
      <c r="E762" t="s">
        <v>6</v>
      </c>
      <c r="G762" t="s">
        <v>99</v>
      </c>
      <c r="H762" t="s">
        <v>39</v>
      </c>
      <c r="I762">
        <v>2.3170341281439032E-2</v>
      </c>
      <c r="J762" t="s">
        <v>6</v>
      </c>
    </row>
    <row r="763" spans="2:10" x14ac:dyDescent="0.45">
      <c r="B763" t="s">
        <v>98</v>
      </c>
      <c r="C763" t="s">
        <v>40</v>
      </c>
      <c r="D763">
        <v>3.7429015297708646E-3</v>
      </c>
      <c r="E763" t="s">
        <v>6</v>
      </c>
      <c r="G763" t="s">
        <v>99</v>
      </c>
      <c r="H763" t="s">
        <v>40</v>
      </c>
      <c r="I763">
        <v>2.302062034384263E-2</v>
      </c>
      <c r="J763" t="s">
        <v>6</v>
      </c>
    </row>
    <row r="764" spans="2:10" x14ac:dyDescent="0.45">
      <c r="B764" t="s">
        <v>98</v>
      </c>
      <c r="C764" t="s">
        <v>41</v>
      </c>
      <c r="D764">
        <v>3.1798938740242713E-2</v>
      </c>
      <c r="E764" t="s">
        <v>6</v>
      </c>
      <c r="G764" t="s">
        <v>99</v>
      </c>
      <c r="H764" t="s">
        <v>41</v>
      </c>
      <c r="I764">
        <v>2.0880058991045534E-2</v>
      </c>
      <c r="J764" t="s">
        <v>6</v>
      </c>
    </row>
    <row r="765" spans="2:10" x14ac:dyDescent="0.45">
      <c r="B765" t="s">
        <v>98</v>
      </c>
      <c r="C765" t="s">
        <v>42</v>
      </c>
      <c r="D765">
        <v>5.683267145434661E-2</v>
      </c>
      <c r="E765" t="s">
        <v>6</v>
      </c>
      <c r="G765" t="s">
        <v>99</v>
      </c>
      <c r="H765" t="s">
        <v>42</v>
      </c>
      <c r="I765">
        <v>1.8556444973394856E-2</v>
      </c>
      <c r="J765" t="s">
        <v>6</v>
      </c>
    </row>
    <row r="766" spans="2:10" x14ac:dyDescent="0.45">
      <c r="B766" t="s">
        <v>98</v>
      </c>
      <c r="C766" t="s">
        <v>43</v>
      </c>
      <c r="D766">
        <v>5.9848755028294738E-2</v>
      </c>
      <c r="E766" t="s">
        <v>6</v>
      </c>
      <c r="G766" t="s">
        <v>99</v>
      </c>
      <c r="H766" t="s">
        <v>43</v>
      </c>
      <c r="I766">
        <v>2.0153244220562635E-2</v>
      </c>
      <c r="J766" t="s">
        <v>6</v>
      </c>
    </row>
    <row r="767" spans="2:10" x14ac:dyDescent="0.45">
      <c r="B767" t="s">
        <v>98</v>
      </c>
      <c r="C767" t="s">
        <v>44</v>
      </c>
      <c r="D767">
        <v>4.2074220489173482E-2</v>
      </c>
      <c r="E767" t="s">
        <v>6</v>
      </c>
      <c r="G767" t="s">
        <v>99</v>
      </c>
      <c r="H767" t="s">
        <v>44</v>
      </c>
      <c r="I767">
        <v>2.2712130979187707E-2</v>
      </c>
      <c r="J767" t="s">
        <v>6</v>
      </c>
    </row>
    <row r="768" spans="2:10" x14ac:dyDescent="0.45">
      <c r="B768" t="s">
        <v>98</v>
      </c>
      <c r="C768" t="s">
        <v>45</v>
      </c>
      <c r="D768">
        <v>1.2815861578569204E-2</v>
      </c>
      <c r="E768" t="s">
        <v>6</v>
      </c>
      <c r="G768" t="s">
        <v>99</v>
      </c>
      <c r="H768" t="s">
        <v>45</v>
      </c>
      <c r="I768">
        <v>2.3439595773492444E-2</v>
      </c>
      <c r="J768" t="s">
        <v>6</v>
      </c>
    </row>
    <row r="769" spans="2:10" x14ac:dyDescent="0.45">
      <c r="B769" t="s">
        <v>98</v>
      </c>
      <c r="C769" t="s">
        <v>46</v>
      </c>
      <c r="D769">
        <v>1.2051680171010443E-4</v>
      </c>
      <c r="E769" t="s">
        <v>6</v>
      </c>
      <c r="G769" t="s">
        <v>99</v>
      </c>
      <c r="H769" t="s">
        <v>46</v>
      </c>
      <c r="I769">
        <v>2.4380238817212119E-2</v>
      </c>
      <c r="J769" t="s">
        <v>6</v>
      </c>
    </row>
    <row r="770" spans="2:10" x14ac:dyDescent="0.45">
      <c r="B770" t="s">
        <v>98</v>
      </c>
      <c r="C770" t="s">
        <v>47</v>
      </c>
      <c r="D770">
        <v>0</v>
      </c>
      <c r="E770" t="s">
        <v>6</v>
      </c>
      <c r="G770" t="s">
        <v>99</v>
      </c>
      <c r="H770" t="s">
        <v>47</v>
      </c>
      <c r="I770">
        <v>3.6775373085005343E-2</v>
      </c>
      <c r="J770" t="s">
        <v>6</v>
      </c>
    </row>
    <row r="771" spans="2:10" x14ac:dyDescent="0.45">
      <c r="B771" t="s">
        <v>100</v>
      </c>
      <c r="C771" t="s">
        <v>5</v>
      </c>
      <c r="D771">
        <v>0</v>
      </c>
      <c r="E771" t="s">
        <v>6</v>
      </c>
      <c r="G771" t="s">
        <v>101</v>
      </c>
      <c r="H771" t="s">
        <v>5</v>
      </c>
      <c r="I771">
        <v>6.7321374117258817E-2</v>
      </c>
      <c r="J771" t="s">
        <v>6</v>
      </c>
    </row>
    <row r="772" spans="2:10" x14ac:dyDescent="0.45">
      <c r="B772" t="s">
        <v>100</v>
      </c>
      <c r="C772" t="s">
        <v>9</v>
      </c>
      <c r="D772">
        <v>0</v>
      </c>
      <c r="E772" t="s">
        <v>6</v>
      </c>
      <c r="G772" t="s">
        <v>101</v>
      </c>
      <c r="H772" t="s">
        <v>9</v>
      </c>
      <c r="I772">
        <v>3.005535379121594E-2</v>
      </c>
      <c r="J772" t="s">
        <v>6</v>
      </c>
    </row>
    <row r="773" spans="2:10" x14ac:dyDescent="0.45">
      <c r="B773" t="s">
        <v>100</v>
      </c>
      <c r="C773" t="s">
        <v>10</v>
      </c>
      <c r="D773">
        <v>0</v>
      </c>
      <c r="E773" t="s">
        <v>6</v>
      </c>
      <c r="G773" t="s">
        <v>101</v>
      </c>
      <c r="H773" t="s">
        <v>10</v>
      </c>
      <c r="I773">
        <v>2.954224886191786E-2</v>
      </c>
      <c r="J773" t="s">
        <v>6</v>
      </c>
    </row>
    <row r="774" spans="2:10" x14ac:dyDescent="0.45">
      <c r="B774" t="s">
        <v>100</v>
      </c>
      <c r="C774" t="s">
        <v>11</v>
      </c>
      <c r="D774">
        <v>1.7324940476503983E-2</v>
      </c>
      <c r="E774" t="s">
        <v>6</v>
      </c>
      <c r="G774" t="s">
        <v>101</v>
      </c>
      <c r="H774" t="s">
        <v>11</v>
      </c>
      <c r="I774">
        <v>2.7339889853304919E-2</v>
      </c>
      <c r="J774" t="s">
        <v>6</v>
      </c>
    </row>
    <row r="775" spans="2:10" x14ac:dyDescent="0.45">
      <c r="B775" t="s">
        <v>100</v>
      </c>
      <c r="C775" t="s">
        <v>12</v>
      </c>
      <c r="D775">
        <v>5.1119260874930857E-2</v>
      </c>
      <c r="E775" t="s">
        <v>6</v>
      </c>
      <c r="G775" t="s">
        <v>101</v>
      </c>
      <c r="H775" t="s">
        <v>12</v>
      </c>
      <c r="I775">
        <v>2.3306871750262158E-2</v>
      </c>
      <c r="J775" t="s">
        <v>6</v>
      </c>
    </row>
    <row r="776" spans="2:10" x14ac:dyDescent="0.45">
      <c r="B776" t="s">
        <v>100</v>
      </c>
      <c r="C776" t="s">
        <v>13</v>
      </c>
      <c r="D776">
        <v>6.3376054489392361E-2</v>
      </c>
      <c r="E776" t="s">
        <v>6</v>
      </c>
      <c r="G776" t="s">
        <v>101</v>
      </c>
      <c r="H776" t="s">
        <v>13</v>
      </c>
      <c r="I776">
        <v>2.427944047690957E-2</v>
      </c>
      <c r="J776" t="s">
        <v>6</v>
      </c>
    </row>
    <row r="777" spans="2:10" x14ac:dyDescent="0.45">
      <c r="B777" t="s">
        <v>100</v>
      </c>
      <c r="C777" t="s">
        <v>14</v>
      </c>
      <c r="D777">
        <v>5.0252217811743327E-2</v>
      </c>
      <c r="E777" t="s">
        <v>6</v>
      </c>
      <c r="G777" t="s">
        <v>101</v>
      </c>
      <c r="H777" t="s">
        <v>14</v>
      </c>
      <c r="I777">
        <v>2.6273203744422387E-2</v>
      </c>
      <c r="J777" t="s">
        <v>6</v>
      </c>
    </row>
    <row r="778" spans="2:10" x14ac:dyDescent="0.45">
      <c r="B778" t="s">
        <v>100</v>
      </c>
      <c r="C778" t="s">
        <v>15</v>
      </c>
      <c r="D778">
        <v>1.5866355858112587E-2</v>
      </c>
      <c r="E778" t="s">
        <v>6</v>
      </c>
      <c r="G778" t="s">
        <v>101</v>
      </c>
      <c r="H778" t="s">
        <v>15</v>
      </c>
      <c r="I778">
        <v>2.6482721298839825E-2</v>
      </c>
      <c r="J778" t="s">
        <v>6</v>
      </c>
    </row>
    <row r="779" spans="2:10" x14ac:dyDescent="0.45">
      <c r="B779" t="s">
        <v>100</v>
      </c>
      <c r="C779" t="s">
        <v>16</v>
      </c>
      <c r="D779">
        <v>3.3655121602444194E-5</v>
      </c>
      <c r="E779" t="s">
        <v>6</v>
      </c>
      <c r="G779" t="s">
        <v>101</v>
      </c>
      <c r="H779" t="s">
        <v>16</v>
      </c>
      <c r="I779">
        <v>2.7502811840615152E-2</v>
      </c>
      <c r="J779" t="s">
        <v>6</v>
      </c>
    </row>
    <row r="780" spans="2:10" x14ac:dyDescent="0.45">
      <c r="B780" t="s">
        <v>100</v>
      </c>
      <c r="C780" t="s">
        <v>17</v>
      </c>
      <c r="D780">
        <v>0</v>
      </c>
      <c r="E780" t="s">
        <v>6</v>
      </c>
      <c r="G780" t="s">
        <v>101</v>
      </c>
      <c r="H780" t="s">
        <v>17</v>
      </c>
      <c r="I780">
        <v>4.0205285971560208E-2</v>
      </c>
      <c r="J780" t="s">
        <v>6</v>
      </c>
    </row>
    <row r="781" spans="2:10" x14ac:dyDescent="0.45">
      <c r="B781" t="s">
        <v>100</v>
      </c>
      <c r="C781" t="s">
        <v>18</v>
      </c>
      <c r="D781">
        <v>0</v>
      </c>
      <c r="E781" t="s">
        <v>6</v>
      </c>
      <c r="G781" t="s">
        <v>101</v>
      </c>
      <c r="H781" t="s">
        <v>18</v>
      </c>
      <c r="I781">
        <v>6.4280895666470092E-2</v>
      </c>
      <c r="J781" t="s">
        <v>6</v>
      </c>
    </row>
    <row r="782" spans="2:10" x14ac:dyDescent="0.45">
      <c r="B782" t="s">
        <v>100</v>
      </c>
      <c r="C782" t="s">
        <v>19</v>
      </c>
      <c r="D782">
        <v>3.9229818967224437E-6</v>
      </c>
      <c r="E782" t="s">
        <v>6</v>
      </c>
      <c r="G782" t="s">
        <v>101</v>
      </c>
      <c r="H782" t="s">
        <v>19</v>
      </c>
      <c r="I782">
        <v>2.4531145911972571E-2</v>
      </c>
      <c r="J782" t="s">
        <v>6</v>
      </c>
    </row>
    <row r="783" spans="2:10" x14ac:dyDescent="0.45">
      <c r="B783" t="s">
        <v>100</v>
      </c>
      <c r="C783" t="s">
        <v>20</v>
      </c>
      <c r="D783">
        <v>5.7935300800962403E-3</v>
      </c>
      <c r="E783" t="s">
        <v>6</v>
      </c>
      <c r="G783" t="s">
        <v>101</v>
      </c>
      <c r="H783" t="s">
        <v>20</v>
      </c>
      <c r="I783">
        <v>2.3657738992296933E-2</v>
      </c>
      <c r="J783" t="s">
        <v>6</v>
      </c>
    </row>
    <row r="784" spans="2:10" x14ac:dyDescent="0.45">
      <c r="B784" t="s">
        <v>100</v>
      </c>
      <c r="C784" t="s">
        <v>21</v>
      </c>
      <c r="D784">
        <v>3.6833351486959535E-2</v>
      </c>
      <c r="E784" t="s">
        <v>6</v>
      </c>
      <c r="G784" t="s">
        <v>101</v>
      </c>
      <c r="H784" t="s">
        <v>21</v>
      </c>
      <c r="I784">
        <v>2.1047528979598547E-2</v>
      </c>
      <c r="J784" t="s">
        <v>6</v>
      </c>
    </row>
    <row r="785" spans="2:10" x14ac:dyDescent="0.45">
      <c r="B785" t="s">
        <v>100</v>
      </c>
      <c r="C785" t="s">
        <v>22</v>
      </c>
      <c r="D785">
        <v>6.4248103894607292E-2</v>
      </c>
      <c r="E785" t="s">
        <v>6</v>
      </c>
      <c r="G785" t="s">
        <v>101</v>
      </c>
      <c r="H785" t="s">
        <v>22</v>
      </c>
      <c r="I785">
        <v>2.1404766462294406E-2</v>
      </c>
      <c r="J785" t="s">
        <v>6</v>
      </c>
    </row>
    <row r="786" spans="2:10" x14ac:dyDescent="0.45">
      <c r="B786" t="s">
        <v>100</v>
      </c>
      <c r="C786" t="s">
        <v>23</v>
      </c>
      <c r="D786">
        <v>7.0745502411872316E-2</v>
      </c>
      <c r="E786" t="s">
        <v>6</v>
      </c>
      <c r="G786" t="s">
        <v>101</v>
      </c>
      <c r="H786" t="s">
        <v>23</v>
      </c>
      <c r="I786">
        <v>2.6143891166040715E-2</v>
      </c>
      <c r="J786" t="s">
        <v>6</v>
      </c>
    </row>
    <row r="787" spans="2:10" x14ac:dyDescent="0.45">
      <c r="B787" t="s">
        <v>100</v>
      </c>
      <c r="C787" t="s">
        <v>24</v>
      </c>
      <c r="D787">
        <v>5.7681660332110966E-2</v>
      </c>
      <c r="E787" t="s">
        <v>6</v>
      </c>
      <c r="G787" t="s">
        <v>101</v>
      </c>
      <c r="H787" t="s">
        <v>24</v>
      </c>
      <c r="I787">
        <v>2.9670345451076833E-2</v>
      </c>
      <c r="J787" t="s">
        <v>6</v>
      </c>
    </row>
    <row r="788" spans="2:10" x14ac:dyDescent="0.45">
      <c r="B788" t="s">
        <v>100</v>
      </c>
      <c r="C788" t="s">
        <v>25</v>
      </c>
      <c r="D788">
        <v>3.0213060232421256E-2</v>
      </c>
      <c r="E788" t="s">
        <v>6</v>
      </c>
      <c r="G788" t="s">
        <v>101</v>
      </c>
      <c r="H788" t="s">
        <v>25</v>
      </c>
      <c r="I788">
        <v>2.9543577444109653E-2</v>
      </c>
      <c r="J788" t="s">
        <v>6</v>
      </c>
    </row>
    <row r="789" spans="2:10" x14ac:dyDescent="0.45">
      <c r="B789" t="s">
        <v>100</v>
      </c>
      <c r="C789" t="s">
        <v>26</v>
      </c>
      <c r="D789">
        <v>3.5736751773491537E-3</v>
      </c>
      <c r="E789" t="s">
        <v>6</v>
      </c>
      <c r="G789" t="s">
        <v>101</v>
      </c>
      <c r="H789" t="s">
        <v>26</v>
      </c>
      <c r="I789">
        <v>2.8082948357112548E-2</v>
      </c>
      <c r="J789" t="s">
        <v>6</v>
      </c>
    </row>
    <row r="790" spans="2:10" x14ac:dyDescent="0.45">
      <c r="B790" t="s">
        <v>100</v>
      </c>
      <c r="C790" t="s">
        <v>27</v>
      </c>
      <c r="D790">
        <v>0</v>
      </c>
      <c r="E790" t="s">
        <v>6</v>
      </c>
      <c r="G790" t="s">
        <v>101</v>
      </c>
      <c r="H790" t="s">
        <v>27</v>
      </c>
      <c r="I790">
        <v>4.0635063901406962E-2</v>
      </c>
      <c r="J790" t="s">
        <v>6</v>
      </c>
    </row>
    <row r="791" spans="2:10" x14ac:dyDescent="0.45">
      <c r="B791" t="s">
        <v>100</v>
      </c>
      <c r="C791" t="s">
        <v>28</v>
      </c>
      <c r="D791">
        <v>0</v>
      </c>
      <c r="E791" t="s">
        <v>6</v>
      </c>
      <c r="G791" t="s">
        <v>101</v>
      </c>
      <c r="H791" t="s">
        <v>28</v>
      </c>
      <c r="I791">
        <v>3.1508332990004835E-2</v>
      </c>
      <c r="J791" t="s">
        <v>6</v>
      </c>
    </row>
    <row r="792" spans="2:10" x14ac:dyDescent="0.45">
      <c r="B792" t="s">
        <v>100</v>
      </c>
      <c r="C792" t="s">
        <v>29</v>
      </c>
      <c r="D792">
        <v>4.2137376976399864E-5</v>
      </c>
      <c r="E792" t="s">
        <v>6</v>
      </c>
      <c r="G792" t="s">
        <v>101</v>
      </c>
      <c r="H792" t="s">
        <v>29</v>
      </c>
      <c r="I792">
        <v>1.0304187944556387E-2</v>
      </c>
      <c r="J792" t="s">
        <v>6</v>
      </c>
    </row>
    <row r="793" spans="2:10" x14ac:dyDescent="0.45">
      <c r="B793" t="s">
        <v>100</v>
      </c>
      <c r="C793" t="s">
        <v>30</v>
      </c>
      <c r="D793">
        <v>9.3509664416922822E-3</v>
      </c>
      <c r="E793" t="s">
        <v>6</v>
      </c>
      <c r="G793" t="s">
        <v>101</v>
      </c>
      <c r="H793" t="s">
        <v>30</v>
      </c>
      <c r="I793">
        <v>9.185902240334512E-3</v>
      </c>
      <c r="J793" t="s">
        <v>6</v>
      </c>
    </row>
    <row r="794" spans="2:10" x14ac:dyDescent="0.45">
      <c r="B794" t="s">
        <v>100</v>
      </c>
      <c r="C794" t="s">
        <v>31</v>
      </c>
      <c r="D794">
        <v>4.4516814592208798E-2</v>
      </c>
      <c r="E794" t="s">
        <v>6</v>
      </c>
      <c r="G794" t="s">
        <v>101</v>
      </c>
      <c r="H794" t="s">
        <v>31</v>
      </c>
      <c r="I794">
        <v>7.9955909205589194E-3</v>
      </c>
      <c r="J794" t="s">
        <v>6</v>
      </c>
    </row>
    <row r="795" spans="2:10" x14ac:dyDescent="0.45">
      <c r="B795" t="s">
        <v>100</v>
      </c>
      <c r="C795" t="s">
        <v>32</v>
      </c>
      <c r="D795">
        <v>7.2131892282495738E-2</v>
      </c>
      <c r="E795" t="s">
        <v>6</v>
      </c>
      <c r="G795" t="s">
        <v>101</v>
      </c>
      <c r="H795" t="s">
        <v>32</v>
      </c>
      <c r="I795">
        <v>8.8182405552732577E-3</v>
      </c>
      <c r="J795" t="s">
        <v>6</v>
      </c>
    </row>
    <row r="796" spans="2:10" x14ac:dyDescent="0.45">
      <c r="B796" t="s">
        <v>100</v>
      </c>
      <c r="C796" t="s">
        <v>33</v>
      </c>
      <c r="D796">
        <v>7.7738631505755745E-2</v>
      </c>
      <c r="E796" t="s">
        <v>6</v>
      </c>
      <c r="G796" t="s">
        <v>101</v>
      </c>
      <c r="H796" t="s">
        <v>33</v>
      </c>
      <c r="I796">
        <v>1.0676826054786254E-2</v>
      </c>
      <c r="J796" t="s">
        <v>6</v>
      </c>
    </row>
    <row r="797" spans="2:10" x14ac:dyDescent="0.45">
      <c r="B797" t="s">
        <v>100</v>
      </c>
      <c r="C797" t="s">
        <v>34</v>
      </c>
      <c r="D797">
        <v>6.3868885296808023E-2</v>
      </c>
      <c r="E797" t="s">
        <v>6</v>
      </c>
      <c r="G797" t="s">
        <v>101</v>
      </c>
      <c r="H797" t="s">
        <v>34</v>
      </c>
      <c r="I797">
        <v>1.1993846568556753E-2</v>
      </c>
      <c r="J797" t="s">
        <v>6</v>
      </c>
    </row>
    <row r="798" spans="2:10" x14ac:dyDescent="0.45">
      <c r="B798" t="s">
        <v>100</v>
      </c>
      <c r="C798" t="s">
        <v>35</v>
      </c>
      <c r="D798">
        <v>3.6291825551514764E-2</v>
      </c>
      <c r="E798" t="s">
        <v>6</v>
      </c>
      <c r="G798" t="s">
        <v>101</v>
      </c>
      <c r="H798" t="s">
        <v>35</v>
      </c>
      <c r="I798">
        <v>1.2324948090256339E-2</v>
      </c>
      <c r="J798" t="s">
        <v>6</v>
      </c>
    </row>
    <row r="799" spans="2:10" x14ac:dyDescent="0.45">
      <c r="B799" t="s">
        <v>100</v>
      </c>
      <c r="C799" t="s">
        <v>36</v>
      </c>
      <c r="D799">
        <v>6.9442363802450363E-3</v>
      </c>
      <c r="E799" t="s">
        <v>6</v>
      </c>
      <c r="G799" t="s">
        <v>101</v>
      </c>
      <c r="H799" t="s">
        <v>36</v>
      </c>
      <c r="I799">
        <v>1.2296818825869428E-2</v>
      </c>
      <c r="J799" t="s">
        <v>6</v>
      </c>
    </row>
    <row r="800" spans="2:10" x14ac:dyDescent="0.45">
      <c r="B800" t="s">
        <v>100</v>
      </c>
      <c r="C800" t="s">
        <v>37</v>
      </c>
      <c r="D800">
        <v>2.1791139716559889E-6</v>
      </c>
      <c r="E800" t="s">
        <v>6</v>
      </c>
      <c r="G800" t="s">
        <v>101</v>
      </c>
      <c r="H800" t="s">
        <v>37</v>
      </c>
      <c r="I800">
        <v>2.1429863986298151E-2</v>
      </c>
      <c r="J800" t="s">
        <v>6</v>
      </c>
    </row>
    <row r="801" spans="2:10" x14ac:dyDescent="0.45">
      <c r="B801" t="s">
        <v>100</v>
      </c>
      <c r="C801" t="s">
        <v>38</v>
      </c>
      <c r="D801">
        <v>0</v>
      </c>
      <c r="E801" t="s">
        <v>6</v>
      </c>
      <c r="G801" t="s">
        <v>101</v>
      </c>
      <c r="H801" t="s">
        <v>38</v>
      </c>
      <c r="I801">
        <v>5.0608540950581649E-2</v>
      </c>
      <c r="J801" t="s">
        <v>6</v>
      </c>
    </row>
    <row r="802" spans="2:10" x14ac:dyDescent="0.45">
      <c r="B802" t="s">
        <v>100</v>
      </c>
      <c r="C802" t="s">
        <v>39</v>
      </c>
      <c r="D802">
        <v>0</v>
      </c>
      <c r="E802" t="s">
        <v>6</v>
      </c>
      <c r="G802" t="s">
        <v>101</v>
      </c>
      <c r="H802" t="s">
        <v>39</v>
      </c>
      <c r="I802">
        <v>1.9304626639397519E-2</v>
      </c>
      <c r="J802" t="s">
        <v>6</v>
      </c>
    </row>
    <row r="803" spans="2:10" x14ac:dyDescent="0.45">
      <c r="B803" t="s">
        <v>100</v>
      </c>
      <c r="C803" t="s">
        <v>40</v>
      </c>
      <c r="D803">
        <v>2.1848008918117748E-3</v>
      </c>
      <c r="E803" t="s">
        <v>6</v>
      </c>
      <c r="G803" t="s">
        <v>101</v>
      </c>
      <c r="H803" t="s">
        <v>40</v>
      </c>
      <c r="I803">
        <v>1.8357285890706697E-2</v>
      </c>
      <c r="J803" t="s">
        <v>6</v>
      </c>
    </row>
    <row r="804" spans="2:10" x14ac:dyDescent="0.45">
      <c r="B804" t="s">
        <v>100</v>
      </c>
      <c r="C804" t="s">
        <v>41</v>
      </c>
      <c r="D804">
        <v>2.879385083097823E-2</v>
      </c>
      <c r="E804" t="s">
        <v>6</v>
      </c>
      <c r="G804" t="s">
        <v>101</v>
      </c>
      <c r="H804" t="s">
        <v>41</v>
      </c>
      <c r="I804">
        <v>1.593971018729088E-2</v>
      </c>
      <c r="J804" t="s">
        <v>6</v>
      </c>
    </row>
    <row r="805" spans="2:10" x14ac:dyDescent="0.45">
      <c r="B805" t="s">
        <v>100</v>
      </c>
      <c r="C805" t="s">
        <v>42</v>
      </c>
      <c r="D805">
        <v>5.8419110715296103E-2</v>
      </c>
      <c r="E805" t="s">
        <v>6</v>
      </c>
      <c r="G805" t="s">
        <v>101</v>
      </c>
      <c r="H805" t="s">
        <v>42</v>
      </c>
      <c r="I805">
        <v>1.5328828612032469E-2</v>
      </c>
      <c r="J805" t="s">
        <v>6</v>
      </c>
    </row>
    <row r="806" spans="2:10" x14ac:dyDescent="0.45">
      <c r="B806" t="s">
        <v>100</v>
      </c>
      <c r="C806" t="s">
        <v>43</v>
      </c>
      <c r="D806">
        <v>6.5253855882687478E-2</v>
      </c>
      <c r="E806" t="s">
        <v>6</v>
      </c>
      <c r="G806" t="s">
        <v>101</v>
      </c>
      <c r="H806" t="s">
        <v>43</v>
      </c>
      <c r="I806">
        <v>1.8149095500660645E-2</v>
      </c>
      <c r="J806" t="s">
        <v>6</v>
      </c>
    </row>
    <row r="807" spans="2:10" x14ac:dyDescent="0.45">
      <c r="B807" t="s">
        <v>100</v>
      </c>
      <c r="C807" t="s">
        <v>44</v>
      </c>
      <c r="D807">
        <v>4.9224365872311486E-2</v>
      </c>
      <c r="E807" t="s">
        <v>6</v>
      </c>
      <c r="G807" t="s">
        <v>101</v>
      </c>
      <c r="H807" t="s">
        <v>44</v>
      </c>
      <c r="I807">
        <v>1.9897312000788911E-2</v>
      </c>
      <c r="J807" t="s">
        <v>6</v>
      </c>
    </row>
    <row r="808" spans="2:10" x14ac:dyDescent="0.45">
      <c r="B808" t="s">
        <v>100</v>
      </c>
      <c r="C808" t="s">
        <v>45</v>
      </c>
      <c r="D808">
        <v>1.7656383473828398E-2</v>
      </c>
      <c r="E808" t="s">
        <v>6</v>
      </c>
      <c r="G808" t="s">
        <v>101</v>
      </c>
      <c r="H808" t="s">
        <v>45</v>
      </c>
      <c r="I808">
        <v>2.0378010098286461E-2</v>
      </c>
      <c r="J808" t="s">
        <v>6</v>
      </c>
    </row>
    <row r="809" spans="2:10" x14ac:dyDescent="0.45">
      <c r="B809" t="s">
        <v>100</v>
      </c>
      <c r="C809" t="s">
        <v>46</v>
      </c>
      <c r="D809">
        <v>5.1477256182041065E-4</v>
      </c>
      <c r="E809" t="s">
        <v>6</v>
      </c>
      <c r="G809" t="s">
        <v>101</v>
      </c>
      <c r="H809" t="s">
        <v>46</v>
      </c>
      <c r="I809">
        <v>2.1929328021404158E-2</v>
      </c>
      <c r="J809" t="s">
        <v>6</v>
      </c>
    </row>
    <row r="810" spans="2:10" x14ac:dyDescent="0.45">
      <c r="B810" t="s">
        <v>100</v>
      </c>
      <c r="C810" t="s">
        <v>47</v>
      </c>
      <c r="D810">
        <v>0</v>
      </c>
      <c r="E810" t="s">
        <v>6</v>
      </c>
      <c r="G810" t="s">
        <v>101</v>
      </c>
      <c r="H810" t="s">
        <v>47</v>
      </c>
      <c r="I810">
        <v>3.2265599883672585E-2</v>
      </c>
      <c r="J810" t="s">
        <v>6</v>
      </c>
    </row>
    <row r="811" spans="2:10" x14ac:dyDescent="0.45">
      <c r="B811" t="s">
        <v>102</v>
      </c>
      <c r="C811" t="s">
        <v>5</v>
      </c>
      <c r="D811">
        <v>0</v>
      </c>
      <c r="E811" t="s">
        <v>6</v>
      </c>
      <c r="G811" t="s">
        <v>103</v>
      </c>
      <c r="H811" t="s">
        <v>5</v>
      </c>
      <c r="I811">
        <v>6.8938613788898206E-2</v>
      </c>
      <c r="J811" t="s">
        <v>6</v>
      </c>
    </row>
    <row r="812" spans="2:10" x14ac:dyDescent="0.45">
      <c r="B812" t="s">
        <v>102</v>
      </c>
      <c r="C812" t="s">
        <v>9</v>
      </c>
      <c r="D812">
        <v>0</v>
      </c>
      <c r="E812" t="s">
        <v>6</v>
      </c>
      <c r="G812" t="s">
        <v>103</v>
      </c>
      <c r="H812" t="s">
        <v>9</v>
      </c>
      <c r="I812">
        <v>2.7896178005102478E-2</v>
      </c>
      <c r="J812" t="s">
        <v>6</v>
      </c>
    </row>
    <row r="813" spans="2:10" x14ac:dyDescent="0.45">
      <c r="B813" t="s">
        <v>102</v>
      </c>
      <c r="C813" t="s">
        <v>10</v>
      </c>
      <c r="D813">
        <v>6.4706848287051043E-6</v>
      </c>
      <c r="E813" t="s">
        <v>6</v>
      </c>
      <c r="G813" t="s">
        <v>103</v>
      </c>
      <c r="H813" t="s">
        <v>10</v>
      </c>
      <c r="I813">
        <v>2.6710585117110146E-2</v>
      </c>
      <c r="J813" t="s">
        <v>6</v>
      </c>
    </row>
    <row r="814" spans="2:10" x14ac:dyDescent="0.45">
      <c r="B814" t="s">
        <v>102</v>
      </c>
      <c r="C814" t="s">
        <v>11</v>
      </c>
      <c r="D814">
        <v>1.7831052618626237E-2</v>
      </c>
      <c r="E814" t="s">
        <v>6</v>
      </c>
      <c r="G814" t="s">
        <v>103</v>
      </c>
      <c r="H814" t="s">
        <v>11</v>
      </c>
      <c r="I814">
        <v>2.4521449956867072E-2</v>
      </c>
      <c r="J814" t="s">
        <v>6</v>
      </c>
    </row>
    <row r="815" spans="2:10" x14ac:dyDescent="0.45">
      <c r="B815" t="s">
        <v>102</v>
      </c>
      <c r="C815" t="s">
        <v>12</v>
      </c>
      <c r="D815">
        <v>5.0156661346621348E-2</v>
      </c>
      <c r="E815" t="s">
        <v>6</v>
      </c>
      <c r="G815" t="s">
        <v>103</v>
      </c>
      <c r="H815" t="s">
        <v>12</v>
      </c>
      <c r="I815">
        <v>2.0500792513883235E-2</v>
      </c>
      <c r="J815" t="s">
        <v>6</v>
      </c>
    </row>
    <row r="816" spans="2:10" x14ac:dyDescent="0.45">
      <c r="B816" t="s">
        <v>102</v>
      </c>
      <c r="C816" t="s">
        <v>13</v>
      </c>
      <c r="D816">
        <v>6.0883555035891136E-2</v>
      </c>
      <c r="E816" t="s">
        <v>6</v>
      </c>
      <c r="G816" t="s">
        <v>103</v>
      </c>
      <c r="H816" t="s">
        <v>13</v>
      </c>
      <c r="I816">
        <v>2.126970360141921E-2</v>
      </c>
      <c r="J816" t="s">
        <v>6</v>
      </c>
    </row>
    <row r="817" spans="2:10" x14ac:dyDescent="0.45">
      <c r="B817" t="s">
        <v>102</v>
      </c>
      <c r="C817" t="s">
        <v>14</v>
      </c>
      <c r="D817">
        <v>4.6482604513197523E-2</v>
      </c>
      <c r="E817" t="s">
        <v>6</v>
      </c>
      <c r="G817" t="s">
        <v>103</v>
      </c>
      <c r="H817" t="s">
        <v>14</v>
      </c>
      <c r="I817">
        <v>2.3145400427307644E-2</v>
      </c>
      <c r="J817" t="s">
        <v>6</v>
      </c>
    </row>
    <row r="818" spans="2:10" x14ac:dyDescent="0.45">
      <c r="B818" t="s">
        <v>102</v>
      </c>
      <c r="C818" t="s">
        <v>15</v>
      </c>
      <c r="D818">
        <v>1.3346399919088019E-2</v>
      </c>
      <c r="E818" t="s">
        <v>6</v>
      </c>
      <c r="G818" t="s">
        <v>103</v>
      </c>
      <c r="H818" t="s">
        <v>15</v>
      </c>
      <c r="I818">
        <v>2.3805971365573001E-2</v>
      </c>
      <c r="J818" t="s">
        <v>6</v>
      </c>
    </row>
    <row r="819" spans="2:10" x14ac:dyDescent="0.45">
      <c r="B819" t="s">
        <v>102</v>
      </c>
      <c r="C819" t="s">
        <v>16</v>
      </c>
      <c r="D819">
        <v>0</v>
      </c>
      <c r="E819" t="s">
        <v>6</v>
      </c>
      <c r="G819" t="s">
        <v>103</v>
      </c>
      <c r="H819" t="s">
        <v>16</v>
      </c>
      <c r="I819">
        <v>2.6008092654282406E-2</v>
      </c>
      <c r="J819" t="s">
        <v>6</v>
      </c>
    </row>
    <row r="820" spans="2:10" x14ac:dyDescent="0.45">
      <c r="B820" t="s">
        <v>102</v>
      </c>
      <c r="C820" t="s">
        <v>17</v>
      </c>
      <c r="D820">
        <v>0</v>
      </c>
      <c r="E820" t="s">
        <v>6</v>
      </c>
      <c r="G820" t="s">
        <v>103</v>
      </c>
      <c r="H820" t="s">
        <v>17</v>
      </c>
      <c r="I820">
        <v>4.0450641747766261E-2</v>
      </c>
      <c r="J820" t="s">
        <v>6</v>
      </c>
    </row>
    <row r="821" spans="2:10" x14ac:dyDescent="0.45">
      <c r="B821" t="s">
        <v>102</v>
      </c>
      <c r="C821" t="s">
        <v>18</v>
      </c>
      <c r="D821">
        <v>0</v>
      </c>
      <c r="E821" t="s">
        <v>6</v>
      </c>
      <c r="G821" t="s">
        <v>103</v>
      </c>
      <c r="H821" t="s">
        <v>18</v>
      </c>
      <c r="I821">
        <v>6.2563729152773251E-2</v>
      </c>
      <c r="J821" t="s">
        <v>6</v>
      </c>
    </row>
    <row r="822" spans="2:10" x14ac:dyDescent="0.45">
      <c r="B822" t="s">
        <v>102</v>
      </c>
      <c r="C822" t="s">
        <v>19</v>
      </c>
      <c r="D822">
        <v>3.7542424372871121E-5</v>
      </c>
      <c r="E822" t="s">
        <v>6</v>
      </c>
      <c r="G822" t="s">
        <v>103</v>
      </c>
      <c r="H822" t="s">
        <v>19</v>
      </c>
      <c r="I822">
        <v>2.4208994443707152E-2</v>
      </c>
      <c r="J822" t="s">
        <v>6</v>
      </c>
    </row>
    <row r="823" spans="2:10" x14ac:dyDescent="0.45">
      <c r="B823" t="s">
        <v>102</v>
      </c>
      <c r="C823" t="s">
        <v>20</v>
      </c>
      <c r="D823">
        <v>7.2751506881345044E-3</v>
      </c>
      <c r="E823" t="s">
        <v>6</v>
      </c>
      <c r="G823" t="s">
        <v>103</v>
      </c>
      <c r="H823" t="s">
        <v>20</v>
      </c>
      <c r="I823">
        <v>2.2640091137676295E-2</v>
      </c>
      <c r="J823" t="s">
        <v>6</v>
      </c>
    </row>
    <row r="824" spans="2:10" x14ac:dyDescent="0.45">
      <c r="B824" t="s">
        <v>102</v>
      </c>
      <c r="C824" t="s">
        <v>21</v>
      </c>
      <c r="D824">
        <v>3.8022133813785268E-2</v>
      </c>
      <c r="E824" t="s">
        <v>6</v>
      </c>
      <c r="G824" t="s">
        <v>103</v>
      </c>
      <c r="H824" t="s">
        <v>21</v>
      </c>
      <c r="I824">
        <v>1.9056370276428241E-2</v>
      </c>
      <c r="J824" t="s">
        <v>6</v>
      </c>
    </row>
    <row r="825" spans="2:10" x14ac:dyDescent="0.45">
      <c r="B825" t="s">
        <v>102</v>
      </c>
      <c r="C825" t="s">
        <v>22</v>
      </c>
      <c r="D825">
        <v>6.3555690449072041E-2</v>
      </c>
      <c r="E825" t="s">
        <v>6</v>
      </c>
      <c r="G825" t="s">
        <v>103</v>
      </c>
      <c r="H825" t="s">
        <v>22</v>
      </c>
      <c r="I825">
        <v>1.9057821082820815E-2</v>
      </c>
      <c r="J825" t="s">
        <v>6</v>
      </c>
    </row>
    <row r="826" spans="2:10" x14ac:dyDescent="0.45">
      <c r="B826" t="s">
        <v>102</v>
      </c>
      <c r="C826" t="s">
        <v>23</v>
      </c>
      <c r="D826">
        <v>6.8955167429520389E-2</v>
      </c>
      <c r="E826" t="s">
        <v>6</v>
      </c>
      <c r="G826" t="s">
        <v>103</v>
      </c>
      <c r="H826" t="s">
        <v>23</v>
      </c>
      <c r="I826">
        <v>2.3780476305022911E-2</v>
      </c>
      <c r="J826" t="s">
        <v>6</v>
      </c>
    </row>
    <row r="827" spans="2:10" x14ac:dyDescent="0.45">
      <c r="B827" t="s">
        <v>102</v>
      </c>
      <c r="C827" t="s">
        <v>24</v>
      </c>
      <c r="D827">
        <v>5.6903740253187333E-2</v>
      </c>
      <c r="E827" t="s">
        <v>6</v>
      </c>
      <c r="G827" t="s">
        <v>103</v>
      </c>
      <c r="H827" t="s">
        <v>24</v>
      </c>
      <c r="I827">
        <v>2.7258451716229055E-2</v>
      </c>
      <c r="J827" t="s">
        <v>6</v>
      </c>
    </row>
    <row r="828" spans="2:10" x14ac:dyDescent="0.45">
      <c r="B828" t="s">
        <v>102</v>
      </c>
      <c r="C828" t="s">
        <v>25</v>
      </c>
      <c r="D828">
        <v>2.9260279977887584E-2</v>
      </c>
      <c r="E828" t="s">
        <v>6</v>
      </c>
      <c r="G828" t="s">
        <v>103</v>
      </c>
      <c r="H828" t="s">
        <v>25</v>
      </c>
      <c r="I828">
        <v>2.7101533099850597E-2</v>
      </c>
      <c r="J828" t="s">
        <v>6</v>
      </c>
    </row>
    <row r="829" spans="2:10" x14ac:dyDescent="0.45">
      <c r="B829" t="s">
        <v>102</v>
      </c>
      <c r="C829" t="s">
        <v>26</v>
      </c>
      <c r="D829">
        <v>2.9633591178138945E-3</v>
      </c>
      <c r="E829" t="s">
        <v>6</v>
      </c>
      <c r="G829" t="s">
        <v>103</v>
      </c>
      <c r="H829" t="s">
        <v>26</v>
      </c>
      <c r="I829">
        <v>2.6060557837947536E-2</v>
      </c>
      <c r="J829" t="s">
        <v>6</v>
      </c>
    </row>
    <row r="830" spans="2:10" x14ac:dyDescent="0.45">
      <c r="B830" t="s">
        <v>102</v>
      </c>
      <c r="C830" t="s">
        <v>27</v>
      </c>
      <c r="D830">
        <v>0</v>
      </c>
      <c r="E830" t="s">
        <v>6</v>
      </c>
      <c r="G830" t="s">
        <v>103</v>
      </c>
      <c r="H830" t="s">
        <v>27</v>
      </c>
      <c r="I830">
        <v>3.9247704037681137E-2</v>
      </c>
      <c r="J830" t="s">
        <v>6</v>
      </c>
    </row>
    <row r="831" spans="2:10" x14ac:dyDescent="0.45">
      <c r="B831" t="s">
        <v>102</v>
      </c>
      <c r="C831" t="s">
        <v>28</v>
      </c>
      <c r="D831">
        <v>0</v>
      </c>
      <c r="E831" t="s">
        <v>6</v>
      </c>
      <c r="G831" t="s">
        <v>103</v>
      </c>
      <c r="H831" t="s">
        <v>28</v>
      </c>
      <c r="I831">
        <v>3.4905328879915404E-2</v>
      </c>
      <c r="J831" t="s">
        <v>6</v>
      </c>
    </row>
    <row r="832" spans="2:10" x14ac:dyDescent="0.45">
      <c r="B832" t="s">
        <v>102</v>
      </c>
      <c r="C832" t="s">
        <v>29</v>
      </c>
      <c r="D832">
        <v>1.5894013834536229E-4</v>
      </c>
      <c r="E832" t="s">
        <v>6</v>
      </c>
      <c r="G832" t="s">
        <v>103</v>
      </c>
      <c r="H832" t="s">
        <v>29</v>
      </c>
      <c r="I832">
        <v>1.0749186949680497E-2</v>
      </c>
      <c r="J832" t="s">
        <v>6</v>
      </c>
    </row>
    <row r="833" spans="2:10" x14ac:dyDescent="0.45">
      <c r="B833" t="s">
        <v>102</v>
      </c>
      <c r="C833" t="s">
        <v>30</v>
      </c>
      <c r="D833">
        <v>1.163465701653146E-2</v>
      </c>
      <c r="E833" t="s">
        <v>6</v>
      </c>
      <c r="G833" t="s">
        <v>103</v>
      </c>
      <c r="H833" t="s">
        <v>30</v>
      </c>
      <c r="I833">
        <v>8.4641452451883308E-3</v>
      </c>
      <c r="J833" t="s">
        <v>6</v>
      </c>
    </row>
    <row r="834" spans="2:10" x14ac:dyDescent="0.45">
      <c r="B834" t="s">
        <v>102</v>
      </c>
      <c r="C834" t="s">
        <v>31</v>
      </c>
      <c r="D834">
        <v>4.9248476311232019E-2</v>
      </c>
      <c r="E834" t="s">
        <v>6</v>
      </c>
      <c r="G834" t="s">
        <v>103</v>
      </c>
      <c r="H834" t="s">
        <v>31</v>
      </c>
      <c r="I834">
        <v>7.0005839811634225E-3</v>
      </c>
      <c r="J834" t="s">
        <v>6</v>
      </c>
    </row>
    <row r="835" spans="2:10" x14ac:dyDescent="0.45">
      <c r="B835" t="s">
        <v>102</v>
      </c>
      <c r="C835" t="s">
        <v>32</v>
      </c>
      <c r="D835">
        <v>7.7133051233263014E-2</v>
      </c>
      <c r="E835" t="s">
        <v>6</v>
      </c>
      <c r="G835" t="s">
        <v>103</v>
      </c>
      <c r="H835" t="s">
        <v>32</v>
      </c>
      <c r="I835">
        <v>7.8068536098930266E-3</v>
      </c>
      <c r="J835" t="s">
        <v>6</v>
      </c>
    </row>
    <row r="836" spans="2:10" x14ac:dyDescent="0.45">
      <c r="B836" t="s">
        <v>102</v>
      </c>
      <c r="C836" t="s">
        <v>33</v>
      </c>
      <c r="D836">
        <v>8.4027797134469909E-2</v>
      </c>
      <c r="E836" t="s">
        <v>6</v>
      </c>
      <c r="G836" t="s">
        <v>103</v>
      </c>
      <c r="H836" t="s">
        <v>33</v>
      </c>
      <c r="I836">
        <v>9.6134695319132074E-3</v>
      </c>
      <c r="J836" t="s">
        <v>6</v>
      </c>
    </row>
    <row r="837" spans="2:10" x14ac:dyDescent="0.45">
      <c r="B837" t="s">
        <v>102</v>
      </c>
      <c r="C837" t="s">
        <v>34</v>
      </c>
      <c r="D837">
        <v>7.00168012787451E-2</v>
      </c>
      <c r="E837" t="s">
        <v>6</v>
      </c>
      <c r="G837" t="s">
        <v>103</v>
      </c>
      <c r="H837" t="s">
        <v>34</v>
      </c>
      <c r="I837">
        <v>1.1856620995961884E-2</v>
      </c>
      <c r="J837" t="s">
        <v>6</v>
      </c>
    </row>
    <row r="838" spans="2:10" x14ac:dyDescent="0.45">
      <c r="B838" t="s">
        <v>102</v>
      </c>
      <c r="C838" t="s">
        <v>35</v>
      </c>
      <c r="D838">
        <v>3.8386243739126767E-2</v>
      </c>
      <c r="E838" t="s">
        <v>6</v>
      </c>
      <c r="G838" t="s">
        <v>103</v>
      </c>
      <c r="H838" t="s">
        <v>35</v>
      </c>
      <c r="I838">
        <v>1.3308779716655717E-2</v>
      </c>
      <c r="J838" t="s">
        <v>6</v>
      </c>
    </row>
    <row r="839" spans="2:10" x14ac:dyDescent="0.45">
      <c r="B839" t="s">
        <v>102</v>
      </c>
      <c r="C839" t="s">
        <v>36</v>
      </c>
      <c r="D839">
        <v>6.416599374319442E-3</v>
      </c>
      <c r="E839" t="s">
        <v>6</v>
      </c>
      <c r="G839" t="s">
        <v>103</v>
      </c>
      <c r="H839" t="s">
        <v>36</v>
      </c>
      <c r="I839">
        <v>1.4643613484764022E-2</v>
      </c>
      <c r="J839" t="s">
        <v>6</v>
      </c>
    </row>
    <row r="840" spans="2:10" x14ac:dyDescent="0.45">
      <c r="B840" t="s">
        <v>102</v>
      </c>
      <c r="C840" t="s">
        <v>37</v>
      </c>
      <c r="D840">
        <v>0</v>
      </c>
      <c r="E840" t="s">
        <v>6</v>
      </c>
      <c r="G840" t="s">
        <v>103</v>
      </c>
      <c r="H840" t="s">
        <v>37</v>
      </c>
      <c r="I840">
        <v>2.6747298929223333E-2</v>
      </c>
      <c r="J840" t="s">
        <v>6</v>
      </c>
    </row>
    <row r="841" spans="2:10" x14ac:dyDescent="0.45">
      <c r="B841" t="s">
        <v>102</v>
      </c>
      <c r="C841" t="s">
        <v>38</v>
      </c>
      <c r="D841">
        <v>0</v>
      </c>
      <c r="E841" t="s">
        <v>6</v>
      </c>
      <c r="G841" t="s">
        <v>103</v>
      </c>
      <c r="H841" t="s">
        <v>38</v>
      </c>
      <c r="I841">
        <v>5.7877797713252681E-2</v>
      </c>
      <c r="J841" t="s">
        <v>6</v>
      </c>
    </row>
    <row r="842" spans="2:10" x14ac:dyDescent="0.45">
      <c r="B842" t="s">
        <v>102</v>
      </c>
      <c r="C842" t="s">
        <v>39</v>
      </c>
      <c r="D842">
        <v>0</v>
      </c>
      <c r="E842" t="s">
        <v>6</v>
      </c>
      <c r="G842" t="s">
        <v>103</v>
      </c>
      <c r="H842" t="s">
        <v>39</v>
      </c>
      <c r="I842">
        <v>2.2393124677078272E-2</v>
      </c>
      <c r="J842" t="s">
        <v>6</v>
      </c>
    </row>
    <row r="843" spans="2:10" x14ac:dyDescent="0.45">
      <c r="B843" t="s">
        <v>102</v>
      </c>
      <c r="C843" t="s">
        <v>40</v>
      </c>
      <c r="D843">
        <v>2.6894599852571935E-3</v>
      </c>
      <c r="E843" t="s">
        <v>6</v>
      </c>
      <c r="G843" t="s">
        <v>103</v>
      </c>
      <c r="H843" t="s">
        <v>40</v>
      </c>
      <c r="I843">
        <v>2.1810056515305706E-2</v>
      </c>
      <c r="J843" t="s">
        <v>6</v>
      </c>
    </row>
    <row r="844" spans="2:10" x14ac:dyDescent="0.45">
      <c r="B844" t="s">
        <v>102</v>
      </c>
      <c r="C844" t="s">
        <v>41</v>
      </c>
      <c r="D844">
        <v>2.8582428416965448E-2</v>
      </c>
      <c r="E844" t="s">
        <v>6</v>
      </c>
      <c r="G844" t="s">
        <v>103</v>
      </c>
      <c r="H844" t="s">
        <v>41</v>
      </c>
      <c r="I844">
        <v>1.9377274656725209E-2</v>
      </c>
      <c r="J844" t="s">
        <v>6</v>
      </c>
    </row>
    <row r="845" spans="2:10" x14ac:dyDescent="0.45">
      <c r="B845" t="s">
        <v>102</v>
      </c>
      <c r="C845" t="s">
        <v>42</v>
      </c>
      <c r="D845">
        <v>5.5206844057477063E-2</v>
      </c>
      <c r="E845" t="s">
        <v>6</v>
      </c>
      <c r="G845" t="s">
        <v>103</v>
      </c>
      <c r="H845" t="s">
        <v>42</v>
      </c>
      <c r="I845">
        <v>1.7327016751143714E-2</v>
      </c>
      <c r="J845" t="s">
        <v>6</v>
      </c>
    </row>
    <row r="846" spans="2:10" x14ac:dyDescent="0.45">
      <c r="B846" t="s">
        <v>102</v>
      </c>
      <c r="C846" t="s">
        <v>43</v>
      </c>
      <c r="D846">
        <v>6.0944407727414641E-2</v>
      </c>
      <c r="E846" t="s">
        <v>6</v>
      </c>
      <c r="G846" t="s">
        <v>103</v>
      </c>
      <c r="H846" t="s">
        <v>43</v>
      </c>
      <c r="I846">
        <v>1.9530012478619629E-2</v>
      </c>
      <c r="J846" t="s">
        <v>6</v>
      </c>
    </row>
    <row r="847" spans="2:10" x14ac:dyDescent="0.45">
      <c r="B847" t="s">
        <v>102</v>
      </c>
      <c r="C847" t="s">
        <v>44</v>
      </c>
      <c r="D847">
        <v>4.4870362008070375E-2</v>
      </c>
      <c r="E847" t="s">
        <v>6</v>
      </c>
      <c r="G847" t="s">
        <v>103</v>
      </c>
      <c r="H847" t="s">
        <v>44</v>
      </c>
      <c r="I847">
        <v>2.1114249331326065E-2</v>
      </c>
      <c r="J847" t="s">
        <v>6</v>
      </c>
    </row>
    <row r="848" spans="2:10" x14ac:dyDescent="0.45">
      <c r="B848" t="s">
        <v>102</v>
      </c>
      <c r="C848" t="s">
        <v>45</v>
      </c>
      <c r="D848">
        <v>1.469616494274947E-2</v>
      </c>
      <c r="E848" t="s">
        <v>6</v>
      </c>
      <c r="G848" t="s">
        <v>103</v>
      </c>
      <c r="H848" t="s">
        <v>45</v>
      </c>
      <c r="I848">
        <v>2.1377029900405714E-2</v>
      </c>
      <c r="J848" t="s">
        <v>6</v>
      </c>
    </row>
    <row r="849" spans="2:10" x14ac:dyDescent="0.45">
      <c r="B849" t="s">
        <v>102</v>
      </c>
      <c r="C849" t="s">
        <v>46</v>
      </c>
      <c r="D849">
        <v>3.0795836400405768E-4</v>
      </c>
      <c r="E849" t="s">
        <v>6</v>
      </c>
      <c r="G849" t="s">
        <v>103</v>
      </c>
      <c r="H849" t="s">
        <v>46</v>
      </c>
      <c r="I849">
        <v>2.3502003128785736E-2</v>
      </c>
      <c r="J849" t="s">
        <v>6</v>
      </c>
    </row>
    <row r="850" spans="2:10" x14ac:dyDescent="0.45">
      <c r="B850" t="s">
        <v>102</v>
      </c>
      <c r="C850" t="s">
        <v>47</v>
      </c>
      <c r="D850">
        <v>0</v>
      </c>
      <c r="E850" t="s">
        <v>6</v>
      </c>
      <c r="G850" t="s">
        <v>103</v>
      </c>
      <c r="H850" t="s">
        <v>47</v>
      </c>
      <c r="I850">
        <v>3.637239525465262E-2</v>
      </c>
      <c r="J850" t="s">
        <v>6</v>
      </c>
    </row>
    <row r="851" spans="2:10" x14ac:dyDescent="0.45">
      <c r="B851" t="s">
        <v>104</v>
      </c>
      <c r="C851" t="s">
        <v>5</v>
      </c>
      <c r="D851">
        <v>0</v>
      </c>
      <c r="E851" t="s">
        <v>6</v>
      </c>
      <c r="G851" t="s">
        <v>105</v>
      </c>
      <c r="H851" t="s">
        <v>5</v>
      </c>
      <c r="I851">
        <v>5.8372526276141035E-2</v>
      </c>
      <c r="J851" t="s">
        <v>6</v>
      </c>
    </row>
    <row r="852" spans="2:10" x14ac:dyDescent="0.45">
      <c r="B852" t="s">
        <v>104</v>
      </c>
      <c r="C852" t="s">
        <v>9</v>
      </c>
      <c r="D852">
        <v>0</v>
      </c>
      <c r="E852" t="s">
        <v>6</v>
      </c>
      <c r="G852" t="s">
        <v>105</v>
      </c>
      <c r="H852" t="s">
        <v>9</v>
      </c>
      <c r="I852">
        <v>2.3748550095182258E-2</v>
      </c>
      <c r="J852" t="s">
        <v>6</v>
      </c>
    </row>
    <row r="853" spans="2:10" x14ac:dyDescent="0.45">
      <c r="B853" t="s">
        <v>104</v>
      </c>
      <c r="C853" t="s">
        <v>10</v>
      </c>
      <c r="D853">
        <v>0</v>
      </c>
      <c r="E853" t="s">
        <v>6</v>
      </c>
      <c r="G853" t="s">
        <v>105</v>
      </c>
      <c r="H853" t="s">
        <v>10</v>
      </c>
      <c r="I853">
        <v>2.3410190380811206E-2</v>
      </c>
      <c r="J853" t="s">
        <v>6</v>
      </c>
    </row>
    <row r="854" spans="2:10" x14ac:dyDescent="0.45">
      <c r="B854" t="s">
        <v>104</v>
      </c>
      <c r="C854" t="s">
        <v>11</v>
      </c>
      <c r="D854">
        <v>1.2938220588079313E-2</v>
      </c>
      <c r="E854" t="s">
        <v>6</v>
      </c>
      <c r="G854" t="s">
        <v>105</v>
      </c>
      <c r="H854" t="s">
        <v>11</v>
      </c>
      <c r="I854">
        <v>2.2628683863966301E-2</v>
      </c>
      <c r="J854" t="s">
        <v>6</v>
      </c>
    </row>
    <row r="855" spans="2:10" x14ac:dyDescent="0.45">
      <c r="B855" t="s">
        <v>104</v>
      </c>
      <c r="C855" t="s">
        <v>12</v>
      </c>
      <c r="D855">
        <v>4.4122752506103959E-2</v>
      </c>
      <c r="E855" t="s">
        <v>6</v>
      </c>
      <c r="G855" t="s">
        <v>105</v>
      </c>
      <c r="H855" t="s">
        <v>12</v>
      </c>
      <c r="I855">
        <v>2.1075971754485657E-2</v>
      </c>
      <c r="J855" t="s">
        <v>6</v>
      </c>
    </row>
    <row r="856" spans="2:10" x14ac:dyDescent="0.45">
      <c r="B856" t="s">
        <v>104</v>
      </c>
      <c r="C856" t="s">
        <v>13</v>
      </c>
      <c r="D856">
        <v>5.9578641089122815E-2</v>
      </c>
      <c r="E856" t="s">
        <v>6</v>
      </c>
      <c r="G856" t="s">
        <v>105</v>
      </c>
      <c r="H856" t="s">
        <v>13</v>
      </c>
      <c r="I856">
        <v>2.2543625932357491E-2</v>
      </c>
      <c r="J856" t="s">
        <v>6</v>
      </c>
    </row>
    <row r="857" spans="2:10" x14ac:dyDescent="0.45">
      <c r="B857" t="s">
        <v>104</v>
      </c>
      <c r="C857" t="s">
        <v>14</v>
      </c>
      <c r="D857">
        <v>4.7585964568074013E-2</v>
      </c>
      <c r="E857" t="s">
        <v>6</v>
      </c>
      <c r="G857" t="s">
        <v>105</v>
      </c>
      <c r="H857" t="s">
        <v>14</v>
      </c>
      <c r="I857">
        <v>2.3917403558973822E-2</v>
      </c>
      <c r="J857" t="s">
        <v>6</v>
      </c>
    </row>
    <row r="858" spans="2:10" x14ac:dyDescent="0.45">
      <c r="B858" t="s">
        <v>104</v>
      </c>
      <c r="C858" t="s">
        <v>15</v>
      </c>
      <c r="D858">
        <v>1.5118068779611018E-2</v>
      </c>
      <c r="E858" t="s">
        <v>6</v>
      </c>
      <c r="G858" t="s">
        <v>105</v>
      </c>
      <c r="H858" t="s">
        <v>15</v>
      </c>
      <c r="I858">
        <v>2.480224472845375E-2</v>
      </c>
      <c r="J858" t="s">
        <v>6</v>
      </c>
    </row>
    <row r="859" spans="2:10" x14ac:dyDescent="0.45">
      <c r="B859" t="s">
        <v>104</v>
      </c>
      <c r="C859" t="s">
        <v>16</v>
      </c>
      <c r="D859">
        <v>5.9089263451171072E-5</v>
      </c>
      <c r="E859" t="s">
        <v>6</v>
      </c>
      <c r="G859" t="s">
        <v>105</v>
      </c>
      <c r="H859" t="s">
        <v>16</v>
      </c>
      <c r="I859">
        <v>2.5040262776137839E-2</v>
      </c>
      <c r="J859" t="s">
        <v>6</v>
      </c>
    </row>
    <row r="860" spans="2:10" x14ac:dyDescent="0.45">
      <c r="B860" t="s">
        <v>104</v>
      </c>
      <c r="C860" t="s">
        <v>17</v>
      </c>
      <c r="D860">
        <v>0</v>
      </c>
      <c r="E860" t="s">
        <v>6</v>
      </c>
      <c r="G860" t="s">
        <v>105</v>
      </c>
      <c r="H860" t="s">
        <v>17</v>
      </c>
      <c r="I860">
        <v>3.6692731471229444E-2</v>
      </c>
      <c r="J860" t="s">
        <v>6</v>
      </c>
    </row>
    <row r="861" spans="2:10" x14ac:dyDescent="0.45">
      <c r="B861" t="s">
        <v>104</v>
      </c>
      <c r="C861" t="s">
        <v>18</v>
      </c>
      <c r="D861">
        <v>0</v>
      </c>
      <c r="E861" t="s">
        <v>6</v>
      </c>
      <c r="G861" t="s">
        <v>105</v>
      </c>
      <c r="H861" t="s">
        <v>18</v>
      </c>
      <c r="I861">
        <v>5.6058706112689323E-2</v>
      </c>
      <c r="J861" t="s">
        <v>6</v>
      </c>
    </row>
    <row r="862" spans="2:10" x14ac:dyDescent="0.45">
      <c r="B862" t="s">
        <v>104</v>
      </c>
      <c r="C862" t="s">
        <v>19</v>
      </c>
      <c r="D862">
        <v>1.4197940951769194E-6</v>
      </c>
      <c r="E862" t="s">
        <v>6</v>
      </c>
      <c r="G862" t="s">
        <v>105</v>
      </c>
      <c r="H862" t="s">
        <v>19</v>
      </c>
      <c r="I862">
        <v>2.140337882294473E-2</v>
      </c>
      <c r="J862" t="s">
        <v>6</v>
      </c>
    </row>
    <row r="863" spans="2:10" x14ac:dyDescent="0.45">
      <c r="B863" t="s">
        <v>104</v>
      </c>
      <c r="C863" t="s">
        <v>20</v>
      </c>
      <c r="D863">
        <v>5.3453227465181134E-3</v>
      </c>
      <c r="E863" t="s">
        <v>6</v>
      </c>
      <c r="G863" t="s">
        <v>105</v>
      </c>
      <c r="H863" t="s">
        <v>20</v>
      </c>
      <c r="I863">
        <v>2.0960440259582807E-2</v>
      </c>
      <c r="J863" t="s">
        <v>6</v>
      </c>
    </row>
    <row r="864" spans="2:10" x14ac:dyDescent="0.45">
      <c r="B864" t="s">
        <v>104</v>
      </c>
      <c r="C864" t="s">
        <v>21</v>
      </c>
      <c r="D864">
        <v>3.5196711661684803E-2</v>
      </c>
      <c r="E864" t="s">
        <v>6</v>
      </c>
      <c r="G864" t="s">
        <v>105</v>
      </c>
      <c r="H864" t="s">
        <v>21</v>
      </c>
      <c r="I864">
        <v>2.0076506614786421E-2</v>
      </c>
      <c r="J864" t="s">
        <v>6</v>
      </c>
    </row>
    <row r="865" spans="2:10" x14ac:dyDescent="0.45">
      <c r="B865" t="s">
        <v>104</v>
      </c>
      <c r="C865" t="s">
        <v>22</v>
      </c>
      <c r="D865">
        <v>6.691865975679491E-2</v>
      </c>
      <c r="E865" t="s">
        <v>6</v>
      </c>
      <c r="G865" t="s">
        <v>105</v>
      </c>
      <c r="H865" t="s">
        <v>22</v>
      </c>
      <c r="I865">
        <v>1.9976212784097787E-2</v>
      </c>
      <c r="J865" t="s">
        <v>6</v>
      </c>
    </row>
    <row r="866" spans="2:10" x14ac:dyDescent="0.45">
      <c r="B866" t="s">
        <v>104</v>
      </c>
      <c r="C866" t="s">
        <v>23</v>
      </c>
      <c r="D866">
        <v>7.6476431731929959E-2</v>
      </c>
      <c r="E866" t="s">
        <v>6</v>
      </c>
      <c r="G866" t="s">
        <v>105</v>
      </c>
      <c r="H866" t="s">
        <v>23</v>
      </c>
      <c r="I866">
        <v>2.2633030011974219E-2</v>
      </c>
      <c r="J866" t="s">
        <v>6</v>
      </c>
    </row>
    <row r="867" spans="2:10" x14ac:dyDescent="0.45">
      <c r="B867" t="s">
        <v>104</v>
      </c>
      <c r="C867" t="s">
        <v>24</v>
      </c>
      <c r="D867">
        <v>6.2927915825518987E-2</v>
      </c>
      <c r="E867" t="s">
        <v>6</v>
      </c>
      <c r="G867" t="s">
        <v>105</v>
      </c>
      <c r="H867" t="s">
        <v>24</v>
      </c>
      <c r="I867">
        <v>2.5557555290553119E-2</v>
      </c>
      <c r="J867" t="s">
        <v>6</v>
      </c>
    </row>
    <row r="868" spans="2:10" x14ac:dyDescent="0.45">
      <c r="B868" t="s">
        <v>104</v>
      </c>
      <c r="C868" t="s">
        <v>25</v>
      </c>
      <c r="D868">
        <v>3.2305970626294832E-2</v>
      </c>
      <c r="E868" t="s">
        <v>6</v>
      </c>
      <c r="G868" t="s">
        <v>105</v>
      </c>
      <c r="H868" t="s">
        <v>25</v>
      </c>
      <c r="I868">
        <v>2.5639555079433621E-2</v>
      </c>
      <c r="J868" t="s">
        <v>6</v>
      </c>
    </row>
    <row r="869" spans="2:10" x14ac:dyDescent="0.45">
      <c r="B869" t="s">
        <v>104</v>
      </c>
      <c r="C869" t="s">
        <v>26</v>
      </c>
      <c r="D869">
        <v>4.1625836662811388E-3</v>
      </c>
      <c r="E869" t="s">
        <v>6</v>
      </c>
      <c r="G869" t="s">
        <v>105</v>
      </c>
      <c r="H869" t="s">
        <v>26</v>
      </c>
      <c r="I869">
        <v>2.4469583696631443E-2</v>
      </c>
      <c r="J869" t="s">
        <v>6</v>
      </c>
    </row>
    <row r="870" spans="2:10" x14ac:dyDescent="0.45">
      <c r="B870" t="s">
        <v>104</v>
      </c>
      <c r="C870" t="s">
        <v>27</v>
      </c>
      <c r="D870">
        <v>0</v>
      </c>
      <c r="E870" t="s">
        <v>6</v>
      </c>
      <c r="G870" t="s">
        <v>105</v>
      </c>
      <c r="H870" t="s">
        <v>27</v>
      </c>
      <c r="I870">
        <v>3.5458651870625323E-2</v>
      </c>
      <c r="J870" t="s">
        <v>6</v>
      </c>
    </row>
    <row r="871" spans="2:10" x14ac:dyDescent="0.45">
      <c r="B871" t="s">
        <v>104</v>
      </c>
      <c r="C871" t="s">
        <v>28</v>
      </c>
      <c r="D871">
        <v>0</v>
      </c>
      <c r="E871" t="s">
        <v>6</v>
      </c>
      <c r="G871" t="s">
        <v>105</v>
      </c>
      <c r="H871" t="s">
        <v>28</v>
      </c>
      <c r="I871">
        <v>3.7303380900912175E-2</v>
      </c>
      <c r="J871" t="s">
        <v>6</v>
      </c>
    </row>
    <row r="872" spans="2:10" x14ac:dyDescent="0.45">
      <c r="B872" t="s">
        <v>104</v>
      </c>
      <c r="C872" t="s">
        <v>29</v>
      </c>
      <c r="D872">
        <v>2.5266938221121201E-5</v>
      </c>
      <c r="E872" t="s">
        <v>6</v>
      </c>
      <c r="G872" t="s">
        <v>105</v>
      </c>
      <c r="H872" t="s">
        <v>29</v>
      </c>
      <c r="I872">
        <v>1.2585519913192943E-2</v>
      </c>
      <c r="J872" t="s">
        <v>6</v>
      </c>
    </row>
    <row r="873" spans="2:10" x14ac:dyDescent="0.45">
      <c r="B873" t="s">
        <v>104</v>
      </c>
      <c r="C873" t="s">
        <v>30</v>
      </c>
      <c r="D873">
        <v>8.8367205366029489E-3</v>
      </c>
      <c r="E873" t="s">
        <v>6</v>
      </c>
      <c r="G873" t="s">
        <v>105</v>
      </c>
      <c r="H873" t="s">
        <v>30</v>
      </c>
      <c r="I873">
        <v>1.1308771468066898E-2</v>
      </c>
      <c r="J873" t="s">
        <v>6</v>
      </c>
    </row>
    <row r="874" spans="2:10" x14ac:dyDescent="0.45">
      <c r="B874" t="s">
        <v>104</v>
      </c>
      <c r="C874" t="s">
        <v>31</v>
      </c>
      <c r="D874">
        <v>4.4011985849348199E-2</v>
      </c>
      <c r="E874" t="s">
        <v>6</v>
      </c>
      <c r="G874" t="s">
        <v>105</v>
      </c>
      <c r="H874" t="s">
        <v>31</v>
      </c>
      <c r="I874">
        <v>1.033116648789199E-2</v>
      </c>
      <c r="J874" t="s">
        <v>6</v>
      </c>
    </row>
    <row r="875" spans="2:10" x14ac:dyDescent="0.45">
      <c r="B875" t="s">
        <v>104</v>
      </c>
      <c r="C875" t="s">
        <v>32</v>
      </c>
      <c r="D875">
        <v>7.5939678066673219E-2</v>
      </c>
      <c r="E875" t="s">
        <v>6</v>
      </c>
      <c r="G875" t="s">
        <v>105</v>
      </c>
      <c r="H875" t="s">
        <v>32</v>
      </c>
      <c r="I875">
        <v>1.0799174962247665E-2</v>
      </c>
      <c r="J875" t="s">
        <v>6</v>
      </c>
    </row>
    <row r="876" spans="2:10" x14ac:dyDescent="0.45">
      <c r="B876" t="s">
        <v>104</v>
      </c>
      <c r="C876" t="s">
        <v>33</v>
      </c>
      <c r="D876">
        <v>8.6903936354071995E-2</v>
      </c>
      <c r="E876" t="s">
        <v>6</v>
      </c>
      <c r="G876" t="s">
        <v>105</v>
      </c>
      <c r="H876" t="s">
        <v>33</v>
      </c>
      <c r="I876">
        <v>1.2639837895294275E-2</v>
      </c>
      <c r="J876" t="s">
        <v>6</v>
      </c>
    </row>
    <row r="877" spans="2:10" x14ac:dyDescent="0.45">
      <c r="B877" t="s">
        <v>104</v>
      </c>
      <c r="C877" t="s">
        <v>34</v>
      </c>
      <c r="D877">
        <v>7.3401425330673217E-2</v>
      </c>
      <c r="E877" t="s">
        <v>6</v>
      </c>
      <c r="G877" t="s">
        <v>105</v>
      </c>
      <c r="H877" t="s">
        <v>34</v>
      </c>
      <c r="I877">
        <v>1.3578265749879987E-2</v>
      </c>
      <c r="J877" t="s">
        <v>6</v>
      </c>
    </row>
    <row r="878" spans="2:10" x14ac:dyDescent="0.45">
      <c r="B878" t="s">
        <v>104</v>
      </c>
      <c r="C878" t="s">
        <v>35</v>
      </c>
      <c r="D878">
        <v>4.172212349159278E-2</v>
      </c>
      <c r="E878" t="s">
        <v>6</v>
      </c>
      <c r="G878" t="s">
        <v>105</v>
      </c>
      <c r="H878" t="s">
        <v>35</v>
      </c>
      <c r="I878">
        <v>1.3509727632283241E-2</v>
      </c>
      <c r="J878" t="s">
        <v>6</v>
      </c>
    </row>
    <row r="879" spans="2:10" x14ac:dyDescent="0.45">
      <c r="B879" t="s">
        <v>104</v>
      </c>
      <c r="C879" t="s">
        <v>36</v>
      </c>
      <c r="D879">
        <v>8.1609413190099362E-3</v>
      </c>
      <c r="E879" t="s">
        <v>6</v>
      </c>
      <c r="G879" t="s">
        <v>105</v>
      </c>
      <c r="H879" t="s">
        <v>36</v>
      </c>
      <c r="I879">
        <v>1.3870428580458598E-2</v>
      </c>
      <c r="J879" t="s">
        <v>6</v>
      </c>
    </row>
    <row r="880" spans="2:10" x14ac:dyDescent="0.45">
      <c r="B880" t="s">
        <v>104</v>
      </c>
      <c r="C880" t="s">
        <v>37</v>
      </c>
      <c r="D880">
        <v>1.1906270744176949E-6</v>
      </c>
      <c r="E880" t="s">
        <v>6</v>
      </c>
      <c r="G880" t="s">
        <v>105</v>
      </c>
      <c r="H880" t="s">
        <v>37</v>
      </c>
      <c r="I880">
        <v>2.4593515695444917E-2</v>
      </c>
      <c r="J880" t="s">
        <v>6</v>
      </c>
    </row>
    <row r="881" spans="2:10" x14ac:dyDescent="0.45">
      <c r="B881" t="s">
        <v>104</v>
      </c>
      <c r="C881" t="s">
        <v>38</v>
      </c>
      <c r="D881">
        <v>0</v>
      </c>
      <c r="E881" t="s">
        <v>6</v>
      </c>
      <c r="G881" t="s">
        <v>105</v>
      </c>
      <c r="H881" t="s">
        <v>38</v>
      </c>
      <c r="I881">
        <v>6.0214200350938128E-2</v>
      </c>
      <c r="J881" t="s">
        <v>6</v>
      </c>
    </row>
    <row r="882" spans="2:10" x14ac:dyDescent="0.45">
      <c r="B882" t="s">
        <v>104</v>
      </c>
      <c r="C882" t="s">
        <v>39</v>
      </c>
      <c r="D882">
        <v>0</v>
      </c>
      <c r="E882" t="s">
        <v>6</v>
      </c>
      <c r="G882" t="s">
        <v>105</v>
      </c>
      <c r="H882" t="s">
        <v>39</v>
      </c>
      <c r="I882">
        <v>2.3628504766993009E-2</v>
      </c>
      <c r="J882" t="s">
        <v>6</v>
      </c>
    </row>
    <row r="883" spans="2:10" x14ac:dyDescent="0.45">
      <c r="B883" t="s">
        <v>104</v>
      </c>
      <c r="C883" t="s">
        <v>40</v>
      </c>
      <c r="D883">
        <v>1.6414475710787311E-3</v>
      </c>
      <c r="E883" t="s">
        <v>6</v>
      </c>
      <c r="G883" t="s">
        <v>105</v>
      </c>
      <c r="H883" t="s">
        <v>40</v>
      </c>
      <c r="I883">
        <v>2.3120000365879103E-2</v>
      </c>
      <c r="J883" t="s">
        <v>6</v>
      </c>
    </row>
    <row r="884" spans="2:10" x14ac:dyDescent="0.45">
      <c r="B884" t="s">
        <v>104</v>
      </c>
      <c r="C884" t="s">
        <v>41</v>
      </c>
      <c r="D884">
        <v>2.4551744076993003E-2</v>
      </c>
      <c r="E884" t="s">
        <v>6</v>
      </c>
      <c r="G884" t="s">
        <v>105</v>
      </c>
      <c r="H884" t="s">
        <v>41</v>
      </c>
      <c r="I884">
        <v>2.2066008630489867E-2</v>
      </c>
      <c r="J884" t="s">
        <v>6</v>
      </c>
    </row>
    <row r="885" spans="2:10" x14ac:dyDescent="0.45">
      <c r="B885" t="s">
        <v>104</v>
      </c>
      <c r="C885" t="s">
        <v>42</v>
      </c>
      <c r="D885">
        <v>5.1502978174940026E-2</v>
      </c>
      <c r="E885" t="s">
        <v>6</v>
      </c>
      <c r="G885" t="s">
        <v>105</v>
      </c>
      <c r="H885" t="s">
        <v>42</v>
      </c>
      <c r="I885">
        <v>2.1822694282666602E-2</v>
      </c>
      <c r="J885" t="s">
        <v>6</v>
      </c>
    </row>
    <row r="886" spans="2:10" x14ac:dyDescent="0.45">
      <c r="B886" t="s">
        <v>104</v>
      </c>
      <c r="C886" t="s">
        <v>43</v>
      </c>
      <c r="D886">
        <v>5.8648081028499131E-2</v>
      </c>
      <c r="E886" t="s">
        <v>6</v>
      </c>
      <c r="G886" t="s">
        <v>105</v>
      </c>
      <c r="H886" t="s">
        <v>43</v>
      </c>
      <c r="I886">
        <v>2.3575946791250118E-2</v>
      </c>
      <c r="J886" t="s">
        <v>6</v>
      </c>
    </row>
    <row r="887" spans="2:10" x14ac:dyDescent="0.45">
      <c r="B887" t="s">
        <v>104</v>
      </c>
      <c r="C887" t="s">
        <v>44</v>
      </c>
      <c r="D887">
        <v>4.4925241786991095E-2</v>
      </c>
      <c r="E887" t="s">
        <v>6</v>
      </c>
      <c r="G887" t="s">
        <v>105</v>
      </c>
      <c r="H887" t="s">
        <v>44</v>
      </c>
      <c r="I887">
        <v>2.4155701014101454E-2</v>
      </c>
      <c r="J887" t="s">
        <v>6</v>
      </c>
    </row>
    <row r="888" spans="2:10" x14ac:dyDescent="0.45">
      <c r="B888" t="s">
        <v>104</v>
      </c>
      <c r="C888" t="s">
        <v>45</v>
      </c>
      <c r="D888">
        <v>1.6406551153997067E-2</v>
      </c>
      <c r="E888" t="s">
        <v>6</v>
      </c>
      <c r="G888" t="s">
        <v>105</v>
      </c>
      <c r="H888" t="s">
        <v>45</v>
      </c>
      <c r="I888">
        <v>2.3921750842132296E-2</v>
      </c>
      <c r="J888" t="s">
        <v>6</v>
      </c>
    </row>
    <row r="889" spans="2:10" x14ac:dyDescent="0.45">
      <c r="B889" t="s">
        <v>104</v>
      </c>
      <c r="C889" t="s">
        <v>46</v>
      </c>
      <c r="D889">
        <v>5.8293509067348264E-4</v>
      </c>
      <c r="E889" t="s">
        <v>6</v>
      </c>
      <c r="G889" t="s">
        <v>105</v>
      </c>
      <c r="H889" t="s">
        <v>46</v>
      </c>
      <c r="I889">
        <v>2.4848229100441183E-2</v>
      </c>
      <c r="J889" t="s">
        <v>6</v>
      </c>
    </row>
    <row r="890" spans="2:10" x14ac:dyDescent="0.45">
      <c r="B890" t="s">
        <v>104</v>
      </c>
      <c r="C890" t="s">
        <v>47</v>
      </c>
      <c r="D890">
        <v>0</v>
      </c>
      <c r="E890" t="s">
        <v>6</v>
      </c>
      <c r="G890" t="s">
        <v>105</v>
      </c>
      <c r="H890" t="s">
        <v>47</v>
      </c>
      <c r="I890">
        <v>3.7661363188378656E-2</v>
      </c>
      <c r="J890" t="s">
        <v>6</v>
      </c>
    </row>
    <row r="891" spans="2:10" x14ac:dyDescent="0.45">
      <c r="B891" t="s">
        <v>106</v>
      </c>
      <c r="C891" t="s">
        <v>5</v>
      </c>
      <c r="D891">
        <v>0</v>
      </c>
      <c r="E891" t="s">
        <v>6</v>
      </c>
      <c r="G891" t="s">
        <v>107</v>
      </c>
      <c r="H891" t="s">
        <v>5</v>
      </c>
      <c r="I891">
        <v>6.5137610269831211E-2</v>
      </c>
      <c r="J891" t="s">
        <v>6</v>
      </c>
    </row>
    <row r="892" spans="2:10" x14ac:dyDescent="0.45">
      <c r="B892" t="s">
        <v>106</v>
      </c>
      <c r="C892" t="s">
        <v>9</v>
      </c>
      <c r="D892">
        <v>0</v>
      </c>
      <c r="E892" t="s">
        <v>6</v>
      </c>
      <c r="G892" t="s">
        <v>107</v>
      </c>
      <c r="H892" t="s">
        <v>9</v>
      </c>
      <c r="I892">
        <v>2.7554748607106848E-2</v>
      </c>
      <c r="J892" t="s">
        <v>6</v>
      </c>
    </row>
    <row r="893" spans="2:10" x14ac:dyDescent="0.45">
      <c r="B893" t="s">
        <v>106</v>
      </c>
      <c r="C893" t="s">
        <v>10</v>
      </c>
      <c r="D893">
        <v>0</v>
      </c>
      <c r="E893" t="s">
        <v>6</v>
      </c>
      <c r="G893" t="s">
        <v>107</v>
      </c>
      <c r="H893" t="s">
        <v>10</v>
      </c>
      <c r="I893">
        <v>2.8009795385571652E-2</v>
      </c>
      <c r="J893" t="s">
        <v>6</v>
      </c>
    </row>
    <row r="894" spans="2:10" x14ac:dyDescent="0.45">
      <c r="B894" t="s">
        <v>106</v>
      </c>
      <c r="C894" t="s">
        <v>11</v>
      </c>
      <c r="D894">
        <v>1.1868342564911464E-2</v>
      </c>
      <c r="E894" t="s">
        <v>6</v>
      </c>
      <c r="G894" t="s">
        <v>107</v>
      </c>
      <c r="H894" t="s">
        <v>11</v>
      </c>
      <c r="I894">
        <v>2.758361825539659E-2</v>
      </c>
      <c r="J894" t="s">
        <v>6</v>
      </c>
    </row>
    <row r="895" spans="2:10" x14ac:dyDescent="0.45">
      <c r="B895" t="s">
        <v>106</v>
      </c>
      <c r="C895" t="s">
        <v>12</v>
      </c>
      <c r="D895">
        <v>4.557530468499419E-2</v>
      </c>
      <c r="E895" t="s">
        <v>6</v>
      </c>
      <c r="G895" t="s">
        <v>107</v>
      </c>
      <c r="H895" t="s">
        <v>12</v>
      </c>
      <c r="I895">
        <v>2.4103958071935692E-2</v>
      </c>
      <c r="J895" t="s">
        <v>6</v>
      </c>
    </row>
    <row r="896" spans="2:10" x14ac:dyDescent="0.45">
      <c r="B896" t="s">
        <v>106</v>
      </c>
      <c r="C896" t="s">
        <v>13</v>
      </c>
      <c r="D896">
        <v>6.1182213025661736E-2</v>
      </c>
      <c r="E896" t="s">
        <v>6</v>
      </c>
      <c r="G896" t="s">
        <v>107</v>
      </c>
      <c r="H896" t="s">
        <v>13</v>
      </c>
      <c r="I896">
        <v>2.7834273083383633E-2</v>
      </c>
      <c r="J896" t="s">
        <v>6</v>
      </c>
    </row>
    <row r="897" spans="2:10" x14ac:dyDescent="0.45">
      <c r="B897" t="s">
        <v>106</v>
      </c>
      <c r="C897" t="s">
        <v>14</v>
      </c>
      <c r="D897">
        <v>4.9175886411882593E-2</v>
      </c>
      <c r="E897" t="s">
        <v>6</v>
      </c>
      <c r="G897" t="s">
        <v>107</v>
      </c>
      <c r="H897" t="s">
        <v>14</v>
      </c>
      <c r="I897">
        <v>2.9169700738759692E-2</v>
      </c>
      <c r="J897" t="s">
        <v>6</v>
      </c>
    </row>
    <row r="898" spans="2:10" x14ac:dyDescent="0.45">
      <c r="B898" t="s">
        <v>106</v>
      </c>
      <c r="C898" t="s">
        <v>15</v>
      </c>
      <c r="D898">
        <v>1.5873934098375342E-2</v>
      </c>
      <c r="E898" t="s">
        <v>6</v>
      </c>
      <c r="G898" t="s">
        <v>107</v>
      </c>
      <c r="H898" t="s">
        <v>15</v>
      </c>
      <c r="I898">
        <v>2.7133081601762133E-2</v>
      </c>
      <c r="J898" t="s">
        <v>6</v>
      </c>
    </row>
    <row r="899" spans="2:10" x14ac:dyDescent="0.45">
      <c r="B899" t="s">
        <v>106</v>
      </c>
      <c r="C899" t="s">
        <v>16</v>
      </c>
      <c r="D899">
        <v>2.0804874016029456E-4</v>
      </c>
      <c r="E899" t="s">
        <v>6</v>
      </c>
      <c r="G899" t="s">
        <v>107</v>
      </c>
      <c r="H899" t="s">
        <v>16</v>
      </c>
      <c r="I899">
        <v>2.5213620423925814E-2</v>
      </c>
      <c r="J899" t="s">
        <v>6</v>
      </c>
    </row>
    <row r="900" spans="2:10" x14ac:dyDescent="0.45">
      <c r="B900" t="s">
        <v>106</v>
      </c>
      <c r="C900" t="s">
        <v>17</v>
      </c>
      <c r="D900">
        <v>0</v>
      </c>
      <c r="E900" t="s">
        <v>6</v>
      </c>
      <c r="G900" t="s">
        <v>107</v>
      </c>
      <c r="H900" t="s">
        <v>17</v>
      </c>
      <c r="I900">
        <v>3.6314508506634272E-2</v>
      </c>
      <c r="J900" t="s">
        <v>6</v>
      </c>
    </row>
    <row r="901" spans="2:10" x14ac:dyDescent="0.45">
      <c r="B901" t="s">
        <v>106</v>
      </c>
      <c r="C901" t="s">
        <v>18</v>
      </c>
      <c r="D901">
        <v>0</v>
      </c>
      <c r="E901" t="s">
        <v>6</v>
      </c>
      <c r="G901" t="s">
        <v>107</v>
      </c>
      <c r="H901" t="s">
        <v>18</v>
      </c>
      <c r="I901">
        <v>4.419578427928493E-2</v>
      </c>
      <c r="J901" t="s">
        <v>6</v>
      </c>
    </row>
    <row r="902" spans="2:10" x14ac:dyDescent="0.45">
      <c r="B902" t="s">
        <v>106</v>
      </c>
      <c r="C902" t="s">
        <v>19</v>
      </c>
      <c r="D902">
        <v>0</v>
      </c>
      <c r="E902" t="s">
        <v>6</v>
      </c>
      <c r="G902" t="s">
        <v>107</v>
      </c>
      <c r="H902" t="s">
        <v>19</v>
      </c>
      <c r="I902">
        <v>1.9742772033577535E-2</v>
      </c>
      <c r="J902" t="s">
        <v>6</v>
      </c>
    </row>
    <row r="903" spans="2:10" x14ac:dyDescent="0.45">
      <c r="B903" t="s">
        <v>106</v>
      </c>
      <c r="C903" t="s">
        <v>20</v>
      </c>
      <c r="D903">
        <v>4.3224992001180745E-3</v>
      </c>
      <c r="E903" t="s">
        <v>6</v>
      </c>
      <c r="G903" t="s">
        <v>107</v>
      </c>
      <c r="H903" t="s">
        <v>20</v>
      </c>
      <c r="I903">
        <v>2.1826623662879657E-2</v>
      </c>
      <c r="J903" t="s">
        <v>6</v>
      </c>
    </row>
    <row r="904" spans="2:10" x14ac:dyDescent="0.45">
      <c r="B904" t="s">
        <v>106</v>
      </c>
      <c r="C904" t="s">
        <v>21</v>
      </c>
      <c r="D904">
        <v>3.3383712906871088E-2</v>
      </c>
      <c r="E904" t="s">
        <v>6</v>
      </c>
      <c r="G904" t="s">
        <v>107</v>
      </c>
      <c r="H904" t="s">
        <v>21</v>
      </c>
      <c r="I904">
        <v>2.3870065407211764E-2</v>
      </c>
      <c r="J904" t="s">
        <v>6</v>
      </c>
    </row>
    <row r="905" spans="2:10" x14ac:dyDescent="0.45">
      <c r="B905" t="s">
        <v>106</v>
      </c>
      <c r="C905" t="s">
        <v>22</v>
      </c>
      <c r="D905">
        <v>6.4365477413771841E-2</v>
      </c>
      <c r="E905" t="s">
        <v>6</v>
      </c>
      <c r="G905" t="s">
        <v>107</v>
      </c>
      <c r="H905" t="s">
        <v>22</v>
      </c>
      <c r="I905">
        <v>2.6308125226762024E-2</v>
      </c>
      <c r="J905" t="s">
        <v>6</v>
      </c>
    </row>
    <row r="906" spans="2:10" x14ac:dyDescent="0.45">
      <c r="B906" t="s">
        <v>106</v>
      </c>
      <c r="C906" t="s">
        <v>23</v>
      </c>
      <c r="D906">
        <v>7.3575522376378197E-2</v>
      </c>
      <c r="E906" t="s">
        <v>6</v>
      </c>
      <c r="G906" t="s">
        <v>107</v>
      </c>
      <c r="H906" t="s">
        <v>23</v>
      </c>
      <c r="I906">
        <v>3.1510178545362207E-2</v>
      </c>
      <c r="J906" t="s">
        <v>6</v>
      </c>
    </row>
    <row r="907" spans="2:10" x14ac:dyDescent="0.45">
      <c r="B907" t="s">
        <v>106</v>
      </c>
      <c r="C907" t="s">
        <v>24</v>
      </c>
      <c r="D907">
        <v>6.1608250025252671E-2</v>
      </c>
      <c r="E907" t="s">
        <v>6</v>
      </c>
      <c r="G907" t="s">
        <v>107</v>
      </c>
      <c r="H907" t="s">
        <v>24</v>
      </c>
      <c r="I907">
        <v>3.1079979903230165E-2</v>
      </c>
      <c r="J907" t="s">
        <v>6</v>
      </c>
    </row>
    <row r="908" spans="2:10" x14ac:dyDescent="0.45">
      <c r="B908" t="s">
        <v>106</v>
      </c>
      <c r="C908" t="s">
        <v>25</v>
      </c>
      <c r="D908">
        <v>3.4395145510532146E-2</v>
      </c>
      <c r="E908" t="s">
        <v>6</v>
      </c>
      <c r="G908" t="s">
        <v>107</v>
      </c>
      <c r="H908" t="s">
        <v>25</v>
      </c>
      <c r="I908">
        <v>2.8412055334620351E-2</v>
      </c>
      <c r="J908" t="s">
        <v>6</v>
      </c>
    </row>
    <row r="909" spans="2:10" x14ac:dyDescent="0.45">
      <c r="B909" t="s">
        <v>106</v>
      </c>
      <c r="C909" t="s">
        <v>26</v>
      </c>
      <c r="D909">
        <v>5.2068848807453674E-3</v>
      </c>
      <c r="E909" t="s">
        <v>6</v>
      </c>
      <c r="G909" t="s">
        <v>107</v>
      </c>
      <c r="H909" t="s">
        <v>26</v>
      </c>
      <c r="I909">
        <v>2.3106018427139385E-2</v>
      </c>
      <c r="J909" t="s">
        <v>6</v>
      </c>
    </row>
    <row r="910" spans="2:10" x14ac:dyDescent="0.45">
      <c r="B910" t="s">
        <v>106</v>
      </c>
      <c r="C910" t="s">
        <v>27</v>
      </c>
      <c r="D910">
        <v>0</v>
      </c>
      <c r="E910" t="s">
        <v>6</v>
      </c>
      <c r="G910" t="s">
        <v>107</v>
      </c>
      <c r="H910" t="s">
        <v>27</v>
      </c>
      <c r="I910">
        <v>2.8465195550389986E-2</v>
      </c>
      <c r="J910" t="s">
        <v>6</v>
      </c>
    </row>
    <row r="911" spans="2:10" x14ac:dyDescent="0.45">
      <c r="B911" t="s">
        <v>106</v>
      </c>
      <c r="C911" t="s">
        <v>28</v>
      </c>
      <c r="D911">
        <v>0</v>
      </c>
      <c r="E911" t="s">
        <v>6</v>
      </c>
      <c r="G911" t="s">
        <v>107</v>
      </c>
      <c r="H911" t="s">
        <v>28</v>
      </c>
      <c r="I911">
        <v>1.6674557887372508E-2</v>
      </c>
      <c r="J911" t="s">
        <v>6</v>
      </c>
    </row>
    <row r="912" spans="2:10" x14ac:dyDescent="0.45">
      <c r="B912" t="s">
        <v>106</v>
      </c>
      <c r="C912" t="s">
        <v>29</v>
      </c>
      <c r="D912">
        <v>7.5956130667331944E-7</v>
      </c>
      <c r="E912" t="s">
        <v>6</v>
      </c>
      <c r="G912" t="s">
        <v>107</v>
      </c>
      <c r="H912" t="s">
        <v>29</v>
      </c>
      <c r="I912">
        <v>6.5086048614246706E-3</v>
      </c>
      <c r="J912" t="s">
        <v>6</v>
      </c>
    </row>
    <row r="913" spans="2:10" x14ac:dyDescent="0.45">
      <c r="B913" t="s">
        <v>106</v>
      </c>
      <c r="C913" t="s">
        <v>30</v>
      </c>
      <c r="D913">
        <v>7.5142611343237686E-3</v>
      </c>
      <c r="E913" t="s">
        <v>6</v>
      </c>
      <c r="G913" t="s">
        <v>107</v>
      </c>
      <c r="H913" t="s">
        <v>30</v>
      </c>
      <c r="I913">
        <v>6.7643517711564851E-3</v>
      </c>
      <c r="J913" t="s">
        <v>6</v>
      </c>
    </row>
    <row r="914" spans="2:10" x14ac:dyDescent="0.45">
      <c r="B914" t="s">
        <v>106</v>
      </c>
      <c r="C914" t="s">
        <v>31</v>
      </c>
      <c r="D914">
        <v>4.1590380417381841E-2</v>
      </c>
      <c r="E914" t="s">
        <v>6</v>
      </c>
      <c r="G914" t="s">
        <v>107</v>
      </c>
      <c r="H914" t="s">
        <v>31</v>
      </c>
      <c r="I914">
        <v>8.4649049913852158E-3</v>
      </c>
      <c r="J914" t="s">
        <v>6</v>
      </c>
    </row>
    <row r="915" spans="2:10" x14ac:dyDescent="0.45">
      <c r="B915" t="s">
        <v>106</v>
      </c>
      <c r="C915" t="s">
        <v>32</v>
      </c>
      <c r="D915">
        <v>7.3292669545114084E-2</v>
      </c>
      <c r="E915" t="s">
        <v>6</v>
      </c>
      <c r="G915" t="s">
        <v>107</v>
      </c>
      <c r="H915" t="s">
        <v>32</v>
      </c>
      <c r="I915">
        <v>1.0256283787121446E-2</v>
      </c>
      <c r="J915" t="s">
        <v>6</v>
      </c>
    </row>
    <row r="916" spans="2:10" x14ac:dyDescent="0.45">
      <c r="B916" t="s">
        <v>106</v>
      </c>
      <c r="C916" t="s">
        <v>33</v>
      </c>
      <c r="D916">
        <v>8.389993956762358E-2</v>
      </c>
      <c r="E916" t="s">
        <v>6</v>
      </c>
      <c r="G916" t="s">
        <v>107</v>
      </c>
      <c r="H916" t="s">
        <v>33</v>
      </c>
      <c r="I916">
        <v>1.2426351924680475E-2</v>
      </c>
      <c r="J916" t="s">
        <v>6</v>
      </c>
    </row>
    <row r="917" spans="2:10" x14ac:dyDescent="0.45">
      <c r="B917" t="s">
        <v>106</v>
      </c>
      <c r="C917" t="s">
        <v>34</v>
      </c>
      <c r="D917">
        <v>7.3053264459407782E-2</v>
      </c>
      <c r="E917" t="s">
        <v>6</v>
      </c>
      <c r="G917" t="s">
        <v>107</v>
      </c>
      <c r="H917" t="s">
        <v>34</v>
      </c>
      <c r="I917">
        <v>1.457674863618144E-2</v>
      </c>
      <c r="J917" t="s">
        <v>6</v>
      </c>
    </row>
    <row r="918" spans="2:10" x14ac:dyDescent="0.45">
      <c r="B918" t="s">
        <v>106</v>
      </c>
      <c r="C918" t="s">
        <v>35</v>
      </c>
      <c r="D918">
        <v>4.3901302307750599E-2</v>
      </c>
      <c r="E918" t="s">
        <v>6</v>
      </c>
      <c r="G918" t="s">
        <v>107</v>
      </c>
      <c r="H918" t="s">
        <v>35</v>
      </c>
      <c r="I918">
        <v>1.5732910757793196E-2</v>
      </c>
      <c r="J918" t="s">
        <v>6</v>
      </c>
    </row>
    <row r="919" spans="2:10" x14ac:dyDescent="0.45">
      <c r="B919" t="s">
        <v>106</v>
      </c>
      <c r="C919" t="s">
        <v>36</v>
      </c>
      <c r="D919">
        <v>9.657324409171544E-3</v>
      </c>
      <c r="E919" t="s">
        <v>6</v>
      </c>
      <c r="G919" t="s">
        <v>107</v>
      </c>
      <c r="H919" t="s">
        <v>36</v>
      </c>
      <c r="I919">
        <v>1.1427895111301711E-2</v>
      </c>
      <c r="J919" t="s">
        <v>6</v>
      </c>
    </row>
    <row r="920" spans="2:10" x14ac:dyDescent="0.45">
      <c r="B920" t="s">
        <v>106</v>
      </c>
      <c r="C920" t="s">
        <v>37</v>
      </c>
      <c r="D920">
        <v>3.7829776799411978E-5</v>
      </c>
      <c r="E920" t="s">
        <v>6</v>
      </c>
      <c r="G920" t="s">
        <v>107</v>
      </c>
      <c r="H920" t="s">
        <v>37</v>
      </c>
      <c r="I920">
        <v>1.1178813039214076E-2</v>
      </c>
      <c r="J920" t="s">
        <v>6</v>
      </c>
    </row>
    <row r="921" spans="2:10" x14ac:dyDescent="0.45">
      <c r="B921" t="s">
        <v>106</v>
      </c>
      <c r="C921" t="s">
        <v>38</v>
      </c>
      <c r="D921">
        <v>0</v>
      </c>
      <c r="E921" t="s">
        <v>6</v>
      </c>
      <c r="G921" t="s">
        <v>107</v>
      </c>
      <c r="H921" t="s">
        <v>38</v>
      </c>
      <c r="I921">
        <v>5.8691340994309837E-2</v>
      </c>
      <c r="J921" t="s">
        <v>6</v>
      </c>
    </row>
    <row r="922" spans="2:10" x14ac:dyDescent="0.45">
      <c r="B922" t="s">
        <v>106</v>
      </c>
      <c r="C922" t="s">
        <v>39</v>
      </c>
      <c r="D922">
        <v>0</v>
      </c>
      <c r="E922" t="s">
        <v>6</v>
      </c>
      <c r="G922" t="s">
        <v>107</v>
      </c>
      <c r="H922" t="s">
        <v>39</v>
      </c>
      <c r="I922">
        <v>2.2873973389937938E-2</v>
      </c>
      <c r="J922" t="s">
        <v>6</v>
      </c>
    </row>
    <row r="923" spans="2:10" x14ac:dyDescent="0.45">
      <c r="B923" t="s">
        <v>106</v>
      </c>
      <c r="C923" t="s">
        <v>40</v>
      </c>
      <c r="D923">
        <v>1.2561996408254254E-3</v>
      </c>
      <c r="E923" t="s">
        <v>6</v>
      </c>
      <c r="G923" t="s">
        <v>107</v>
      </c>
      <c r="H923" t="s">
        <v>40</v>
      </c>
      <c r="I923">
        <v>2.3037843475836688E-2</v>
      </c>
      <c r="J923" t="s">
        <v>6</v>
      </c>
    </row>
    <row r="924" spans="2:10" x14ac:dyDescent="0.45">
      <c r="B924" t="s">
        <v>106</v>
      </c>
      <c r="C924" t="s">
        <v>41</v>
      </c>
      <c r="D924">
        <v>2.4394854309248499E-2</v>
      </c>
      <c r="E924" t="s">
        <v>6</v>
      </c>
      <c r="G924" t="s">
        <v>107</v>
      </c>
      <c r="H924" t="s">
        <v>41</v>
      </c>
      <c r="I924">
        <v>2.3615168719579211E-2</v>
      </c>
      <c r="J924" t="s">
        <v>6</v>
      </c>
    </row>
    <row r="925" spans="2:10" x14ac:dyDescent="0.45">
      <c r="B925" t="s">
        <v>106</v>
      </c>
      <c r="C925" t="s">
        <v>42</v>
      </c>
      <c r="D925">
        <v>5.2491716338848561E-2</v>
      </c>
      <c r="E925" t="s">
        <v>6</v>
      </c>
      <c r="G925" t="s">
        <v>107</v>
      </c>
      <c r="H925" t="s">
        <v>42</v>
      </c>
      <c r="I925">
        <v>2.3511255332572485E-2</v>
      </c>
      <c r="J925" t="s">
        <v>6</v>
      </c>
    </row>
    <row r="926" spans="2:10" x14ac:dyDescent="0.45">
      <c r="B926" t="s">
        <v>106</v>
      </c>
      <c r="C926" t="s">
        <v>43</v>
      </c>
      <c r="D926">
        <v>6.1661950410167567E-2</v>
      </c>
      <c r="E926" t="s">
        <v>6</v>
      </c>
      <c r="G926" t="s">
        <v>107</v>
      </c>
      <c r="H926" t="s">
        <v>43</v>
      </c>
      <c r="I926">
        <v>2.6765306066422329E-2</v>
      </c>
      <c r="J926" t="s">
        <v>6</v>
      </c>
    </row>
    <row r="927" spans="2:10" x14ac:dyDescent="0.45">
      <c r="B927" t="s">
        <v>106</v>
      </c>
      <c r="C927" t="s">
        <v>44</v>
      </c>
      <c r="D927">
        <v>4.7295725964990071E-2</v>
      </c>
      <c r="E927" t="s">
        <v>6</v>
      </c>
      <c r="G927" t="s">
        <v>107</v>
      </c>
      <c r="H927" t="s">
        <v>44</v>
      </c>
      <c r="I927">
        <v>2.7534023637434579E-2</v>
      </c>
      <c r="J927" t="s">
        <v>6</v>
      </c>
    </row>
    <row r="928" spans="2:10" x14ac:dyDescent="0.45">
      <c r="B928" t="s">
        <v>106</v>
      </c>
      <c r="C928" t="s">
        <v>45</v>
      </c>
      <c r="D928">
        <v>1.8371766792086276E-2</v>
      </c>
      <c r="E928" t="s">
        <v>6</v>
      </c>
      <c r="G928" t="s">
        <v>107</v>
      </c>
      <c r="H928" t="s">
        <v>45</v>
      </c>
      <c r="I928">
        <v>2.455202236587679E-2</v>
      </c>
      <c r="J928" t="s">
        <v>6</v>
      </c>
    </row>
    <row r="929" spans="2:10" x14ac:dyDescent="0.45">
      <c r="B929" t="s">
        <v>106</v>
      </c>
      <c r="C929" t="s">
        <v>46</v>
      </c>
      <c r="D929">
        <v>8.388335253005139E-4</v>
      </c>
      <c r="E929" t="s">
        <v>6</v>
      </c>
      <c r="G929" t="s">
        <v>107</v>
      </c>
      <c r="H929" t="s">
        <v>46</v>
      </c>
      <c r="I929">
        <v>2.3165818829138044E-2</v>
      </c>
      <c r="J929" t="s">
        <v>6</v>
      </c>
    </row>
    <row r="930" spans="2:10" x14ac:dyDescent="0.45">
      <c r="B930" t="s">
        <v>106</v>
      </c>
      <c r="C930" t="s">
        <v>47</v>
      </c>
      <c r="D930">
        <v>0</v>
      </c>
      <c r="E930" t="s">
        <v>6</v>
      </c>
      <c r="G930" t="s">
        <v>107</v>
      </c>
      <c r="H930" t="s">
        <v>47</v>
      </c>
      <c r="I930">
        <v>3.5670111106492597E-2</v>
      </c>
      <c r="J930" t="s">
        <v>6</v>
      </c>
    </row>
    <row r="931" spans="2:10" x14ac:dyDescent="0.45">
      <c r="B931" t="s">
        <v>108</v>
      </c>
      <c r="C931" t="s">
        <v>5</v>
      </c>
      <c r="D931">
        <v>0</v>
      </c>
      <c r="E931" t="s">
        <v>6</v>
      </c>
      <c r="G931" t="s">
        <v>109</v>
      </c>
      <c r="H931" t="s">
        <v>5</v>
      </c>
      <c r="I931">
        <v>5.8336404661052055E-2</v>
      </c>
      <c r="J931" t="s">
        <v>6</v>
      </c>
    </row>
    <row r="932" spans="2:10" x14ac:dyDescent="0.45">
      <c r="B932" t="s">
        <v>108</v>
      </c>
      <c r="C932" t="s">
        <v>9</v>
      </c>
      <c r="D932">
        <v>0</v>
      </c>
      <c r="E932" t="s">
        <v>6</v>
      </c>
      <c r="G932" t="s">
        <v>109</v>
      </c>
      <c r="H932" t="s">
        <v>9</v>
      </c>
      <c r="I932">
        <v>2.6129017029101722E-2</v>
      </c>
      <c r="J932" t="s">
        <v>6</v>
      </c>
    </row>
    <row r="933" spans="2:10" x14ac:dyDescent="0.45">
      <c r="B933" t="s">
        <v>108</v>
      </c>
      <c r="C933" t="s">
        <v>10</v>
      </c>
      <c r="D933">
        <v>0</v>
      </c>
      <c r="E933" t="s">
        <v>6</v>
      </c>
      <c r="G933" t="s">
        <v>109</v>
      </c>
      <c r="H933" t="s">
        <v>10</v>
      </c>
      <c r="I933">
        <v>2.7671855770710126E-2</v>
      </c>
      <c r="J933" t="s">
        <v>6</v>
      </c>
    </row>
    <row r="934" spans="2:10" x14ac:dyDescent="0.45">
      <c r="B934" t="s">
        <v>108</v>
      </c>
      <c r="C934" t="s">
        <v>11</v>
      </c>
      <c r="D934">
        <v>1.1931125705347363E-2</v>
      </c>
      <c r="E934" t="s">
        <v>6</v>
      </c>
      <c r="G934" t="s">
        <v>109</v>
      </c>
      <c r="H934" t="s">
        <v>11</v>
      </c>
      <c r="I934">
        <v>2.7426808548929742E-2</v>
      </c>
      <c r="J934" t="s">
        <v>6</v>
      </c>
    </row>
    <row r="935" spans="2:10" x14ac:dyDescent="0.45">
      <c r="B935" t="s">
        <v>108</v>
      </c>
      <c r="C935" t="s">
        <v>12</v>
      </c>
      <c r="D935">
        <v>4.4056853792146487E-2</v>
      </c>
      <c r="E935" t="s">
        <v>6</v>
      </c>
      <c r="G935" t="s">
        <v>109</v>
      </c>
      <c r="H935" t="s">
        <v>12</v>
      </c>
      <c r="I935">
        <v>2.7538346944752323E-2</v>
      </c>
      <c r="J935" t="s">
        <v>6</v>
      </c>
    </row>
    <row r="936" spans="2:10" x14ac:dyDescent="0.45">
      <c r="B936" t="s">
        <v>108</v>
      </c>
      <c r="C936" t="s">
        <v>13</v>
      </c>
      <c r="D936">
        <v>5.7976157531747251E-2</v>
      </c>
      <c r="E936" t="s">
        <v>6</v>
      </c>
      <c r="G936" t="s">
        <v>109</v>
      </c>
      <c r="H936" t="s">
        <v>13</v>
      </c>
      <c r="I936">
        <v>3.0689995150027287E-2</v>
      </c>
      <c r="J936" t="s">
        <v>6</v>
      </c>
    </row>
    <row r="937" spans="2:10" x14ac:dyDescent="0.45">
      <c r="B937" t="s">
        <v>108</v>
      </c>
      <c r="C937" t="s">
        <v>14</v>
      </c>
      <c r="D937">
        <v>4.6337827870284426E-2</v>
      </c>
      <c r="E937" t="s">
        <v>6</v>
      </c>
      <c r="G937" t="s">
        <v>109</v>
      </c>
      <c r="H937" t="s">
        <v>14</v>
      </c>
      <c r="I937">
        <v>3.0036801751749255E-2</v>
      </c>
      <c r="J937" t="s">
        <v>6</v>
      </c>
    </row>
    <row r="938" spans="2:10" x14ac:dyDescent="0.45">
      <c r="B938" t="s">
        <v>108</v>
      </c>
      <c r="C938" t="s">
        <v>15</v>
      </c>
      <c r="D938">
        <v>1.4649438575331115E-2</v>
      </c>
      <c r="E938" t="s">
        <v>6</v>
      </c>
      <c r="G938" t="s">
        <v>109</v>
      </c>
      <c r="H938" t="s">
        <v>15</v>
      </c>
      <c r="I938">
        <v>2.721640706894142E-2</v>
      </c>
      <c r="J938" t="s">
        <v>6</v>
      </c>
    </row>
    <row r="939" spans="2:10" x14ac:dyDescent="0.45">
      <c r="B939" t="s">
        <v>108</v>
      </c>
      <c r="C939" t="s">
        <v>16</v>
      </c>
      <c r="D939">
        <v>1.9355324906633264E-4</v>
      </c>
      <c r="E939" t="s">
        <v>6</v>
      </c>
      <c r="G939" t="s">
        <v>109</v>
      </c>
      <c r="H939" t="s">
        <v>16</v>
      </c>
      <c r="I939">
        <v>2.470555402556366E-2</v>
      </c>
      <c r="J939" t="s">
        <v>6</v>
      </c>
    </row>
    <row r="940" spans="2:10" x14ac:dyDescent="0.45">
      <c r="B940" t="s">
        <v>108</v>
      </c>
      <c r="C940" t="s">
        <v>17</v>
      </c>
      <c r="D940">
        <v>0</v>
      </c>
      <c r="E940" t="s">
        <v>6</v>
      </c>
      <c r="G940" t="s">
        <v>109</v>
      </c>
      <c r="H940" t="s">
        <v>17</v>
      </c>
      <c r="I940">
        <v>3.5973505206487455E-2</v>
      </c>
      <c r="J940" t="s">
        <v>6</v>
      </c>
    </row>
    <row r="941" spans="2:10" x14ac:dyDescent="0.45">
      <c r="B941" t="s">
        <v>108</v>
      </c>
      <c r="C941" t="s">
        <v>18</v>
      </c>
      <c r="D941">
        <v>0</v>
      </c>
      <c r="E941" t="s">
        <v>6</v>
      </c>
      <c r="G941" t="s">
        <v>109</v>
      </c>
      <c r="H941" t="s">
        <v>18</v>
      </c>
      <c r="I941">
        <v>4.9022817517473831E-2</v>
      </c>
      <c r="J941" t="s">
        <v>6</v>
      </c>
    </row>
    <row r="942" spans="2:10" x14ac:dyDescent="0.45">
      <c r="B942" t="s">
        <v>108</v>
      </c>
      <c r="C942" t="s">
        <v>19</v>
      </c>
      <c r="D942">
        <v>2.7499827173107259E-7</v>
      </c>
      <c r="E942" t="s">
        <v>6</v>
      </c>
      <c r="G942" t="s">
        <v>109</v>
      </c>
      <c r="H942" t="s">
        <v>19</v>
      </c>
      <c r="I942">
        <v>1.9191957670495793E-2</v>
      </c>
      <c r="J942" t="s">
        <v>6</v>
      </c>
    </row>
    <row r="943" spans="2:10" x14ac:dyDescent="0.45">
      <c r="B943" t="s">
        <v>108</v>
      </c>
      <c r="C943" t="s">
        <v>20</v>
      </c>
      <c r="D943">
        <v>4.995077832545148E-3</v>
      </c>
      <c r="E943" t="s">
        <v>6</v>
      </c>
      <c r="G943" t="s">
        <v>109</v>
      </c>
      <c r="H943" t="s">
        <v>20</v>
      </c>
      <c r="I943">
        <v>1.8928597615099636E-2</v>
      </c>
      <c r="J943" t="s">
        <v>6</v>
      </c>
    </row>
    <row r="944" spans="2:10" x14ac:dyDescent="0.45">
      <c r="B944" t="s">
        <v>108</v>
      </c>
      <c r="C944" t="s">
        <v>21</v>
      </c>
      <c r="D944">
        <v>3.6362607351004758E-2</v>
      </c>
      <c r="E944" t="s">
        <v>6</v>
      </c>
      <c r="G944" t="s">
        <v>109</v>
      </c>
      <c r="H944" t="s">
        <v>21</v>
      </c>
      <c r="I944">
        <v>2.1007995005771031E-2</v>
      </c>
      <c r="J944" t="s">
        <v>6</v>
      </c>
    </row>
    <row r="945" spans="2:10" x14ac:dyDescent="0.45">
      <c r="B945" t="s">
        <v>108</v>
      </c>
      <c r="C945" t="s">
        <v>22</v>
      </c>
      <c r="D945">
        <v>6.7477172449842845E-2</v>
      </c>
      <c r="E945" t="s">
        <v>6</v>
      </c>
      <c r="G945" t="s">
        <v>109</v>
      </c>
      <c r="H945" t="s">
        <v>22</v>
      </c>
      <c r="I945">
        <v>2.2935100993446596E-2</v>
      </c>
      <c r="J945" t="s">
        <v>6</v>
      </c>
    </row>
    <row r="946" spans="2:10" x14ac:dyDescent="0.45">
      <c r="B946" t="s">
        <v>108</v>
      </c>
      <c r="C946" t="s">
        <v>23</v>
      </c>
      <c r="D946">
        <v>7.4537172836904531E-2</v>
      </c>
      <c r="E946" t="s">
        <v>6</v>
      </c>
      <c r="G946" t="s">
        <v>109</v>
      </c>
      <c r="H946" t="s">
        <v>23</v>
      </c>
      <c r="I946">
        <v>2.7104057902356989E-2</v>
      </c>
      <c r="J946" t="s">
        <v>6</v>
      </c>
    </row>
    <row r="947" spans="2:10" x14ac:dyDescent="0.45">
      <c r="B947" t="s">
        <v>108</v>
      </c>
      <c r="C947" t="s">
        <v>24</v>
      </c>
      <c r="D947">
        <v>6.2356140390106347E-2</v>
      </c>
      <c r="E947" t="s">
        <v>6</v>
      </c>
      <c r="G947" t="s">
        <v>109</v>
      </c>
      <c r="H947" t="s">
        <v>24</v>
      </c>
      <c r="I947">
        <v>2.8986456398518448E-2</v>
      </c>
      <c r="J947" t="s">
        <v>6</v>
      </c>
    </row>
    <row r="948" spans="2:10" x14ac:dyDescent="0.45">
      <c r="B948" t="s">
        <v>108</v>
      </c>
      <c r="C948" t="s">
        <v>25</v>
      </c>
      <c r="D948">
        <v>3.4920368819706352E-2</v>
      </c>
      <c r="E948" t="s">
        <v>6</v>
      </c>
      <c r="G948" t="s">
        <v>109</v>
      </c>
      <c r="H948" t="s">
        <v>25</v>
      </c>
      <c r="I948">
        <v>2.6742006228956318E-2</v>
      </c>
      <c r="J948" t="s">
        <v>6</v>
      </c>
    </row>
    <row r="949" spans="2:10" x14ac:dyDescent="0.45">
      <c r="B949" t="s">
        <v>108</v>
      </c>
      <c r="C949" t="s">
        <v>26</v>
      </c>
      <c r="D949">
        <v>5.2047982371758545E-3</v>
      </c>
      <c r="E949" t="s">
        <v>6</v>
      </c>
      <c r="G949" t="s">
        <v>109</v>
      </c>
      <c r="H949" t="s">
        <v>26</v>
      </c>
      <c r="I949">
        <v>2.3378107581748325E-2</v>
      </c>
      <c r="J949" t="s">
        <v>6</v>
      </c>
    </row>
    <row r="950" spans="2:10" x14ac:dyDescent="0.45">
      <c r="B950" t="s">
        <v>108</v>
      </c>
      <c r="C950" t="s">
        <v>27</v>
      </c>
      <c r="D950">
        <v>2.6118640362634083E-8</v>
      </c>
      <c r="E950" t="s">
        <v>6</v>
      </c>
      <c r="G950" t="s">
        <v>109</v>
      </c>
      <c r="H950" t="s">
        <v>27</v>
      </c>
      <c r="I950">
        <v>3.2475920309790997E-2</v>
      </c>
      <c r="J950" t="s">
        <v>6</v>
      </c>
    </row>
    <row r="951" spans="2:10" x14ac:dyDescent="0.45">
      <c r="B951" t="s">
        <v>108</v>
      </c>
      <c r="C951" t="s">
        <v>28</v>
      </c>
      <c r="D951">
        <v>0</v>
      </c>
      <c r="E951" t="s">
        <v>6</v>
      </c>
      <c r="G951" t="s">
        <v>109</v>
      </c>
      <c r="H951" t="s">
        <v>28</v>
      </c>
      <c r="I951">
        <v>2.9564825174577414E-2</v>
      </c>
      <c r="J951" t="s">
        <v>6</v>
      </c>
    </row>
    <row r="952" spans="2:10" x14ac:dyDescent="0.45">
      <c r="B952" t="s">
        <v>108</v>
      </c>
      <c r="C952" t="s">
        <v>29</v>
      </c>
      <c r="D952">
        <v>1.2557305550754332E-5</v>
      </c>
      <c r="E952" t="s">
        <v>6</v>
      </c>
      <c r="G952" t="s">
        <v>109</v>
      </c>
      <c r="H952" t="s">
        <v>29</v>
      </c>
      <c r="I952">
        <v>1.0045855305841756E-2</v>
      </c>
      <c r="J952" t="s">
        <v>6</v>
      </c>
    </row>
    <row r="953" spans="2:10" x14ac:dyDescent="0.45">
      <c r="B953" t="s">
        <v>108</v>
      </c>
      <c r="C953" t="s">
        <v>30</v>
      </c>
      <c r="D953">
        <v>8.1786594733639223E-3</v>
      </c>
      <c r="E953" t="s">
        <v>6</v>
      </c>
      <c r="G953" t="s">
        <v>109</v>
      </c>
      <c r="H953" t="s">
        <v>30</v>
      </c>
      <c r="I953">
        <v>9.2968943817762703E-3</v>
      </c>
      <c r="J953" t="s">
        <v>6</v>
      </c>
    </row>
    <row r="954" spans="2:10" x14ac:dyDescent="0.45">
      <c r="B954" t="s">
        <v>108</v>
      </c>
      <c r="C954" t="s">
        <v>31</v>
      </c>
      <c r="D954">
        <v>4.3283762467589131E-2</v>
      </c>
      <c r="E954" t="s">
        <v>6</v>
      </c>
      <c r="G954" t="s">
        <v>109</v>
      </c>
      <c r="H954" t="s">
        <v>31</v>
      </c>
      <c r="I954">
        <v>9.888094665445853E-3</v>
      </c>
      <c r="J954" t="s">
        <v>6</v>
      </c>
    </row>
    <row r="955" spans="2:10" x14ac:dyDescent="0.45">
      <c r="B955" t="s">
        <v>108</v>
      </c>
      <c r="C955" t="s">
        <v>32</v>
      </c>
      <c r="D955">
        <v>7.485102348463353E-2</v>
      </c>
      <c r="E955" t="s">
        <v>6</v>
      </c>
      <c r="G955" t="s">
        <v>109</v>
      </c>
      <c r="H955" t="s">
        <v>32</v>
      </c>
      <c r="I955">
        <v>1.0999324678720692E-2</v>
      </c>
      <c r="J955" t="s">
        <v>6</v>
      </c>
    </row>
    <row r="956" spans="2:10" x14ac:dyDescent="0.45">
      <c r="B956" t="s">
        <v>108</v>
      </c>
      <c r="C956" t="s">
        <v>33</v>
      </c>
      <c r="D956">
        <v>8.4849221038010861E-2</v>
      </c>
      <c r="E956" t="s">
        <v>6</v>
      </c>
      <c r="G956" t="s">
        <v>109</v>
      </c>
      <c r="H956" t="s">
        <v>33</v>
      </c>
      <c r="I956">
        <v>1.3545926685798088E-2</v>
      </c>
      <c r="J956" t="s">
        <v>6</v>
      </c>
    </row>
    <row r="957" spans="2:10" x14ac:dyDescent="0.45">
      <c r="B957" t="s">
        <v>108</v>
      </c>
      <c r="C957" t="s">
        <v>34</v>
      </c>
      <c r="D957">
        <v>7.3560839913951834E-2</v>
      </c>
      <c r="E957" t="s">
        <v>6</v>
      </c>
      <c r="G957" t="s">
        <v>109</v>
      </c>
      <c r="H957" t="s">
        <v>34</v>
      </c>
      <c r="I957">
        <v>1.4269477841226272E-2</v>
      </c>
      <c r="J957" t="s">
        <v>6</v>
      </c>
    </row>
    <row r="958" spans="2:10" x14ac:dyDescent="0.45">
      <c r="B958" t="s">
        <v>108</v>
      </c>
      <c r="C958" t="s">
        <v>35</v>
      </c>
      <c r="D958">
        <v>4.4589360354111603E-2</v>
      </c>
      <c r="E958" t="s">
        <v>6</v>
      </c>
      <c r="G958" t="s">
        <v>109</v>
      </c>
      <c r="H958" t="s">
        <v>35</v>
      </c>
      <c r="I958">
        <v>1.326031225403502E-2</v>
      </c>
      <c r="J958" t="s">
        <v>6</v>
      </c>
    </row>
    <row r="959" spans="2:10" x14ac:dyDescent="0.45">
      <c r="B959" t="s">
        <v>108</v>
      </c>
      <c r="C959" t="s">
        <v>36</v>
      </c>
      <c r="D959">
        <v>9.7634212508597128E-3</v>
      </c>
      <c r="E959" t="s">
        <v>6</v>
      </c>
      <c r="G959" t="s">
        <v>109</v>
      </c>
      <c r="H959" t="s">
        <v>36</v>
      </c>
      <c r="I959">
        <v>1.2056536439492819E-2</v>
      </c>
      <c r="J959" t="s">
        <v>6</v>
      </c>
    </row>
    <row r="960" spans="2:10" x14ac:dyDescent="0.45">
      <c r="B960" t="s">
        <v>108</v>
      </c>
      <c r="C960" t="s">
        <v>37</v>
      </c>
      <c r="D960">
        <v>4.6829661969786165E-5</v>
      </c>
      <c r="E960" t="s">
        <v>6</v>
      </c>
      <c r="G960" t="s">
        <v>109</v>
      </c>
      <c r="H960" t="s">
        <v>37</v>
      </c>
      <c r="I960">
        <v>1.8892313037880724E-2</v>
      </c>
      <c r="J960" t="s">
        <v>6</v>
      </c>
    </row>
    <row r="961" spans="2:10" x14ac:dyDescent="0.45">
      <c r="B961" t="s">
        <v>108</v>
      </c>
      <c r="C961" t="s">
        <v>38</v>
      </c>
      <c r="D961">
        <v>0</v>
      </c>
      <c r="E961" t="s">
        <v>6</v>
      </c>
      <c r="G961" t="s">
        <v>109</v>
      </c>
      <c r="H961" t="s">
        <v>38</v>
      </c>
      <c r="I961">
        <v>5.4374943464440585E-2</v>
      </c>
      <c r="J961" t="s">
        <v>6</v>
      </c>
    </row>
    <row r="962" spans="2:10" x14ac:dyDescent="0.45">
      <c r="B962" t="s">
        <v>108</v>
      </c>
      <c r="C962" t="s">
        <v>39</v>
      </c>
      <c r="D962">
        <v>0</v>
      </c>
      <c r="E962" t="s">
        <v>6</v>
      </c>
      <c r="G962" t="s">
        <v>109</v>
      </c>
      <c r="H962" t="s">
        <v>39</v>
      </c>
      <c r="I962">
        <v>2.2013517995807801E-2</v>
      </c>
      <c r="J962" t="s">
        <v>6</v>
      </c>
    </row>
    <row r="963" spans="2:10" x14ac:dyDescent="0.45">
      <c r="B963" t="s">
        <v>108</v>
      </c>
      <c r="C963" t="s">
        <v>40</v>
      </c>
      <c r="D963">
        <v>1.2840447428697725E-3</v>
      </c>
      <c r="E963" t="s">
        <v>6</v>
      </c>
      <c r="G963" t="s">
        <v>109</v>
      </c>
      <c r="H963" t="s">
        <v>40</v>
      </c>
      <c r="I963">
        <v>2.1582521338242209E-2</v>
      </c>
      <c r="J963" t="s">
        <v>6</v>
      </c>
    </row>
    <row r="964" spans="2:10" x14ac:dyDescent="0.45">
      <c r="B964" t="s">
        <v>108</v>
      </c>
      <c r="C964" t="s">
        <v>41</v>
      </c>
      <c r="D964">
        <v>2.40049106489271E-2</v>
      </c>
      <c r="E964" t="s">
        <v>6</v>
      </c>
      <c r="G964" t="s">
        <v>109</v>
      </c>
      <c r="H964" t="s">
        <v>41</v>
      </c>
      <c r="I964">
        <v>2.0564056330646917E-2</v>
      </c>
      <c r="J964" t="s">
        <v>6</v>
      </c>
    </row>
    <row r="965" spans="2:10" x14ac:dyDescent="0.45">
      <c r="B965" t="s">
        <v>108</v>
      </c>
      <c r="C965" t="s">
        <v>42</v>
      </c>
      <c r="D965">
        <v>5.2345816049491803E-2</v>
      </c>
      <c r="E965" t="s">
        <v>6</v>
      </c>
      <c r="G965" t="s">
        <v>109</v>
      </c>
      <c r="H965" t="s">
        <v>42</v>
      </c>
      <c r="I965">
        <v>2.1145848560967174E-2</v>
      </c>
      <c r="J965" t="s">
        <v>6</v>
      </c>
    </row>
    <row r="966" spans="2:10" x14ac:dyDescent="0.45">
      <c r="B966" t="s">
        <v>108</v>
      </c>
      <c r="C966" t="s">
        <v>43</v>
      </c>
      <c r="D966">
        <v>5.8871835469110685E-2</v>
      </c>
      <c r="E966" t="s">
        <v>6</v>
      </c>
      <c r="G966" t="s">
        <v>109</v>
      </c>
      <c r="H966" t="s">
        <v>43</v>
      </c>
      <c r="I966">
        <v>2.4178115972833134E-2</v>
      </c>
      <c r="J966" t="s">
        <v>6</v>
      </c>
    </row>
    <row r="967" spans="2:10" x14ac:dyDescent="0.45">
      <c r="B967" t="s">
        <v>108</v>
      </c>
      <c r="C967" t="s">
        <v>44</v>
      </c>
      <c r="D967">
        <v>4.5033685312812537E-2</v>
      </c>
      <c r="E967" t="s">
        <v>6</v>
      </c>
      <c r="G967" t="s">
        <v>109</v>
      </c>
      <c r="H967" t="s">
        <v>44</v>
      </c>
      <c r="I967">
        <v>2.5271278760346669E-2</v>
      </c>
      <c r="J967" t="s">
        <v>6</v>
      </c>
    </row>
    <row r="968" spans="2:10" x14ac:dyDescent="0.45">
      <c r="B968" t="s">
        <v>108</v>
      </c>
      <c r="C968" t="s">
        <v>45</v>
      </c>
      <c r="D968">
        <v>1.752892483998798E-2</v>
      </c>
      <c r="E968" t="s">
        <v>6</v>
      </c>
      <c r="G968" t="s">
        <v>109</v>
      </c>
      <c r="H968" t="s">
        <v>45</v>
      </c>
      <c r="I968">
        <v>2.4326582889010691E-2</v>
      </c>
      <c r="J968" t="s">
        <v>6</v>
      </c>
    </row>
    <row r="969" spans="2:10" x14ac:dyDescent="0.45">
      <c r="B969" t="s">
        <v>108</v>
      </c>
      <c r="C969" t="s">
        <v>46</v>
      </c>
      <c r="D969">
        <v>7.9651222863859968E-4</v>
      </c>
      <c r="E969" t="s">
        <v>6</v>
      </c>
      <c r="G969" t="s">
        <v>109</v>
      </c>
      <c r="H969" t="s">
        <v>46</v>
      </c>
      <c r="I969">
        <v>2.3726393844804763E-2</v>
      </c>
      <c r="J969" t="s">
        <v>6</v>
      </c>
    </row>
    <row r="970" spans="2:10" x14ac:dyDescent="0.45">
      <c r="B970" t="s">
        <v>108</v>
      </c>
      <c r="C970" t="s">
        <v>47</v>
      </c>
      <c r="D970">
        <v>0</v>
      </c>
      <c r="E970" t="s">
        <v>6</v>
      </c>
      <c r="G970" t="s">
        <v>109</v>
      </c>
      <c r="H970" t="s">
        <v>47</v>
      </c>
      <c r="I970">
        <v>3.5499466997135132E-2</v>
      </c>
      <c r="J970" t="s">
        <v>6</v>
      </c>
    </row>
    <row r="971" spans="2:10" x14ac:dyDescent="0.45">
      <c r="B971" t="s">
        <v>110</v>
      </c>
      <c r="C971" t="s">
        <v>5</v>
      </c>
      <c r="D971">
        <v>0</v>
      </c>
      <c r="E971" t="s">
        <v>6</v>
      </c>
      <c r="G971" t="s">
        <v>111</v>
      </c>
      <c r="H971" t="s">
        <v>5</v>
      </c>
      <c r="I971">
        <v>6.3685989699838325E-2</v>
      </c>
      <c r="J971" t="s">
        <v>6</v>
      </c>
    </row>
    <row r="972" spans="2:10" x14ac:dyDescent="0.45">
      <c r="B972" t="s">
        <v>110</v>
      </c>
      <c r="C972" t="s">
        <v>9</v>
      </c>
      <c r="D972">
        <v>0</v>
      </c>
      <c r="E972" t="s">
        <v>6</v>
      </c>
      <c r="G972" t="s">
        <v>111</v>
      </c>
      <c r="H972" t="s">
        <v>9</v>
      </c>
      <c r="I972">
        <v>2.6201348426916682E-2</v>
      </c>
      <c r="J972" t="s">
        <v>6</v>
      </c>
    </row>
    <row r="973" spans="2:10" x14ac:dyDescent="0.45">
      <c r="B973" t="s">
        <v>110</v>
      </c>
      <c r="C973" t="s">
        <v>10</v>
      </c>
      <c r="D973">
        <v>0</v>
      </c>
      <c r="E973" t="s">
        <v>6</v>
      </c>
      <c r="G973" t="s">
        <v>111</v>
      </c>
      <c r="H973" t="s">
        <v>10</v>
      </c>
      <c r="I973">
        <v>2.5581081141792798E-2</v>
      </c>
      <c r="J973" t="s">
        <v>6</v>
      </c>
    </row>
    <row r="974" spans="2:10" x14ac:dyDescent="0.45">
      <c r="B974" t="s">
        <v>110</v>
      </c>
      <c r="C974" t="s">
        <v>11</v>
      </c>
      <c r="D974">
        <v>1.2843786604814304E-2</v>
      </c>
      <c r="E974" t="s">
        <v>6</v>
      </c>
      <c r="G974" t="s">
        <v>111</v>
      </c>
      <c r="H974" t="s">
        <v>11</v>
      </c>
      <c r="I974">
        <v>2.4767098630342481E-2</v>
      </c>
      <c r="J974" t="s">
        <v>6</v>
      </c>
    </row>
    <row r="975" spans="2:10" x14ac:dyDescent="0.45">
      <c r="B975" t="s">
        <v>110</v>
      </c>
      <c r="C975" t="s">
        <v>12</v>
      </c>
      <c r="D975">
        <v>4.1059522209548303E-2</v>
      </c>
      <c r="E975" t="s">
        <v>6</v>
      </c>
      <c r="G975" t="s">
        <v>111</v>
      </c>
      <c r="H975" t="s">
        <v>12</v>
      </c>
      <c r="I975">
        <v>2.242705588377784E-2</v>
      </c>
      <c r="J975" t="s">
        <v>6</v>
      </c>
    </row>
    <row r="976" spans="2:10" x14ac:dyDescent="0.45">
      <c r="B976" t="s">
        <v>110</v>
      </c>
      <c r="C976" t="s">
        <v>13</v>
      </c>
      <c r="D976">
        <v>5.4979446100954198E-2</v>
      </c>
      <c r="E976" t="s">
        <v>6</v>
      </c>
      <c r="G976" t="s">
        <v>111</v>
      </c>
      <c r="H976" t="s">
        <v>13</v>
      </c>
      <c r="I976">
        <v>2.2842530090237907E-2</v>
      </c>
      <c r="J976" t="s">
        <v>6</v>
      </c>
    </row>
    <row r="977" spans="2:10" x14ac:dyDescent="0.45">
      <c r="B977" t="s">
        <v>110</v>
      </c>
      <c r="C977" t="s">
        <v>14</v>
      </c>
      <c r="D977">
        <v>4.3967801263330511E-2</v>
      </c>
      <c r="E977" t="s">
        <v>6</v>
      </c>
      <c r="G977" t="s">
        <v>111</v>
      </c>
      <c r="H977" t="s">
        <v>14</v>
      </c>
      <c r="I977">
        <v>2.4689729165310922E-2</v>
      </c>
      <c r="J977" t="s">
        <v>6</v>
      </c>
    </row>
    <row r="978" spans="2:10" x14ac:dyDescent="0.45">
      <c r="B978" t="s">
        <v>110</v>
      </c>
      <c r="C978" t="s">
        <v>15</v>
      </c>
      <c r="D978">
        <v>1.341891259879254E-2</v>
      </c>
      <c r="E978" t="s">
        <v>6</v>
      </c>
      <c r="G978" t="s">
        <v>111</v>
      </c>
      <c r="H978" t="s">
        <v>15</v>
      </c>
      <c r="I978">
        <v>2.5345131630015023E-2</v>
      </c>
      <c r="J978" t="s">
        <v>6</v>
      </c>
    </row>
    <row r="979" spans="2:10" x14ac:dyDescent="0.45">
      <c r="B979" t="s">
        <v>110</v>
      </c>
      <c r="C979" t="s">
        <v>16</v>
      </c>
      <c r="D979">
        <v>2.674913718667244E-5</v>
      </c>
      <c r="E979" t="s">
        <v>6</v>
      </c>
      <c r="G979" t="s">
        <v>111</v>
      </c>
      <c r="H979" t="s">
        <v>16</v>
      </c>
      <c r="I979">
        <v>2.6327935498840476E-2</v>
      </c>
      <c r="J979" t="s">
        <v>6</v>
      </c>
    </row>
    <row r="980" spans="2:10" x14ac:dyDescent="0.45">
      <c r="B980" t="s">
        <v>110</v>
      </c>
      <c r="C980" t="s">
        <v>17</v>
      </c>
      <c r="D980">
        <v>0</v>
      </c>
      <c r="E980" t="s">
        <v>6</v>
      </c>
      <c r="G980" t="s">
        <v>111</v>
      </c>
      <c r="H980" t="s">
        <v>17</v>
      </c>
      <c r="I980">
        <v>3.8724658086564619E-2</v>
      </c>
      <c r="J980" t="s">
        <v>6</v>
      </c>
    </row>
    <row r="981" spans="2:10" x14ac:dyDescent="0.45">
      <c r="B981" t="s">
        <v>110</v>
      </c>
      <c r="C981" t="s">
        <v>18</v>
      </c>
      <c r="D981">
        <v>0</v>
      </c>
      <c r="E981" t="s">
        <v>6</v>
      </c>
      <c r="G981" t="s">
        <v>111</v>
      </c>
      <c r="H981" t="s">
        <v>18</v>
      </c>
      <c r="I981">
        <v>4.8363156486092691E-2</v>
      </c>
      <c r="J981" t="s">
        <v>6</v>
      </c>
    </row>
    <row r="982" spans="2:10" x14ac:dyDescent="0.45">
      <c r="B982" t="s">
        <v>110</v>
      </c>
      <c r="C982" t="s">
        <v>19</v>
      </c>
      <c r="D982">
        <v>7.2782831261208752E-6</v>
      </c>
      <c r="E982" t="s">
        <v>6</v>
      </c>
      <c r="G982" t="s">
        <v>111</v>
      </c>
      <c r="H982" t="s">
        <v>19</v>
      </c>
      <c r="I982">
        <v>1.999179409632653E-2</v>
      </c>
      <c r="J982" t="s">
        <v>6</v>
      </c>
    </row>
    <row r="983" spans="2:10" x14ac:dyDescent="0.45">
      <c r="B983" t="s">
        <v>110</v>
      </c>
      <c r="C983" t="s">
        <v>20</v>
      </c>
      <c r="D983">
        <v>5.9395979992109792E-3</v>
      </c>
      <c r="E983" t="s">
        <v>6</v>
      </c>
      <c r="G983" t="s">
        <v>111</v>
      </c>
      <c r="H983" t="s">
        <v>20</v>
      </c>
      <c r="I983">
        <v>2.0828587235302842E-2</v>
      </c>
      <c r="J983" t="s">
        <v>6</v>
      </c>
    </row>
    <row r="984" spans="2:10" x14ac:dyDescent="0.45">
      <c r="B984" t="s">
        <v>110</v>
      </c>
      <c r="C984" t="s">
        <v>21</v>
      </c>
      <c r="D984">
        <v>3.6325706373229731E-2</v>
      </c>
      <c r="E984" t="s">
        <v>6</v>
      </c>
      <c r="G984" t="s">
        <v>111</v>
      </c>
      <c r="H984" t="s">
        <v>21</v>
      </c>
      <c r="I984">
        <v>1.9855435363589601E-2</v>
      </c>
      <c r="J984" t="s">
        <v>6</v>
      </c>
    </row>
    <row r="985" spans="2:10" x14ac:dyDescent="0.45">
      <c r="B985" t="s">
        <v>110</v>
      </c>
      <c r="C985" t="s">
        <v>22</v>
      </c>
      <c r="D985">
        <v>6.6290207917131042E-2</v>
      </c>
      <c r="E985" t="s">
        <v>6</v>
      </c>
      <c r="G985" t="s">
        <v>111</v>
      </c>
      <c r="H985" t="s">
        <v>22</v>
      </c>
      <c r="I985">
        <v>1.7995441231767224E-2</v>
      </c>
      <c r="J985" t="s">
        <v>6</v>
      </c>
    </row>
    <row r="986" spans="2:10" x14ac:dyDescent="0.45">
      <c r="B986" t="s">
        <v>110</v>
      </c>
      <c r="C986" t="s">
        <v>23</v>
      </c>
      <c r="D986">
        <v>7.4982218730988065E-2</v>
      </c>
      <c r="E986" t="s">
        <v>6</v>
      </c>
      <c r="G986" t="s">
        <v>111</v>
      </c>
      <c r="H986" t="s">
        <v>23</v>
      </c>
      <c r="I986">
        <v>2.0070806869416934E-2</v>
      </c>
      <c r="J986" t="s">
        <v>6</v>
      </c>
    </row>
    <row r="987" spans="2:10" x14ac:dyDescent="0.45">
      <c r="B987" t="s">
        <v>110</v>
      </c>
      <c r="C987" t="s">
        <v>24</v>
      </c>
      <c r="D987">
        <v>6.1942647964117956E-2</v>
      </c>
      <c r="E987" t="s">
        <v>6</v>
      </c>
      <c r="G987" t="s">
        <v>111</v>
      </c>
      <c r="H987" t="s">
        <v>24</v>
      </c>
      <c r="I987">
        <v>2.1565025201716683E-2</v>
      </c>
      <c r="J987" t="s">
        <v>6</v>
      </c>
    </row>
    <row r="988" spans="2:10" x14ac:dyDescent="0.45">
      <c r="B988" t="s">
        <v>110</v>
      </c>
      <c r="C988" t="s">
        <v>25</v>
      </c>
      <c r="D988">
        <v>3.2536358731759023E-2</v>
      </c>
      <c r="E988" t="s">
        <v>6</v>
      </c>
      <c r="G988" t="s">
        <v>111</v>
      </c>
      <c r="H988" t="s">
        <v>25</v>
      </c>
      <c r="I988">
        <v>2.2020579514106069E-2</v>
      </c>
      <c r="J988" t="s">
        <v>6</v>
      </c>
    </row>
    <row r="989" spans="2:10" x14ac:dyDescent="0.45">
      <c r="B989" t="s">
        <v>110</v>
      </c>
      <c r="C989" t="s">
        <v>26</v>
      </c>
      <c r="D989">
        <v>4.1685816734161043E-3</v>
      </c>
      <c r="E989" t="s">
        <v>6</v>
      </c>
      <c r="G989" t="s">
        <v>111</v>
      </c>
      <c r="H989" t="s">
        <v>26</v>
      </c>
      <c r="I989">
        <v>2.1064214237867702E-2</v>
      </c>
      <c r="J989" t="s">
        <v>6</v>
      </c>
    </row>
    <row r="990" spans="2:10" x14ac:dyDescent="0.45">
      <c r="B990" t="s">
        <v>110</v>
      </c>
      <c r="C990" t="s">
        <v>27</v>
      </c>
      <c r="D990">
        <v>0</v>
      </c>
      <c r="E990" t="s">
        <v>6</v>
      </c>
      <c r="G990" t="s">
        <v>111</v>
      </c>
      <c r="H990" t="s">
        <v>27</v>
      </c>
      <c r="I990">
        <v>3.0616164232686108E-2</v>
      </c>
      <c r="J990" t="s">
        <v>6</v>
      </c>
    </row>
    <row r="991" spans="2:10" x14ac:dyDescent="0.45">
      <c r="B991" t="s">
        <v>110</v>
      </c>
      <c r="C991" t="s">
        <v>28</v>
      </c>
      <c r="D991">
        <v>0</v>
      </c>
      <c r="E991" t="s">
        <v>6</v>
      </c>
      <c r="G991" t="s">
        <v>111</v>
      </c>
      <c r="H991" t="s">
        <v>28</v>
      </c>
      <c r="I991">
        <v>3.6468062217654654E-2</v>
      </c>
      <c r="J991" t="s">
        <v>6</v>
      </c>
    </row>
    <row r="992" spans="2:10" x14ac:dyDescent="0.45">
      <c r="B992" t="s">
        <v>110</v>
      </c>
      <c r="C992" t="s">
        <v>29</v>
      </c>
      <c r="D992">
        <v>6.7268338218290946E-5</v>
      </c>
      <c r="E992" t="s">
        <v>6</v>
      </c>
      <c r="G992" t="s">
        <v>111</v>
      </c>
      <c r="H992" t="s">
        <v>29</v>
      </c>
      <c r="I992">
        <v>1.3063608828606348E-2</v>
      </c>
      <c r="J992" t="s">
        <v>6</v>
      </c>
    </row>
    <row r="993" spans="2:10" x14ac:dyDescent="0.45">
      <c r="B993" t="s">
        <v>110</v>
      </c>
      <c r="C993" t="s">
        <v>30</v>
      </c>
      <c r="D993">
        <v>1.0260743330627474E-2</v>
      </c>
      <c r="E993" t="s">
        <v>6</v>
      </c>
      <c r="G993" t="s">
        <v>111</v>
      </c>
      <c r="H993" t="s">
        <v>30</v>
      </c>
      <c r="I993">
        <v>1.1274766830824222E-2</v>
      </c>
      <c r="J993" t="s">
        <v>6</v>
      </c>
    </row>
    <row r="994" spans="2:10" x14ac:dyDescent="0.45">
      <c r="B994" t="s">
        <v>110</v>
      </c>
      <c r="C994" t="s">
        <v>31</v>
      </c>
      <c r="D994">
        <v>4.78626264609813E-2</v>
      </c>
      <c r="E994" t="s">
        <v>6</v>
      </c>
      <c r="G994" t="s">
        <v>111</v>
      </c>
      <c r="H994" t="s">
        <v>31</v>
      </c>
      <c r="I994">
        <v>9.3217908714758636E-3</v>
      </c>
      <c r="J994" t="s">
        <v>6</v>
      </c>
    </row>
    <row r="995" spans="2:10" x14ac:dyDescent="0.45">
      <c r="B995" t="s">
        <v>110</v>
      </c>
      <c r="C995" t="s">
        <v>32</v>
      </c>
      <c r="D995">
        <v>7.8462172693603172E-2</v>
      </c>
      <c r="E995" t="s">
        <v>6</v>
      </c>
      <c r="G995" t="s">
        <v>111</v>
      </c>
      <c r="H995" t="s">
        <v>32</v>
      </c>
      <c r="I995">
        <v>1.0229006912320886E-2</v>
      </c>
      <c r="J995" t="s">
        <v>6</v>
      </c>
    </row>
    <row r="996" spans="2:10" x14ac:dyDescent="0.45">
      <c r="B996" t="s">
        <v>110</v>
      </c>
      <c r="C996" t="s">
        <v>33</v>
      </c>
      <c r="D996">
        <v>8.8115647576640185E-2</v>
      </c>
      <c r="E996" t="s">
        <v>6</v>
      </c>
      <c r="G996" t="s">
        <v>111</v>
      </c>
      <c r="H996" t="s">
        <v>33</v>
      </c>
      <c r="I996">
        <v>1.1295518950783076E-2</v>
      </c>
      <c r="J996" t="s">
        <v>6</v>
      </c>
    </row>
    <row r="997" spans="2:10" x14ac:dyDescent="0.45">
      <c r="B997" t="s">
        <v>110</v>
      </c>
      <c r="C997" t="s">
        <v>34</v>
      </c>
      <c r="D997">
        <v>7.481642520024101E-2</v>
      </c>
      <c r="E997" t="s">
        <v>6</v>
      </c>
      <c r="G997" t="s">
        <v>111</v>
      </c>
      <c r="H997" t="s">
        <v>34</v>
      </c>
      <c r="I997">
        <v>1.2017349353356497E-2</v>
      </c>
      <c r="J997" t="s">
        <v>6</v>
      </c>
    </row>
    <row r="998" spans="2:10" x14ac:dyDescent="0.45">
      <c r="B998" t="s">
        <v>110</v>
      </c>
      <c r="C998" t="s">
        <v>35</v>
      </c>
      <c r="D998">
        <v>4.3650170932490247E-2</v>
      </c>
      <c r="E998" t="s">
        <v>6</v>
      </c>
      <c r="G998" t="s">
        <v>111</v>
      </c>
      <c r="H998" t="s">
        <v>35</v>
      </c>
      <c r="I998">
        <v>1.2574939151053972E-2</v>
      </c>
      <c r="J998" t="s">
        <v>6</v>
      </c>
    </row>
    <row r="999" spans="2:10" x14ac:dyDescent="0.45">
      <c r="B999" t="s">
        <v>110</v>
      </c>
      <c r="C999" t="s">
        <v>36</v>
      </c>
      <c r="D999">
        <v>8.4265065562463652E-3</v>
      </c>
      <c r="E999" t="s">
        <v>6</v>
      </c>
      <c r="G999" t="s">
        <v>111</v>
      </c>
      <c r="H999" t="s">
        <v>36</v>
      </c>
      <c r="I999">
        <v>1.2576764225966741E-2</v>
      </c>
      <c r="J999" t="s">
        <v>6</v>
      </c>
    </row>
    <row r="1000" spans="2:10" x14ac:dyDescent="0.45">
      <c r="B1000" t="s">
        <v>110</v>
      </c>
      <c r="C1000" t="s">
        <v>37</v>
      </c>
      <c r="D1000">
        <v>2.644351539397937E-6</v>
      </c>
      <c r="E1000" t="s">
        <v>6</v>
      </c>
      <c r="G1000" t="s">
        <v>111</v>
      </c>
      <c r="H1000" t="s">
        <v>37</v>
      </c>
      <c r="I1000">
        <v>2.1820281050869139E-2</v>
      </c>
      <c r="J1000" t="s">
        <v>6</v>
      </c>
    </row>
    <row r="1001" spans="2:10" x14ac:dyDescent="0.45">
      <c r="B1001" t="s">
        <v>110</v>
      </c>
      <c r="C1001" t="s">
        <v>38</v>
      </c>
      <c r="D1001">
        <v>0</v>
      </c>
      <c r="E1001" t="s">
        <v>6</v>
      </c>
      <c r="G1001" t="s">
        <v>111</v>
      </c>
      <c r="H1001" t="s">
        <v>38</v>
      </c>
      <c r="I1001">
        <v>6.5629300036191468E-2</v>
      </c>
      <c r="J1001" t="s">
        <v>6</v>
      </c>
    </row>
    <row r="1002" spans="2:10" x14ac:dyDescent="0.45">
      <c r="B1002" t="s">
        <v>110</v>
      </c>
      <c r="C1002" t="s">
        <v>39</v>
      </c>
      <c r="D1002">
        <v>0</v>
      </c>
      <c r="E1002" t="s">
        <v>6</v>
      </c>
      <c r="G1002" t="s">
        <v>111</v>
      </c>
      <c r="H1002" t="s">
        <v>39</v>
      </c>
      <c r="I1002">
        <v>2.6076374623540958E-2</v>
      </c>
      <c r="J1002" t="s">
        <v>6</v>
      </c>
    </row>
    <row r="1003" spans="2:10" x14ac:dyDescent="0.45">
      <c r="B1003" t="s">
        <v>110</v>
      </c>
      <c r="C1003" t="s">
        <v>40</v>
      </c>
      <c r="D1003">
        <v>1.7494221554315251E-3</v>
      </c>
      <c r="E1003" t="s">
        <v>6</v>
      </c>
      <c r="G1003" t="s">
        <v>111</v>
      </c>
      <c r="H1003" t="s">
        <v>40</v>
      </c>
      <c r="I1003">
        <v>2.6257042594635009E-2</v>
      </c>
      <c r="J1003" t="s">
        <v>6</v>
      </c>
    </row>
    <row r="1004" spans="2:10" x14ac:dyDescent="0.45">
      <c r="B1004" t="s">
        <v>110</v>
      </c>
      <c r="C1004" t="s">
        <v>41</v>
      </c>
      <c r="D1004">
        <v>2.5385519626874128E-2</v>
      </c>
      <c r="E1004" t="s">
        <v>6</v>
      </c>
      <c r="G1004" t="s">
        <v>111</v>
      </c>
      <c r="H1004" t="s">
        <v>41</v>
      </c>
      <c r="I1004">
        <v>2.5527927411161375E-2</v>
      </c>
      <c r="J1004" t="s">
        <v>6</v>
      </c>
    </row>
    <row r="1005" spans="2:10" x14ac:dyDescent="0.45">
      <c r="B1005" t="s">
        <v>110</v>
      </c>
      <c r="C1005" t="s">
        <v>42</v>
      </c>
      <c r="D1005">
        <v>5.3377126395322938E-2</v>
      </c>
      <c r="E1005" t="s">
        <v>6</v>
      </c>
      <c r="G1005" t="s">
        <v>111</v>
      </c>
      <c r="H1005" t="s">
        <v>42</v>
      </c>
      <c r="I1005">
        <v>2.3691015999119894E-2</v>
      </c>
      <c r="J1005" t="s">
        <v>6</v>
      </c>
    </row>
    <row r="1006" spans="2:10" x14ac:dyDescent="0.45">
      <c r="B1006" t="s">
        <v>110</v>
      </c>
      <c r="C1006" t="s">
        <v>43</v>
      </c>
      <c r="D1006">
        <v>5.9361647388316764E-2</v>
      </c>
      <c r="E1006" t="s">
        <v>6</v>
      </c>
      <c r="G1006" t="s">
        <v>111</v>
      </c>
      <c r="H1006" t="s">
        <v>43</v>
      </c>
      <c r="I1006">
        <v>2.3934966849841515E-2</v>
      </c>
      <c r="J1006" t="s">
        <v>6</v>
      </c>
    </row>
    <row r="1007" spans="2:10" x14ac:dyDescent="0.45">
      <c r="B1007" t="s">
        <v>110</v>
      </c>
      <c r="C1007" t="s">
        <v>44</v>
      </c>
      <c r="D1007">
        <v>4.4200024308548712E-2</v>
      </c>
      <c r="E1007" t="s">
        <v>6</v>
      </c>
      <c r="G1007" t="s">
        <v>111</v>
      </c>
      <c r="H1007" t="s">
        <v>44</v>
      </c>
      <c r="I1007">
        <v>2.3696407898840376E-2</v>
      </c>
      <c r="J1007" t="s">
        <v>6</v>
      </c>
    </row>
    <row r="1008" spans="2:10" x14ac:dyDescent="0.45">
      <c r="B1008" t="s">
        <v>110</v>
      </c>
      <c r="C1008" t="s">
        <v>45</v>
      </c>
      <c r="D1008">
        <v>1.5260005101149851E-2</v>
      </c>
      <c r="E1008" t="s">
        <v>6</v>
      </c>
      <c r="G1008" t="s">
        <v>111</v>
      </c>
      <c r="H1008" t="s">
        <v>45</v>
      </c>
      <c r="I1008">
        <v>2.4260068922517513E-2</v>
      </c>
      <c r="J1008" t="s">
        <v>6</v>
      </c>
    </row>
    <row r="1009" spans="2:10" x14ac:dyDescent="0.45">
      <c r="B1009" t="s">
        <v>110</v>
      </c>
      <c r="C1009" t="s">
        <v>46</v>
      </c>
      <c r="D1009">
        <v>5.1323399616367779E-4</v>
      </c>
      <c r="E1009" t="s">
        <v>6</v>
      </c>
      <c r="G1009" t="s">
        <v>111</v>
      </c>
      <c r="H1009" t="s">
        <v>46</v>
      </c>
      <c r="I1009">
        <v>2.6219835547253947E-2</v>
      </c>
      <c r="J1009" t="s">
        <v>6</v>
      </c>
    </row>
    <row r="1010" spans="2:10" x14ac:dyDescent="0.45">
      <c r="B1010" t="s">
        <v>110</v>
      </c>
      <c r="C1010" t="s">
        <v>47</v>
      </c>
      <c r="D1010">
        <v>0</v>
      </c>
      <c r="E1010" t="s">
        <v>6</v>
      </c>
      <c r="G1010" t="s">
        <v>111</v>
      </c>
      <c r="H1010" t="s">
        <v>47</v>
      </c>
      <c r="I1010">
        <v>4.1101209001480038E-2</v>
      </c>
      <c r="J1010" t="s">
        <v>6</v>
      </c>
    </row>
    <row r="1011" spans="2:10" x14ac:dyDescent="0.45">
      <c r="B1011" t="s">
        <v>112</v>
      </c>
      <c r="C1011" t="s">
        <v>5</v>
      </c>
      <c r="D1011">
        <v>0</v>
      </c>
      <c r="E1011" t="s">
        <v>6</v>
      </c>
      <c r="G1011" t="s">
        <v>113</v>
      </c>
      <c r="H1011" t="s">
        <v>5</v>
      </c>
      <c r="I1011">
        <v>6.3727600906759219E-2</v>
      </c>
      <c r="J1011" t="s">
        <v>6</v>
      </c>
    </row>
    <row r="1012" spans="2:10" x14ac:dyDescent="0.45">
      <c r="B1012" t="s">
        <v>112</v>
      </c>
      <c r="C1012" t="s">
        <v>9</v>
      </c>
      <c r="D1012">
        <v>0</v>
      </c>
      <c r="E1012" t="s">
        <v>6</v>
      </c>
      <c r="G1012" t="s">
        <v>113</v>
      </c>
      <c r="H1012" t="s">
        <v>9</v>
      </c>
      <c r="I1012">
        <v>2.4976178682965235E-2</v>
      </c>
      <c r="J1012" t="s">
        <v>6</v>
      </c>
    </row>
    <row r="1013" spans="2:10" x14ac:dyDescent="0.45">
      <c r="B1013" t="s">
        <v>112</v>
      </c>
      <c r="C1013" t="s">
        <v>10</v>
      </c>
      <c r="D1013">
        <v>0</v>
      </c>
      <c r="E1013" t="s">
        <v>6</v>
      </c>
      <c r="G1013" t="s">
        <v>113</v>
      </c>
      <c r="H1013" t="s">
        <v>10</v>
      </c>
      <c r="I1013">
        <v>2.531355977423742E-2</v>
      </c>
      <c r="J1013" t="s">
        <v>6</v>
      </c>
    </row>
    <row r="1014" spans="2:10" x14ac:dyDescent="0.45">
      <c r="B1014" t="s">
        <v>112</v>
      </c>
      <c r="C1014" t="s">
        <v>11</v>
      </c>
      <c r="D1014">
        <v>1.2494521580645972E-2</v>
      </c>
      <c r="E1014" t="s">
        <v>6</v>
      </c>
      <c r="G1014" t="s">
        <v>113</v>
      </c>
      <c r="H1014" t="s">
        <v>11</v>
      </c>
      <c r="I1014">
        <v>2.5631907620229068E-2</v>
      </c>
      <c r="J1014" t="s">
        <v>6</v>
      </c>
    </row>
    <row r="1015" spans="2:10" x14ac:dyDescent="0.45">
      <c r="B1015" t="s">
        <v>112</v>
      </c>
      <c r="C1015" t="s">
        <v>12</v>
      </c>
      <c r="D1015">
        <v>4.3608269139421965E-2</v>
      </c>
      <c r="E1015" t="s">
        <v>6</v>
      </c>
      <c r="G1015" t="s">
        <v>113</v>
      </c>
      <c r="H1015" t="s">
        <v>12</v>
      </c>
      <c r="I1015">
        <v>2.2506121139925887E-2</v>
      </c>
      <c r="J1015" t="s">
        <v>6</v>
      </c>
    </row>
    <row r="1016" spans="2:10" x14ac:dyDescent="0.45">
      <c r="B1016" t="s">
        <v>112</v>
      </c>
      <c r="C1016" t="s">
        <v>13</v>
      </c>
      <c r="D1016">
        <v>5.6179126011363809E-2</v>
      </c>
      <c r="E1016" t="s">
        <v>6</v>
      </c>
      <c r="G1016" t="s">
        <v>113</v>
      </c>
      <c r="H1016" t="s">
        <v>13</v>
      </c>
      <c r="I1016">
        <v>2.4293118842922786E-2</v>
      </c>
      <c r="J1016" t="s">
        <v>6</v>
      </c>
    </row>
    <row r="1017" spans="2:10" x14ac:dyDescent="0.45">
      <c r="B1017" t="s">
        <v>112</v>
      </c>
      <c r="C1017" t="s">
        <v>14</v>
      </c>
      <c r="D1017">
        <v>4.4351242101194323E-2</v>
      </c>
      <c r="E1017" t="s">
        <v>6</v>
      </c>
      <c r="G1017" t="s">
        <v>113</v>
      </c>
      <c r="H1017" t="s">
        <v>14</v>
      </c>
      <c r="I1017">
        <v>2.5850250878105701E-2</v>
      </c>
      <c r="J1017" t="s">
        <v>6</v>
      </c>
    </row>
    <row r="1018" spans="2:10" x14ac:dyDescent="0.45">
      <c r="B1018" t="s">
        <v>112</v>
      </c>
      <c r="C1018" t="s">
        <v>15</v>
      </c>
      <c r="D1018">
        <v>1.3757398673992241E-2</v>
      </c>
      <c r="E1018" t="s">
        <v>6</v>
      </c>
      <c r="G1018" t="s">
        <v>113</v>
      </c>
      <c r="H1018" t="s">
        <v>15</v>
      </c>
      <c r="I1018">
        <v>2.6598872553923004E-2</v>
      </c>
      <c r="J1018" t="s">
        <v>6</v>
      </c>
    </row>
    <row r="1019" spans="2:10" x14ac:dyDescent="0.45">
      <c r="B1019" t="s">
        <v>112</v>
      </c>
      <c r="C1019" t="s">
        <v>16</v>
      </c>
      <c r="D1019">
        <v>9.014557435592061E-5</v>
      </c>
      <c r="E1019" t="s">
        <v>6</v>
      </c>
      <c r="G1019" t="s">
        <v>113</v>
      </c>
      <c r="H1019" t="s">
        <v>16</v>
      </c>
      <c r="I1019">
        <v>2.6724875074934529E-2</v>
      </c>
      <c r="J1019" t="s">
        <v>6</v>
      </c>
    </row>
    <row r="1020" spans="2:10" x14ac:dyDescent="0.45">
      <c r="B1020" t="s">
        <v>112</v>
      </c>
      <c r="C1020" t="s">
        <v>17</v>
      </c>
      <c r="D1020">
        <v>0</v>
      </c>
      <c r="E1020" t="s">
        <v>6</v>
      </c>
      <c r="G1020" t="s">
        <v>113</v>
      </c>
      <c r="H1020" t="s">
        <v>17</v>
      </c>
      <c r="I1020">
        <v>3.8812491762802888E-2</v>
      </c>
      <c r="J1020" t="s">
        <v>6</v>
      </c>
    </row>
    <row r="1021" spans="2:10" x14ac:dyDescent="0.45">
      <c r="B1021" t="s">
        <v>112</v>
      </c>
      <c r="C1021" t="s">
        <v>18</v>
      </c>
      <c r="D1021">
        <v>0</v>
      </c>
      <c r="E1021" t="s">
        <v>6</v>
      </c>
      <c r="G1021" t="s">
        <v>113</v>
      </c>
      <c r="H1021" t="s">
        <v>18</v>
      </c>
      <c r="I1021">
        <v>5.0782705669021613E-2</v>
      </c>
      <c r="J1021" t="s">
        <v>6</v>
      </c>
    </row>
    <row r="1022" spans="2:10" x14ac:dyDescent="0.45">
      <c r="B1022" t="s">
        <v>112</v>
      </c>
      <c r="C1022" t="s">
        <v>19</v>
      </c>
      <c r="D1022">
        <v>6.1752684457839491E-6</v>
      </c>
      <c r="E1022" t="s">
        <v>6</v>
      </c>
      <c r="G1022" t="s">
        <v>113</v>
      </c>
      <c r="H1022" t="s">
        <v>19</v>
      </c>
      <c r="I1022">
        <v>1.9664962229399254E-2</v>
      </c>
      <c r="J1022" t="s">
        <v>6</v>
      </c>
    </row>
    <row r="1023" spans="2:10" x14ac:dyDescent="0.45">
      <c r="B1023" t="s">
        <v>112</v>
      </c>
      <c r="C1023" t="s">
        <v>20</v>
      </c>
      <c r="D1023">
        <v>5.6432301358305716E-3</v>
      </c>
      <c r="E1023" t="s">
        <v>6</v>
      </c>
      <c r="G1023" t="s">
        <v>113</v>
      </c>
      <c r="H1023" t="s">
        <v>20</v>
      </c>
      <c r="I1023">
        <v>1.8818491336831396E-2</v>
      </c>
      <c r="J1023" t="s">
        <v>6</v>
      </c>
    </row>
    <row r="1024" spans="2:10" x14ac:dyDescent="0.45">
      <c r="B1024" t="s">
        <v>112</v>
      </c>
      <c r="C1024" t="s">
        <v>21</v>
      </c>
      <c r="D1024">
        <v>3.6849251080411885E-2</v>
      </c>
      <c r="E1024" t="s">
        <v>6</v>
      </c>
      <c r="G1024" t="s">
        <v>113</v>
      </c>
      <c r="H1024" t="s">
        <v>21</v>
      </c>
      <c r="I1024">
        <v>1.799689841758341E-2</v>
      </c>
      <c r="J1024" t="s">
        <v>6</v>
      </c>
    </row>
    <row r="1025" spans="2:10" x14ac:dyDescent="0.45">
      <c r="B1025" t="s">
        <v>112</v>
      </c>
      <c r="C1025" t="s">
        <v>22</v>
      </c>
      <c r="D1025">
        <v>6.6605866381334963E-2</v>
      </c>
      <c r="E1025" t="s">
        <v>6</v>
      </c>
      <c r="G1025" t="s">
        <v>113</v>
      </c>
      <c r="H1025" t="s">
        <v>22</v>
      </c>
      <c r="I1025">
        <v>1.5747423712363227E-2</v>
      </c>
      <c r="J1025" t="s">
        <v>6</v>
      </c>
    </row>
    <row r="1026" spans="2:10" x14ac:dyDescent="0.45">
      <c r="B1026" t="s">
        <v>112</v>
      </c>
      <c r="C1026" t="s">
        <v>23</v>
      </c>
      <c r="D1026">
        <v>7.5166546662705974E-2</v>
      </c>
      <c r="E1026" t="s">
        <v>6</v>
      </c>
      <c r="G1026" t="s">
        <v>113</v>
      </c>
      <c r="H1026" t="s">
        <v>23</v>
      </c>
      <c r="I1026">
        <v>1.8790872177199994E-2</v>
      </c>
      <c r="J1026" t="s">
        <v>6</v>
      </c>
    </row>
    <row r="1027" spans="2:10" x14ac:dyDescent="0.45">
      <c r="B1027" t="s">
        <v>112</v>
      </c>
      <c r="C1027" t="s">
        <v>24</v>
      </c>
      <c r="D1027">
        <v>6.2466008517109248E-2</v>
      </c>
      <c r="E1027" t="s">
        <v>6</v>
      </c>
      <c r="G1027" t="s">
        <v>113</v>
      </c>
      <c r="H1027" t="s">
        <v>24</v>
      </c>
      <c r="I1027">
        <v>1.9796311915664788E-2</v>
      </c>
      <c r="J1027" t="s">
        <v>6</v>
      </c>
    </row>
    <row r="1028" spans="2:10" x14ac:dyDescent="0.45">
      <c r="B1028" t="s">
        <v>112</v>
      </c>
      <c r="C1028" t="s">
        <v>25</v>
      </c>
      <c r="D1028">
        <v>3.3681876351379945E-2</v>
      </c>
      <c r="E1028" t="s">
        <v>6</v>
      </c>
      <c r="G1028" t="s">
        <v>113</v>
      </c>
      <c r="H1028" t="s">
        <v>25</v>
      </c>
      <c r="I1028">
        <v>2.0357935884773165E-2</v>
      </c>
      <c r="J1028" t="s">
        <v>6</v>
      </c>
    </row>
    <row r="1029" spans="2:10" x14ac:dyDescent="0.45">
      <c r="B1029" t="s">
        <v>112</v>
      </c>
      <c r="C1029" t="s">
        <v>26</v>
      </c>
      <c r="D1029">
        <v>4.684333227565186E-3</v>
      </c>
      <c r="E1029" t="s">
        <v>6</v>
      </c>
      <c r="G1029" t="s">
        <v>113</v>
      </c>
      <c r="H1029" t="s">
        <v>26</v>
      </c>
      <c r="I1029">
        <v>2.1540845850823557E-2</v>
      </c>
      <c r="J1029" t="s">
        <v>6</v>
      </c>
    </row>
    <row r="1030" spans="2:10" x14ac:dyDescent="0.45">
      <c r="B1030" t="s">
        <v>112</v>
      </c>
      <c r="C1030" t="s">
        <v>27</v>
      </c>
      <c r="D1030">
        <v>0</v>
      </c>
      <c r="E1030" t="s">
        <v>6</v>
      </c>
      <c r="G1030" t="s">
        <v>113</v>
      </c>
      <c r="H1030" t="s">
        <v>27</v>
      </c>
      <c r="I1030">
        <v>3.3284072274046839E-2</v>
      </c>
      <c r="J1030" t="s">
        <v>6</v>
      </c>
    </row>
    <row r="1031" spans="2:10" x14ac:dyDescent="0.45">
      <c r="B1031" t="s">
        <v>112</v>
      </c>
      <c r="C1031" t="s">
        <v>28</v>
      </c>
      <c r="D1031">
        <v>0</v>
      </c>
      <c r="E1031" t="s">
        <v>6</v>
      </c>
      <c r="G1031" t="s">
        <v>113</v>
      </c>
      <c r="H1031" t="s">
        <v>28</v>
      </c>
      <c r="I1031">
        <v>3.439300773815307E-2</v>
      </c>
      <c r="J1031" t="s">
        <v>6</v>
      </c>
    </row>
    <row r="1032" spans="2:10" x14ac:dyDescent="0.45">
      <c r="B1032" t="s">
        <v>112</v>
      </c>
      <c r="C1032" t="s">
        <v>29</v>
      </c>
      <c r="D1032">
        <v>6.1416015139044569E-5</v>
      </c>
      <c r="E1032" t="s">
        <v>6</v>
      </c>
      <c r="G1032" t="s">
        <v>113</v>
      </c>
      <c r="H1032" t="s">
        <v>29</v>
      </c>
      <c r="I1032">
        <v>1.2622083510016077E-2</v>
      </c>
      <c r="J1032" t="s">
        <v>6</v>
      </c>
    </row>
    <row r="1033" spans="2:10" x14ac:dyDescent="0.45">
      <c r="B1033" t="s">
        <v>112</v>
      </c>
      <c r="C1033" t="s">
        <v>30</v>
      </c>
      <c r="D1033">
        <v>9.8717596248004951E-3</v>
      </c>
      <c r="E1033" t="s">
        <v>6</v>
      </c>
      <c r="G1033" t="s">
        <v>113</v>
      </c>
      <c r="H1033" t="s">
        <v>30</v>
      </c>
      <c r="I1033">
        <v>1.0423993041184857E-2</v>
      </c>
      <c r="J1033" t="s">
        <v>6</v>
      </c>
    </row>
    <row r="1034" spans="2:10" x14ac:dyDescent="0.45">
      <c r="B1034" t="s">
        <v>112</v>
      </c>
      <c r="C1034" t="s">
        <v>31</v>
      </c>
      <c r="D1034">
        <v>4.8103447078742596E-2</v>
      </c>
      <c r="E1034" t="s">
        <v>6</v>
      </c>
      <c r="G1034" t="s">
        <v>113</v>
      </c>
      <c r="H1034" t="s">
        <v>31</v>
      </c>
      <c r="I1034">
        <v>9.2936918974938203E-3</v>
      </c>
      <c r="J1034" t="s">
        <v>6</v>
      </c>
    </row>
    <row r="1035" spans="2:10" x14ac:dyDescent="0.45">
      <c r="B1035" t="s">
        <v>112</v>
      </c>
      <c r="C1035" t="s">
        <v>32</v>
      </c>
      <c r="D1035">
        <v>7.8727164111706729E-2</v>
      </c>
      <c r="E1035" t="s">
        <v>6</v>
      </c>
      <c r="G1035" t="s">
        <v>113</v>
      </c>
      <c r="H1035" t="s">
        <v>32</v>
      </c>
      <c r="I1035">
        <v>9.8545446540418535E-3</v>
      </c>
      <c r="J1035" t="s">
        <v>6</v>
      </c>
    </row>
    <row r="1036" spans="2:10" x14ac:dyDescent="0.45">
      <c r="B1036" t="s">
        <v>112</v>
      </c>
      <c r="C1036" t="s">
        <v>33</v>
      </c>
      <c r="D1036">
        <v>8.6742153306151551E-2</v>
      </c>
      <c r="E1036" t="s">
        <v>6</v>
      </c>
      <c r="G1036" t="s">
        <v>113</v>
      </c>
      <c r="H1036" t="s">
        <v>33</v>
      </c>
      <c r="I1036">
        <v>1.2022102281335429E-2</v>
      </c>
      <c r="J1036" t="s">
        <v>6</v>
      </c>
    </row>
    <row r="1037" spans="2:10" x14ac:dyDescent="0.45">
      <c r="B1037" t="s">
        <v>112</v>
      </c>
      <c r="C1037" t="s">
        <v>34</v>
      </c>
      <c r="D1037">
        <v>7.3708179129984938E-2</v>
      </c>
      <c r="E1037" t="s">
        <v>6</v>
      </c>
      <c r="G1037" t="s">
        <v>113</v>
      </c>
      <c r="H1037" t="s">
        <v>34</v>
      </c>
      <c r="I1037">
        <v>1.412604547155261E-2</v>
      </c>
      <c r="J1037" t="s">
        <v>6</v>
      </c>
    </row>
    <row r="1038" spans="2:10" x14ac:dyDescent="0.45">
      <c r="B1038" t="s">
        <v>112</v>
      </c>
      <c r="C1038" t="s">
        <v>35</v>
      </c>
      <c r="D1038">
        <v>4.3727498839483438E-2</v>
      </c>
      <c r="E1038" t="s">
        <v>6</v>
      </c>
      <c r="G1038" t="s">
        <v>113</v>
      </c>
      <c r="H1038" t="s">
        <v>35</v>
      </c>
      <c r="I1038">
        <v>1.3852342049626109E-2</v>
      </c>
      <c r="J1038" t="s">
        <v>6</v>
      </c>
    </row>
    <row r="1039" spans="2:10" x14ac:dyDescent="0.45">
      <c r="B1039" t="s">
        <v>112</v>
      </c>
      <c r="C1039" t="s">
        <v>36</v>
      </c>
      <c r="D1039">
        <v>9.2275850878927677E-3</v>
      </c>
      <c r="E1039" t="s">
        <v>6</v>
      </c>
      <c r="G1039" t="s">
        <v>113</v>
      </c>
      <c r="H1039" t="s">
        <v>36</v>
      </c>
      <c r="I1039">
        <v>1.3645905869870249E-2</v>
      </c>
      <c r="J1039" t="s">
        <v>6</v>
      </c>
    </row>
    <row r="1040" spans="2:10" x14ac:dyDescent="0.45">
      <c r="B1040" t="s">
        <v>112</v>
      </c>
      <c r="C1040" t="s">
        <v>37</v>
      </c>
      <c r="D1040">
        <v>3.3609319728682125E-5</v>
      </c>
      <c r="E1040" t="s">
        <v>6</v>
      </c>
      <c r="G1040" t="s">
        <v>113</v>
      </c>
      <c r="H1040" t="s">
        <v>37</v>
      </c>
      <c r="I1040">
        <v>2.2420800100301074E-2</v>
      </c>
      <c r="J1040" t="s">
        <v>6</v>
      </c>
    </row>
    <row r="1041" spans="2:10" x14ac:dyDescent="0.45">
      <c r="B1041" t="s">
        <v>112</v>
      </c>
      <c r="C1041" t="s">
        <v>38</v>
      </c>
      <c r="D1041">
        <v>0</v>
      </c>
      <c r="E1041" t="s">
        <v>6</v>
      </c>
      <c r="G1041" t="s">
        <v>113</v>
      </c>
      <c r="H1041" t="s">
        <v>38</v>
      </c>
      <c r="I1041">
        <v>6.6379632208224446E-2</v>
      </c>
      <c r="J1041" t="s">
        <v>6</v>
      </c>
    </row>
    <row r="1042" spans="2:10" x14ac:dyDescent="0.45">
      <c r="B1042" t="s">
        <v>112</v>
      </c>
      <c r="C1042" t="s">
        <v>39</v>
      </c>
      <c r="D1042">
        <v>0</v>
      </c>
      <c r="E1042" t="s">
        <v>6</v>
      </c>
      <c r="G1042" t="s">
        <v>113</v>
      </c>
      <c r="H1042" t="s">
        <v>39</v>
      </c>
      <c r="I1042">
        <v>2.6748273837208209E-2</v>
      </c>
      <c r="J1042" t="s">
        <v>6</v>
      </c>
    </row>
    <row r="1043" spans="2:10" x14ac:dyDescent="0.45">
      <c r="B1043" t="s">
        <v>112</v>
      </c>
      <c r="C1043" t="s">
        <v>40</v>
      </c>
      <c r="D1043">
        <v>1.4663628264616323E-3</v>
      </c>
      <c r="E1043" t="s">
        <v>6</v>
      </c>
      <c r="G1043" t="s">
        <v>113</v>
      </c>
      <c r="H1043" t="s">
        <v>40</v>
      </c>
      <c r="I1043">
        <v>2.7189733643687607E-2</v>
      </c>
      <c r="J1043" t="s">
        <v>6</v>
      </c>
    </row>
    <row r="1044" spans="2:10" x14ac:dyDescent="0.45">
      <c r="B1044" t="s">
        <v>112</v>
      </c>
      <c r="C1044" t="s">
        <v>41</v>
      </c>
      <c r="D1044">
        <v>2.4090770556483791E-2</v>
      </c>
      <c r="E1044" t="s">
        <v>6</v>
      </c>
      <c r="G1044" t="s">
        <v>113</v>
      </c>
      <c r="H1044" t="s">
        <v>41</v>
      </c>
      <c r="I1044">
        <v>2.5458407362314941E-2</v>
      </c>
      <c r="J1044" t="s">
        <v>6</v>
      </c>
    </row>
    <row r="1045" spans="2:10" x14ac:dyDescent="0.45">
      <c r="B1045" t="s">
        <v>112</v>
      </c>
      <c r="C1045" t="s">
        <v>42</v>
      </c>
      <c r="D1045">
        <v>5.1324828907488615E-2</v>
      </c>
      <c r="E1045" t="s">
        <v>6</v>
      </c>
      <c r="G1045" t="s">
        <v>113</v>
      </c>
      <c r="H1045" t="s">
        <v>42</v>
      </c>
      <c r="I1045">
        <v>2.2231769712050549E-2</v>
      </c>
      <c r="J1045" t="s">
        <v>6</v>
      </c>
    </row>
    <row r="1046" spans="2:10" x14ac:dyDescent="0.45">
      <c r="B1046" t="s">
        <v>112</v>
      </c>
      <c r="C1046" t="s">
        <v>43</v>
      </c>
      <c r="D1046">
        <v>5.7226809562829113E-2</v>
      </c>
      <c r="E1046" t="s">
        <v>6</v>
      </c>
      <c r="G1046" t="s">
        <v>113</v>
      </c>
      <c r="H1046" t="s">
        <v>43</v>
      </c>
      <c r="I1046">
        <v>2.3751496551149383E-2</v>
      </c>
      <c r="J1046" t="s">
        <v>6</v>
      </c>
    </row>
    <row r="1047" spans="2:10" x14ac:dyDescent="0.45">
      <c r="B1047" t="s">
        <v>112</v>
      </c>
      <c r="C1047" t="s">
        <v>44</v>
      </c>
      <c r="D1047">
        <v>4.3561254185845132E-2</v>
      </c>
      <c r="E1047" t="s">
        <v>6</v>
      </c>
      <c r="G1047" t="s">
        <v>113</v>
      </c>
      <c r="H1047" t="s">
        <v>44</v>
      </c>
      <c r="I1047">
        <v>2.3234956465363679E-2</v>
      </c>
      <c r="J1047" t="s">
        <v>6</v>
      </c>
    </row>
    <row r="1048" spans="2:10" x14ac:dyDescent="0.45">
      <c r="B1048" t="s">
        <v>112</v>
      </c>
      <c r="C1048" t="s">
        <v>45</v>
      </c>
      <c r="D1048">
        <v>1.5931412038938449E-2</v>
      </c>
      <c r="E1048" t="s">
        <v>6</v>
      </c>
      <c r="G1048" t="s">
        <v>113</v>
      </c>
      <c r="H1048" t="s">
        <v>45</v>
      </c>
      <c r="I1048">
        <v>2.3804209499574902E-2</v>
      </c>
      <c r="J1048" t="s">
        <v>6</v>
      </c>
    </row>
    <row r="1049" spans="2:10" x14ac:dyDescent="0.45">
      <c r="B1049" t="s">
        <v>112</v>
      </c>
      <c r="C1049" t="s">
        <v>46</v>
      </c>
      <c r="D1049">
        <v>6.1175870256436151E-4</v>
      </c>
      <c r="E1049" t="s">
        <v>6</v>
      </c>
      <c r="G1049" t="s">
        <v>113</v>
      </c>
      <c r="H1049" t="s">
        <v>46</v>
      </c>
      <c r="I1049">
        <v>2.6135416050858996E-2</v>
      </c>
      <c r="J1049" t="s">
        <v>6</v>
      </c>
    </row>
    <row r="1050" spans="2:10" x14ac:dyDescent="0.45">
      <c r="B1050" t="s">
        <v>112</v>
      </c>
      <c r="C1050" t="s">
        <v>47</v>
      </c>
      <c r="D1050">
        <v>0</v>
      </c>
      <c r="E1050" t="s">
        <v>6</v>
      </c>
      <c r="G1050" t="s">
        <v>113</v>
      </c>
      <c r="H1050" t="s">
        <v>47</v>
      </c>
      <c r="I1050">
        <v>4.1196091351482417E-2</v>
      </c>
      <c r="J1050" t="s">
        <v>6</v>
      </c>
    </row>
    <row r="1051" spans="2:10" x14ac:dyDescent="0.45">
      <c r="B1051" t="s">
        <v>114</v>
      </c>
      <c r="C1051" t="s">
        <v>5</v>
      </c>
      <c r="D1051">
        <v>0</v>
      </c>
      <c r="E1051" t="s">
        <v>6</v>
      </c>
      <c r="G1051" t="s">
        <v>115</v>
      </c>
      <c r="H1051" t="s">
        <v>5</v>
      </c>
      <c r="I1051">
        <v>5.9180643063681024E-2</v>
      </c>
      <c r="J1051" t="s">
        <v>6</v>
      </c>
    </row>
    <row r="1052" spans="2:10" x14ac:dyDescent="0.45">
      <c r="B1052" t="s">
        <v>114</v>
      </c>
      <c r="C1052" t="s">
        <v>9</v>
      </c>
      <c r="D1052">
        <v>0</v>
      </c>
      <c r="E1052" t="s">
        <v>6</v>
      </c>
      <c r="G1052" t="s">
        <v>115</v>
      </c>
      <c r="H1052" t="s">
        <v>9</v>
      </c>
      <c r="I1052">
        <v>2.3379996008173712E-2</v>
      </c>
      <c r="J1052" t="s">
        <v>6</v>
      </c>
    </row>
    <row r="1053" spans="2:10" x14ac:dyDescent="0.45">
      <c r="B1053" t="s">
        <v>114</v>
      </c>
      <c r="C1053" t="s">
        <v>10</v>
      </c>
      <c r="D1053">
        <v>6.8808767740971961E-5</v>
      </c>
      <c r="E1053" t="s">
        <v>6</v>
      </c>
      <c r="G1053" t="s">
        <v>115</v>
      </c>
      <c r="H1053" t="s">
        <v>10</v>
      </c>
      <c r="I1053">
        <v>2.2839672990086855E-2</v>
      </c>
      <c r="J1053" t="s">
        <v>6</v>
      </c>
    </row>
    <row r="1054" spans="2:10" x14ac:dyDescent="0.45">
      <c r="B1054" t="s">
        <v>114</v>
      </c>
      <c r="C1054" t="s">
        <v>11</v>
      </c>
      <c r="D1054">
        <v>1.8135489075920965E-2</v>
      </c>
      <c r="E1054" t="s">
        <v>6</v>
      </c>
      <c r="G1054" t="s">
        <v>115</v>
      </c>
      <c r="H1054" t="s">
        <v>11</v>
      </c>
      <c r="I1054">
        <v>2.2018615824747317E-2</v>
      </c>
      <c r="J1054" t="s">
        <v>6</v>
      </c>
    </row>
    <row r="1055" spans="2:10" x14ac:dyDescent="0.45">
      <c r="B1055" t="s">
        <v>114</v>
      </c>
      <c r="C1055" t="s">
        <v>12</v>
      </c>
      <c r="D1055">
        <v>5.245843542492077E-2</v>
      </c>
      <c r="E1055" t="s">
        <v>6</v>
      </c>
      <c r="G1055" t="s">
        <v>115</v>
      </c>
      <c r="H1055" t="s">
        <v>12</v>
      </c>
      <c r="I1055">
        <v>1.8551267380977836E-2</v>
      </c>
      <c r="J1055" t="s">
        <v>6</v>
      </c>
    </row>
    <row r="1056" spans="2:10" x14ac:dyDescent="0.45">
      <c r="B1056" t="s">
        <v>114</v>
      </c>
      <c r="C1056" t="s">
        <v>13</v>
      </c>
      <c r="D1056">
        <v>6.3716941070330477E-2</v>
      </c>
      <c r="E1056" t="s">
        <v>6</v>
      </c>
      <c r="G1056" t="s">
        <v>115</v>
      </c>
      <c r="H1056" t="s">
        <v>13</v>
      </c>
      <c r="I1056">
        <v>2.0878861766484631E-2</v>
      </c>
      <c r="J1056" t="s">
        <v>6</v>
      </c>
    </row>
    <row r="1057" spans="2:10" x14ac:dyDescent="0.45">
      <c r="B1057" t="s">
        <v>114</v>
      </c>
      <c r="C1057" t="s">
        <v>14</v>
      </c>
      <c r="D1057">
        <v>4.3821771900206967E-2</v>
      </c>
      <c r="E1057" t="s">
        <v>6</v>
      </c>
      <c r="G1057" t="s">
        <v>115</v>
      </c>
      <c r="H1057" t="s">
        <v>14</v>
      </c>
      <c r="I1057">
        <v>2.4775494286983196E-2</v>
      </c>
      <c r="J1057" t="s">
        <v>6</v>
      </c>
    </row>
    <row r="1058" spans="2:10" x14ac:dyDescent="0.45">
      <c r="B1058" t="s">
        <v>114</v>
      </c>
      <c r="C1058" t="s">
        <v>15</v>
      </c>
      <c r="D1058">
        <v>1.0300463103625621E-2</v>
      </c>
      <c r="E1058" t="s">
        <v>6</v>
      </c>
      <c r="G1058" t="s">
        <v>115</v>
      </c>
      <c r="H1058" t="s">
        <v>15</v>
      </c>
      <c r="I1058">
        <v>2.7103091622538218E-2</v>
      </c>
      <c r="J1058" t="s">
        <v>6</v>
      </c>
    </row>
    <row r="1059" spans="2:10" x14ac:dyDescent="0.45">
      <c r="B1059" t="s">
        <v>114</v>
      </c>
      <c r="C1059" t="s">
        <v>16</v>
      </c>
      <c r="D1059">
        <v>0</v>
      </c>
      <c r="E1059" t="s">
        <v>6</v>
      </c>
      <c r="G1059" t="s">
        <v>115</v>
      </c>
      <c r="H1059" t="s">
        <v>16</v>
      </c>
      <c r="I1059">
        <v>2.7501694010735451E-2</v>
      </c>
      <c r="J1059" t="s">
        <v>6</v>
      </c>
    </row>
    <row r="1060" spans="2:10" x14ac:dyDescent="0.45">
      <c r="B1060" t="s">
        <v>114</v>
      </c>
      <c r="C1060" t="s">
        <v>17</v>
      </c>
      <c r="D1060">
        <v>0</v>
      </c>
      <c r="E1060" t="s">
        <v>6</v>
      </c>
      <c r="G1060" t="s">
        <v>115</v>
      </c>
      <c r="H1060" t="s">
        <v>17</v>
      </c>
      <c r="I1060">
        <v>3.747665930782762E-2</v>
      </c>
      <c r="J1060" t="s">
        <v>6</v>
      </c>
    </row>
    <row r="1061" spans="2:10" x14ac:dyDescent="0.45">
      <c r="B1061" t="s">
        <v>114</v>
      </c>
      <c r="C1061" t="s">
        <v>18</v>
      </c>
      <c r="D1061">
        <v>0</v>
      </c>
      <c r="E1061" t="s">
        <v>6</v>
      </c>
      <c r="G1061" t="s">
        <v>115</v>
      </c>
      <c r="H1061" t="s">
        <v>18</v>
      </c>
      <c r="I1061">
        <v>4.7168591289576511E-2</v>
      </c>
      <c r="J1061" t="s">
        <v>6</v>
      </c>
    </row>
    <row r="1062" spans="2:10" x14ac:dyDescent="0.45">
      <c r="B1062" t="s">
        <v>114</v>
      </c>
      <c r="C1062" t="s">
        <v>19</v>
      </c>
      <c r="D1062">
        <v>9.3594353532768285E-5</v>
      </c>
      <c r="E1062" t="s">
        <v>6</v>
      </c>
      <c r="G1062" t="s">
        <v>115</v>
      </c>
      <c r="H1062" t="s">
        <v>19</v>
      </c>
      <c r="I1062">
        <v>1.6889593371788462E-2</v>
      </c>
      <c r="J1062" t="s">
        <v>6</v>
      </c>
    </row>
    <row r="1063" spans="2:10" x14ac:dyDescent="0.45">
      <c r="B1063" t="s">
        <v>114</v>
      </c>
      <c r="C1063" t="s">
        <v>20</v>
      </c>
      <c r="D1063">
        <v>8.2288770369074397E-3</v>
      </c>
      <c r="E1063" t="s">
        <v>6</v>
      </c>
      <c r="G1063" t="s">
        <v>115</v>
      </c>
      <c r="H1063" t="s">
        <v>20</v>
      </c>
      <c r="I1063">
        <v>1.5443306515322023E-2</v>
      </c>
      <c r="J1063" t="s">
        <v>6</v>
      </c>
    </row>
    <row r="1064" spans="2:10" x14ac:dyDescent="0.45">
      <c r="B1064" t="s">
        <v>114</v>
      </c>
      <c r="C1064" t="s">
        <v>21</v>
      </c>
      <c r="D1064">
        <v>4.0281230899510356E-2</v>
      </c>
      <c r="E1064" t="s">
        <v>6</v>
      </c>
      <c r="G1064" t="s">
        <v>115</v>
      </c>
      <c r="H1064" t="s">
        <v>21</v>
      </c>
      <c r="I1064">
        <v>1.4506030390269887E-2</v>
      </c>
      <c r="J1064" t="s">
        <v>6</v>
      </c>
    </row>
    <row r="1065" spans="2:10" x14ac:dyDescent="0.45">
      <c r="B1065" t="s">
        <v>114</v>
      </c>
      <c r="C1065" t="s">
        <v>22</v>
      </c>
      <c r="D1065">
        <v>6.7471146588155798E-2</v>
      </c>
      <c r="E1065" t="s">
        <v>6</v>
      </c>
      <c r="G1065" t="s">
        <v>115</v>
      </c>
      <c r="H1065" t="s">
        <v>22</v>
      </c>
      <c r="I1065">
        <v>1.5040877512927755E-2</v>
      </c>
      <c r="J1065" t="s">
        <v>6</v>
      </c>
    </row>
    <row r="1066" spans="2:10" x14ac:dyDescent="0.45">
      <c r="B1066" t="s">
        <v>114</v>
      </c>
      <c r="C1066" t="s">
        <v>23</v>
      </c>
      <c r="D1066">
        <v>7.3033977079066933E-2</v>
      </c>
      <c r="E1066" t="s">
        <v>6</v>
      </c>
      <c r="G1066" t="s">
        <v>115</v>
      </c>
      <c r="H1066" t="s">
        <v>23</v>
      </c>
      <c r="I1066">
        <v>1.819039132565551E-2</v>
      </c>
      <c r="J1066" t="s">
        <v>6</v>
      </c>
    </row>
    <row r="1067" spans="2:10" x14ac:dyDescent="0.45">
      <c r="B1067" t="s">
        <v>114</v>
      </c>
      <c r="C1067" t="s">
        <v>24</v>
      </c>
      <c r="D1067">
        <v>5.7489962765646899E-2</v>
      </c>
      <c r="E1067" t="s">
        <v>6</v>
      </c>
      <c r="G1067" t="s">
        <v>115</v>
      </c>
      <c r="H1067" t="s">
        <v>24</v>
      </c>
      <c r="I1067">
        <v>2.0419320229657124E-2</v>
      </c>
      <c r="J1067" t="s">
        <v>6</v>
      </c>
    </row>
    <row r="1068" spans="2:10" x14ac:dyDescent="0.45">
      <c r="B1068" t="s">
        <v>114</v>
      </c>
      <c r="C1068" t="s">
        <v>25</v>
      </c>
      <c r="D1068">
        <v>2.6583366085376304E-2</v>
      </c>
      <c r="E1068" t="s">
        <v>6</v>
      </c>
      <c r="G1068" t="s">
        <v>115</v>
      </c>
      <c r="H1068" t="s">
        <v>25</v>
      </c>
      <c r="I1068">
        <v>2.0240351754096667E-2</v>
      </c>
      <c r="J1068" t="s">
        <v>6</v>
      </c>
    </row>
    <row r="1069" spans="2:10" x14ac:dyDescent="0.45">
      <c r="B1069" t="s">
        <v>114</v>
      </c>
      <c r="C1069" t="s">
        <v>26</v>
      </c>
      <c r="D1069">
        <v>2.1951974241897041E-3</v>
      </c>
      <c r="E1069" t="s">
        <v>6</v>
      </c>
      <c r="G1069" t="s">
        <v>115</v>
      </c>
      <c r="H1069" t="s">
        <v>26</v>
      </c>
      <c r="I1069">
        <v>2.2376653758058061E-2</v>
      </c>
      <c r="J1069" t="s">
        <v>6</v>
      </c>
    </row>
    <row r="1070" spans="2:10" x14ac:dyDescent="0.45">
      <c r="B1070" t="s">
        <v>114</v>
      </c>
      <c r="C1070" t="s">
        <v>27</v>
      </c>
      <c r="D1070">
        <v>0</v>
      </c>
      <c r="E1070" t="s">
        <v>6</v>
      </c>
      <c r="G1070" t="s">
        <v>115</v>
      </c>
      <c r="H1070" t="s">
        <v>27</v>
      </c>
      <c r="I1070">
        <v>3.2338977822330597E-2</v>
      </c>
      <c r="J1070" t="s">
        <v>6</v>
      </c>
    </row>
    <row r="1071" spans="2:10" x14ac:dyDescent="0.45">
      <c r="B1071" t="s">
        <v>114</v>
      </c>
      <c r="C1071" t="s">
        <v>28</v>
      </c>
      <c r="D1071">
        <v>0</v>
      </c>
      <c r="E1071" t="s">
        <v>6</v>
      </c>
      <c r="G1071" t="s">
        <v>115</v>
      </c>
      <c r="H1071" t="s">
        <v>28</v>
      </c>
      <c r="I1071">
        <v>3.7380038974942777E-2</v>
      </c>
      <c r="J1071" t="s">
        <v>6</v>
      </c>
    </row>
    <row r="1072" spans="2:10" x14ac:dyDescent="0.45">
      <c r="B1072" t="s">
        <v>114</v>
      </c>
      <c r="C1072" t="s">
        <v>29</v>
      </c>
      <c r="D1072">
        <v>3.7116071698383449E-4</v>
      </c>
      <c r="E1072" t="s">
        <v>6</v>
      </c>
      <c r="G1072" t="s">
        <v>115</v>
      </c>
      <c r="H1072" t="s">
        <v>29</v>
      </c>
      <c r="I1072">
        <v>1.2310744339697166E-2</v>
      </c>
      <c r="J1072" t="s">
        <v>6</v>
      </c>
    </row>
    <row r="1073" spans="2:10" x14ac:dyDescent="0.45">
      <c r="B1073" t="s">
        <v>114</v>
      </c>
      <c r="C1073" t="s">
        <v>30</v>
      </c>
      <c r="D1073">
        <v>1.4067706866895636E-2</v>
      </c>
      <c r="E1073" t="s">
        <v>6</v>
      </c>
      <c r="G1073" t="s">
        <v>115</v>
      </c>
      <c r="H1073" t="s">
        <v>30</v>
      </c>
      <c r="I1073">
        <v>1.0053972074927659E-2</v>
      </c>
      <c r="J1073" t="s">
        <v>6</v>
      </c>
    </row>
    <row r="1074" spans="2:10" x14ac:dyDescent="0.45">
      <c r="B1074" t="s">
        <v>114</v>
      </c>
      <c r="C1074" t="s">
        <v>31</v>
      </c>
      <c r="D1074">
        <v>5.2317716433017754E-2</v>
      </c>
      <c r="E1074" t="s">
        <v>6</v>
      </c>
      <c r="G1074" t="s">
        <v>115</v>
      </c>
      <c r="H1074" t="s">
        <v>31</v>
      </c>
      <c r="I1074">
        <v>9.9472303321934685E-3</v>
      </c>
      <c r="J1074" t="s">
        <v>6</v>
      </c>
    </row>
    <row r="1075" spans="2:10" x14ac:dyDescent="0.45">
      <c r="B1075" t="s">
        <v>114</v>
      </c>
      <c r="C1075" t="s">
        <v>32</v>
      </c>
      <c r="D1075">
        <v>7.7556403438230614E-2</v>
      </c>
      <c r="E1075" t="s">
        <v>6</v>
      </c>
      <c r="G1075" t="s">
        <v>115</v>
      </c>
      <c r="H1075" t="s">
        <v>32</v>
      </c>
      <c r="I1075">
        <v>1.0842555698659001E-2</v>
      </c>
      <c r="J1075" t="s">
        <v>6</v>
      </c>
    </row>
    <row r="1076" spans="2:10" x14ac:dyDescent="0.45">
      <c r="B1076" t="s">
        <v>114</v>
      </c>
      <c r="C1076" t="s">
        <v>33</v>
      </c>
      <c r="D1076">
        <v>8.1090808314496332E-2</v>
      </c>
      <c r="E1076" t="s">
        <v>6</v>
      </c>
      <c r="G1076" t="s">
        <v>115</v>
      </c>
      <c r="H1076" t="s">
        <v>33</v>
      </c>
      <c r="I1076">
        <v>1.4134865453585678E-2</v>
      </c>
      <c r="J1076" t="s">
        <v>6</v>
      </c>
    </row>
    <row r="1077" spans="2:10" x14ac:dyDescent="0.45">
      <c r="B1077" t="s">
        <v>114</v>
      </c>
      <c r="C1077" t="s">
        <v>34</v>
      </c>
      <c r="D1077">
        <v>6.5720213342717673E-2</v>
      </c>
      <c r="E1077" t="s">
        <v>6</v>
      </c>
      <c r="G1077" t="s">
        <v>115</v>
      </c>
      <c r="H1077" t="s">
        <v>34</v>
      </c>
      <c r="I1077">
        <v>1.7324962122188391E-2</v>
      </c>
      <c r="J1077" t="s">
        <v>6</v>
      </c>
    </row>
    <row r="1078" spans="2:10" x14ac:dyDescent="0.45">
      <c r="B1078" t="s">
        <v>114</v>
      </c>
      <c r="C1078" t="s">
        <v>35</v>
      </c>
      <c r="D1078">
        <v>3.5102972469855789E-2</v>
      </c>
      <c r="E1078" t="s">
        <v>6</v>
      </c>
      <c r="G1078" t="s">
        <v>115</v>
      </c>
      <c r="H1078" t="s">
        <v>35</v>
      </c>
      <c r="I1078">
        <v>1.8467186699038907E-2</v>
      </c>
      <c r="J1078" t="s">
        <v>6</v>
      </c>
    </row>
    <row r="1079" spans="2:10" x14ac:dyDescent="0.45">
      <c r="B1079" t="s">
        <v>114</v>
      </c>
      <c r="C1079" t="s">
        <v>36</v>
      </c>
      <c r="D1079">
        <v>5.5716972393601042E-3</v>
      </c>
      <c r="E1079" t="s">
        <v>6</v>
      </c>
      <c r="G1079" t="s">
        <v>115</v>
      </c>
      <c r="H1079" t="s">
        <v>36</v>
      </c>
      <c r="I1079">
        <v>1.8192648280364525E-2</v>
      </c>
      <c r="J1079" t="s">
        <v>6</v>
      </c>
    </row>
    <row r="1080" spans="2:10" x14ac:dyDescent="0.45">
      <c r="B1080" t="s">
        <v>114</v>
      </c>
      <c r="C1080" t="s">
        <v>37</v>
      </c>
      <c r="D1080">
        <v>0</v>
      </c>
      <c r="E1080" t="s">
        <v>6</v>
      </c>
      <c r="G1080" t="s">
        <v>115</v>
      </c>
      <c r="H1080" t="s">
        <v>37</v>
      </c>
      <c r="I1080">
        <v>2.7026751953939759E-2</v>
      </c>
      <c r="J1080" t="s">
        <v>6</v>
      </c>
    </row>
    <row r="1081" spans="2:10" x14ac:dyDescent="0.45">
      <c r="B1081" t="s">
        <v>114</v>
      </c>
      <c r="C1081" t="s">
        <v>38</v>
      </c>
      <c r="D1081">
        <v>0</v>
      </c>
      <c r="E1081" t="s">
        <v>6</v>
      </c>
      <c r="G1081" t="s">
        <v>115</v>
      </c>
      <c r="H1081" t="s">
        <v>38</v>
      </c>
      <c r="I1081">
        <v>6.8089671029289922E-2</v>
      </c>
      <c r="J1081" t="s">
        <v>6</v>
      </c>
    </row>
    <row r="1082" spans="2:10" x14ac:dyDescent="0.45">
      <c r="B1082" t="s">
        <v>114</v>
      </c>
      <c r="C1082" t="s">
        <v>39</v>
      </c>
      <c r="D1082">
        <v>0</v>
      </c>
      <c r="E1082" t="s">
        <v>6</v>
      </c>
      <c r="G1082" t="s">
        <v>115</v>
      </c>
      <c r="H1082" t="s">
        <v>39</v>
      </c>
      <c r="I1082">
        <v>2.7656185049241395E-2</v>
      </c>
      <c r="J1082" t="s">
        <v>6</v>
      </c>
    </row>
    <row r="1083" spans="2:10" x14ac:dyDescent="0.45">
      <c r="B1083" t="s">
        <v>114</v>
      </c>
      <c r="C1083" t="s">
        <v>40</v>
      </c>
      <c r="D1083">
        <v>2.8336513406642004E-3</v>
      </c>
      <c r="E1083" t="s">
        <v>6</v>
      </c>
      <c r="G1083" t="s">
        <v>115</v>
      </c>
      <c r="H1083" t="s">
        <v>40</v>
      </c>
      <c r="I1083">
        <v>2.6621846139576563E-2</v>
      </c>
      <c r="J1083" t="s">
        <v>6</v>
      </c>
    </row>
    <row r="1084" spans="2:10" x14ac:dyDescent="0.45">
      <c r="B1084" t="s">
        <v>114</v>
      </c>
      <c r="C1084" t="s">
        <v>41</v>
      </c>
      <c r="D1084">
        <v>2.8118265356969398E-2</v>
      </c>
      <c r="E1084" t="s">
        <v>6</v>
      </c>
      <c r="G1084" t="s">
        <v>115</v>
      </c>
      <c r="H1084" t="s">
        <v>41</v>
      </c>
      <c r="I1084">
        <v>2.4659371715440647E-2</v>
      </c>
      <c r="J1084" t="s">
        <v>6</v>
      </c>
    </row>
    <row r="1085" spans="2:10" x14ac:dyDescent="0.45">
      <c r="B1085" t="s">
        <v>114</v>
      </c>
      <c r="C1085" t="s">
        <v>42</v>
      </c>
      <c r="D1085">
        <v>5.6076496327042459E-2</v>
      </c>
      <c r="E1085" t="s">
        <v>6</v>
      </c>
      <c r="G1085" t="s">
        <v>115</v>
      </c>
      <c r="H1085" t="s">
        <v>42</v>
      </c>
      <c r="I1085">
        <v>2.3813228733690926E-2</v>
      </c>
      <c r="J1085" t="s">
        <v>6</v>
      </c>
    </row>
    <row r="1086" spans="2:10" x14ac:dyDescent="0.45">
      <c r="B1086" t="s">
        <v>114</v>
      </c>
      <c r="C1086" t="s">
        <v>43</v>
      </c>
      <c r="D1086">
        <v>6.1137970887162878E-2</v>
      </c>
      <c r="E1086" t="s">
        <v>6</v>
      </c>
      <c r="G1086" t="s">
        <v>115</v>
      </c>
      <c r="H1086" t="s">
        <v>43</v>
      </c>
      <c r="I1086">
        <v>2.6338472222012615E-2</v>
      </c>
      <c r="J1086" t="s">
        <v>6</v>
      </c>
    </row>
    <row r="1087" spans="2:10" x14ac:dyDescent="0.45">
      <c r="B1087" t="s">
        <v>114</v>
      </c>
      <c r="C1087" t="s">
        <v>44</v>
      </c>
      <c r="D1087">
        <v>4.3539694624357875E-2</v>
      </c>
      <c r="E1087" t="s">
        <v>6</v>
      </c>
      <c r="G1087" t="s">
        <v>115</v>
      </c>
      <c r="H1087" t="s">
        <v>44</v>
      </c>
      <c r="I1087">
        <v>2.5730266037269519E-2</v>
      </c>
      <c r="J1087" t="s">
        <v>6</v>
      </c>
    </row>
    <row r="1088" spans="2:10" x14ac:dyDescent="0.45">
      <c r="B1088" t="s">
        <v>114</v>
      </c>
      <c r="C1088" t="s">
        <v>45</v>
      </c>
      <c r="D1088">
        <v>1.2474142848378816E-2</v>
      </c>
      <c r="E1088" t="s">
        <v>6</v>
      </c>
      <c r="G1088" t="s">
        <v>115</v>
      </c>
      <c r="H1088" t="s">
        <v>45</v>
      </c>
      <c r="I1088">
        <v>2.6114685237701704E-2</v>
      </c>
      <c r="J1088" t="s">
        <v>6</v>
      </c>
    </row>
    <row r="1089" spans="2:10" x14ac:dyDescent="0.45">
      <c r="B1089" t="s">
        <v>114</v>
      </c>
      <c r="C1089" t="s">
        <v>46</v>
      </c>
      <c r="D1089">
        <v>1.4183821873402526E-4</v>
      </c>
      <c r="E1089" t="s">
        <v>6</v>
      </c>
      <c r="G1089" t="s">
        <v>115</v>
      </c>
      <c r="H1089" t="s">
        <v>46</v>
      </c>
      <c r="I1089">
        <v>2.7335062166990741E-2</v>
      </c>
      <c r="J1089" t="s">
        <v>6</v>
      </c>
    </row>
    <row r="1090" spans="2:10" x14ac:dyDescent="0.45">
      <c r="B1090" t="s">
        <v>114</v>
      </c>
      <c r="C1090" t="s">
        <v>47</v>
      </c>
      <c r="D1090">
        <v>0</v>
      </c>
      <c r="E1090" t="s">
        <v>6</v>
      </c>
      <c r="G1090" t="s">
        <v>115</v>
      </c>
      <c r="H1090" t="s">
        <v>47</v>
      </c>
      <c r="I1090">
        <v>4.1640165507328755E-2</v>
      </c>
      <c r="J1090" t="s">
        <v>6</v>
      </c>
    </row>
    <row r="1091" spans="2:10" x14ac:dyDescent="0.45">
      <c r="B1091" t="s">
        <v>116</v>
      </c>
      <c r="C1091" t="s">
        <v>5</v>
      </c>
      <c r="D1091">
        <v>0</v>
      </c>
      <c r="E1091" t="s">
        <v>6</v>
      </c>
      <c r="G1091" t="s">
        <v>117</v>
      </c>
      <c r="H1091" t="s">
        <v>5</v>
      </c>
      <c r="I1091">
        <v>5.6222224284581311E-2</v>
      </c>
      <c r="J1091" t="s">
        <v>6</v>
      </c>
    </row>
    <row r="1092" spans="2:10" x14ac:dyDescent="0.45">
      <c r="B1092" t="s">
        <v>116</v>
      </c>
      <c r="C1092" t="s">
        <v>9</v>
      </c>
      <c r="D1092">
        <v>0</v>
      </c>
      <c r="E1092" t="s">
        <v>6</v>
      </c>
      <c r="G1092" t="s">
        <v>117</v>
      </c>
      <c r="H1092" t="s">
        <v>9</v>
      </c>
      <c r="I1092">
        <v>2.2200325863617459E-2</v>
      </c>
      <c r="J1092" t="s">
        <v>6</v>
      </c>
    </row>
    <row r="1093" spans="2:10" x14ac:dyDescent="0.45">
      <c r="B1093" t="s">
        <v>116</v>
      </c>
      <c r="C1093" t="s">
        <v>10</v>
      </c>
      <c r="D1093">
        <v>4.5624920583315371E-5</v>
      </c>
      <c r="E1093" t="s">
        <v>6</v>
      </c>
      <c r="G1093" t="s">
        <v>117</v>
      </c>
      <c r="H1093" t="s">
        <v>10</v>
      </c>
      <c r="I1093">
        <v>2.261902594394127E-2</v>
      </c>
      <c r="J1093" t="s">
        <v>6</v>
      </c>
    </row>
    <row r="1094" spans="2:10" x14ac:dyDescent="0.45">
      <c r="B1094" t="s">
        <v>116</v>
      </c>
      <c r="C1094" t="s">
        <v>11</v>
      </c>
      <c r="D1094">
        <v>1.6309117810647731E-2</v>
      </c>
      <c r="E1094" t="s">
        <v>6</v>
      </c>
      <c r="G1094" t="s">
        <v>117</v>
      </c>
      <c r="H1094" t="s">
        <v>11</v>
      </c>
      <c r="I1094">
        <v>2.2887365329180055E-2</v>
      </c>
      <c r="J1094" t="s">
        <v>6</v>
      </c>
    </row>
    <row r="1095" spans="2:10" x14ac:dyDescent="0.45">
      <c r="B1095" t="s">
        <v>116</v>
      </c>
      <c r="C1095" t="s">
        <v>12</v>
      </c>
      <c r="D1095">
        <v>4.8791847204586042E-2</v>
      </c>
      <c r="E1095" t="s">
        <v>6</v>
      </c>
      <c r="G1095" t="s">
        <v>117</v>
      </c>
      <c r="H1095" t="s">
        <v>12</v>
      </c>
      <c r="I1095">
        <v>2.0554233270136512E-2</v>
      </c>
      <c r="J1095" t="s">
        <v>6</v>
      </c>
    </row>
    <row r="1096" spans="2:10" x14ac:dyDescent="0.45">
      <c r="B1096" t="s">
        <v>116</v>
      </c>
      <c r="C1096" t="s">
        <v>13</v>
      </c>
      <c r="D1096">
        <v>5.9076947173340222E-2</v>
      </c>
      <c r="E1096" t="s">
        <v>6</v>
      </c>
      <c r="G1096" t="s">
        <v>117</v>
      </c>
      <c r="H1096" t="s">
        <v>13</v>
      </c>
      <c r="I1096">
        <v>2.3531081372818442E-2</v>
      </c>
      <c r="J1096" t="s">
        <v>6</v>
      </c>
    </row>
    <row r="1097" spans="2:10" x14ac:dyDescent="0.45">
      <c r="B1097" t="s">
        <v>116</v>
      </c>
      <c r="C1097" t="s">
        <v>14</v>
      </c>
      <c r="D1097">
        <v>3.916903402584837E-2</v>
      </c>
      <c r="E1097" t="s">
        <v>6</v>
      </c>
      <c r="G1097" t="s">
        <v>117</v>
      </c>
      <c r="H1097" t="s">
        <v>14</v>
      </c>
      <c r="I1097">
        <v>2.5696445243382739E-2</v>
      </c>
      <c r="J1097" t="s">
        <v>6</v>
      </c>
    </row>
    <row r="1098" spans="2:10" x14ac:dyDescent="0.45">
      <c r="B1098" t="s">
        <v>116</v>
      </c>
      <c r="C1098" t="s">
        <v>15</v>
      </c>
      <c r="D1098">
        <v>8.90960503125157E-3</v>
      </c>
      <c r="E1098" t="s">
        <v>6</v>
      </c>
      <c r="G1098" t="s">
        <v>117</v>
      </c>
      <c r="H1098" t="s">
        <v>15</v>
      </c>
      <c r="I1098">
        <v>2.6146281406266608E-2</v>
      </c>
      <c r="J1098" t="s">
        <v>6</v>
      </c>
    </row>
    <row r="1099" spans="2:10" x14ac:dyDescent="0.45">
      <c r="B1099" t="s">
        <v>116</v>
      </c>
      <c r="C1099" t="s">
        <v>16</v>
      </c>
      <c r="D1099">
        <v>0</v>
      </c>
      <c r="E1099" t="s">
        <v>6</v>
      </c>
      <c r="G1099" t="s">
        <v>117</v>
      </c>
      <c r="H1099" t="s">
        <v>16</v>
      </c>
      <c r="I1099">
        <v>2.5058820293597114E-2</v>
      </c>
      <c r="J1099" t="s">
        <v>6</v>
      </c>
    </row>
    <row r="1100" spans="2:10" x14ac:dyDescent="0.45">
      <c r="B1100" t="s">
        <v>116</v>
      </c>
      <c r="C1100" t="s">
        <v>17</v>
      </c>
      <c r="D1100">
        <v>0</v>
      </c>
      <c r="E1100" t="s">
        <v>6</v>
      </c>
      <c r="G1100" t="s">
        <v>117</v>
      </c>
      <c r="H1100" t="s">
        <v>17</v>
      </c>
      <c r="I1100">
        <v>3.5342343786351517E-2</v>
      </c>
      <c r="J1100" t="s">
        <v>6</v>
      </c>
    </row>
    <row r="1101" spans="2:10" x14ac:dyDescent="0.45">
      <c r="B1101" t="s">
        <v>116</v>
      </c>
      <c r="C1101" t="s">
        <v>18</v>
      </c>
      <c r="D1101">
        <v>0</v>
      </c>
      <c r="E1101" t="s">
        <v>6</v>
      </c>
      <c r="G1101" t="s">
        <v>117</v>
      </c>
      <c r="H1101" t="s">
        <v>18</v>
      </c>
      <c r="I1101">
        <v>4.4998044684566467E-2</v>
      </c>
      <c r="J1101" t="s">
        <v>6</v>
      </c>
    </row>
    <row r="1102" spans="2:10" x14ac:dyDescent="0.45">
      <c r="B1102" t="s">
        <v>116</v>
      </c>
      <c r="C1102" t="s">
        <v>19</v>
      </c>
      <c r="D1102">
        <v>1.058032333484142E-4</v>
      </c>
      <c r="E1102" t="s">
        <v>6</v>
      </c>
      <c r="G1102" t="s">
        <v>117</v>
      </c>
      <c r="H1102" t="s">
        <v>19</v>
      </c>
      <c r="I1102">
        <v>1.7170398842587808E-2</v>
      </c>
      <c r="J1102" t="s">
        <v>6</v>
      </c>
    </row>
    <row r="1103" spans="2:10" x14ac:dyDescent="0.45">
      <c r="B1103" t="s">
        <v>116</v>
      </c>
      <c r="C1103" t="s">
        <v>20</v>
      </c>
      <c r="D1103">
        <v>8.4174193514086528E-3</v>
      </c>
      <c r="E1103" t="s">
        <v>6</v>
      </c>
      <c r="G1103" t="s">
        <v>117</v>
      </c>
      <c r="H1103" t="s">
        <v>20</v>
      </c>
      <c r="I1103">
        <v>1.7697273782258896E-2</v>
      </c>
      <c r="J1103" t="s">
        <v>6</v>
      </c>
    </row>
    <row r="1104" spans="2:10" x14ac:dyDescent="0.45">
      <c r="B1104" t="s">
        <v>116</v>
      </c>
      <c r="C1104" t="s">
        <v>21</v>
      </c>
      <c r="D1104">
        <v>4.1175514179822466E-2</v>
      </c>
      <c r="E1104" t="s">
        <v>6</v>
      </c>
      <c r="G1104" t="s">
        <v>117</v>
      </c>
      <c r="H1104" t="s">
        <v>21</v>
      </c>
      <c r="I1104">
        <v>1.8932302539982172E-2</v>
      </c>
      <c r="J1104" t="s">
        <v>6</v>
      </c>
    </row>
    <row r="1105" spans="2:10" x14ac:dyDescent="0.45">
      <c r="B1105" t="s">
        <v>116</v>
      </c>
      <c r="C1105" t="s">
        <v>22</v>
      </c>
      <c r="D1105">
        <v>6.7068705292018749E-2</v>
      </c>
      <c r="E1105" t="s">
        <v>6</v>
      </c>
      <c r="G1105" t="s">
        <v>117</v>
      </c>
      <c r="H1105" t="s">
        <v>22</v>
      </c>
      <c r="I1105">
        <v>1.9734017832125111E-2</v>
      </c>
      <c r="J1105" t="s">
        <v>6</v>
      </c>
    </row>
    <row r="1106" spans="2:10" x14ac:dyDescent="0.45">
      <c r="B1106" t="s">
        <v>116</v>
      </c>
      <c r="C1106" t="s">
        <v>23</v>
      </c>
      <c r="D1106">
        <v>7.1815480632427084E-2</v>
      </c>
      <c r="E1106" t="s">
        <v>6</v>
      </c>
      <c r="G1106" t="s">
        <v>117</v>
      </c>
      <c r="H1106" t="s">
        <v>23</v>
      </c>
      <c r="I1106">
        <v>2.3755032153886031E-2</v>
      </c>
      <c r="J1106" t="s">
        <v>6</v>
      </c>
    </row>
    <row r="1107" spans="2:10" x14ac:dyDescent="0.45">
      <c r="B1107" t="s">
        <v>116</v>
      </c>
      <c r="C1107" t="s">
        <v>24</v>
      </c>
      <c r="D1107">
        <v>5.5198102071588248E-2</v>
      </c>
      <c r="E1107" t="s">
        <v>6</v>
      </c>
      <c r="G1107" t="s">
        <v>117</v>
      </c>
      <c r="H1107" t="s">
        <v>24</v>
      </c>
      <c r="I1107">
        <v>2.5563315945508359E-2</v>
      </c>
      <c r="J1107" t="s">
        <v>6</v>
      </c>
    </row>
    <row r="1108" spans="2:10" x14ac:dyDescent="0.45">
      <c r="B1108" t="s">
        <v>116</v>
      </c>
      <c r="C1108" t="s">
        <v>25</v>
      </c>
      <c r="D1108">
        <v>2.585619377586796E-2</v>
      </c>
      <c r="E1108" t="s">
        <v>6</v>
      </c>
      <c r="G1108" t="s">
        <v>117</v>
      </c>
      <c r="H1108" t="s">
        <v>25</v>
      </c>
      <c r="I1108">
        <v>2.441072805043237E-2</v>
      </c>
      <c r="J1108" t="s">
        <v>6</v>
      </c>
    </row>
    <row r="1109" spans="2:10" x14ac:dyDescent="0.45">
      <c r="B1109" t="s">
        <v>116</v>
      </c>
      <c r="C1109" t="s">
        <v>26</v>
      </c>
      <c r="D1109">
        <v>2.2130450581264813E-3</v>
      </c>
      <c r="E1109" t="s">
        <v>6</v>
      </c>
      <c r="G1109" t="s">
        <v>117</v>
      </c>
      <c r="H1109" t="s">
        <v>26</v>
      </c>
      <c r="I1109">
        <v>2.2868094809375128E-2</v>
      </c>
      <c r="J1109" t="s">
        <v>6</v>
      </c>
    </row>
    <row r="1110" spans="2:10" x14ac:dyDescent="0.45">
      <c r="B1110" t="s">
        <v>116</v>
      </c>
      <c r="C1110" t="s">
        <v>27</v>
      </c>
      <c r="D1110">
        <v>0</v>
      </c>
      <c r="E1110" t="s">
        <v>6</v>
      </c>
      <c r="G1110" t="s">
        <v>117</v>
      </c>
      <c r="H1110" t="s">
        <v>27</v>
      </c>
      <c r="I1110">
        <v>3.0917882310405549E-2</v>
      </c>
      <c r="J1110" t="s">
        <v>6</v>
      </c>
    </row>
    <row r="1111" spans="2:10" x14ac:dyDescent="0.45">
      <c r="B1111" t="s">
        <v>116</v>
      </c>
      <c r="C1111" t="s">
        <v>28</v>
      </c>
      <c r="D1111">
        <v>0</v>
      </c>
      <c r="E1111" t="s">
        <v>6</v>
      </c>
      <c r="G1111" t="s">
        <v>117</v>
      </c>
      <c r="H1111" t="s">
        <v>28</v>
      </c>
      <c r="I1111">
        <v>3.1685142424730077E-2</v>
      </c>
      <c r="J1111" t="s">
        <v>6</v>
      </c>
    </row>
    <row r="1112" spans="2:10" x14ac:dyDescent="0.45">
      <c r="B1112" t="s">
        <v>116</v>
      </c>
      <c r="C1112" t="s">
        <v>29</v>
      </c>
      <c r="D1112">
        <v>4.6873670283401422E-4</v>
      </c>
      <c r="E1112" t="s">
        <v>6</v>
      </c>
      <c r="G1112" t="s">
        <v>117</v>
      </c>
      <c r="H1112" t="s">
        <v>29</v>
      </c>
      <c r="I1112">
        <v>1.1404989221397065E-2</v>
      </c>
      <c r="J1112" t="s">
        <v>6</v>
      </c>
    </row>
    <row r="1113" spans="2:10" x14ac:dyDescent="0.45">
      <c r="B1113" t="s">
        <v>116</v>
      </c>
      <c r="C1113" t="s">
        <v>30</v>
      </c>
      <c r="D1113">
        <v>1.5206210676842221E-2</v>
      </c>
      <c r="E1113" t="s">
        <v>6</v>
      </c>
      <c r="G1113" t="s">
        <v>117</v>
      </c>
      <c r="H1113" t="s">
        <v>30</v>
      </c>
      <c r="I1113">
        <v>1.0611242509715822E-2</v>
      </c>
      <c r="J1113" t="s">
        <v>6</v>
      </c>
    </row>
    <row r="1114" spans="2:10" x14ac:dyDescent="0.45">
      <c r="B1114" t="s">
        <v>116</v>
      </c>
      <c r="C1114" t="s">
        <v>31</v>
      </c>
      <c r="D1114">
        <v>5.5296280915503371E-2</v>
      </c>
      <c r="E1114" t="s">
        <v>6</v>
      </c>
      <c r="G1114" t="s">
        <v>117</v>
      </c>
      <c r="H1114" t="s">
        <v>31</v>
      </c>
      <c r="I1114">
        <v>1.1944734654596242E-2</v>
      </c>
      <c r="J1114" t="s">
        <v>6</v>
      </c>
    </row>
    <row r="1115" spans="2:10" x14ac:dyDescent="0.45">
      <c r="B1115" t="s">
        <v>116</v>
      </c>
      <c r="C1115" t="s">
        <v>32</v>
      </c>
      <c r="D1115">
        <v>8.2617082839745837E-2</v>
      </c>
      <c r="E1115" t="s">
        <v>6</v>
      </c>
      <c r="G1115" t="s">
        <v>117</v>
      </c>
      <c r="H1115" t="s">
        <v>32</v>
      </c>
      <c r="I1115">
        <v>1.3834126134669687E-2</v>
      </c>
      <c r="J1115" t="s">
        <v>6</v>
      </c>
    </row>
    <row r="1116" spans="2:10" x14ac:dyDescent="0.45">
      <c r="B1116" t="s">
        <v>116</v>
      </c>
      <c r="C1116" t="s">
        <v>33</v>
      </c>
      <c r="D1116">
        <v>8.8008681140408537E-2</v>
      </c>
      <c r="E1116" t="s">
        <v>6</v>
      </c>
      <c r="G1116" t="s">
        <v>117</v>
      </c>
      <c r="H1116" t="s">
        <v>33</v>
      </c>
      <c r="I1116">
        <v>1.6030261090262402E-2</v>
      </c>
      <c r="J1116" t="s">
        <v>6</v>
      </c>
    </row>
    <row r="1117" spans="2:10" x14ac:dyDescent="0.45">
      <c r="B1117" t="s">
        <v>116</v>
      </c>
      <c r="C1117" t="s">
        <v>34</v>
      </c>
      <c r="D1117">
        <v>7.0891509116608117E-2</v>
      </c>
      <c r="E1117" t="s">
        <v>6</v>
      </c>
      <c r="G1117" t="s">
        <v>117</v>
      </c>
      <c r="H1117" t="s">
        <v>34</v>
      </c>
      <c r="I1117">
        <v>1.7360513965665139E-2</v>
      </c>
      <c r="J1117" t="s">
        <v>6</v>
      </c>
    </row>
    <row r="1118" spans="2:10" x14ac:dyDescent="0.45">
      <c r="B1118" t="s">
        <v>116</v>
      </c>
      <c r="C1118" t="s">
        <v>35</v>
      </c>
      <c r="D1118">
        <v>3.7733134109066375E-2</v>
      </c>
      <c r="E1118" t="s">
        <v>6</v>
      </c>
      <c r="G1118" t="s">
        <v>117</v>
      </c>
      <c r="H1118" t="s">
        <v>35</v>
      </c>
      <c r="I1118">
        <v>1.6938261631810274E-2</v>
      </c>
      <c r="J1118" t="s">
        <v>6</v>
      </c>
    </row>
    <row r="1119" spans="2:10" x14ac:dyDescent="0.45">
      <c r="B1119" t="s">
        <v>116</v>
      </c>
      <c r="C1119" t="s">
        <v>36</v>
      </c>
      <c r="D1119">
        <v>6.1082155044364711E-3</v>
      </c>
      <c r="E1119" t="s">
        <v>6</v>
      </c>
      <c r="G1119" t="s">
        <v>117</v>
      </c>
      <c r="H1119" t="s">
        <v>36</v>
      </c>
      <c r="I1119">
        <v>1.5687596208282254E-2</v>
      </c>
      <c r="J1119" t="s">
        <v>6</v>
      </c>
    </row>
    <row r="1120" spans="2:10" x14ac:dyDescent="0.45">
      <c r="B1120" t="s">
        <v>116</v>
      </c>
      <c r="C1120" t="s">
        <v>37</v>
      </c>
      <c r="D1120">
        <v>0</v>
      </c>
      <c r="E1120" t="s">
        <v>6</v>
      </c>
      <c r="G1120" t="s">
        <v>117</v>
      </c>
      <c r="H1120" t="s">
        <v>37</v>
      </c>
      <c r="I1120">
        <v>2.1245278914970463E-2</v>
      </c>
      <c r="J1120" t="s">
        <v>6</v>
      </c>
    </row>
    <row r="1121" spans="2:10" x14ac:dyDescent="0.45">
      <c r="B1121" t="s">
        <v>116</v>
      </c>
      <c r="C1121" t="s">
        <v>38</v>
      </c>
      <c r="D1121">
        <v>0</v>
      </c>
      <c r="E1121" t="s">
        <v>6</v>
      </c>
      <c r="G1121" t="s">
        <v>117</v>
      </c>
      <c r="H1121" t="s">
        <v>38</v>
      </c>
      <c r="I1121">
        <v>6.2640862453465368E-2</v>
      </c>
      <c r="J1121" t="s">
        <v>6</v>
      </c>
    </row>
    <row r="1122" spans="2:10" x14ac:dyDescent="0.45">
      <c r="B1122" t="s">
        <v>116</v>
      </c>
      <c r="C1122" t="s">
        <v>39</v>
      </c>
      <c r="D1122">
        <v>0</v>
      </c>
      <c r="E1122" t="s">
        <v>6</v>
      </c>
      <c r="G1122" t="s">
        <v>117</v>
      </c>
      <c r="H1122" t="s">
        <v>39</v>
      </c>
      <c r="I1122">
        <v>2.483592952865497E-2</v>
      </c>
      <c r="J1122" t="s">
        <v>6</v>
      </c>
    </row>
    <row r="1123" spans="2:10" x14ac:dyDescent="0.45">
      <c r="B1123" t="s">
        <v>116</v>
      </c>
      <c r="C1123" t="s">
        <v>40</v>
      </c>
      <c r="D1123">
        <v>2.5589230453427871E-3</v>
      </c>
      <c r="E1123" t="s">
        <v>6</v>
      </c>
      <c r="G1123" t="s">
        <v>117</v>
      </c>
      <c r="H1123" t="s">
        <v>40</v>
      </c>
      <c r="I1123">
        <v>2.5119469227459664E-2</v>
      </c>
      <c r="J1123" t="s">
        <v>6</v>
      </c>
    </row>
    <row r="1124" spans="2:10" x14ac:dyDescent="0.45">
      <c r="B1124" t="s">
        <v>116</v>
      </c>
      <c r="C1124" t="s">
        <v>41</v>
      </c>
      <c r="D1124">
        <v>2.6708418147969218E-2</v>
      </c>
      <c r="E1124" t="s">
        <v>6</v>
      </c>
      <c r="G1124" t="s">
        <v>117</v>
      </c>
      <c r="H1124" t="s">
        <v>41</v>
      </c>
      <c r="I1124">
        <v>2.5477918434099005E-2</v>
      </c>
      <c r="J1124" t="s">
        <v>6</v>
      </c>
    </row>
    <row r="1125" spans="2:10" x14ac:dyDescent="0.45">
      <c r="B1125" t="s">
        <v>116</v>
      </c>
      <c r="C1125" t="s">
        <v>42</v>
      </c>
      <c r="D1125">
        <v>5.4766115050922229E-2</v>
      </c>
      <c r="E1125" t="s">
        <v>6</v>
      </c>
      <c r="G1125" t="s">
        <v>117</v>
      </c>
      <c r="H1125" t="s">
        <v>42</v>
      </c>
      <c r="I1125">
        <v>2.4582076431839715E-2</v>
      </c>
      <c r="J1125" t="s">
        <v>6</v>
      </c>
    </row>
    <row r="1126" spans="2:10" x14ac:dyDescent="0.45">
      <c r="B1126" t="s">
        <v>116</v>
      </c>
      <c r="C1126" t="s">
        <v>43</v>
      </c>
      <c r="D1126">
        <v>6.095058800519787E-2</v>
      </c>
      <c r="E1126" t="s">
        <v>6</v>
      </c>
      <c r="G1126" t="s">
        <v>117</v>
      </c>
      <c r="H1126" t="s">
        <v>43</v>
      </c>
      <c r="I1126">
        <v>2.6897523887111814E-2</v>
      </c>
      <c r="J1126" t="s">
        <v>6</v>
      </c>
    </row>
    <row r="1127" spans="2:10" x14ac:dyDescent="0.45">
      <c r="B1127" t="s">
        <v>116</v>
      </c>
      <c r="C1127" t="s">
        <v>44</v>
      </c>
      <c r="D1127">
        <v>4.2496567478025084E-2</v>
      </c>
      <c r="E1127" t="s">
        <v>6</v>
      </c>
      <c r="G1127" t="s">
        <v>117</v>
      </c>
      <c r="H1127" t="s">
        <v>44</v>
      </c>
      <c r="I1127">
        <v>2.6506229312078595E-2</v>
      </c>
      <c r="J1127" t="s">
        <v>6</v>
      </c>
    </row>
    <row r="1128" spans="2:10" x14ac:dyDescent="0.45">
      <c r="B1128" t="s">
        <v>116</v>
      </c>
      <c r="C1128" t="s">
        <v>45</v>
      </c>
      <c r="D1128">
        <v>1.188185315339004E-2</v>
      </c>
      <c r="E1128" t="s">
        <v>6</v>
      </c>
      <c r="G1128" t="s">
        <v>117</v>
      </c>
      <c r="H1128" t="s">
        <v>45</v>
      </c>
      <c r="I1128">
        <v>2.5794085671097554E-2</v>
      </c>
      <c r="J1128" t="s">
        <v>6</v>
      </c>
    </row>
    <row r="1129" spans="2:10" x14ac:dyDescent="0.45">
      <c r="B1129" t="s">
        <v>116</v>
      </c>
      <c r="C1129" t="s">
        <v>46</v>
      </c>
      <c r="D1129">
        <v>1.5524435284282906E-4</v>
      </c>
      <c r="E1129" t="s">
        <v>6</v>
      </c>
      <c r="G1129" t="s">
        <v>117</v>
      </c>
      <c r="H1129" t="s">
        <v>46</v>
      </c>
      <c r="I1129">
        <v>2.5966189541100623E-2</v>
      </c>
      <c r="J1129" t="s">
        <v>6</v>
      </c>
    </row>
    <row r="1130" spans="2:10" x14ac:dyDescent="0.45">
      <c r="B1130" t="s">
        <v>116</v>
      </c>
      <c r="C1130" t="s">
        <v>47</v>
      </c>
      <c r="D1130">
        <v>0</v>
      </c>
      <c r="E1130" t="s">
        <v>6</v>
      </c>
      <c r="G1130" t="s">
        <v>117</v>
      </c>
      <c r="H1130" t="s">
        <v>47</v>
      </c>
      <c r="I1130">
        <v>3.9132331011994544E-2</v>
      </c>
      <c r="J1130" t="s">
        <v>6</v>
      </c>
    </row>
    <row r="1131" spans="2:10" x14ac:dyDescent="0.45">
      <c r="B1131" t="s">
        <v>118</v>
      </c>
      <c r="C1131" t="s">
        <v>5</v>
      </c>
      <c r="D1131">
        <v>0</v>
      </c>
      <c r="E1131" t="s">
        <v>6</v>
      </c>
    </row>
    <row r="1132" spans="2:10" x14ac:dyDescent="0.45">
      <c r="B1132" t="s">
        <v>118</v>
      </c>
      <c r="C1132" t="s">
        <v>9</v>
      </c>
      <c r="D1132">
        <v>0</v>
      </c>
      <c r="E1132" t="s">
        <v>6</v>
      </c>
    </row>
    <row r="1133" spans="2:10" x14ac:dyDescent="0.45">
      <c r="B1133" t="s">
        <v>118</v>
      </c>
      <c r="C1133" t="s">
        <v>10</v>
      </c>
      <c r="D1133">
        <v>3.2649737383290991E-7</v>
      </c>
      <c r="E1133" t="s">
        <v>6</v>
      </c>
    </row>
    <row r="1134" spans="2:10" x14ac:dyDescent="0.45">
      <c r="B1134" t="s">
        <v>118</v>
      </c>
      <c r="C1134" t="s">
        <v>11</v>
      </c>
      <c r="D1134">
        <v>1.4643679182887883E-2</v>
      </c>
      <c r="E1134" t="s">
        <v>6</v>
      </c>
    </row>
    <row r="1135" spans="2:10" x14ac:dyDescent="0.45">
      <c r="B1135" t="s">
        <v>118</v>
      </c>
      <c r="C1135" t="s">
        <v>12</v>
      </c>
      <c r="D1135">
        <v>4.6411667891432092E-2</v>
      </c>
      <c r="E1135" t="s">
        <v>6</v>
      </c>
    </row>
    <row r="1136" spans="2:10" x14ac:dyDescent="0.45">
      <c r="B1136" t="s">
        <v>118</v>
      </c>
      <c r="C1136" t="s">
        <v>13</v>
      </c>
      <c r="D1136">
        <v>5.9073855640627192E-2</v>
      </c>
      <c r="E1136" t="s">
        <v>6</v>
      </c>
    </row>
    <row r="1137" spans="2:5" x14ac:dyDescent="0.45">
      <c r="B1137" t="s">
        <v>118</v>
      </c>
      <c r="C1137" t="s">
        <v>14</v>
      </c>
      <c r="D1137">
        <v>4.4852324393641653E-2</v>
      </c>
      <c r="E1137" t="s">
        <v>6</v>
      </c>
    </row>
    <row r="1138" spans="2:5" x14ac:dyDescent="0.45">
      <c r="B1138" t="s">
        <v>118</v>
      </c>
      <c r="C1138" t="s">
        <v>15</v>
      </c>
      <c r="D1138">
        <v>1.2302759987574309E-2</v>
      </c>
      <c r="E1138" t="s">
        <v>6</v>
      </c>
    </row>
    <row r="1139" spans="2:5" x14ac:dyDescent="0.45">
      <c r="B1139" t="s">
        <v>118</v>
      </c>
      <c r="C1139" t="s">
        <v>16</v>
      </c>
      <c r="D1139">
        <v>0</v>
      </c>
      <c r="E1139" t="s">
        <v>6</v>
      </c>
    </row>
    <row r="1140" spans="2:5" x14ac:dyDescent="0.45">
      <c r="B1140" t="s">
        <v>118</v>
      </c>
      <c r="C1140" t="s">
        <v>17</v>
      </c>
      <c r="D1140">
        <v>0</v>
      </c>
      <c r="E1140" t="s">
        <v>6</v>
      </c>
    </row>
    <row r="1141" spans="2:5" x14ac:dyDescent="0.45">
      <c r="B1141" t="s">
        <v>118</v>
      </c>
      <c r="C1141" t="s">
        <v>18</v>
      </c>
      <c r="D1141">
        <v>0</v>
      </c>
      <c r="E1141" t="s">
        <v>6</v>
      </c>
    </row>
    <row r="1142" spans="2:5" x14ac:dyDescent="0.45">
      <c r="B1142" t="s">
        <v>118</v>
      </c>
      <c r="C1142" t="s">
        <v>19</v>
      </c>
      <c r="D1142">
        <v>3.7138273487244105E-5</v>
      </c>
      <c r="E1142" t="s">
        <v>6</v>
      </c>
    </row>
    <row r="1143" spans="2:5" x14ac:dyDescent="0.45">
      <c r="B1143" t="s">
        <v>118</v>
      </c>
      <c r="C1143" t="s">
        <v>20</v>
      </c>
      <c r="D1143">
        <v>6.8305685657115752E-3</v>
      </c>
      <c r="E1143" t="s">
        <v>6</v>
      </c>
    </row>
    <row r="1144" spans="2:5" x14ac:dyDescent="0.45">
      <c r="B1144" t="s">
        <v>118</v>
      </c>
      <c r="C1144" t="s">
        <v>21</v>
      </c>
      <c r="D1144">
        <v>3.7582007467620526E-2</v>
      </c>
      <c r="E1144" t="s">
        <v>6</v>
      </c>
    </row>
    <row r="1145" spans="2:5" x14ac:dyDescent="0.45">
      <c r="B1145" t="s">
        <v>118</v>
      </c>
      <c r="C1145" t="s">
        <v>22</v>
      </c>
      <c r="D1145">
        <v>6.4216254584543705E-2</v>
      </c>
      <c r="E1145" t="s">
        <v>6</v>
      </c>
    </row>
    <row r="1146" spans="2:5" x14ac:dyDescent="0.45">
      <c r="B1146" t="s">
        <v>118</v>
      </c>
      <c r="C1146" t="s">
        <v>23</v>
      </c>
      <c r="D1146">
        <v>7.2451892810361074E-2</v>
      </c>
      <c r="E1146" t="s">
        <v>6</v>
      </c>
    </row>
    <row r="1147" spans="2:5" x14ac:dyDescent="0.45">
      <c r="B1147" t="s">
        <v>118</v>
      </c>
      <c r="C1147" t="s">
        <v>24</v>
      </c>
      <c r="D1147">
        <v>5.8265563851068722E-2</v>
      </c>
      <c r="E1147" t="s">
        <v>6</v>
      </c>
    </row>
    <row r="1148" spans="2:5" x14ac:dyDescent="0.45">
      <c r="B1148" t="s">
        <v>118</v>
      </c>
      <c r="C1148" t="s">
        <v>25</v>
      </c>
      <c r="D1148">
        <v>2.9054569573206554E-2</v>
      </c>
      <c r="E1148" t="s">
        <v>6</v>
      </c>
    </row>
    <row r="1149" spans="2:5" x14ac:dyDescent="0.45">
      <c r="B1149" t="s">
        <v>118</v>
      </c>
      <c r="C1149" t="s">
        <v>26</v>
      </c>
      <c r="D1149">
        <v>3.1850619444933953E-3</v>
      </c>
      <c r="E1149" t="s">
        <v>6</v>
      </c>
    </row>
    <row r="1150" spans="2:5" x14ac:dyDescent="0.45">
      <c r="B1150" t="s">
        <v>118</v>
      </c>
      <c r="C1150" t="s">
        <v>27</v>
      </c>
      <c r="D1150">
        <v>0</v>
      </c>
      <c r="E1150" t="s">
        <v>6</v>
      </c>
    </row>
    <row r="1151" spans="2:5" x14ac:dyDescent="0.45">
      <c r="B1151" t="s">
        <v>118</v>
      </c>
      <c r="C1151" t="s">
        <v>28</v>
      </c>
      <c r="D1151">
        <v>0</v>
      </c>
      <c r="E1151" t="s">
        <v>6</v>
      </c>
    </row>
    <row r="1152" spans="2:5" x14ac:dyDescent="0.45">
      <c r="B1152" t="s">
        <v>118</v>
      </c>
      <c r="C1152" t="s">
        <v>29</v>
      </c>
      <c r="D1152">
        <v>1.9561002557161487E-4</v>
      </c>
      <c r="E1152" t="s">
        <v>6</v>
      </c>
    </row>
    <row r="1153" spans="2:5" x14ac:dyDescent="0.45">
      <c r="B1153" t="s">
        <v>118</v>
      </c>
      <c r="C1153" t="s">
        <v>30</v>
      </c>
      <c r="D1153">
        <v>1.2451588474301743E-2</v>
      </c>
      <c r="E1153" t="s">
        <v>6</v>
      </c>
    </row>
    <row r="1154" spans="2:5" x14ac:dyDescent="0.45">
      <c r="B1154" t="s">
        <v>118</v>
      </c>
      <c r="C1154" t="s">
        <v>31</v>
      </c>
      <c r="D1154">
        <v>5.2160700878834197E-2</v>
      </c>
      <c r="E1154" t="s">
        <v>6</v>
      </c>
    </row>
    <row r="1155" spans="2:5" x14ac:dyDescent="0.45">
      <c r="B1155" t="s">
        <v>118</v>
      </c>
      <c r="C1155" t="s">
        <v>32</v>
      </c>
      <c r="D1155">
        <v>8.115126929045563E-2</v>
      </c>
      <c r="E1155" t="s">
        <v>6</v>
      </c>
    </row>
    <row r="1156" spans="2:5" x14ac:dyDescent="0.45">
      <c r="B1156" t="s">
        <v>118</v>
      </c>
      <c r="C1156" t="s">
        <v>33</v>
      </c>
      <c r="D1156">
        <v>8.7394517742537758E-2</v>
      </c>
      <c r="E1156" t="s">
        <v>6</v>
      </c>
    </row>
    <row r="1157" spans="2:5" x14ac:dyDescent="0.45">
      <c r="B1157" t="s">
        <v>118</v>
      </c>
      <c r="C1157" t="s">
        <v>34</v>
      </c>
      <c r="D1157">
        <v>7.257476511431038E-2</v>
      </c>
      <c r="E1157" t="s">
        <v>6</v>
      </c>
    </row>
    <row r="1158" spans="2:5" x14ac:dyDescent="0.45">
      <c r="B1158" t="s">
        <v>118</v>
      </c>
      <c r="C1158" t="s">
        <v>35</v>
      </c>
      <c r="D1158">
        <v>4.0755919582679441E-2</v>
      </c>
      <c r="E1158" t="s">
        <v>6</v>
      </c>
    </row>
    <row r="1159" spans="2:5" x14ac:dyDescent="0.45">
      <c r="B1159" t="s">
        <v>118</v>
      </c>
      <c r="C1159" t="s">
        <v>36</v>
      </c>
      <c r="D1159">
        <v>7.2860794628759398E-3</v>
      </c>
      <c r="E1159" t="s">
        <v>6</v>
      </c>
    </row>
    <row r="1160" spans="2:5" x14ac:dyDescent="0.45">
      <c r="B1160" t="s">
        <v>118</v>
      </c>
      <c r="C1160" t="s">
        <v>37</v>
      </c>
      <c r="D1160">
        <v>3.4866605707195656E-7</v>
      </c>
      <c r="E1160" t="s">
        <v>6</v>
      </c>
    </row>
    <row r="1161" spans="2:5" x14ac:dyDescent="0.45">
      <c r="B1161" t="s">
        <v>118</v>
      </c>
      <c r="C1161" t="s">
        <v>38</v>
      </c>
      <c r="D1161">
        <v>0</v>
      </c>
      <c r="E1161" t="s">
        <v>6</v>
      </c>
    </row>
    <row r="1162" spans="2:5" x14ac:dyDescent="0.45">
      <c r="B1162" t="s">
        <v>118</v>
      </c>
      <c r="C1162" t="s">
        <v>39</v>
      </c>
      <c r="D1162">
        <v>0</v>
      </c>
      <c r="E1162" t="s">
        <v>6</v>
      </c>
    </row>
    <row r="1163" spans="2:5" x14ac:dyDescent="0.45">
      <c r="B1163" t="s">
        <v>118</v>
      </c>
      <c r="C1163" t="s">
        <v>40</v>
      </c>
      <c r="D1163">
        <v>2.1945348041100864E-3</v>
      </c>
      <c r="E1163" t="s">
        <v>6</v>
      </c>
    </row>
    <row r="1164" spans="2:5" x14ac:dyDescent="0.45">
      <c r="B1164" t="s">
        <v>118</v>
      </c>
      <c r="C1164" t="s">
        <v>41</v>
      </c>
      <c r="D1164">
        <v>2.5666945120850219E-2</v>
      </c>
      <c r="E1164" t="s">
        <v>6</v>
      </c>
    </row>
    <row r="1165" spans="2:5" x14ac:dyDescent="0.45">
      <c r="B1165" t="s">
        <v>118</v>
      </c>
      <c r="C1165" t="s">
        <v>42</v>
      </c>
      <c r="D1165">
        <v>5.3010586311507603E-2</v>
      </c>
      <c r="E1165" t="s">
        <v>6</v>
      </c>
    </row>
    <row r="1166" spans="2:5" x14ac:dyDescent="0.45">
      <c r="B1166" t="s">
        <v>118</v>
      </c>
      <c r="C1166" t="s">
        <v>43</v>
      </c>
      <c r="D1166">
        <v>5.9010468023703772E-2</v>
      </c>
      <c r="E1166" t="s">
        <v>6</v>
      </c>
    </row>
    <row r="1167" spans="2:5" x14ac:dyDescent="0.45">
      <c r="B1167" t="s">
        <v>118</v>
      </c>
      <c r="C1167" t="s">
        <v>44</v>
      </c>
      <c r="D1167">
        <v>4.3045341060960342E-2</v>
      </c>
      <c r="E1167" t="s">
        <v>6</v>
      </c>
    </row>
    <row r="1168" spans="2:5" x14ac:dyDescent="0.45">
      <c r="B1168" t="s">
        <v>118</v>
      </c>
      <c r="C1168" t="s">
        <v>45</v>
      </c>
      <c r="D1168">
        <v>1.3868512957162467E-2</v>
      </c>
      <c r="E1168" t="s">
        <v>6</v>
      </c>
    </row>
    <row r="1169" spans="2:5" x14ac:dyDescent="0.45">
      <c r="B1169" t="s">
        <v>118</v>
      </c>
      <c r="C1169" t="s">
        <v>46</v>
      </c>
      <c r="D1169">
        <v>3.2514182005128077E-4</v>
      </c>
      <c r="E1169" t="s">
        <v>6</v>
      </c>
    </row>
    <row r="1170" spans="2:5" x14ac:dyDescent="0.45">
      <c r="B1170" t="s">
        <v>118</v>
      </c>
      <c r="C1170" t="s">
        <v>47</v>
      </c>
      <c r="D1170">
        <v>0</v>
      </c>
      <c r="E1170" t="s">
        <v>6</v>
      </c>
    </row>
    <row r="1171" spans="2:5" x14ac:dyDescent="0.45">
      <c r="B1171" t="s">
        <v>119</v>
      </c>
      <c r="C1171" t="s">
        <v>5</v>
      </c>
      <c r="D1171">
        <v>0</v>
      </c>
      <c r="E1171" t="s">
        <v>6</v>
      </c>
    </row>
    <row r="1172" spans="2:5" x14ac:dyDescent="0.45">
      <c r="B1172" t="s">
        <v>119</v>
      </c>
      <c r="C1172" t="s">
        <v>9</v>
      </c>
      <c r="D1172">
        <v>0</v>
      </c>
      <c r="E1172" t="s">
        <v>6</v>
      </c>
    </row>
    <row r="1173" spans="2:5" x14ac:dyDescent="0.45">
      <c r="B1173" t="s">
        <v>119</v>
      </c>
      <c r="C1173" t="s">
        <v>10</v>
      </c>
      <c r="D1173">
        <v>0</v>
      </c>
      <c r="E1173" t="s">
        <v>6</v>
      </c>
    </row>
    <row r="1174" spans="2:5" x14ac:dyDescent="0.45">
      <c r="B1174" t="s">
        <v>119</v>
      </c>
      <c r="C1174" t="s">
        <v>11</v>
      </c>
      <c r="D1174">
        <v>1.3542642045091896E-2</v>
      </c>
      <c r="E1174" t="s">
        <v>6</v>
      </c>
    </row>
    <row r="1175" spans="2:5" x14ac:dyDescent="0.45">
      <c r="B1175" t="s">
        <v>119</v>
      </c>
      <c r="C1175" t="s">
        <v>12</v>
      </c>
      <c r="D1175">
        <v>4.3155238065428307E-2</v>
      </c>
      <c r="E1175" t="s">
        <v>6</v>
      </c>
    </row>
    <row r="1176" spans="2:5" x14ac:dyDescent="0.45">
      <c r="B1176" t="s">
        <v>119</v>
      </c>
      <c r="C1176" t="s">
        <v>13</v>
      </c>
      <c r="D1176">
        <v>5.3749311880013535E-2</v>
      </c>
      <c r="E1176" t="s">
        <v>6</v>
      </c>
    </row>
    <row r="1177" spans="2:5" x14ac:dyDescent="0.45">
      <c r="B1177" t="s">
        <v>119</v>
      </c>
      <c r="C1177" t="s">
        <v>14</v>
      </c>
      <c r="D1177">
        <v>3.9296391657541591E-2</v>
      </c>
      <c r="E1177" t="s">
        <v>6</v>
      </c>
    </row>
    <row r="1178" spans="2:5" x14ac:dyDescent="0.45">
      <c r="B1178" t="s">
        <v>119</v>
      </c>
      <c r="C1178" t="s">
        <v>15</v>
      </c>
      <c r="D1178">
        <v>1.0122397849658824E-2</v>
      </c>
      <c r="E1178" t="s">
        <v>6</v>
      </c>
    </row>
    <row r="1179" spans="2:5" x14ac:dyDescent="0.45">
      <c r="B1179" t="s">
        <v>119</v>
      </c>
      <c r="C1179" t="s">
        <v>16</v>
      </c>
      <c r="D1179">
        <v>0</v>
      </c>
      <c r="E1179" t="s">
        <v>6</v>
      </c>
    </row>
    <row r="1180" spans="2:5" x14ac:dyDescent="0.45">
      <c r="B1180" t="s">
        <v>119</v>
      </c>
      <c r="C1180" t="s">
        <v>17</v>
      </c>
      <c r="D1180">
        <v>0</v>
      </c>
      <c r="E1180" t="s">
        <v>6</v>
      </c>
    </row>
    <row r="1181" spans="2:5" x14ac:dyDescent="0.45">
      <c r="B1181" t="s">
        <v>119</v>
      </c>
      <c r="C1181" t="s">
        <v>18</v>
      </c>
      <c r="D1181">
        <v>0</v>
      </c>
      <c r="E1181" t="s">
        <v>6</v>
      </c>
    </row>
    <row r="1182" spans="2:5" x14ac:dyDescent="0.45">
      <c r="B1182" t="s">
        <v>119</v>
      </c>
      <c r="C1182" t="s">
        <v>19</v>
      </c>
      <c r="D1182">
        <v>6.7894742851318935E-5</v>
      </c>
      <c r="E1182" t="s">
        <v>6</v>
      </c>
    </row>
    <row r="1183" spans="2:5" x14ac:dyDescent="0.45">
      <c r="B1183" t="s">
        <v>119</v>
      </c>
      <c r="C1183" t="s">
        <v>20</v>
      </c>
      <c r="D1183">
        <v>7.4150352611234809E-3</v>
      </c>
      <c r="E1183" t="s">
        <v>6</v>
      </c>
    </row>
    <row r="1184" spans="2:5" x14ac:dyDescent="0.45">
      <c r="B1184" t="s">
        <v>119</v>
      </c>
      <c r="C1184" t="s">
        <v>21</v>
      </c>
      <c r="D1184">
        <v>3.9222078186025487E-2</v>
      </c>
      <c r="E1184" t="s">
        <v>6</v>
      </c>
    </row>
    <row r="1185" spans="2:5" x14ac:dyDescent="0.45">
      <c r="B1185" t="s">
        <v>119</v>
      </c>
      <c r="C1185" t="s">
        <v>22</v>
      </c>
      <c r="D1185">
        <v>6.6368922862451718E-2</v>
      </c>
      <c r="E1185" t="s">
        <v>6</v>
      </c>
    </row>
    <row r="1186" spans="2:5" x14ac:dyDescent="0.45">
      <c r="B1186" t="s">
        <v>119</v>
      </c>
      <c r="C1186" t="s">
        <v>23</v>
      </c>
      <c r="D1186">
        <v>7.3243124992222949E-2</v>
      </c>
      <c r="E1186" t="s">
        <v>6</v>
      </c>
    </row>
    <row r="1187" spans="2:5" x14ac:dyDescent="0.45">
      <c r="B1187" t="s">
        <v>119</v>
      </c>
      <c r="C1187" t="s">
        <v>24</v>
      </c>
      <c r="D1187">
        <v>5.8582714630267409E-2</v>
      </c>
      <c r="E1187" t="s">
        <v>6</v>
      </c>
    </row>
    <row r="1188" spans="2:5" x14ac:dyDescent="0.45">
      <c r="B1188" t="s">
        <v>119</v>
      </c>
      <c r="C1188" t="s">
        <v>25</v>
      </c>
      <c r="D1188">
        <v>2.9122892738579716E-2</v>
      </c>
      <c r="E1188" t="s">
        <v>6</v>
      </c>
    </row>
    <row r="1189" spans="2:5" x14ac:dyDescent="0.45">
      <c r="B1189" t="s">
        <v>119</v>
      </c>
      <c r="C1189" t="s">
        <v>26</v>
      </c>
      <c r="D1189">
        <v>3.1380035636317297E-3</v>
      </c>
      <c r="E1189" t="s">
        <v>6</v>
      </c>
    </row>
    <row r="1190" spans="2:5" x14ac:dyDescent="0.45">
      <c r="B1190" t="s">
        <v>119</v>
      </c>
      <c r="C1190" t="s">
        <v>27</v>
      </c>
      <c r="D1190">
        <v>0</v>
      </c>
      <c r="E1190" t="s">
        <v>6</v>
      </c>
    </row>
    <row r="1191" spans="2:5" x14ac:dyDescent="0.45">
      <c r="B1191" t="s">
        <v>119</v>
      </c>
      <c r="C1191" t="s">
        <v>28</v>
      </c>
      <c r="D1191">
        <v>0</v>
      </c>
      <c r="E1191" t="s">
        <v>6</v>
      </c>
    </row>
    <row r="1192" spans="2:5" x14ac:dyDescent="0.45">
      <c r="B1192" t="s">
        <v>119</v>
      </c>
      <c r="C1192" t="s">
        <v>29</v>
      </c>
      <c r="D1192">
        <v>3.0280347998241474E-4</v>
      </c>
      <c r="E1192" t="s">
        <v>6</v>
      </c>
    </row>
    <row r="1193" spans="2:5" x14ac:dyDescent="0.45">
      <c r="B1193" t="s">
        <v>119</v>
      </c>
      <c r="C1193" t="s">
        <v>30</v>
      </c>
      <c r="D1193">
        <v>1.3570996496212137E-2</v>
      </c>
      <c r="E1193" t="s">
        <v>6</v>
      </c>
    </row>
    <row r="1194" spans="2:5" x14ac:dyDescent="0.45">
      <c r="B1194" t="s">
        <v>119</v>
      </c>
      <c r="C1194" t="s">
        <v>31</v>
      </c>
      <c r="D1194">
        <v>5.3909118715873568E-2</v>
      </c>
      <c r="E1194" t="s">
        <v>6</v>
      </c>
    </row>
    <row r="1195" spans="2:5" x14ac:dyDescent="0.45">
      <c r="B1195" t="s">
        <v>119</v>
      </c>
      <c r="C1195" t="s">
        <v>32</v>
      </c>
      <c r="D1195">
        <v>8.3627558932341514E-2</v>
      </c>
      <c r="E1195" t="s">
        <v>6</v>
      </c>
    </row>
    <row r="1196" spans="2:5" x14ac:dyDescent="0.45">
      <c r="B1196" t="s">
        <v>119</v>
      </c>
      <c r="C1196" t="s">
        <v>33</v>
      </c>
      <c r="D1196">
        <v>8.9963695840596727E-2</v>
      </c>
      <c r="E1196" t="s">
        <v>6</v>
      </c>
    </row>
    <row r="1197" spans="2:5" x14ac:dyDescent="0.45">
      <c r="B1197" t="s">
        <v>119</v>
      </c>
      <c r="C1197" t="s">
        <v>34</v>
      </c>
      <c r="D1197">
        <v>7.4644470844494659E-2</v>
      </c>
      <c r="E1197" t="s">
        <v>6</v>
      </c>
    </row>
    <row r="1198" spans="2:5" x14ac:dyDescent="0.45">
      <c r="B1198" t="s">
        <v>119</v>
      </c>
      <c r="C1198" t="s">
        <v>35</v>
      </c>
      <c r="D1198">
        <v>4.1507848292764493E-2</v>
      </c>
      <c r="E1198" t="s">
        <v>6</v>
      </c>
    </row>
    <row r="1199" spans="2:5" x14ac:dyDescent="0.45">
      <c r="B1199" t="s">
        <v>119</v>
      </c>
      <c r="C1199" t="s">
        <v>36</v>
      </c>
      <c r="D1199">
        <v>7.6801960628591738E-3</v>
      </c>
      <c r="E1199" t="s">
        <v>6</v>
      </c>
    </row>
    <row r="1200" spans="2:5" x14ac:dyDescent="0.45">
      <c r="B1200" t="s">
        <v>119</v>
      </c>
      <c r="C1200" t="s">
        <v>37</v>
      </c>
      <c r="D1200">
        <v>3.1811095593846203E-6</v>
      </c>
      <c r="E1200" t="s">
        <v>6</v>
      </c>
    </row>
    <row r="1201" spans="2:5" x14ac:dyDescent="0.45">
      <c r="B1201" t="s">
        <v>119</v>
      </c>
      <c r="C1201" t="s">
        <v>38</v>
      </c>
      <c r="D1201">
        <v>0</v>
      </c>
      <c r="E1201" t="s">
        <v>6</v>
      </c>
    </row>
    <row r="1202" spans="2:5" x14ac:dyDescent="0.45">
      <c r="B1202" t="s">
        <v>119</v>
      </c>
      <c r="C1202" t="s">
        <v>39</v>
      </c>
      <c r="D1202">
        <v>0</v>
      </c>
      <c r="E1202" t="s">
        <v>6</v>
      </c>
    </row>
    <row r="1203" spans="2:5" x14ac:dyDescent="0.45">
      <c r="B1203" t="s">
        <v>119</v>
      </c>
      <c r="C1203" t="s">
        <v>40</v>
      </c>
      <c r="D1203">
        <v>2.1336026242803319E-3</v>
      </c>
      <c r="E1203" t="s">
        <v>6</v>
      </c>
    </row>
    <row r="1204" spans="2:5" x14ac:dyDescent="0.45">
      <c r="B1204" t="s">
        <v>119</v>
      </c>
      <c r="C1204" t="s">
        <v>41</v>
      </c>
      <c r="D1204">
        <v>2.6002376589053598E-2</v>
      </c>
      <c r="E1204" t="s">
        <v>6</v>
      </c>
    </row>
    <row r="1205" spans="2:5" x14ac:dyDescent="0.45">
      <c r="B1205" t="s">
        <v>119</v>
      </c>
      <c r="C1205" t="s">
        <v>42</v>
      </c>
      <c r="D1205">
        <v>5.3438385459843883E-2</v>
      </c>
      <c r="E1205" t="s">
        <v>6</v>
      </c>
    </row>
    <row r="1206" spans="2:5" x14ac:dyDescent="0.45">
      <c r="B1206" t="s">
        <v>119</v>
      </c>
      <c r="C1206" t="s">
        <v>43</v>
      </c>
      <c r="D1206">
        <v>5.9604860768861664E-2</v>
      </c>
      <c r="E1206" t="s">
        <v>6</v>
      </c>
    </row>
    <row r="1207" spans="2:5" x14ac:dyDescent="0.45">
      <c r="B1207" t="s">
        <v>119</v>
      </c>
      <c r="C1207" t="s">
        <v>44</v>
      </c>
      <c r="D1207">
        <v>4.2803846124781213E-2</v>
      </c>
      <c r="E1207" t="s">
        <v>6</v>
      </c>
    </row>
    <row r="1208" spans="2:5" x14ac:dyDescent="0.45">
      <c r="B1208" t="s">
        <v>119</v>
      </c>
      <c r="C1208" t="s">
        <v>45</v>
      </c>
      <c r="D1208">
        <v>1.3475927958905573E-2</v>
      </c>
      <c r="E1208" t="s">
        <v>6</v>
      </c>
    </row>
    <row r="1209" spans="2:5" x14ac:dyDescent="0.45">
      <c r="B1209" t="s">
        <v>119</v>
      </c>
      <c r="C1209" t="s">
        <v>46</v>
      </c>
      <c r="D1209">
        <v>3.0448222470330107E-4</v>
      </c>
      <c r="E1209" t="s">
        <v>6</v>
      </c>
    </row>
    <row r="1210" spans="2:5" x14ac:dyDescent="0.45">
      <c r="B1210" t="s">
        <v>119</v>
      </c>
      <c r="C1210" t="s">
        <v>47</v>
      </c>
      <c r="D1210">
        <v>0</v>
      </c>
      <c r="E121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05A3-293F-44F2-A4A1-7470D01B4D99}">
  <dimension ref="B9:FT8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region=FRA")</f>
        <v>~TFM_DINS-TSL: attribute=FLO_EMIS; other_indexes=ACT; region=FRA</v>
      </c>
      <c r="AS9" t="str">
        <f>IF(A11="x","DeActivated","~TFM_INS-TSL: attribute=FLO_SHAR; limtype=FX; region=FRA")</f>
        <v>~TFM_INS-TSL: attribute=FLO_SHAR; limtype=FX; region=FRA</v>
      </c>
      <c r="CJ9" t="str">
        <f>IF(A11="x","DeActivated","~TFM_INS-TSL: attribute=FLO_SHAR; limtype=FX; region=FRA")</f>
        <v>~TFM_INS-TSL: attribute=FLO_SHAR; limtype=FX; region=FRA</v>
      </c>
      <c r="EA9" t="str">
        <f>IF(A11="x","DeActivated","~TFM_DINS-TSL: attribute=NCAP_PKCNT; region=FRA")</f>
        <v>~TFM_DINS-TSL: attribute=NCAP_PKCNT; region=FRA</v>
      </c>
      <c r="FQ9" t="str">
        <f>IF(A11="x","DeActivated","~TFM_DINS-AT: region=FRA")</f>
        <v>~TFM_DINS-AT: region=FRA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122</v>
      </c>
      <c r="C11" t="s">
        <v>123</v>
      </c>
      <c r="D11">
        <v>0</v>
      </c>
      <c r="E11">
        <v>0</v>
      </c>
      <c r="F11">
        <v>0</v>
      </c>
      <c r="G11">
        <v>0.52398861226377469</v>
      </c>
      <c r="H11">
        <v>0.29875337478423925</v>
      </c>
      <c r="I11">
        <v>0.26121444001006516</v>
      </c>
      <c r="J11">
        <v>0.28638152237593206</v>
      </c>
      <c r="K11">
        <v>0.48309584841236047</v>
      </c>
      <c r="L11">
        <v>0.99444444444444446</v>
      </c>
      <c r="M11">
        <v>0</v>
      </c>
      <c r="N11">
        <v>0</v>
      </c>
      <c r="O11">
        <v>0.90555221954871246</v>
      </c>
      <c r="P11">
        <v>0.47782149463758672</v>
      </c>
      <c r="Q11">
        <v>0.23629470932708613</v>
      </c>
      <c r="R11">
        <v>0.18629434332622979</v>
      </c>
      <c r="S11">
        <v>0.16563670343048348</v>
      </c>
      <c r="T11">
        <v>0.15468317850521185</v>
      </c>
      <c r="U11">
        <v>0.20384101093095949</v>
      </c>
      <c r="V11">
        <v>0.47515871620558336</v>
      </c>
      <c r="W11">
        <v>0</v>
      </c>
      <c r="X11">
        <v>0</v>
      </c>
      <c r="Y11">
        <v>0.75165965509979282</v>
      </c>
      <c r="Z11">
        <v>0.35279018109479304</v>
      </c>
      <c r="AA11">
        <v>0.1477854706352317</v>
      </c>
      <c r="AB11">
        <v>0.12279660333378739</v>
      </c>
      <c r="AC11">
        <v>0.11244260409523926</v>
      </c>
      <c r="AD11">
        <v>0.11923137768950989</v>
      </c>
      <c r="AE11">
        <v>0.15074642577325681</v>
      </c>
      <c r="AF11">
        <v>0.35109490226901086</v>
      </c>
      <c r="AG11">
        <v>0.85446088482549387</v>
      </c>
      <c r="AH11">
        <v>0</v>
      </c>
      <c r="AI11">
        <v>0</v>
      </c>
      <c r="AJ11">
        <v>0.75501138251123168</v>
      </c>
      <c r="AK11">
        <v>0.33083705551709019</v>
      </c>
      <c r="AL11">
        <v>0.24939440502529389</v>
      </c>
      <c r="AM11">
        <v>0.23710828224121114</v>
      </c>
      <c r="AN11">
        <v>0.27579298087449272</v>
      </c>
      <c r="AO11">
        <v>0.43251232819241237</v>
      </c>
      <c r="AP11">
        <v>0.86594612769359347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0.88183509560933449</v>
      </c>
      <c r="AX11">
        <v>0.2641428289420702</v>
      </c>
      <c r="AY11">
        <v>0.11670380353355869</v>
      </c>
      <c r="AZ11">
        <v>4.529343789802396E-2</v>
      </c>
      <c r="BA11">
        <v>8.16590383983711E-3</v>
      </c>
      <c r="BB11">
        <v>2.9885572328839979E-2</v>
      </c>
      <c r="BC11">
        <v>0.1905746199923341</v>
      </c>
      <c r="BD11">
        <v>0</v>
      </c>
      <c r="BE11">
        <v>0</v>
      </c>
      <c r="BF11">
        <v>0.71996170035362028</v>
      </c>
      <c r="BG11">
        <v>0.2993281365768391</v>
      </c>
      <c r="BH11">
        <v>0.10181318565033912</v>
      </c>
      <c r="BI11">
        <v>6.1731430555693828E-2</v>
      </c>
      <c r="BJ11">
        <v>2.5650414697265776E-2</v>
      </c>
      <c r="BK11">
        <v>1.2106747794509052E-2</v>
      </c>
      <c r="BL11">
        <v>2.3689916593301493E-2</v>
      </c>
      <c r="BM11">
        <v>0.20150937982861622</v>
      </c>
      <c r="BN11">
        <v>0.87493509403979342</v>
      </c>
      <c r="BO11">
        <v>0</v>
      </c>
      <c r="BP11">
        <v>0.50613158397883551</v>
      </c>
      <c r="BQ11">
        <v>0.18771708604208098</v>
      </c>
      <c r="BR11">
        <v>7.9369215569585441E-2</v>
      </c>
      <c r="BS11">
        <v>4.7866489617716314E-2</v>
      </c>
      <c r="BT11">
        <v>2.3624845198231562E-2</v>
      </c>
      <c r="BU11">
        <v>4.5611955813164842E-3</v>
      </c>
      <c r="BV11">
        <v>1.5937614747630904E-2</v>
      </c>
      <c r="BW11">
        <v>0.15191209108052531</v>
      </c>
      <c r="BX11">
        <v>0.63317193937037464</v>
      </c>
      <c r="BY11">
        <v>0</v>
      </c>
      <c r="BZ11">
        <v>0</v>
      </c>
      <c r="CA11">
        <v>0.51040013951863628</v>
      </c>
      <c r="CB11">
        <v>0.1561219875225425</v>
      </c>
      <c r="CC11">
        <v>9.262864931838144E-2</v>
      </c>
      <c r="CD11">
        <v>1.1474736393936676E-2</v>
      </c>
      <c r="CE11">
        <v>8.0514082741489166E-3</v>
      </c>
      <c r="CF11">
        <v>2.0770543491732806E-2</v>
      </c>
      <c r="CG11">
        <v>9.4016004739514589E-2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5.3915030694206161E-2</v>
      </c>
      <c r="CR11">
        <v>0.10919199152430395</v>
      </c>
      <c r="CS11">
        <v>0.2175695295695792</v>
      </c>
      <c r="CT11">
        <v>0.13828764555481995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5.1885362418639695E-3</v>
      </c>
      <c r="DA11">
        <v>3.5393347290426397E-2</v>
      </c>
      <c r="DB11">
        <v>5.7710292932009473E-2</v>
      </c>
      <c r="DC11">
        <v>7.3320848146498724E-2</v>
      </c>
      <c r="DD11">
        <v>1.8649652885045609E-2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1.7048834085487689E-2</v>
      </c>
      <c r="DL11">
        <v>4.254368576559725E-2</v>
      </c>
      <c r="DM11">
        <v>6.1034256663978451E-2</v>
      </c>
      <c r="DN11">
        <v>1.4232301108816811E-2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7.7679861859994537E-2</v>
      </c>
      <c r="DV11">
        <v>0.11185758189144063</v>
      </c>
      <c r="DW11">
        <v>0.18758478427451358</v>
      </c>
      <c r="DX11">
        <v>1.843798312025665E-2</v>
      </c>
      <c r="DY11">
        <v>0</v>
      </c>
      <c r="EA11" t="s">
        <v>122</v>
      </c>
      <c r="EB11">
        <v>0</v>
      </c>
      <c r="EC11">
        <v>0</v>
      </c>
      <c r="ED11">
        <v>0</v>
      </c>
      <c r="EE11">
        <v>6.8147262295535485E-2</v>
      </c>
      <c r="EF11">
        <v>0.25224713087331818</v>
      </c>
      <c r="EG11">
        <v>0.33080122682959062</v>
      </c>
      <c r="EH11">
        <v>0.25274776178445979</v>
      </c>
      <c r="EI11">
        <v>7.4611531972615025E-2</v>
      </c>
      <c r="EJ11">
        <v>2.2994387536221877E-5</v>
      </c>
      <c r="EK11">
        <v>0</v>
      </c>
      <c r="EL11">
        <v>0</v>
      </c>
      <c r="EM11">
        <v>1.6254301991946893E-4</v>
      </c>
      <c r="EN11">
        <v>3.908586827229265E-2</v>
      </c>
      <c r="EO11">
        <v>0.23868916320665179</v>
      </c>
      <c r="EP11">
        <v>0.42796084630494979</v>
      </c>
      <c r="EQ11">
        <v>0.48140395617188891</v>
      </c>
      <c r="ER11">
        <v>0.39311707842706922</v>
      </c>
      <c r="ES11">
        <v>0.2034619840796674</v>
      </c>
      <c r="ET11">
        <v>2.7517921815455745E-2</v>
      </c>
      <c r="EU11">
        <v>0</v>
      </c>
      <c r="EV11">
        <v>0</v>
      </c>
      <c r="EW11">
        <v>1.0236888936770835E-3</v>
      </c>
      <c r="EX11">
        <v>7.2740951640420451E-2</v>
      </c>
      <c r="EY11">
        <v>0.32324463090936895</v>
      </c>
      <c r="EZ11">
        <v>0.51561816887941503</v>
      </c>
      <c r="FA11">
        <v>0.56474517033874816</v>
      </c>
      <c r="FB11">
        <v>0.47946667205854965</v>
      </c>
      <c r="FC11">
        <v>0.27799098550891377</v>
      </c>
      <c r="FD11">
        <v>5.8989802958370689E-2</v>
      </c>
      <c r="FE11">
        <v>1.9164496310831387E-4</v>
      </c>
      <c r="FF11">
        <v>0</v>
      </c>
      <c r="FG11">
        <v>0</v>
      </c>
      <c r="FH11">
        <v>1.0238427910552324E-2</v>
      </c>
      <c r="FI11">
        <v>0.15405655732797027</v>
      </c>
      <c r="FJ11">
        <v>0.32448075775420471</v>
      </c>
      <c r="FK11">
        <v>0.36543501738023199</v>
      </c>
      <c r="FL11">
        <v>0.26787767864734419</v>
      </c>
      <c r="FM11">
        <v>9.3549217528532333E-2</v>
      </c>
      <c r="FN11">
        <v>3.32980298923948E-3</v>
      </c>
      <c r="FO11">
        <v>0</v>
      </c>
      <c r="FQ11" t="s">
        <v>122</v>
      </c>
      <c r="FR11" t="s">
        <v>127</v>
      </c>
      <c r="FS11" t="s">
        <v>128</v>
      </c>
      <c r="FT11">
        <v>0.47548223452384841</v>
      </c>
    </row>
    <row r="12" spans="2:176" x14ac:dyDescent="0.45">
      <c r="B12" t="s">
        <v>129</v>
      </c>
      <c r="C12" t="s">
        <v>123</v>
      </c>
      <c r="D12">
        <v>0</v>
      </c>
      <c r="E12">
        <v>0</v>
      </c>
      <c r="F12">
        <v>0</v>
      </c>
      <c r="G12">
        <v>0.48930633553285308</v>
      </c>
      <c r="H12">
        <v>0.25653920146892828</v>
      </c>
      <c r="I12">
        <v>0.22178443021936239</v>
      </c>
      <c r="J12">
        <v>0.25147108505985988</v>
      </c>
      <c r="K12">
        <v>0.44184046356610451</v>
      </c>
      <c r="L12">
        <v>0.95000000000000007</v>
      </c>
      <c r="M12">
        <v>0</v>
      </c>
      <c r="N12">
        <v>0</v>
      </c>
      <c r="O12">
        <v>0.96739130434782605</v>
      </c>
      <c r="P12">
        <v>0.51563243559353988</v>
      </c>
      <c r="Q12">
        <v>0.20931161014450261</v>
      </c>
      <c r="R12">
        <v>0.1466279664584699</v>
      </c>
      <c r="S12">
        <v>0.14137491364896271</v>
      </c>
      <c r="T12">
        <v>0.14592782407166618</v>
      </c>
      <c r="U12">
        <v>0.17732055227371055</v>
      </c>
      <c r="V12">
        <v>0.43685632601754731</v>
      </c>
      <c r="W12">
        <v>0.96987843888092307</v>
      </c>
      <c r="X12">
        <v>0</v>
      </c>
      <c r="Y12">
        <v>0.82938305411854207</v>
      </c>
      <c r="Z12">
        <v>0.36370175937594101</v>
      </c>
      <c r="AA12">
        <v>0.14597313158558542</v>
      </c>
      <c r="AB12">
        <v>0.11175469800765156</v>
      </c>
      <c r="AC12">
        <v>0.10374671863027304</v>
      </c>
      <c r="AD12">
        <v>0.11274849038382144</v>
      </c>
      <c r="AE12">
        <v>0.12804014460641328</v>
      </c>
      <c r="AF12">
        <v>0.34914836391118409</v>
      </c>
      <c r="AG12">
        <v>0.80912122347048454</v>
      </c>
      <c r="AH12">
        <v>0</v>
      </c>
      <c r="AI12">
        <v>0</v>
      </c>
      <c r="AJ12">
        <v>0.77059900705336448</v>
      </c>
      <c r="AK12">
        <v>0.32177528303108016</v>
      </c>
      <c r="AL12">
        <v>0.22607390839821603</v>
      </c>
      <c r="AM12">
        <v>0.20450874641497696</v>
      </c>
      <c r="AN12">
        <v>0.21987083220443049</v>
      </c>
      <c r="AO12">
        <v>0.35959111970814434</v>
      </c>
      <c r="AP12">
        <v>0.82900333313846053</v>
      </c>
      <c r="AQ12">
        <v>0</v>
      </c>
      <c r="AS12" t="s">
        <v>130</v>
      </c>
      <c r="AT12" t="s">
        <v>125</v>
      </c>
      <c r="AU12">
        <v>7.4106601768337233E-3</v>
      </c>
      <c r="AV12">
        <v>0</v>
      </c>
      <c r="AW12">
        <v>0</v>
      </c>
      <c r="AX12">
        <v>9.7819261881119599E-4</v>
      </c>
      <c r="AY12">
        <v>2.4224240483693444E-3</v>
      </c>
      <c r="AZ12">
        <v>1.8895305574274689E-3</v>
      </c>
      <c r="BA12">
        <v>1.9269863555073066E-4</v>
      </c>
      <c r="BB12">
        <v>3.5864089414954711E-3</v>
      </c>
      <c r="BC12">
        <v>1.4887761039435312E-4</v>
      </c>
      <c r="BD12">
        <v>1.8917938369088789E-3</v>
      </c>
      <c r="BE12">
        <v>5.852495827625025E-3</v>
      </c>
      <c r="BF12">
        <v>8.867878978730179E-4</v>
      </c>
      <c r="BG12">
        <v>7.1222657780959243E-4</v>
      </c>
      <c r="BH12">
        <v>4.6886240590288302E-3</v>
      </c>
      <c r="BI12">
        <v>3.0333042306514846E-3</v>
      </c>
      <c r="BJ12">
        <v>2.5660157620628777E-3</v>
      </c>
      <c r="BK12">
        <v>2.0761916528660709E-3</v>
      </c>
      <c r="BL12">
        <v>1.6994801816766077E-3</v>
      </c>
      <c r="BM12">
        <v>1.6174758653039896E-3</v>
      </c>
      <c r="BN12">
        <v>9.6954594376778089E-3</v>
      </c>
      <c r="BO12">
        <v>5.880789988974771E-3</v>
      </c>
      <c r="BP12">
        <v>0</v>
      </c>
      <c r="BQ12">
        <v>8.4624675289311085E-4</v>
      </c>
      <c r="BR12">
        <v>1.3213696345171777E-3</v>
      </c>
      <c r="BS12">
        <v>5.1344566037069663E-3</v>
      </c>
      <c r="BT12">
        <v>3.8882534891608129E-3</v>
      </c>
      <c r="BU12">
        <v>2.5704766707356956E-3</v>
      </c>
      <c r="BV12">
        <v>1.3204281818825249E-4</v>
      </c>
      <c r="BW12">
        <v>8.222659687478187E-4</v>
      </c>
      <c r="BX12">
        <v>9.2868633748884113E-3</v>
      </c>
      <c r="BY12">
        <v>1.1260063089157427E-3</v>
      </c>
      <c r="BZ12">
        <v>0</v>
      </c>
      <c r="CA12">
        <v>2.1086597614491451E-4</v>
      </c>
      <c r="CB12">
        <v>4.263982439806328E-3</v>
      </c>
      <c r="CC12">
        <v>1.0032806411016241E-3</v>
      </c>
      <c r="CD12">
        <v>5.7600562358124999E-4</v>
      </c>
      <c r="CE12">
        <v>4.8585375594177513E-3</v>
      </c>
      <c r="CF12">
        <v>2.4298041089544039E-3</v>
      </c>
      <c r="CG12">
        <v>1.1219896598087755E-2</v>
      </c>
      <c r="CH12">
        <v>1.7385746962130265E-4</v>
      </c>
      <c r="CJ12" t="s">
        <v>130</v>
      </c>
      <c r="CK12" t="s">
        <v>126</v>
      </c>
      <c r="CL12">
        <v>6.923188499648035E-3</v>
      </c>
      <c r="CM12">
        <v>1.2984167333110804E-2</v>
      </c>
      <c r="CN12">
        <v>8.7994783717646567E-3</v>
      </c>
      <c r="CO12">
        <v>4.8250950689864283E-3</v>
      </c>
      <c r="CP12">
        <v>1.9711145514091102E-3</v>
      </c>
      <c r="CQ12">
        <v>6.1707588668665084E-3</v>
      </c>
      <c r="CR12">
        <v>8.8864423562228876E-3</v>
      </c>
      <c r="CS12">
        <v>1.3357285723484592E-2</v>
      </c>
      <c r="CT12">
        <v>1.1731894209548718E-2</v>
      </c>
      <c r="CU12">
        <v>1.1914695697262142E-2</v>
      </c>
      <c r="CV12">
        <v>1.8054637879791779E-2</v>
      </c>
      <c r="CW12">
        <v>2.5115908680506165E-2</v>
      </c>
      <c r="CX12">
        <v>1.8738336729710519E-2</v>
      </c>
      <c r="CY12">
        <v>1.8088107143343954E-2</v>
      </c>
      <c r="CZ12">
        <v>2.0812966303626425E-2</v>
      </c>
      <c r="DA12">
        <v>1.2540070462720845E-2</v>
      </c>
      <c r="DB12">
        <v>1.5622724012145059E-2</v>
      </c>
      <c r="DC12">
        <v>7.2522880736331013E-3</v>
      </c>
      <c r="DD12">
        <v>4.2835795972295749E-3</v>
      </c>
      <c r="DE12">
        <v>3.2840418122157804E-3</v>
      </c>
      <c r="DF12">
        <v>1.3727179168119162E-2</v>
      </c>
      <c r="DG12">
        <v>2.5325007512748448E-2</v>
      </c>
      <c r="DH12">
        <v>3.3488696507078711E-2</v>
      </c>
      <c r="DI12">
        <v>1.2860794351146659E-2</v>
      </c>
      <c r="DJ12">
        <v>6.666005510845203E-3</v>
      </c>
      <c r="DK12">
        <v>9.3747215659843921E-3</v>
      </c>
      <c r="DL12">
        <v>8.4098759742825026E-3</v>
      </c>
      <c r="DM12">
        <v>1.4387923873311345E-2</v>
      </c>
      <c r="DN12">
        <v>4.3731548010052532E-3</v>
      </c>
      <c r="DO12">
        <v>2.8199003275162136E-3</v>
      </c>
      <c r="DP12">
        <v>1.0400905565402541E-2</v>
      </c>
      <c r="DQ12">
        <v>6.9316379992978181E-3</v>
      </c>
      <c r="DR12">
        <v>5.084522408217277E-3</v>
      </c>
      <c r="DS12">
        <v>4.4227265051566527E-4</v>
      </c>
      <c r="DT12">
        <v>1.1219905303061509E-2</v>
      </c>
      <c r="DU12">
        <v>1.4984267206735498E-2</v>
      </c>
      <c r="DV12">
        <v>1.2268468520425497E-2</v>
      </c>
      <c r="DW12">
        <v>1.0034091753374148E-2</v>
      </c>
      <c r="DX12">
        <v>1.2076697835922395E-2</v>
      </c>
      <c r="DY12">
        <v>2.4311441793302205E-2</v>
      </c>
      <c r="EA12" t="s">
        <v>129</v>
      </c>
      <c r="EB12">
        <v>0</v>
      </c>
      <c r="EC12">
        <v>0</v>
      </c>
      <c r="ED12">
        <v>0</v>
      </c>
      <c r="EE12">
        <v>7.8560159639573371E-2</v>
      </c>
      <c r="EF12">
        <v>0.30167109475012588</v>
      </c>
      <c r="EG12">
        <v>0.39229314122046477</v>
      </c>
      <c r="EH12">
        <v>0.30182997503256243</v>
      </c>
      <c r="EI12">
        <v>9.7890331664969132E-2</v>
      </c>
      <c r="EJ12">
        <v>1.3524937378169141E-3</v>
      </c>
      <c r="EK12">
        <v>0</v>
      </c>
      <c r="EL12">
        <v>0</v>
      </c>
      <c r="EM12">
        <v>9.748411760259558E-6</v>
      </c>
      <c r="EN12">
        <v>3.4824661990946019E-2</v>
      </c>
      <c r="EO12">
        <v>0.25059551062191032</v>
      </c>
      <c r="EP12">
        <v>0.4652944001035324</v>
      </c>
      <c r="EQ12">
        <v>0.53273559461659037</v>
      </c>
      <c r="ER12">
        <v>0.45012266418606439</v>
      </c>
      <c r="ES12">
        <v>0.25418484604195257</v>
      </c>
      <c r="ET12">
        <v>4.1074292638957337E-2</v>
      </c>
      <c r="EU12">
        <v>9.7299590755057531E-6</v>
      </c>
      <c r="EV12">
        <v>0</v>
      </c>
      <c r="EW12">
        <v>1.8087054247138942E-4</v>
      </c>
      <c r="EX12">
        <v>5.8547802264614472E-2</v>
      </c>
      <c r="EY12">
        <v>0.30794898095821055</v>
      </c>
      <c r="EZ12">
        <v>0.515470728826392</v>
      </c>
      <c r="FA12">
        <v>0.58322939048825484</v>
      </c>
      <c r="FB12">
        <v>0.50750629082960597</v>
      </c>
      <c r="FC12">
        <v>0.3217011220713667</v>
      </c>
      <c r="FD12">
        <v>7.5642997547452004E-2</v>
      </c>
      <c r="FE12">
        <v>5.0532150316175378E-4</v>
      </c>
      <c r="FF12">
        <v>0</v>
      </c>
      <c r="FG12">
        <v>0</v>
      </c>
      <c r="FH12">
        <v>7.878889111306752E-3</v>
      </c>
      <c r="FI12">
        <v>0.15635806034822955</v>
      </c>
      <c r="FJ12">
        <v>0.35270688179722165</v>
      </c>
      <c r="FK12">
        <v>0.41016526622783317</v>
      </c>
      <c r="FL12">
        <v>0.32415708058671994</v>
      </c>
      <c r="FM12">
        <v>0.13190981829287252</v>
      </c>
      <c r="FN12">
        <v>6.3892042124239455E-3</v>
      </c>
      <c r="FO12">
        <v>0</v>
      </c>
      <c r="FQ12" t="s">
        <v>129</v>
      </c>
      <c r="FR12" t="s">
        <v>127</v>
      </c>
      <c r="FS12" t="s">
        <v>128</v>
      </c>
      <c r="FT12">
        <v>0.4938957390730363</v>
      </c>
    </row>
    <row r="13" spans="2:176" x14ac:dyDescent="0.45">
      <c r="B13" t="s">
        <v>131</v>
      </c>
      <c r="C13" t="s">
        <v>123</v>
      </c>
      <c r="D13">
        <v>0</v>
      </c>
      <c r="E13">
        <v>0</v>
      </c>
      <c r="F13">
        <v>0</v>
      </c>
      <c r="G13">
        <v>0.52413887374409052</v>
      </c>
      <c r="H13">
        <v>0.2779837555975091</v>
      </c>
      <c r="I13">
        <v>0.25313525412453824</v>
      </c>
      <c r="J13">
        <v>0.27621969662186124</v>
      </c>
      <c r="K13">
        <v>0.46946455681493932</v>
      </c>
      <c r="L13">
        <v>0.97777777777777752</v>
      </c>
      <c r="M13">
        <v>0</v>
      </c>
      <c r="N13">
        <v>0</v>
      </c>
      <c r="O13">
        <v>0.94003425935303253</v>
      </c>
      <c r="P13">
        <v>0.50012022837182835</v>
      </c>
      <c r="Q13">
        <v>0.23271643298147293</v>
      </c>
      <c r="R13">
        <v>0.17129489011874707</v>
      </c>
      <c r="S13">
        <v>0.15973112510650894</v>
      </c>
      <c r="T13">
        <v>0.16402360519803555</v>
      </c>
      <c r="U13">
        <v>0.20360048728739194</v>
      </c>
      <c r="V13">
        <v>0.46417161953486025</v>
      </c>
      <c r="W13">
        <v>0.97826086956521752</v>
      </c>
      <c r="X13">
        <v>0</v>
      </c>
      <c r="Y13">
        <v>0.78561534691279666</v>
      </c>
      <c r="Z13">
        <v>0.35328915579673831</v>
      </c>
      <c r="AA13">
        <v>0.15146017375021306</v>
      </c>
      <c r="AB13">
        <v>0.12448438333624087</v>
      </c>
      <c r="AC13">
        <v>0.11238465464574525</v>
      </c>
      <c r="AD13">
        <v>0.12342634859589008</v>
      </c>
      <c r="AE13">
        <v>0.13886485375408017</v>
      </c>
      <c r="AF13">
        <v>0.34433840353417255</v>
      </c>
      <c r="AG13">
        <v>0.80962390838961285</v>
      </c>
      <c r="AH13">
        <v>0</v>
      </c>
      <c r="AI13">
        <v>0</v>
      </c>
      <c r="AJ13">
        <v>0.7677534841094148</v>
      </c>
      <c r="AK13">
        <v>0.33986920363112666</v>
      </c>
      <c r="AL13">
        <v>0.24503997928144258</v>
      </c>
      <c r="AM13">
        <v>0.22039755836931116</v>
      </c>
      <c r="AN13">
        <v>0.25315670884783542</v>
      </c>
      <c r="AO13">
        <v>0.39462899219071879</v>
      </c>
      <c r="AP13">
        <v>0.84994602156691168</v>
      </c>
      <c r="AQ13">
        <v>0</v>
      </c>
      <c r="AS13" t="s">
        <v>132</v>
      </c>
      <c r="AT13" t="s">
        <v>125</v>
      </c>
      <c r="AU13">
        <v>5.27588360885471E-3</v>
      </c>
      <c r="AV13">
        <v>3.4021253589179529E-3</v>
      </c>
      <c r="AW13">
        <v>8.1183760735842488E-4</v>
      </c>
      <c r="AX13">
        <v>3.3748546989983822E-3</v>
      </c>
      <c r="AY13">
        <v>7.5528199642366763E-3</v>
      </c>
      <c r="AZ13">
        <v>5.0801181958189754E-3</v>
      </c>
      <c r="BA13">
        <v>3.9212119769329494E-3</v>
      </c>
      <c r="BB13">
        <v>3.183910551103792E-5</v>
      </c>
      <c r="BC13">
        <v>7.4315042691519778E-4</v>
      </c>
      <c r="BD13">
        <v>2.4708762726565183E-3</v>
      </c>
      <c r="BE13">
        <v>4.7238951249109744E-3</v>
      </c>
      <c r="BF13">
        <v>1.4868128952537044E-3</v>
      </c>
      <c r="BG13">
        <v>1.9277317182400815E-4</v>
      </c>
      <c r="BH13">
        <v>4.8680530027173157E-3</v>
      </c>
      <c r="BI13">
        <v>5.5985457932091398E-3</v>
      </c>
      <c r="BJ13">
        <v>2.4920020404065762E-3</v>
      </c>
      <c r="BK13">
        <v>1.7834321397598076E-4</v>
      </c>
      <c r="BL13">
        <v>1.2652675434583094E-3</v>
      </c>
      <c r="BM13">
        <v>2.7026171183323743E-3</v>
      </c>
      <c r="BN13">
        <v>4.4559943724699833E-3</v>
      </c>
      <c r="BO13">
        <v>3.2433220967656115E-3</v>
      </c>
      <c r="BP13">
        <v>1.0874075468472663E-3</v>
      </c>
      <c r="BQ13">
        <v>0</v>
      </c>
      <c r="BR13">
        <v>1.4566411513697373E-3</v>
      </c>
      <c r="BS13">
        <v>8.3422361962479357E-3</v>
      </c>
      <c r="BT13">
        <v>7.5100126610360939E-3</v>
      </c>
      <c r="BU13">
        <v>2.502558766129022E-3</v>
      </c>
      <c r="BV13">
        <v>1.0276253828332275E-3</v>
      </c>
      <c r="BW13">
        <v>1.616755519469033E-3</v>
      </c>
      <c r="BX13">
        <v>1.7799097493749613E-3</v>
      </c>
      <c r="BY13">
        <v>3.7348988003073173E-3</v>
      </c>
      <c r="BZ13">
        <v>1.4619188358286155E-3</v>
      </c>
      <c r="CA13">
        <v>2.8076290302879699E-3</v>
      </c>
      <c r="CB13">
        <v>1.6179024303852611E-3</v>
      </c>
      <c r="CC13">
        <v>3.565707471627922E-3</v>
      </c>
      <c r="CD13">
        <v>3.1159665719989963E-3</v>
      </c>
      <c r="CE13">
        <v>1.7688772623858799E-5</v>
      </c>
      <c r="CF13">
        <v>1.0676040477418209E-3</v>
      </c>
      <c r="CG13">
        <v>1.2237726993486299E-3</v>
      </c>
      <c r="CH13">
        <v>1.0200147597191564E-3</v>
      </c>
      <c r="CJ13" t="s">
        <v>132</v>
      </c>
      <c r="CK13" t="s">
        <v>126</v>
      </c>
      <c r="CL13">
        <v>8.1245225221408916E-3</v>
      </c>
      <c r="CM13">
        <v>1.0918292243135588E-2</v>
      </c>
      <c r="CN13">
        <v>1.1213313752769639E-2</v>
      </c>
      <c r="CO13">
        <v>1.0479576449974163E-2</v>
      </c>
      <c r="CP13">
        <v>1.8761776406134322E-3</v>
      </c>
      <c r="CQ13">
        <v>7.8374582563371896E-3</v>
      </c>
      <c r="CR13">
        <v>1.2056393161371574E-2</v>
      </c>
      <c r="CS13">
        <v>1.6086447156302999E-2</v>
      </c>
      <c r="CT13">
        <v>1.462207946808749E-2</v>
      </c>
      <c r="CU13">
        <v>6.974451287545807E-3</v>
      </c>
      <c r="CV13">
        <v>7.5050560788466362E-3</v>
      </c>
      <c r="CW13">
        <v>1.3505699355450863E-2</v>
      </c>
      <c r="CX13">
        <v>1.3623837336234441E-2</v>
      </c>
      <c r="CY13">
        <v>8.2792299762089218E-3</v>
      </c>
      <c r="CZ13">
        <v>4.6360974287730991E-3</v>
      </c>
      <c r="DA13">
        <v>9.8412273185828625E-3</v>
      </c>
      <c r="DB13">
        <v>1.0459710907558784E-2</v>
      </c>
      <c r="DC13">
        <v>6.3791191236248776E-3</v>
      </c>
      <c r="DD13">
        <v>3.7263049969579317E-3</v>
      </c>
      <c r="DE13">
        <v>4.1206612633251007E-3</v>
      </c>
      <c r="DF13">
        <v>1.1182250709519141E-2</v>
      </c>
      <c r="DG13">
        <v>1.4081737069069488E-2</v>
      </c>
      <c r="DH13">
        <v>1.6936557210023712E-2</v>
      </c>
      <c r="DI13">
        <v>1.071547268711154E-2</v>
      </c>
      <c r="DJ13">
        <v>6.2475823044943505E-3</v>
      </c>
      <c r="DK13">
        <v>9.1352186215571275E-3</v>
      </c>
      <c r="DL13">
        <v>1.4029078694797357E-2</v>
      </c>
      <c r="DM13">
        <v>1.419200689989745E-2</v>
      </c>
      <c r="DN13">
        <v>1.0584352459328253E-2</v>
      </c>
      <c r="DO13">
        <v>5.6828487297047939E-3</v>
      </c>
      <c r="DP13">
        <v>7.9762685614105464E-3</v>
      </c>
      <c r="DQ13">
        <v>1.5723418059801948E-2</v>
      </c>
      <c r="DR13">
        <v>1.2215231328950867E-2</v>
      </c>
      <c r="DS13">
        <v>7.6302045514422493E-3</v>
      </c>
      <c r="DT13">
        <v>6.127866586366556E-3</v>
      </c>
      <c r="DU13">
        <v>7.9703418252660262E-3</v>
      </c>
      <c r="DV13">
        <v>9.9893475449975115E-3</v>
      </c>
      <c r="DW13">
        <v>4.8803022382597899E-3</v>
      </c>
      <c r="DX13">
        <v>2.6557349759207165E-3</v>
      </c>
      <c r="DY13">
        <v>2.3347346645181421E-3</v>
      </c>
      <c r="EA13" t="s">
        <v>131</v>
      </c>
      <c r="EB13">
        <v>0</v>
      </c>
      <c r="EC13">
        <v>0</v>
      </c>
      <c r="ED13">
        <v>0</v>
      </c>
      <c r="EE13">
        <v>6.9391170337470762E-2</v>
      </c>
      <c r="EF13">
        <v>0.26601472508816904</v>
      </c>
      <c r="EG13">
        <v>0.34268952252548207</v>
      </c>
      <c r="EH13">
        <v>0.25955705167955023</v>
      </c>
      <c r="EI13">
        <v>8.1287835339250686E-2</v>
      </c>
      <c r="EJ13">
        <v>4.5778943642228292E-4</v>
      </c>
      <c r="EK13">
        <v>0</v>
      </c>
      <c r="EL13">
        <v>0</v>
      </c>
      <c r="EM13">
        <v>8.1183589076674998E-5</v>
      </c>
      <c r="EN13">
        <v>3.7574580256743581E-2</v>
      </c>
      <c r="EO13">
        <v>0.24781951549626491</v>
      </c>
      <c r="EP13">
        <v>0.44736049819614937</v>
      </c>
      <c r="EQ13">
        <v>0.50551901109797481</v>
      </c>
      <c r="ER13">
        <v>0.41022764338140644</v>
      </c>
      <c r="ES13">
        <v>0.22155452801433995</v>
      </c>
      <c r="ET13">
        <v>3.3986972752672318E-2</v>
      </c>
      <c r="EU13">
        <v>2.4563128732890514E-6</v>
      </c>
      <c r="EV13">
        <v>0</v>
      </c>
      <c r="EW13">
        <v>5.7117756395700455E-4</v>
      </c>
      <c r="EX13">
        <v>6.5170485588865942E-2</v>
      </c>
      <c r="EY13">
        <v>0.30910173225051846</v>
      </c>
      <c r="EZ13">
        <v>0.50667263234716642</v>
      </c>
      <c r="FA13">
        <v>0.56586377602287097</v>
      </c>
      <c r="FB13">
        <v>0.48498920288643782</v>
      </c>
      <c r="FC13">
        <v>0.29568272327146294</v>
      </c>
      <c r="FD13">
        <v>6.8434734035906677E-2</v>
      </c>
      <c r="FE13">
        <v>4.0516962040842454E-4</v>
      </c>
      <c r="FF13">
        <v>0</v>
      </c>
      <c r="FG13">
        <v>0</v>
      </c>
      <c r="FH13">
        <v>8.7320193439977996E-3</v>
      </c>
      <c r="FI13">
        <v>0.14754495416071159</v>
      </c>
      <c r="FJ13">
        <v>0.33179506131380498</v>
      </c>
      <c r="FK13">
        <v>0.37868721106009345</v>
      </c>
      <c r="FL13">
        <v>0.28683453508527229</v>
      </c>
      <c r="FM13">
        <v>0.10584960562809514</v>
      </c>
      <c r="FN13">
        <v>4.6949913866999819E-3</v>
      </c>
      <c r="FO13">
        <v>0</v>
      </c>
      <c r="FQ13" t="s">
        <v>131</v>
      </c>
      <c r="FR13" t="s">
        <v>127</v>
      </c>
      <c r="FS13" t="s">
        <v>128</v>
      </c>
      <c r="FT13">
        <v>0.46782330845264491</v>
      </c>
    </row>
    <row r="14" spans="2:176" x14ac:dyDescent="0.45">
      <c r="B14" t="s">
        <v>133</v>
      </c>
      <c r="C14" t="s">
        <v>123</v>
      </c>
      <c r="D14">
        <v>0</v>
      </c>
      <c r="E14">
        <v>0</v>
      </c>
      <c r="F14">
        <v>0</v>
      </c>
      <c r="G14">
        <v>0.54321979630218342</v>
      </c>
      <c r="H14">
        <v>0.29303363650506714</v>
      </c>
      <c r="I14">
        <v>0.25848871869524864</v>
      </c>
      <c r="J14">
        <v>0.26954252248964627</v>
      </c>
      <c r="K14">
        <v>0.46795427209588897</v>
      </c>
      <c r="L14">
        <v>0.94881047967428656</v>
      </c>
      <c r="M14">
        <v>0</v>
      </c>
      <c r="N14">
        <v>0</v>
      </c>
      <c r="O14">
        <v>0.91975391259657402</v>
      </c>
      <c r="P14">
        <v>0.51061394772776492</v>
      </c>
      <c r="Q14">
        <v>0.22719736641235042</v>
      </c>
      <c r="R14">
        <v>0.17041871972695821</v>
      </c>
      <c r="S14">
        <v>0.15400833228439817</v>
      </c>
      <c r="T14">
        <v>0.17337926168980564</v>
      </c>
      <c r="U14">
        <v>0.20878918520538714</v>
      </c>
      <c r="V14">
        <v>0.45172580374321114</v>
      </c>
      <c r="W14">
        <v>0.96271268439390445</v>
      </c>
      <c r="X14">
        <v>0</v>
      </c>
      <c r="Y14">
        <v>0.76552578694082285</v>
      </c>
      <c r="Z14">
        <v>0.35363534761930943</v>
      </c>
      <c r="AA14">
        <v>0.16600745478820245</v>
      </c>
      <c r="AB14">
        <v>0.13846113433779739</v>
      </c>
      <c r="AC14">
        <v>0.12977371043416777</v>
      </c>
      <c r="AD14">
        <v>0.11946905097573476</v>
      </c>
      <c r="AE14">
        <v>0.12764872500306618</v>
      </c>
      <c r="AF14">
        <v>0.33216482523545088</v>
      </c>
      <c r="AG14">
        <v>0.79302784075821142</v>
      </c>
      <c r="AH14">
        <v>0</v>
      </c>
      <c r="AI14">
        <v>0</v>
      </c>
      <c r="AJ14">
        <v>0.77502997821806074</v>
      </c>
      <c r="AK14">
        <v>0.32962614052967432</v>
      </c>
      <c r="AL14">
        <v>0.22017643089333089</v>
      </c>
      <c r="AM14">
        <v>0.20214906945539088</v>
      </c>
      <c r="AN14">
        <v>0.21640456539698169</v>
      </c>
      <c r="AO14">
        <v>0.36824301186046193</v>
      </c>
      <c r="AP14">
        <v>0.82639113824485089</v>
      </c>
      <c r="AQ14">
        <v>0</v>
      </c>
      <c r="EA14" t="s">
        <v>133</v>
      </c>
      <c r="EB14">
        <v>0</v>
      </c>
      <c r="EC14">
        <v>0</v>
      </c>
      <c r="ED14">
        <v>0</v>
      </c>
      <c r="EE14">
        <v>5.7506813939336696E-2</v>
      </c>
      <c r="EF14">
        <v>0.24128601530906779</v>
      </c>
      <c r="EG14">
        <v>0.32082070694400311</v>
      </c>
      <c r="EH14">
        <v>0.24832826201860567</v>
      </c>
      <c r="EI14">
        <v>7.7715580945476453E-2</v>
      </c>
      <c r="EJ14">
        <v>4.9599147264730724E-4</v>
      </c>
      <c r="EK14">
        <v>0</v>
      </c>
      <c r="EL14">
        <v>0</v>
      </c>
      <c r="EM14">
        <v>7.1266666635329598E-5</v>
      </c>
      <c r="EN14">
        <v>3.6181269809746522E-2</v>
      </c>
      <c r="EO14">
        <v>0.2450124969097997</v>
      </c>
      <c r="EP14">
        <v>0.44438282520123651</v>
      </c>
      <c r="EQ14">
        <v>0.49469359844433397</v>
      </c>
      <c r="ER14">
        <v>0.40971787319514796</v>
      </c>
      <c r="ES14">
        <v>0.2286332096064381</v>
      </c>
      <c r="ET14">
        <v>3.9330801427266693E-2</v>
      </c>
      <c r="EU14">
        <v>5.0536210542725871E-5</v>
      </c>
      <c r="EV14">
        <v>0</v>
      </c>
      <c r="EW14">
        <v>4.8434174691272975E-4</v>
      </c>
      <c r="EX14">
        <v>5.8500883120759899E-2</v>
      </c>
      <c r="EY14">
        <v>0.28978202899665956</v>
      </c>
      <c r="EZ14">
        <v>0.48880364556125561</v>
      </c>
      <c r="FA14">
        <v>0.55235779471986834</v>
      </c>
      <c r="FB14">
        <v>0.48828582469151827</v>
      </c>
      <c r="FC14">
        <v>0.3095485731514574</v>
      </c>
      <c r="FD14">
        <v>7.6176714012232069E-2</v>
      </c>
      <c r="FE14">
        <v>8.577791287774114E-4</v>
      </c>
      <c r="FF14">
        <v>0</v>
      </c>
      <c r="FG14">
        <v>0</v>
      </c>
      <c r="FH14">
        <v>8.0848933741316884E-3</v>
      </c>
      <c r="FI14">
        <v>0.1480841256065101</v>
      </c>
      <c r="FJ14">
        <v>0.34241107926198544</v>
      </c>
      <c r="FK14">
        <v>0.39184969176702722</v>
      </c>
      <c r="FL14">
        <v>0.30508781642168642</v>
      </c>
      <c r="FM14">
        <v>0.11802610658884916</v>
      </c>
      <c r="FN14">
        <v>6.2858230322509253E-3</v>
      </c>
      <c r="FO14">
        <v>0</v>
      </c>
      <c r="FQ14" t="s">
        <v>133</v>
      </c>
      <c r="FR14" t="s">
        <v>127</v>
      </c>
      <c r="FS14" t="s">
        <v>128</v>
      </c>
      <c r="FT14">
        <v>0.46547347926665678</v>
      </c>
    </row>
    <row r="15" spans="2:176" x14ac:dyDescent="0.45">
      <c r="B15" t="s">
        <v>134</v>
      </c>
      <c r="C15" t="s">
        <v>123</v>
      </c>
      <c r="D15">
        <v>0</v>
      </c>
      <c r="E15">
        <v>0</v>
      </c>
      <c r="F15">
        <v>0</v>
      </c>
      <c r="G15">
        <v>0.56178169258360988</v>
      </c>
      <c r="H15">
        <v>0.33353132815296754</v>
      </c>
      <c r="I15">
        <v>0.30703314153417038</v>
      </c>
      <c r="J15">
        <v>0.30936108455942934</v>
      </c>
      <c r="K15">
        <v>0.50559024759855042</v>
      </c>
      <c r="L15">
        <v>0</v>
      </c>
      <c r="M15">
        <v>0</v>
      </c>
      <c r="N15">
        <v>0</v>
      </c>
      <c r="O15">
        <v>0.9024294954767601</v>
      </c>
      <c r="P15">
        <v>0.46968842776120628</v>
      </c>
      <c r="Q15">
        <v>0.22032366631120154</v>
      </c>
      <c r="R15">
        <v>0.17860547603531488</v>
      </c>
      <c r="S15">
        <v>0.18015773903274512</v>
      </c>
      <c r="T15">
        <v>0.18691423907185176</v>
      </c>
      <c r="U15">
        <v>0.22079288560518515</v>
      </c>
      <c r="V15">
        <v>0.47629893882718699</v>
      </c>
      <c r="W15">
        <v>0.98550724637681175</v>
      </c>
      <c r="X15">
        <v>0</v>
      </c>
      <c r="Y15">
        <v>0.73654501527707827</v>
      </c>
      <c r="Z15">
        <v>0.34861840181151604</v>
      </c>
      <c r="AA15">
        <v>0.15091595995029675</v>
      </c>
      <c r="AB15">
        <v>0.1283628887604327</v>
      </c>
      <c r="AC15">
        <v>0.12385738332942806</v>
      </c>
      <c r="AD15">
        <v>0.12629389163427016</v>
      </c>
      <c r="AE15">
        <v>0.1535140263983967</v>
      </c>
      <c r="AF15">
        <v>0.34309032164832154</v>
      </c>
      <c r="AG15">
        <v>0.82602688378336331</v>
      </c>
      <c r="AH15">
        <v>0</v>
      </c>
      <c r="AI15">
        <v>0</v>
      </c>
      <c r="AJ15">
        <v>0.76155736144460251</v>
      </c>
      <c r="AK15">
        <v>0.33692848578677659</v>
      </c>
      <c r="AL15">
        <v>0.23162464373818017</v>
      </c>
      <c r="AM15">
        <v>0.23265898752974029</v>
      </c>
      <c r="AN15">
        <v>0.26153653952472994</v>
      </c>
      <c r="AO15">
        <v>0.4254752288537984</v>
      </c>
      <c r="AP15">
        <v>0.86530685339287494</v>
      </c>
      <c r="AQ15">
        <v>0</v>
      </c>
      <c r="EA15" t="s">
        <v>134</v>
      </c>
      <c r="EB15">
        <v>0</v>
      </c>
      <c r="EC15">
        <v>0</v>
      </c>
      <c r="ED15">
        <v>0</v>
      </c>
      <c r="EE15">
        <v>5.6664332577944482E-2</v>
      </c>
      <c r="EF15">
        <v>0.21660258839885979</v>
      </c>
      <c r="EG15">
        <v>0.28318658048651368</v>
      </c>
      <c r="EH15">
        <v>0.21900070899677376</v>
      </c>
      <c r="EI15">
        <v>5.8406092362439134E-2</v>
      </c>
      <c r="EJ15">
        <v>0</v>
      </c>
      <c r="EK15">
        <v>0</v>
      </c>
      <c r="EL15">
        <v>0</v>
      </c>
      <c r="EM15">
        <v>2.6360367814314949E-4</v>
      </c>
      <c r="EN15">
        <v>4.2975983393468815E-2</v>
      </c>
      <c r="EO15">
        <v>0.24957242966758494</v>
      </c>
      <c r="EP15">
        <v>0.42979504820515901</v>
      </c>
      <c r="EQ15">
        <v>0.4653844063789343</v>
      </c>
      <c r="ER15">
        <v>0.37225644611164765</v>
      </c>
      <c r="ES15">
        <v>0.19319222285016649</v>
      </c>
      <c r="ET15">
        <v>2.835581154339923E-2</v>
      </c>
      <c r="EU15">
        <v>1.8846154063290614E-6</v>
      </c>
      <c r="EV15">
        <v>0</v>
      </c>
      <c r="EW15">
        <v>1.3855932773054656E-3</v>
      </c>
      <c r="EX15">
        <v>7.3037843213105205E-2</v>
      </c>
      <c r="EY15">
        <v>0.31708928901805816</v>
      </c>
      <c r="EZ15">
        <v>0.50777339997763216</v>
      </c>
      <c r="FA15">
        <v>0.55303779535153208</v>
      </c>
      <c r="FB15">
        <v>0.46027388417828918</v>
      </c>
      <c r="FC15">
        <v>0.26802766975245346</v>
      </c>
      <c r="FD15">
        <v>5.9650014029385211E-2</v>
      </c>
      <c r="FE15">
        <v>3.3874341279574498E-4</v>
      </c>
      <c r="FF15">
        <v>0</v>
      </c>
      <c r="FG15">
        <v>0</v>
      </c>
      <c r="FH15">
        <v>1.0064642195643984E-2</v>
      </c>
      <c r="FI15">
        <v>0.14597282131858919</v>
      </c>
      <c r="FJ15">
        <v>0.32491617476081153</v>
      </c>
      <c r="FK15">
        <v>0.35902068737778653</v>
      </c>
      <c r="FL15">
        <v>0.26095889078897772</v>
      </c>
      <c r="FM15">
        <v>8.8234156087875992E-2</v>
      </c>
      <c r="FN15">
        <v>3.2497889571523391E-3</v>
      </c>
      <c r="FO15">
        <v>0</v>
      </c>
      <c r="FQ15" t="s">
        <v>134</v>
      </c>
      <c r="FR15" t="s">
        <v>127</v>
      </c>
      <c r="FS15" t="s">
        <v>128</v>
      </c>
      <c r="FT15">
        <v>0.48437433055936729</v>
      </c>
    </row>
    <row r="16" spans="2:176" x14ac:dyDescent="0.45">
      <c r="B16" t="s">
        <v>135</v>
      </c>
      <c r="C16" t="s">
        <v>123</v>
      </c>
      <c r="D16">
        <v>0</v>
      </c>
      <c r="E16">
        <v>0</v>
      </c>
      <c r="F16">
        <v>0</v>
      </c>
      <c r="G16">
        <v>0.56026254518357765</v>
      </c>
      <c r="H16">
        <v>0.32243505164313896</v>
      </c>
      <c r="I16">
        <v>0.28152324019456726</v>
      </c>
      <c r="J16">
        <v>0.30732575984409871</v>
      </c>
      <c r="K16">
        <v>0.52833596471282007</v>
      </c>
      <c r="L16">
        <v>0</v>
      </c>
      <c r="M16">
        <v>0</v>
      </c>
      <c r="N16">
        <v>0</v>
      </c>
      <c r="O16">
        <v>0.87806696387665473</v>
      </c>
      <c r="P16">
        <v>0.45954127743302542</v>
      </c>
      <c r="Q16">
        <v>0.21809713502158526</v>
      </c>
      <c r="R16">
        <v>0.1696703872644397</v>
      </c>
      <c r="S16">
        <v>0.16374173600047226</v>
      </c>
      <c r="T16">
        <v>0.18433890875630016</v>
      </c>
      <c r="U16">
        <v>0.22601879221450832</v>
      </c>
      <c r="V16">
        <v>0.47692524753488769</v>
      </c>
      <c r="W16">
        <v>0.97463768115942029</v>
      </c>
      <c r="X16">
        <v>0</v>
      </c>
      <c r="Y16">
        <v>0.71415232987480304</v>
      </c>
      <c r="Z16">
        <v>0.35549966822394435</v>
      </c>
      <c r="AA16">
        <v>0.15666564230442656</v>
      </c>
      <c r="AB16">
        <v>0.12603435122321988</v>
      </c>
      <c r="AC16">
        <v>0.12789633221577512</v>
      </c>
      <c r="AD16">
        <v>0.13580093816945826</v>
      </c>
      <c r="AE16">
        <v>0.15926622699479639</v>
      </c>
      <c r="AF16">
        <v>0.33582210486767883</v>
      </c>
      <c r="AG16">
        <v>0.8113161174464022</v>
      </c>
      <c r="AH16">
        <v>0</v>
      </c>
      <c r="AI16">
        <v>0</v>
      </c>
      <c r="AJ16">
        <v>0.73673868302202561</v>
      </c>
      <c r="AK16">
        <v>0.33551792926520446</v>
      </c>
      <c r="AL16">
        <v>0.24364725278932986</v>
      </c>
      <c r="AM16">
        <v>0.22525262087147865</v>
      </c>
      <c r="AN16">
        <v>0.27230667447402845</v>
      </c>
      <c r="AO16">
        <v>0.43214525936196146</v>
      </c>
      <c r="AP16">
        <v>0.8619715090027007</v>
      </c>
      <c r="AQ16">
        <v>0</v>
      </c>
      <c r="EA16" t="s">
        <v>135</v>
      </c>
      <c r="EB16">
        <v>0</v>
      </c>
      <c r="EC16">
        <v>0</v>
      </c>
      <c r="ED16">
        <v>0</v>
      </c>
      <c r="EE16">
        <v>5.295241699242198E-2</v>
      </c>
      <c r="EF16">
        <v>0.20492829832164439</v>
      </c>
      <c r="EG16">
        <v>0.26587720529103276</v>
      </c>
      <c r="EH16">
        <v>0.19575492148604201</v>
      </c>
      <c r="EI16">
        <v>4.8328493284674166E-2</v>
      </c>
      <c r="EJ16">
        <v>0</v>
      </c>
      <c r="EK16">
        <v>0</v>
      </c>
      <c r="EL16">
        <v>0</v>
      </c>
      <c r="EM16">
        <v>4.2509142232868488E-4</v>
      </c>
      <c r="EN16">
        <v>4.5223000627872163E-2</v>
      </c>
      <c r="EO16">
        <v>0.25097465646068107</v>
      </c>
      <c r="EP16">
        <v>0.43038864346996081</v>
      </c>
      <c r="EQ16">
        <v>0.4522446206136877</v>
      </c>
      <c r="ER16">
        <v>0.35502334167296501</v>
      </c>
      <c r="ES16">
        <v>0.183933647183742</v>
      </c>
      <c r="ET16">
        <v>2.6761164233204713E-2</v>
      </c>
      <c r="EU16">
        <v>1.1560180729103572E-5</v>
      </c>
      <c r="EV16">
        <v>0</v>
      </c>
      <c r="EW16">
        <v>1.9125295845085094E-3</v>
      </c>
      <c r="EX16">
        <v>7.2782776983449274E-2</v>
      </c>
      <c r="EY16">
        <v>0.30936999567335233</v>
      </c>
      <c r="EZ16">
        <v>0.5000786925598899</v>
      </c>
      <c r="FA16">
        <v>0.53219714135904439</v>
      </c>
      <c r="FB16">
        <v>0.44413338285471504</v>
      </c>
      <c r="FC16">
        <v>0.26407879185930777</v>
      </c>
      <c r="FD16">
        <v>5.7608839997795099E-2</v>
      </c>
      <c r="FE16">
        <v>4.5282660086027097E-4</v>
      </c>
      <c r="FF16">
        <v>0</v>
      </c>
      <c r="FG16">
        <v>0</v>
      </c>
      <c r="FH16">
        <v>1.1389509892529672E-2</v>
      </c>
      <c r="FI16">
        <v>0.14775129208244939</v>
      </c>
      <c r="FJ16">
        <v>0.30958276164150572</v>
      </c>
      <c r="FK16">
        <v>0.34824161106052653</v>
      </c>
      <c r="FL16">
        <v>0.25058170127675766</v>
      </c>
      <c r="FM16">
        <v>8.3635624496100014E-2</v>
      </c>
      <c r="FN16">
        <v>2.9769616241626133E-3</v>
      </c>
      <c r="FO16">
        <v>0</v>
      </c>
      <c r="FQ16" t="s">
        <v>135</v>
      </c>
      <c r="FR16" t="s">
        <v>127</v>
      </c>
      <c r="FS16" t="s">
        <v>128</v>
      </c>
      <c r="FT16">
        <v>0.46914773468850623</v>
      </c>
    </row>
    <row r="17" spans="2:176" x14ac:dyDescent="0.45">
      <c r="B17" t="s">
        <v>136</v>
      </c>
      <c r="C17" t="s">
        <v>123</v>
      </c>
      <c r="D17">
        <v>0</v>
      </c>
      <c r="E17">
        <v>0</v>
      </c>
      <c r="F17">
        <v>0</v>
      </c>
      <c r="G17">
        <v>0.52783477114806288</v>
      </c>
      <c r="H17">
        <v>0.28500095603541115</v>
      </c>
      <c r="I17">
        <v>0.25421075831486672</v>
      </c>
      <c r="J17">
        <v>0.2915657788860847</v>
      </c>
      <c r="K17">
        <v>0.55062779990467259</v>
      </c>
      <c r="L17">
        <v>0</v>
      </c>
      <c r="M17">
        <v>0</v>
      </c>
      <c r="N17">
        <v>0</v>
      </c>
      <c r="O17">
        <v>0.84657021211802708</v>
      </c>
      <c r="P17">
        <v>0.45528538462015289</v>
      </c>
      <c r="Q17">
        <v>0.23764460377914481</v>
      </c>
      <c r="R17">
        <v>0.19135253967535631</v>
      </c>
      <c r="S17">
        <v>0.16220168621342498</v>
      </c>
      <c r="T17">
        <v>0.158411991525024</v>
      </c>
      <c r="U17">
        <v>0.22051499893036469</v>
      </c>
      <c r="V17">
        <v>0.49685795526942117</v>
      </c>
      <c r="W17">
        <v>0.97580821317160815</v>
      </c>
      <c r="X17">
        <v>0</v>
      </c>
      <c r="Y17">
        <v>0.68157924957038574</v>
      </c>
      <c r="Z17">
        <v>0.3248908931214059</v>
      </c>
      <c r="AA17">
        <v>0.17214174140612173</v>
      </c>
      <c r="AB17">
        <v>0.1366012979287427</v>
      </c>
      <c r="AC17">
        <v>0.12847075021819462</v>
      </c>
      <c r="AD17">
        <v>0.133295974313832</v>
      </c>
      <c r="AE17">
        <v>0.15264489393036343</v>
      </c>
      <c r="AF17">
        <v>0.32986901231247973</v>
      </c>
      <c r="AG17">
        <v>0.81355687030801271</v>
      </c>
      <c r="AH17">
        <v>0</v>
      </c>
      <c r="AI17">
        <v>0</v>
      </c>
      <c r="AJ17">
        <v>0.72224490382140605</v>
      </c>
      <c r="AK17">
        <v>0.32822161911246933</v>
      </c>
      <c r="AL17">
        <v>0.24033231299510416</v>
      </c>
      <c r="AM17">
        <v>0.2403835927038252</v>
      </c>
      <c r="AN17">
        <v>0.27506510567189907</v>
      </c>
      <c r="AO17">
        <v>0.46080682404335094</v>
      </c>
      <c r="AP17">
        <v>0.88213713271853</v>
      </c>
      <c r="AQ17">
        <v>0</v>
      </c>
      <c r="EA17" t="s">
        <v>136</v>
      </c>
      <c r="EB17">
        <v>0</v>
      </c>
      <c r="EC17">
        <v>0</v>
      </c>
      <c r="ED17">
        <v>0</v>
      </c>
      <c r="EE17">
        <v>5.1997996825567279E-2</v>
      </c>
      <c r="EF17">
        <v>0.20663694844013686</v>
      </c>
      <c r="EG17">
        <v>0.26886058464605739</v>
      </c>
      <c r="EH17">
        <v>0.18588965457101897</v>
      </c>
      <c r="EI17">
        <v>3.7732634179803909E-2</v>
      </c>
      <c r="EJ17">
        <v>0</v>
      </c>
      <c r="EK17">
        <v>0</v>
      </c>
      <c r="EL17">
        <v>0</v>
      </c>
      <c r="EM17">
        <v>7.6302370165769651E-4</v>
      </c>
      <c r="EN17">
        <v>4.7438631887842142E-2</v>
      </c>
      <c r="EO17">
        <v>0.23584191367285937</v>
      </c>
      <c r="EP17">
        <v>0.40221389270607111</v>
      </c>
      <c r="EQ17">
        <v>0.44212519829052671</v>
      </c>
      <c r="ER17">
        <v>0.34860461351506816</v>
      </c>
      <c r="ES17">
        <v>0.17360386093240052</v>
      </c>
      <c r="ET17">
        <v>2.3445721338341528E-2</v>
      </c>
      <c r="EU17">
        <v>9.8529999380362063E-6</v>
      </c>
      <c r="EV17">
        <v>0</v>
      </c>
      <c r="EW17">
        <v>3.2024755421805056E-3</v>
      </c>
      <c r="EX17">
        <v>7.756145557786967E-2</v>
      </c>
      <c r="EY17">
        <v>0.29491189237083193</v>
      </c>
      <c r="EZ17">
        <v>0.47319148583222914</v>
      </c>
      <c r="FA17">
        <v>0.51070489604418368</v>
      </c>
      <c r="FB17">
        <v>0.42917862423911857</v>
      </c>
      <c r="FC17">
        <v>0.24955854295602187</v>
      </c>
      <c r="FD17">
        <v>5.3297203080642522E-2</v>
      </c>
      <c r="FE17">
        <v>4.7044024206041108E-4</v>
      </c>
      <c r="FF17">
        <v>0</v>
      </c>
      <c r="FG17">
        <v>0</v>
      </c>
      <c r="FH17">
        <v>1.3113665194403617E-2</v>
      </c>
      <c r="FI17">
        <v>0.15196641196923311</v>
      </c>
      <c r="FJ17">
        <v>0.30868206399733794</v>
      </c>
      <c r="FK17">
        <v>0.33095998751349254</v>
      </c>
      <c r="FL17">
        <v>0.22570676312967994</v>
      </c>
      <c r="FM17">
        <v>6.8979110537980032E-2</v>
      </c>
      <c r="FN17">
        <v>1.9499805039710457E-3</v>
      </c>
      <c r="FO17">
        <v>0</v>
      </c>
      <c r="FQ17" t="s">
        <v>136</v>
      </c>
      <c r="FR17" t="s">
        <v>127</v>
      </c>
      <c r="FS17" t="s">
        <v>128</v>
      </c>
      <c r="FT17">
        <v>0.43094136036274983</v>
      </c>
    </row>
    <row r="18" spans="2:176" x14ac:dyDescent="0.45">
      <c r="B18" t="s">
        <v>137</v>
      </c>
      <c r="C18" t="s">
        <v>123</v>
      </c>
      <c r="D18">
        <v>0</v>
      </c>
      <c r="E18">
        <v>0</v>
      </c>
      <c r="F18">
        <v>0</v>
      </c>
      <c r="G18">
        <v>0.54374831672513391</v>
      </c>
      <c r="H18">
        <v>0.29019219842360039</v>
      </c>
      <c r="I18">
        <v>0.25186257222660419</v>
      </c>
      <c r="J18">
        <v>0.30202863800487462</v>
      </c>
      <c r="K18">
        <v>0.5332613396811825</v>
      </c>
      <c r="L18">
        <v>0</v>
      </c>
      <c r="M18">
        <v>0</v>
      </c>
      <c r="N18">
        <v>0</v>
      </c>
      <c r="O18">
        <v>0.87190370839505937</v>
      </c>
      <c r="P18">
        <v>0.47766345297467055</v>
      </c>
      <c r="Q18">
        <v>0.23322657986063236</v>
      </c>
      <c r="R18">
        <v>0.16743902481400902</v>
      </c>
      <c r="S18">
        <v>0.1489058302599468</v>
      </c>
      <c r="T18">
        <v>0.16097581632922245</v>
      </c>
      <c r="U18">
        <v>0.21199143449949776</v>
      </c>
      <c r="V18">
        <v>0.48342330916566523</v>
      </c>
      <c r="W18">
        <v>0.96585398241568332</v>
      </c>
      <c r="X18">
        <v>0</v>
      </c>
      <c r="Y18">
        <v>0.7107846196118901</v>
      </c>
      <c r="Z18">
        <v>0.33778644058332635</v>
      </c>
      <c r="AA18">
        <v>0.16687388131173084</v>
      </c>
      <c r="AB18">
        <v>0.13280314553807634</v>
      </c>
      <c r="AC18">
        <v>0.12417835315838736</v>
      </c>
      <c r="AD18">
        <v>0.12245457217357431</v>
      </c>
      <c r="AE18">
        <v>0.14318406484750962</v>
      </c>
      <c r="AF18">
        <v>0.33400506220373199</v>
      </c>
      <c r="AG18">
        <v>0.79975825447578364</v>
      </c>
      <c r="AH18">
        <v>0</v>
      </c>
      <c r="AI18">
        <v>0</v>
      </c>
      <c r="AJ18">
        <v>0.7434229879824219</v>
      </c>
      <c r="AK18">
        <v>0.32253855813343529</v>
      </c>
      <c r="AL18">
        <v>0.22300582271784358</v>
      </c>
      <c r="AM18">
        <v>0.22272136801122958</v>
      </c>
      <c r="AN18">
        <v>0.25808295040720575</v>
      </c>
      <c r="AO18">
        <v>0.42411465570888646</v>
      </c>
      <c r="AP18">
        <v>0.8631942445934796</v>
      </c>
      <c r="AQ18">
        <v>0</v>
      </c>
      <c r="EA18" t="s">
        <v>137</v>
      </c>
      <c r="EB18">
        <v>0</v>
      </c>
      <c r="EC18">
        <v>0</v>
      </c>
      <c r="ED18">
        <v>0</v>
      </c>
      <c r="EE18">
        <v>4.8351459002441595E-2</v>
      </c>
      <c r="EF18">
        <v>0.20747247686440956</v>
      </c>
      <c r="EG18">
        <v>0.27934414650917855</v>
      </c>
      <c r="EH18">
        <v>0.20208404060136512</v>
      </c>
      <c r="EI18">
        <v>4.967206051883398E-2</v>
      </c>
      <c r="EJ18">
        <v>0</v>
      </c>
      <c r="EK18">
        <v>0</v>
      </c>
      <c r="EL18">
        <v>0</v>
      </c>
      <c r="EM18">
        <v>4.7792415294564835E-4</v>
      </c>
      <c r="EN18">
        <v>4.2030031515812104E-2</v>
      </c>
      <c r="EO18">
        <v>0.23234888199405623</v>
      </c>
      <c r="EP18">
        <v>0.42533455140979187</v>
      </c>
      <c r="EQ18">
        <v>0.46648622371373272</v>
      </c>
      <c r="ER18">
        <v>0.37569126224120192</v>
      </c>
      <c r="ES18">
        <v>0.20095714089530645</v>
      </c>
      <c r="ET18">
        <v>3.0177921699060934E-2</v>
      </c>
      <c r="EU18">
        <v>4.263210048468603E-5</v>
      </c>
      <c r="EV18">
        <v>0</v>
      </c>
      <c r="EW18">
        <v>2.1320751966303884E-3</v>
      </c>
      <c r="EX18">
        <v>6.9650766669914072E-2</v>
      </c>
      <c r="EY18">
        <v>0.28899476764542642</v>
      </c>
      <c r="EZ18">
        <v>0.47310231313138301</v>
      </c>
      <c r="FA18">
        <v>0.52703200070758827</v>
      </c>
      <c r="FB18">
        <v>0.45709723519341233</v>
      </c>
      <c r="FC18">
        <v>0.27739464414264531</v>
      </c>
      <c r="FD18">
        <v>6.2897325714056443E-2</v>
      </c>
      <c r="FE18">
        <v>7.6429668138267644E-4</v>
      </c>
      <c r="FF18">
        <v>0</v>
      </c>
      <c r="FG18">
        <v>0</v>
      </c>
      <c r="FH18">
        <v>1.0358852461860578E-2</v>
      </c>
      <c r="FI18">
        <v>0.1389567543188239</v>
      </c>
      <c r="FJ18">
        <v>0.29462590966940716</v>
      </c>
      <c r="FK18">
        <v>0.33017131748150463</v>
      </c>
      <c r="FL18">
        <v>0.24436582848274149</v>
      </c>
      <c r="FM18">
        <v>8.5204860292512355E-2</v>
      </c>
      <c r="FN18">
        <v>3.2221411673806666E-3</v>
      </c>
      <c r="FO18">
        <v>0</v>
      </c>
      <c r="FQ18" t="s">
        <v>137</v>
      </c>
      <c r="FR18" t="s">
        <v>127</v>
      </c>
      <c r="FS18" t="s">
        <v>128</v>
      </c>
      <c r="FT18">
        <v>0.45541287213026282</v>
      </c>
    </row>
    <row r="19" spans="2:176" x14ac:dyDescent="0.45">
      <c r="B19" t="s">
        <v>138</v>
      </c>
      <c r="C19" t="s">
        <v>123</v>
      </c>
      <c r="D19">
        <v>0</v>
      </c>
      <c r="E19">
        <v>0</v>
      </c>
      <c r="F19">
        <v>0</v>
      </c>
      <c r="G19">
        <v>0.55854095725096409</v>
      </c>
      <c r="H19">
        <v>0.2951743364041266</v>
      </c>
      <c r="I19">
        <v>0.24695101672333838</v>
      </c>
      <c r="J19">
        <v>0.27034635036905919</v>
      </c>
      <c r="K19">
        <v>0.45814108507342161</v>
      </c>
      <c r="L19">
        <v>0.9301093270638241</v>
      </c>
      <c r="M19">
        <v>0</v>
      </c>
      <c r="N19">
        <v>0</v>
      </c>
      <c r="O19">
        <v>0.95456507601541385</v>
      </c>
      <c r="P19">
        <v>0.53504232199687107</v>
      </c>
      <c r="Q19">
        <v>0.23251483532133815</v>
      </c>
      <c r="R19">
        <v>0.15500602596625251</v>
      </c>
      <c r="S19">
        <v>0.1408785634309549</v>
      </c>
      <c r="T19">
        <v>0.15037728059463681</v>
      </c>
      <c r="U19">
        <v>0.18981995300294829</v>
      </c>
      <c r="V19">
        <v>0.44322572892345324</v>
      </c>
      <c r="W19">
        <v>0.92568204430347112</v>
      </c>
      <c r="X19">
        <v>0</v>
      </c>
      <c r="Y19">
        <v>0.82020925338967687</v>
      </c>
      <c r="Z19">
        <v>0.35039417075933965</v>
      </c>
      <c r="AA19">
        <v>0.16216151267324427</v>
      </c>
      <c r="AB19">
        <v>0.11908094943211843</v>
      </c>
      <c r="AC19">
        <v>0.10153800145191801</v>
      </c>
      <c r="AD19">
        <v>9.5123526823514964E-2</v>
      </c>
      <c r="AE19">
        <v>0.12184504324413624</v>
      </c>
      <c r="AF19">
        <v>0.32038861585874534</v>
      </c>
      <c r="AG19">
        <v>0.76569047918758693</v>
      </c>
      <c r="AH19">
        <v>0</v>
      </c>
      <c r="AI19">
        <v>0</v>
      </c>
      <c r="AJ19">
        <v>0.79221262603428833</v>
      </c>
      <c r="AK19">
        <v>0.35829161828547063</v>
      </c>
      <c r="AL19">
        <v>0.19964090880714203</v>
      </c>
      <c r="AM19">
        <v>0.17347061715623457</v>
      </c>
      <c r="AN19">
        <v>0.20478634071748497</v>
      </c>
      <c r="AO19">
        <v>0.35342349328386097</v>
      </c>
      <c r="AP19">
        <v>0.78926955736855786</v>
      </c>
      <c r="AQ19">
        <v>0</v>
      </c>
      <c r="EA19" t="s">
        <v>138</v>
      </c>
      <c r="EB19">
        <v>0</v>
      </c>
      <c r="EC19">
        <v>0</v>
      </c>
      <c r="ED19">
        <v>0</v>
      </c>
      <c r="EE19">
        <v>4.4073144888312911E-2</v>
      </c>
      <c r="EF19">
        <v>0.217883230630388</v>
      </c>
      <c r="EG19">
        <v>0.31590588343263676</v>
      </c>
      <c r="EH19">
        <v>0.25519936623009448</v>
      </c>
      <c r="EI19">
        <v>8.6945105388405122E-2</v>
      </c>
      <c r="EJ19">
        <v>1.7990412947793491E-3</v>
      </c>
      <c r="EK19">
        <v>0</v>
      </c>
      <c r="EL19">
        <v>0</v>
      </c>
      <c r="EM19">
        <v>1.4796421541464477E-5</v>
      </c>
      <c r="EN19">
        <v>3.0153335003174429E-2</v>
      </c>
      <c r="EO19">
        <v>0.22645052044513955</v>
      </c>
      <c r="EP19">
        <v>0.44095997755505306</v>
      </c>
      <c r="EQ19">
        <v>0.53175252478715396</v>
      </c>
      <c r="ER19">
        <v>0.46538371908840998</v>
      </c>
      <c r="ES19">
        <v>0.27559043814434381</v>
      </c>
      <c r="ET19">
        <v>5.2143596907975279E-2</v>
      </c>
      <c r="EU19">
        <v>2.1097660812419521E-4</v>
      </c>
      <c r="EV19">
        <v>0</v>
      </c>
      <c r="EW19">
        <v>2.2221908008662161E-4</v>
      </c>
      <c r="EX19">
        <v>4.8355176969947247E-2</v>
      </c>
      <c r="EY19">
        <v>0.26760029504235083</v>
      </c>
      <c r="EZ19">
        <v>0.48337146678181375</v>
      </c>
      <c r="FA19">
        <v>0.57755912250946484</v>
      </c>
      <c r="FB19">
        <v>0.52812140814881114</v>
      </c>
      <c r="FC19">
        <v>0.34668090880167735</v>
      </c>
      <c r="FD19">
        <v>9.2608961020706565E-2</v>
      </c>
      <c r="FE19">
        <v>1.843539337251113E-3</v>
      </c>
      <c r="FF19">
        <v>0</v>
      </c>
      <c r="FG19">
        <v>0</v>
      </c>
      <c r="FH19">
        <v>4.9684894628746531E-3</v>
      </c>
      <c r="FI19">
        <v>0.12638487287841521</v>
      </c>
      <c r="FJ19">
        <v>0.33182350945498829</v>
      </c>
      <c r="FK19">
        <v>0.4131277593904753</v>
      </c>
      <c r="FL19">
        <v>0.33803723266574814</v>
      </c>
      <c r="FM19">
        <v>0.14233348766430265</v>
      </c>
      <c r="FN19">
        <v>9.2532863519303246E-3</v>
      </c>
      <c r="FO19">
        <v>0</v>
      </c>
      <c r="FQ19" t="s">
        <v>138</v>
      </c>
      <c r="FR19" t="s">
        <v>127</v>
      </c>
      <c r="FS19" t="s">
        <v>128</v>
      </c>
      <c r="FT19">
        <v>0.46157100607303725</v>
      </c>
    </row>
    <row r="20" spans="2:176" x14ac:dyDescent="0.45">
      <c r="B20" t="s">
        <v>139</v>
      </c>
      <c r="C20" t="s">
        <v>123</v>
      </c>
      <c r="D20">
        <v>0</v>
      </c>
      <c r="E20">
        <v>0</v>
      </c>
      <c r="F20">
        <v>0</v>
      </c>
      <c r="G20">
        <v>0.56666099225358457</v>
      </c>
      <c r="H20">
        <v>0.32530559722798463</v>
      </c>
      <c r="I20">
        <v>0.28216870338747624</v>
      </c>
      <c r="J20">
        <v>0.31656932313600206</v>
      </c>
      <c r="K20">
        <v>0.52237850219012316</v>
      </c>
      <c r="L20">
        <v>0.97222222222222221</v>
      </c>
      <c r="M20">
        <v>0</v>
      </c>
      <c r="N20">
        <v>0</v>
      </c>
      <c r="O20">
        <v>0.91052981039793845</v>
      </c>
      <c r="P20">
        <v>0.49913716153038978</v>
      </c>
      <c r="Q20">
        <v>0.24214869564841099</v>
      </c>
      <c r="R20">
        <v>0.18563665451973443</v>
      </c>
      <c r="S20">
        <v>0.17046227800720826</v>
      </c>
      <c r="T20">
        <v>0.18155641540871009</v>
      </c>
      <c r="U20">
        <v>0.21967976442809181</v>
      </c>
      <c r="V20">
        <v>0.46209791591290578</v>
      </c>
      <c r="W20">
        <v>0.96064799936460465</v>
      </c>
      <c r="X20">
        <v>0</v>
      </c>
      <c r="Y20">
        <v>0.75176527358973277</v>
      </c>
      <c r="Z20">
        <v>0.34928235982099315</v>
      </c>
      <c r="AA20">
        <v>0.17858813020260272</v>
      </c>
      <c r="AB20">
        <v>0.14189173050866258</v>
      </c>
      <c r="AC20">
        <v>0.1341935076357974</v>
      </c>
      <c r="AD20">
        <v>0.12842356779723152</v>
      </c>
      <c r="AE20">
        <v>0.13838964121765993</v>
      </c>
      <c r="AF20">
        <v>0.33414027546119224</v>
      </c>
      <c r="AG20">
        <v>0.79110593659817208</v>
      </c>
      <c r="AH20">
        <v>0</v>
      </c>
      <c r="AI20">
        <v>0</v>
      </c>
      <c r="AJ20">
        <v>0.77347017514007188</v>
      </c>
      <c r="AK20">
        <v>0.34239629566317181</v>
      </c>
      <c r="AL20">
        <v>0.2365559486701779</v>
      </c>
      <c r="AM20">
        <v>0.23788053512546867</v>
      </c>
      <c r="AN20">
        <v>0.23736593649132159</v>
      </c>
      <c r="AO20">
        <v>0.39469919279326682</v>
      </c>
      <c r="AP20">
        <v>0.8455805039710601</v>
      </c>
      <c r="AQ20">
        <v>0</v>
      </c>
      <c r="EA20" t="s">
        <v>139</v>
      </c>
      <c r="EB20">
        <v>0</v>
      </c>
      <c r="EC20">
        <v>0</v>
      </c>
      <c r="ED20">
        <v>0</v>
      </c>
      <c r="EE20">
        <v>4.7384772751536255E-2</v>
      </c>
      <c r="EF20">
        <v>0.20923851098244128</v>
      </c>
      <c r="EG20">
        <v>0.28673673828942131</v>
      </c>
      <c r="EH20">
        <v>0.22156485925077238</v>
      </c>
      <c r="EI20">
        <v>6.4540367681455671E-2</v>
      </c>
      <c r="EJ20">
        <v>5.8346068172248188E-5</v>
      </c>
      <c r="EK20">
        <v>0</v>
      </c>
      <c r="EL20">
        <v>0</v>
      </c>
      <c r="EM20">
        <v>1.6911260065018179E-4</v>
      </c>
      <c r="EN20">
        <v>3.834743239001593E-2</v>
      </c>
      <c r="EO20">
        <v>0.23749632689403</v>
      </c>
      <c r="EP20">
        <v>0.42486258475216354</v>
      </c>
      <c r="EQ20">
        <v>0.47762595672461905</v>
      </c>
      <c r="ER20">
        <v>0.39744948965852878</v>
      </c>
      <c r="ES20">
        <v>0.22402836053484018</v>
      </c>
      <c r="ET20">
        <v>3.7347233737508798E-2</v>
      </c>
      <c r="EU20">
        <v>7.0994258135991835E-5</v>
      </c>
      <c r="EV20">
        <v>0</v>
      </c>
      <c r="EW20">
        <v>9.6474817224442291E-4</v>
      </c>
      <c r="EX20">
        <v>6.128032406246757E-2</v>
      </c>
      <c r="EY20">
        <v>0.28486662111173106</v>
      </c>
      <c r="EZ20">
        <v>0.48082626465637313</v>
      </c>
      <c r="FA20">
        <v>0.53696934233926596</v>
      </c>
      <c r="FB20">
        <v>0.47098325668482799</v>
      </c>
      <c r="FC20">
        <v>0.29585653203942258</v>
      </c>
      <c r="FD20">
        <v>7.3140498867130879E-2</v>
      </c>
      <c r="FE20">
        <v>1.0136827939233963E-3</v>
      </c>
      <c r="FF20">
        <v>0</v>
      </c>
      <c r="FG20">
        <v>0</v>
      </c>
      <c r="FH20">
        <v>7.6858103788713002E-3</v>
      </c>
      <c r="FI20">
        <v>0.12934743391275413</v>
      </c>
      <c r="FJ20">
        <v>0.30525527289409327</v>
      </c>
      <c r="FK20">
        <v>0.35449150815223057</v>
      </c>
      <c r="FL20">
        <v>0.28046320714460043</v>
      </c>
      <c r="FM20">
        <v>0.10870140740731969</v>
      </c>
      <c r="FN20">
        <v>5.4678067035361577E-3</v>
      </c>
      <c r="FO20">
        <v>0</v>
      </c>
      <c r="FQ20" t="s">
        <v>139</v>
      </c>
      <c r="FR20" t="s">
        <v>127</v>
      </c>
      <c r="FS20" t="s">
        <v>128</v>
      </c>
      <c r="FT20">
        <v>0.42800492150242253</v>
      </c>
    </row>
    <row r="21" spans="2:176" x14ac:dyDescent="0.45">
      <c r="B21" t="s">
        <v>140</v>
      </c>
      <c r="C21" t="s">
        <v>123</v>
      </c>
      <c r="D21">
        <v>0</v>
      </c>
      <c r="E21">
        <v>0</v>
      </c>
      <c r="F21">
        <v>0</v>
      </c>
      <c r="G21">
        <v>0.55777161274218279</v>
      </c>
      <c r="H21">
        <v>0.28746593625253963</v>
      </c>
      <c r="I21">
        <v>0.26838724706420986</v>
      </c>
      <c r="J21">
        <v>0.3119614045371617</v>
      </c>
      <c r="K21">
        <v>0.51862460902742591</v>
      </c>
      <c r="L21">
        <v>0.96666666666666667</v>
      </c>
      <c r="M21">
        <v>0</v>
      </c>
      <c r="N21">
        <v>0</v>
      </c>
      <c r="O21">
        <v>0.90198230244559552</v>
      </c>
      <c r="P21">
        <v>0.49381361785646177</v>
      </c>
      <c r="Q21">
        <v>0.23838975756896411</v>
      </c>
      <c r="R21">
        <v>0.17032094775708276</v>
      </c>
      <c r="S21">
        <v>0.15825573905967405</v>
      </c>
      <c r="T21">
        <v>0.15686116906162167</v>
      </c>
      <c r="U21">
        <v>0.20853622111192333</v>
      </c>
      <c r="V21">
        <v>0.4623535092407679</v>
      </c>
      <c r="W21">
        <v>0.94205068609476028</v>
      </c>
      <c r="X21">
        <v>0</v>
      </c>
      <c r="Y21">
        <v>0.73761776369003096</v>
      </c>
      <c r="Z21">
        <v>0.33645140542117002</v>
      </c>
      <c r="AA21">
        <v>0.16130483077954261</v>
      </c>
      <c r="AB21">
        <v>0.12616309412300369</v>
      </c>
      <c r="AC21">
        <v>0.11348491992696789</v>
      </c>
      <c r="AD21">
        <v>0.1102618118163448</v>
      </c>
      <c r="AE21">
        <v>0.13058024925544312</v>
      </c>
      <c r="AF21">
        <v>0.33290784534940521</v>
      </c>
      <c r="AG21">
        <v>0.7840666780337201</v>
      </c>
      <c r="AH21">
        <v>0</v>
      </c>
      <c r="AI21">
        <v>0</v>
      </c>
      <c r="AJ21">
        <v>0.76647548242617702</v>
      </c>
      <c r="AK21">
        <v>0.33929950894816502</v>
      </c>
      <c r="AL21">
        <v>0.23037918645448011</v>
      </c>
      <c r="AM21">
        <v>0.20271394098553716</v>
      </c>
      <c r="AN21">
        <v>0.2221375974057698</v>
      </c>
      <c r="AO21">
        <v>0.40241583686492494</v>
      </c>
      <c r="AP21">
        <v>0.83374222136015586</v>
      </c>
      <c r="AQ21">
        <v>0</v>
      </c>
      <c r="EA21" t="s">
        <v>140</v>
      </c>
      <c r="EB21">
        <v>0</v>
      </c>
      <c r="EC21">
        <v>0</v>
      </c>
      <c r="ED21">
        <v>0</v>
      </c>
      <c r="EE21">
        <v>4.2688729754227092E-2</v>
      </c>
      <c r="EF21">
        <v>0.20874075744065518</v>
      </c>
      <c r="EG21">
        <v>0.29394925890756879</v>
      </c>
      <c r="EH21">
        <v>0.22159224151049572</v>
      </c>
      <c r="EI21">
        <v>6.199590017878788E-2</v>
      </c>
      <c r="EJ21">
        <v>8.915872767409782E-5</v>
      </c>
      <c r="EK21">
        <v>0</v>
      </c>
      <c r="EL21">
        <v>0</v>
      </c>
      <c r="EM21">
        <v>2.0387452814965633E-4</v>
      </c>
      <c r="EN21">
        <v>3.6707217669233773E-2</v>
      </c>
      <c r="EO21">
        <v>0.23619509716645157</v>
      </c>
      <c r="EP21">
        <v>0.44963102171326386</v>
      </c>
      <c r="EQ21">
        <v>0.52629477913416134</v>
      </c>
      <c r="ER21">
        <v>0.45493849532416314</v>
      </c>
      <c r="ES21">
        <v>0.25719182272707269</v>
      </c>
      <c r="ET21">
        <v>4.2267368069198084E-2</v>
      </c>
      <c r="EU21">
        <v>1.0546037462106135E-4</v>
      </c>
      <c r="EV21">
        <v>0</v>
      </c>
      <c r="EW21">
        <v>1.052502226938995E-3</v>
      </c>
      <c r="EX21">
        <v>6.077348027428113E-2</v>
      </c>
      <c r="EY21">
        <v>0.28236725625145709</v>
      </c>
      <c r="EZ21">
        <v>0.49122770633368412</v>
      </c>
      <c r="FA21">
        <v>0.5798401150621153</v>
      </c>
      <c r="FB21">
        <v>0.5222766625551456</v>
      </c>
      <c r="FC21">
        <v>0.3318483402440035</v>
      </c>
      <c r="FD21">
        <v>8.0336943147689827E-2</v>
      </c>
      <c r="FE21">
        <v>1.407410079517487E-3</v>
      </c>
      <c r="FF21">
        <v>0</v>
      </c>
      <c r="FG21">
        <v>0</v>
      </c>
      <c r="FH21">
        <v>7.2054390861421768E-3</v>
      </c>
      <c r="FI21">
        <v>0.12602604485714392</v>
      </c>
      <c r="FJ21">
        <v>0.29696228147708165</v>
      </c>
      <c r="FK21">
        <v>0.3662171819121211</v>
      </c>
      <c r="FL21">
        <v>0.29653134720884039</v>
      </c>
      <c r="FM21">
        <v>0.11224074376025504</v>
      </c>
      <c r="FN21">
        <v>5.6535308415115448E-3</v>
      </c>
      <c r="FO21">
        <v>0</v>
      </c>
      <c r="FQ21" t="s">
        <v>140</v>
      </c>
      <c r="FR21" t="s">
        <v>127</v>
      </c>
      <c r="FS21" t="s">
        <v>128</v>
      </c>
      <c r="FT21">
        <v>0.43856530634336105</v>
      </c>
    </row>
    <row r="22" spans="2:176" x14ac:dyDescent="0.45">
      <c r="B22" t="s">
        <v>141</v>
      </c>
      <c r="C22" t="s">
        <v>123</v>
      </c>
      <c r="D22">
        <v>0</v>
      </c>
      <c r="E22">
        <v>0</v>
      </c>
      <c r="F22">
        <v>0.98333333333333306</v>
      </c>
      <c r="G22">
        <v>0.49239372517447877</v>
      </c>
      <c r="H22">
        <v>0.31256679232608281</v>
      </c>
      <c r="I22">
        <v>0.29729509334834958</v>
      </c>
      <c r="J22">
        <v>0.32335862316492836</v>
      </c>
      <c r="K22">
        <v>0.6394524732778718</v>
      </c>
      <c r="L22">
        <v>0</v>
      </c>
      <c r="M22">
        <v>0</v>
      </c>
      <c r="N22">
        <v>0</v>
      </c>
      <c r="O22">
        <v>0.83978376750664907</v>
      </c>
      <c r="P22">
        <v>0.41581437798557169</v>
      </c>
      <c r="Q22">
        <v>0.22803810693302221</v>
      </c>
      <c r="R22">
        <v>0.19726499206759365</v>
      </c>
      <c r="S22">
        <v>0.20386005334367305</v>
      </c>
      <c r="T22">
        <v>0.19742166024838892</v>
      </c>
      <c r="U22">
        <v>0.24754743606889332</v>
      </c>
      <c r="V22">
        <v>0.54881718975334393</v>
      </c>
      <c r="W22">
        <v>0</v>
      </c>
      <c r="X22">
        <v>0</v>
      </c>
      <c r="Y22">
        <v>0.65866317654766005</v>
      </c>
      <c r="Z22">
        <v>0.31184511572086887</v>
      </c>
      <c r="AA22">
        <v>0.15909586542342899</v>
      </c>
      <c r="AB22">
        <v>0.13837754048008213</v>
      </c>
      <c r="AC22">
        <v>0.12063510295803817</v>
      </c>
      <c r="AD22">
        <v>0.12270844199461649</v>
      </c>
      <c r="AE22">
        <v>0.16165017279781918</v>
      </c>
      <c r="AF22">
        <v>0.34410632694057552</v>
      </c>
      <c r="AG22">
        <v>0.94565217391304357</v>
      </c>
      <c r="AH22">
        <v>0</v>
      </c>
      <c r="AI22">
        <v>0</v>
      </c>
      <c r="AJ22">
        <v>0.68957349948155211</v>
      </c>
      <c r="AK22">
        <v>0.34327170712905958</v>
      </c>
      <c r="AL22">
        <v>0.25839371372821518</v>
      </c>
      <c r="AM22">
        <v>0.24195764111029075</v>
      </c>
      <c r="AN22">
        <v>0.27869110044448719</v>
      </c>
      <c r="AO22">
        <v>0.47879799782564497</v>
      </c>
      <c r="AP22">
        <v>0.91729405309504097</v>
      </c>
      <c r="AQ22">
        <v>0</v>
      </c>
      <c r="EA22" t="s">
        <v>141</v>
      </c>
      <c r="EB22">
        <v>0</v>
      </c>
      <c r="EC22">
        <v>0</v>
      </c>
      <c r="ED22">
        <v>6.809810630751246E-5</v>
      </c>
      <c r="EE22">
        <v>6.5220718966627622E-2</v>
      </c>
      <c r="EF22">
        <v>0.20379621055852271</v>
      </c>
      <c r="EG22">
        <v>0.24552723837942739</v>
      </c>
      <c r="EH22">
        <v>0.15651494489831808</v>
      </c>
      <c r="EI22">
        <v>2.2745347481403128E-2</v>
      </c>
      <c r="EJ22">
        <v>0</v>
      </c>
      <c r="EK22">
        <v>0</v>
      </c>
      <c r="EL22">
        <v>0</v>
      </c>
      <c r="EM22">
        <v>1.232889385655253E-3</v>
      </c>
      <c r="EN22">
        <v>5.8788930823720061E-2</v>
      </c>
      <c r="EO22">
        <v>0.268937949351024</v>
      </c>
      <c r="EP22">
        <v>0.43479233142238644</v>
      </c>
      <c r="EQ22">
        <v>0.45406963938904138</v>
      </c>
      <c r="ER22">
        <v>0.34994344916126052</v>
      </c>
      <c r="ES22">
        <v>0.15726156079254353</v>
      </c>
      <c r="ET22">
        <v>1.40398138632032E-2</v>
      </c>
      <c r="EU22">
        <v>0</v>
      </c>
      <c r="EV22">
        <v>0</v>
      </c>
      <c r="EW22">
        <v>4.7108970180264184E-3</v>
      </c>
      <c r="EX22">
        <v>0.10103758528496116</v>
      </c>
      <c r="EY22">
        <v>0.34107722434406534</v>
      </c>
      <c r="EZ22">
        <v>0.5008567550823807</v>
      </c>
      <c r="FA22">
        <v>0.52771923465672788</v>
      </c>
      <c r="FB22">
        <v>0.43622448276164361</v>
      </c>
      <c r="FC22">
        <v>0.23355092782312156</v>
      </c>
      <c r="FD22">
        <v>3.9565852240808573E-2</v>
      </c>
      <c r="FE22">
        <v>7.1664217258484962E-6</v>
      </c>
      <c r="FF22">
        <v>0</v>
      </c>
      <c r="FG22">
        <v>0</v>
      </c>
      <c r="FH22">
        <v>1.7298606440384955E-2</v>
      </c>
      <c r="FI22">
        <v>0.15032581691065203</v>
      </c>
      <c r="FJ22">
        <v>0.30130981887256592</v>
      </c>
      <c r="FK22">
        <v>0.32040102277977373</v>
      </c>
      <c r="FL22">
        <v>0.2173509488950093</v>
      </c>
      <c r="FM22">
        <v>6.0593792342991719E-2</v>
      </c>
      <c r="FN22">
        <v>8.2893673704424091E-4</v>
      </c>
      <c r="FO22">
        <v>0</v>
      </c>
      <c r="FQ22" t="s">
        <v>141</v>
      </c>
      <c r="FR22" t="s">
        <v>127</v>
      </c>
      <c r="FS22" t="s">
        <v>128</v>
      </c>
      <c r="FT22">
        <v>0.44937677314913771</v>
      </c>
    </row>
    <row r="23" spans="2:176" x14ac:dyDescent="0.45">
      <c r="B23" t="s">
        <v>142</v>
      </c>
      <c r="C23" t="s">
        <v>123</v>
      </c>
      <c r="D23">
        <v>0</v>
      </c>
      <c r="E23">
        <v>0</v>
      </c>
      <c r="F23">
        <v>0.96921320584921788</v>
      </c>
      <c r="G23">
        <v>0.42094657668576152</v>
      </c>
      <c r="H23">
        <v>0.27273765960037694</v>
      </c>
      <c r="I23">
        <v>0.25008200566378913</v>
      </c>
      <c r="J23">
        <v>0.28391271743225904</v>
      </c>
      <c r="K23">
        <v>0.60615082602057513</v>
      </c>
      <c r="L23">
        <v>0</v>
      </c>
      <c r="M23">
        <v>0</v>
      </c>
      <c r="N23">
        <v>0</v>
      </c>
      <c r="O23">
        <v>0.82616747436472771</v>
      </c>
      <c r="P23">
        <v>0.40507862444395776</v>
      </c>
      <c r="Q23">
        <v>0.21367808625240878</v>
      </c>
      <c r="R23">
        <v>0.1956687052531482</v>
      </c>
      <c r="S23">
        <v>0.19673616967222834</v>
      </c>
      <c r="T23">
        <v>0.19549421098582423</v>
      </c>
      <c r="U23">
        <v>0.24132302752707266</v>
      </c>
      <c r="V23">
        <v>0.57028373161613199</v>
      </c>
      <c r="W23">
        <v>0</v>
      </c>
      <c r="X23">
        <v>0</v>
      </c>
      <c r="Y23">
        <v>0.66069837196871462</v>
      </c>
      <c r="Z23">
        <v>0.31172125436968817</v>
      </c>
      <c r="AA23">
        <v>0.1442833325661112</v>
      </c>
      <c r="AB23">
        <v>0.11770128183913701</v>
      </c>
      <c r="AC23">
        <v>0.11188949593140336</v>
      </c>
      <c r="AD23">
        <v>0.11462691867222856</v>
      </c>
      <c r="AE23">
        <v>0.15443702250356597</v>
      </c>
      <c r="AF23">
        <v>0.35578026131407231</v>
      </c>
      <c r="AG23">
        <v>0</v>
      </c>
      <c r="AH23">
        <v>0</v>
      </c>
      <c r="AI23">
        <v>0</v>
      </c>
      <c r="AJ23">
        <v>0.65514806021261951</v>
      </c>
      <c r="AK23">
        <v>0.33647964795303875</v>
      </c>
      <c r="AL23">
        <v>0.25430193716303329</v>
      </c>
      <c r="AM23">
        <v>0.23672893738254761</v>
      </c>
      <c r="AN23">
        <v>0.26882120607822457</v>
      </c>
      <c r="AO23">
        <v>0.46859561721437343</v>
      </c>
      <c r="AP23">
        <v>0.92121276862216717</v>
      </c>
      <c r="AQ23">
        <v>0</v>
      </c>
      <c r="EA23" t="s">
        <v>142</v>
      </c>
      <c r="EB23">
        <v>0</v>
      </c>
      <c r="EC23">
        <v>0</v>
      </c>
      <c r="ED23">
        <v>2.7181423928068993E-4</v>
      </c>
      <c r="EE23">
        <v>8.7729032649409011E-2</v>
      </c>
      <c r="EF23">
        <v>0.25943966093129256</v>
      </c>
      <c r="EG23">
        <v>0.30709504709893926</v>
      </c>
      <c r="EH23">
        <v>0.19186808858270388</v>
      </c>
      <c r="EI23">
        <v>2.9422205961129357E-2</v>
      </c>
      <c r="EJ23">
        <v>0</v>
      </c>
      <c r="EK23">
        <v>0</v>
      </c>
      <c r="EL23">
        <v>0</v>
      </c>
      <c r="EM23">
        <v>1.2075305216004042E-3</v>
      </c>
      <c r="EN23">
        <v>6.0322115362211874E-2</v>
      </c>
      <c r="EO23">
        <v>0.27179974471638596</v>
      </c>
      <c r="EP23">
        <v>0.43466438713138228</v>
      </c>
      <c r="EQ23">
        <v>0.45450257417985584</v>
      </c>
      <c r="ER23">
        <v>0.33743233992092192</v>
      </c>
      <c r="ES23">
        <v>0.14962583781151817</v>
      </c>
      <c r="ET23">
        <v>1.2284231980427173E-2</v>
      </c>
      <c r="EU23">
        <v>0</v>
      </c>
      <c r="EV23">
        <v>0</v>
      </c>
      <c r="EW23">
        <v>4.471572536741247E-3</v>
      </c>
      <c r="EX23">
        <v>0.10660968182312461</v>
      </c>
      <c r="EY23">
        <v>0.35579387549987906</v>
      </c>
      <c r="EZ23">
        <v>0.51993619573174887</v>
      </c>
      <c r="FA23">
        <v>0.53795206116005989</v>
      </c>
      <c r="FB23">
        <v>0.4348497051903456</v>
      </c>
      <c r="FC23">
        <v>0.23397938744435975</v>
      </c>
      <c r="FD23">
        <v>3.7206976939885228E-2</v>
      </c>
      <c r="FE23">
        <v>0</v>
      </c>
      <c r="FF23">
        <v>0</v>
      </c>
      <c r="FG23">
        <v>0</v>
      </c>
      <c r="FH23">
        <v>1.7992307791676321E-2</v>
      </c>
      <c r="FI23">
        <v>0.16106274410731444</v>
      </c>
      <c r="FJ23">
        <v>0.32110818760078164</v>
      </c>
      <c r="FK23">
        <v>0.34596681138854163</v>
      </c>
      <c r="FL23">
        <v>0.23633356225552357</v>
      </c>
      <c r="FM23">
        <v>6.4416299031904795E-2</v>
      </c>
      <c r="FN23">
        <v>7.0941933452959877E-4</v>
      </c>
      <c r="FO23">
        <v>0</v>
      </c>
      <c r="FQ23" t="s">
        <v>142</v>
      </c>
      <c r="FR23" t="s">
        <v>127</v>
      </c>
      <c r="FS23" t="s">
        <v>128</v>
      </c>
      <c r="FT23">
        <v>0.47782129949238206</v>
      </c>
    </row>
    <row r="24" spans="2:176" x14ac:dyDescent="0.45">
      <c r="B24" t="s">
        <v>143</v>
      </c>
      <c r="C24" t="s">
        <v>123</v>
      </c>
      <c r="D24">
        <v>0</v>
      </c>
      <c r="E24">
        <v>0</v>
      </c>
      <c r="F24">
        <v>0</v>
      </c>
      <c r="G24">
        <v>0.55123137659259758</v>
      </c>
      <c r="H24">
        <v>0.32208337858545372</v>
      </c>
      <c r="I24">
        <v>0.28934389395241078</v>
      </c>
      <c r="J24">
        <v>0.313711946981929</v>
      </c>
      <c r="K24">
        <v>0.53382807298947221</v>
      </c>
      <c r="L24">
        <v>0</v>
      </c>
      <c r="M24">
        <v>0</v>
      </c>
      <c r="N24">
        <v>0</v>
      </c>
      <c r="O24">
        <v>0.86143605832244707</v>
      </c>
      <c r="P24">
        <v>0.44090609413744908</v>
      </c>
      <c r="Q24">
        <v>0.22437063040687719</v>
      </c>
      <c r="R24">
        <v>0.1849174154690251</v>
      </c>
      <c r="S24">
        <v>0.18453648251411819</v>
      </c>
      <c r="T24">
        <v>0.20163278720939382</v>
      </c>
      <c r="U24">
        <v>0.23243171086237197</v>
      </c>
      <c r="V24">
        <v>0.48893268933494549</v>
      </c>
      <c r="W24">
        <v>0</v>
      </c>
      <c r="X24">
        <v>0</v>
      </c>
      <c r="Y24">
        <v>0.69156637053544157</v>
      </c>
      <c r="Z24">
        <v>0.34213147661570875</v>
      </c>
      <c r="AA24">
        <v>0.15278695677061579</v>
      </c>
      <c r="AB24">
        <v>0.11769168270708172</v>
      </c>
      <c r="AC24">
        <v>0.11653244259984703</v>
      </c>
      <c r="AD24">
        <v>0.12340482030419478</v>
      </c>
      <c r="AE24">
        <v>0.15508351566469752</v>
      </c>
      <c r="AF24">
        <v>0.33753575687657328</v>
      </c>
      <c r="AG24">
        <v>0.84763668083757737</v>
      </c>
      <c r="AH24">
        <v>0</v>
      </c>
      <c r="AI24">
        <v>0</v>
      </c>
      <c r="AJ24">
        <v>0.71865495477404473</v>
      </c>
      <c r="AK24">
        <v>0.32237857016125743</v>
      </c>
      <c r="AL24">
        <v>0.24138077862800195</v>
      </c>
      <c r="AM24">
        <v>0.22806445640485443</v>
      </c>
      <c r="AN24">
        <v>0.27022187586345836</v>
      </c>
      <c r="AO24">
        <v>0.45125542065070978</v>
      </c>
      <c r="AP24">
        <v>0.89003512408965846</v>
      </c>
      <c r="AQ24">
        <v>0</v>
      </c>
      <c r="EA24" t="s">
        <v>143</v>
      </c>
      <c r="EB24">
        <v>0</v>
      </c>
      <c r="EC24">
        <v>0</v>
      </c>
      <c r="ED24">
        <v>0</v>
      </c>
      <c r="EE24">
        <v>6.0162054950517824E-2</v>
      </c>
      <c r="EF24">
        <v>0.2115192575683161</v>
      </c>
      <c r="EG24">
        <v>0.26383615154727108</v>
      </c>
      <c r="EH24">
        <v>0.17945016837469979</v>
      </c>
      <c r="EI24">
        <v>4.1023771900782983E-2</v>
      </c>
      <c r="EJ24">
        <v>0</v>
      </c>
      <c r="EK24">
        <v>0</v>
      </c>
      <c r="EL24">
        <v>0</v>
      </c>
      <c r="EM24">
        <v>6.7889672630204489E-4</v>
      </c>
      <c r="EN24">
        <v>4.8381601017355565E-2</v>
      </c>
      <c r="EO24">
        <v>0.25002234104108462</v>
      </c>
      <c r="EP24">
        <v>0.42283143696647413</v>
      </c>
      <c r="EQ24">
        <v>0.45248350797414283</v>
      </c>
      <c r="ER24">
        <v>0.3537766413456408</v>
      </c>
      <c r="ES24">
        <v>0.17133428920685984</v>
      </c>
      <c r="ET24">
        <v>2.1158383680494889E-2</v>
      </c>
      <c r="EU24">
        <v>0</v>
      </c>
      <c r="EV24">
        <v>0</v>
      </c>
      <c r="EW24">
        <v>2.8104414626514127E-3</v>
      </c>
      <c r="EX24">
        <v>8.4291273168625391E-2</v>
      </c>
      <c r="EY24">
        <v>0.32982966589458068</v>
      </c>
      <c r="EZ24">
        <v>0.51768162332479906</v>
      </c>
      <c r="FA24">
        <v>0.54335582510079761</v>
      </c>
      <c r="FB24">
        <v>0.44671675979708914</v>
      </c>
      <c r="FC24">
        <v>0.25551345360230632</v>
      </c>
      <c r="FD24">
        <v>5.1051624549537274E-2</v>
      </c>
      <c r="FE24">
        <v>2.1081097157021805E-4</v>
      </c>
      <c r="FF24">
        <v>0</v>
      </c>
      <c r="FG24">
        <v>0</v>
      </c>
      <c r="FH24">
        <v>1.3487075655770644E-2</v>
      </c>
      <c r="FI24">
        <v>0.15546987848572349</v>
      </c>
      <c r="FJ24">
        <v>0.31387594941699815</v>
      </c>
      <c r="FK24">
        <v>0.34083234852913258</v>
      </c>
      <c r="FL24">
        <v>0.24158597103465915</v>
      </c>
      <c r="FM24">
        <v>7.1199781586922153E-2</v>
      </c>
      <c r="FN24">
        <v>1.8027191177092418E-3</v>
      </c>
      <c r="FO24">
        <v>0</v>
      </c>
      <c r="FQ24" t="s">
        <v>143</v>
      </c>
      <c r="FR24" t="s">
        <v>127</v>
      </c>
      <c r="FS24" t="s">
        <v>128</v>
      </c>
      <c r="FT24">
        <v>0.4231579147513036</v>
      </c>
    </row>
    <row r="25" spans="2:176" x14ac:dyDescent="0.45">
      <c r="B25" t="s">
        <v>144</v>
      </c>
      <c r="C25" t="s">
        <v>123</v>
      </c>
      <c r="D25">
        <v>0</v>
      </c>
      <c r="E25">
        <v>0</v>
      </c>
      <c r="F25">
        <v>0</v>
      </c>
      <c r="G25">
        <v>0.52192261872889933</v>
      </c>
      <c r="H25">
        <v>0.32390119539081097</v>
      </c>
      <c r="I25">
        <v>0.28322650435226476</v>
      </c>
      <c r="J25">
        <v>0.32057618927670672</v>
      </c>
      <c r="K25">
        <v>0.56362823478283486</v>
      </c>
      <c r="L25">
        <v>0</v>
      </c>
      <c r="M25">
        <v>0</v>
      </c>
      <c r="N25">
        <v>0</v>
      </c>
      <c r="O25">
        <v>0.86021441138889965</v>
      </c>
      <c r="P25">
        <v>0.43985697099258442</v>
      </c>
      <c r="Q25">
        <v>0.24394637730531532</v>
      </c>
      <c r="R25">
        <v>0.19856688493047295</v>
      </c>
      <c r="S25">
        <v>0.18619422427558613</v>
      </c>
      <c r="T25">
        <v>0.19934886800280832</v>
      </c>
      <c r="U25">
        <v>0.23780801485490735</v>
      </c>
      <c r="V25">
        <v>0.51545332114900433</v>
      </c>
      <c r="W25">
        <v>0</v>
      </c>
      <c r="X25">
        <v>0</v>
      </c>
      <c r="Y25">
        <v>0.67347469782816038</v>
      </c>
      <c r="Z25">
        <v>0.32839824873698714</v>
      </c>
      <c r="AA25">
        <v>0.16678081212467605</v>
      </c>
      <c r="AB25">
        <v>0.13374791528696217</v>
      </c>
      <c r="AC25">
        <v>0.11954329433065747</v>
      </c>
      <c r="AD25">
        <v>0.13213313394010612</v>
      </c>
      <c r="AE25">
        <v>0.16052729442539818</v>
      </c>
      <c r="AF25">
        <v>0.34169451611915885</v>
      </c>
      <c r="AG25">
        <v>0.86484214425815387</v>
      </c>
      <c r="AH25">
        <v>0</v>
      </c>
      <c r="AI25">
        <v>0</v>
      </c>
      <c r="AJ25">
        <v>0.7058876956695681</v>
      </c>
      <c r="AK25">
        <v>0.33014806103593797</v>
      </c>
      <c r="AL25">
        <v>0.24770311597295988</v>
      </c>
      <c r="AM25">
        <v>0.24221515633633453</v>
      </c>
      <c r="AN25">
        <v>0.27370357304367815</v>
      </c>
      <c r="AO25">
        <v>0.46826087247979931</v>
      </c>
      <c r="AP25">
        <v>0.91218220315604182</v>
      </c>
      <c r="AQ25">
        <v>0</v>
      </c>
      <c r="EA25" t="s">
        <v>144</v>
      </c>
      <c r="EB25">
        <v>0</v>
      </c>
      <c r="EC25">
        <v>0</v>
      </c>
      <c r="ED25">
        <v>0</v>
      </c>
      <c r="EE25">
        <v>6.0332586693514892E-2</v>
      </c>
      <c r="EF25">
        <v>0.2123041829218274</v>
      </c>
      <c r="EG25">
        <v>0.26263084979002238</v>
      </c>
      <c r="EH25">
        <v>0.17225897320638153</v>
      </c>
      <c r="EI25">
        <v>3.0965670696358374E-2</v>
      </c>
      <c r="EJ25">
        <v>0</v>
      </c>
      <c r="EK25">
        <v>0</v>
      </c>
      <c r="EL25">
        <v>0</v>
      </c>
      <c r="EM25">
        <v>8.8282571089377088E-4</v>
      </c>
      <c r="EN25">
        <v>5.0829035622822046E-2</v>
      </c>
      <c r="EO25">
        <v>0.25185359924561851</v>
      </c>
      <c r="EP25">
        <v>0.41769755476666304</v>
      </c>
      <c r="EQ25">
        <v>0.4453833585599743</v>
      </c>
      <c r="ER25">
        <v>0.34796798715531135</v>
      </c>
      <c r="ES25">
        <v>0.16551757136178288</v>
      </c>
      <c r="ET25">
        <v>1.747343408962897E-2</v>
      </c>
      <c r="EU25">
        <v>0</v>
      </c>
      <c r="EV25">
        <v>0</v>
      </c>
      <c r="EW25">
        <v>3.6812122823399211E-3</v>
      </c>
      <c r="EX25">
        <v>9.0023116677163714E-2</v>
      </c>
      <c r="EY25">
        <v>0.32443605655984004</v>
      </c>
      <c r="EZ25">
        <v>0.50205678771418361</v>
      </c>
      <c r="FA25">
        <v>0.53234213267782948</v>
      </c>
      <c r="FB25">
        <v>0.43194634471210158</v>
      </c>
      <c r="FC25">
        <v>0.23688383077411718</v>
      </c>
      <c r="FD25">
        <v>4.5777865118267556E-2</v>
      </c>
      <c r="FE25">
        <v>8.6579379179828607E-5</v>
      </c>
      <c r="FF25">
        <v>0</v>
      </c>
      <c r="FG25">
        <v>0</v>
      </c>
      <c r="FH25">
        <v>1.4442786240469746E-2</v>
      </c>
      <c r="FI25">
        <v>0.14736164864066381</v>
      </c>
      <c r="FJ25">
        <v>0.29602601260406614</v>
      </c>
      <c r="FK25">
        <v>0.31919140441177252</v>
      </c>
      <c r="FL25">
        <v>0.22629334488506544</v>
      </c>
      <c r="FM25">
        <v>6.557664375485045E-2</v>
      </c>
      <c r="FN25">
        <v>1.2316063150453042E-3</v>
      </c>
      <c r="FO25">
        <v>0</v>
      </c>
      <c r="FQ25" t="s">
        <v>144</v>
      </c>
      <c r="FR25" t="s">
        <v>127</v>
      </c>
      <c r="FS25" t="s">
        <v>128</v>
      </c>
      <c r="FT25">
        <v>0.42538662241593206</v>
      </c>
    </row>
    <row r="26" spans="2:176" x14ac:dyDescent="0.45">
      <c r="B26" t="s">
        <v>145</v>
      </c>
      <c r="C26" t="s">
        <v>123</v>
      </c>
      <c r="D26">
        <v>0</v>
      </c>
      <c r="E26">
        <v>0</v>
      </c>
      <c r="F26">
        <v>0.99444444444444402</v>
      </c>
      <c r="G26">
        <v>0.49150794400513104</v>
      </c>
      <c r="H26">
        <v>0.30805182501579748</v>
      </c>
      <c r="I26">
        <v>0.28465473177952172</v>
      </c>
      <c r="J26">
        <v>0.3133927360565229</v>
      </c>
      <c r="K26">
        <v>0.52995460343498801</v>
      </c>
      <c r="L26">
        <v>0</v>
      </c>
      <c r="M26">
        <v>0</v>
      </c>
      <c r="N26">
        <v>0</v>
      </c>
      <c r="O26">
        <v>0.87607052436809119</v>
      </c>
      <c r="P26">
        <v>0.44215547456744014</v>
      </c>
      <c r="Q26">
        <v>0.23455126724694128</v>
      </c>
      <c r="R26">
        <v>0.20657135075846605</v>
      </c>
      <c r="S26">
        <v>0.19984309850192478</v>
      </c>
      <c r="T26">
        <v>0.20664522787757197</v>
      </c>
      <c r="U26">
        <v>0.25360056965086908</v>
      </c>
      <c r="V26">
        <v>0.52210548999431028</v>
      </c>
      <c r="W26">
        <v>0</v>
      </c>
      <c r="X26">
        <v>0</v>
      </c>
      <c r="Y26">
        <v>0.69087134606085709</v>
      </c>
      <c r="Z26">
        <v>0.33831183461926317</v>
      </c>
      <c r="AA26">
        <v>0.15445649571504164</v>
      </c>
      <c r="AB26">
        <v>0.12103105605337421</v>
      </c>
      <c r="AC26">
        <v>0.11444606562321182</v>
      </c>
      <c r="AD26">
        <v>0.12281347986554249</v>
      </c>
      <c r="AE26">
        <v>0.15207599521020643</v>
      </c>
      <c r="AF26">
        <v>0.3472685739964434</v>
      </c>
      <c r="AG26">
        <v>0.91121424546402774</v>
      </c>
      <c r="AH26">
        <v>0</v>
      </c>
      <c r="AI26">
        <v>0</v>
      </c>
      <c r="AJ26">
        <v>0.70645475256480039</v>
      </c>
      <c r="AK26">
        <v>0.35113418183743722</v>
      </c>
      <c r="AL26">
        <v>0.26742328707974777</v>
      </c>
      <c r="AM26">
        <v>0.25304618676673107</v>
      </c>
      <c r="AN26">
        <v>0.2714997076701956</v>
      </c>
      <c r="AO26">
        <v>0.45667022588615547</v>
      </c>
      <c r="AP26">
        <v>0.89867434409350255</v>
      </c>
      <c r="AQ26">
        <v>0</v>
      </c>
      <c r="EA26" t="s">
        <v>145</v>
      </c>
      <c r="EB26">
        <v>0</v>
      </c>
      <c r="EC26">
        <v>0</v>
      </c>
      <c r="ED26">
        <v>2.999966921187931E-6</v>
      </c>
      <c r="EE26">
        <v>7.7766993477893329E-2</v>
      </c>
      <c r="EF26">
        <v>0.25302890795478566</v>
      </c>
      <c r="EG26">
        <v>0.30248973185102684</v>
      </c>
      <c r="EH26">
        <v>0.2026825263670064</v>
      </c>
      <c r="EI26">
        <v>4.7730026196100547E-2</v>
      </c>
      <c r="EJ26">
        <v>0</v>
      </c>
      <c r="EK26">
        <v>0</v>
      </c>
      <c r="EL26">
        <v>0</v>
      </c>
      <c r="EM26">
        <v>7.2450655571417659E-4</v>
      </c>
      <c r="EN26">
        <v>5.060055709446537E-2</v>
      </c>
      <c r="EO26">
        <v>0.25978130458526932</v>
      </c>
      <c r="EP26">
        <v>0.41939925935001354</v>
      </c>
      <c r="EQ26">
        <v>0.44097244515777595</v>
      </c>
      <c r="ER26">
        <v>0.33321491171122569</v>
      </c>
      <c r="ES26">
        <v>0.15929523867756371</v>
      </c>
      <c r="ET26">
        <v>1.6614034419390484E-2</v>
      </c>
      <c r="EU26">
        <v>0</v>
      </c>
      <c r="EV26">
        <v>0</v>
      </c>
      <c r="EW26">
        <v>2.9700094844997108E-3</v>
      </c>
      <c r="EX26">
        <v>8.9959454152804208E-2</v>
      </c>
      <c r="EY26">
        <v>0.33743041550037406</v>
      </c>
      <c r="EZ26">
        <v>0.52357505313702379</v>
      </c>
      <c r="FA26">
        <v>0.55350532994626223</v>
      </c>
      <c r="FB26">
        <v>0.44998070828661463</v>
      </c>
      <c r="FC26">
        <v>0.24844884252593877</v>
      </c>
      <c r="FD26">
        <v>4.6233740445784745E-2</v>
      </c>
      <c r="FE26">
        <v>2.4081836545218088E-5</v>
      </c>
      <c r="FF26">
        <v>0</v>
      </c>
      <c r="FG26">
        <v>0</v>
      </c>
      <c r="FH26">
        <v>1.3509421591357942E-2</v>
      </c>
      <c r="FI26">
        <v>0.15405352664248864</v>
      </c>
      <c r="FJ26">
        <v>0.3196661699906439</v>
      </c>
      <c r="FK26">
        <v>0.35585226113255386</v>
      </c>
      <c r="FL26">
        <v>0.25382725649429572</v>
      </c>
      <c r="FM26">
        <v>7.4279285987968235E-2</v>
      </c>
      <c r="FN26">
        <v>1.4064651358226732E-3</v>
      </c>
      <c r="FO26">
        <v>0</v>
      </c>
      <c r="FQ26" t="s">
        <v>145</v>
      </c>
      <c r="FR26" t="s">
        <v>127</v>
      </c>
      <c r="FS26" t="s">
        <v>128</v>
      </c>
      <c r="FT26">
        <v>0.47657762082570865</v>
      </c>
    </row>
    <row r="27" spans="2:176" x14ac:dyDescent="0.45">
      <c r="B27" t="s">
        <v>146</v>
      </c>
      <c r="C27" t="s">
        <v>123</v>
      </c>
      <c r="D27">
        <v>0</v>
      </c>
      <c r="E27">
        <v>0</v>
      </c>
      <c r="F27">
        <v>0</v>
      </c>
      <c r="G27">
        <v>0.51106673224146748</v>
      </c>
      <c r="H27">
        <v>0.3009606742798791</v>
      </c>
      <c r="I27">
        <v>0.27671603843609638</v>
      </c>
      <c r="J27">
        <v>0.30742843862592678</v>
      </c>
      <c r="K27">
        <v>0.52233351279091245</v>
      </c>
      <c r="L27">
        <v>0</v>
      </c>
      <c r="M27">
        <v>0</v>
      </c>
      <c r="N27">
        <v>0</v>
      </c>
      <c r="O27">
        <v>0.87792594776299548</v>
      </c>
      <c r="P27">
        <v>0.45224022860177898</v>
      </c>
      <c r="Q27">
        <v>0.21829166679297526</v>
      </c>
      <c r="R27">
        <v>0.19784261802787004</v>
      </c>
      <c r="S27">
        <v>0.194075199217006</v>
      </c>
      <c r="T27">
        <v>0.19099109133810496</v>
      </c>
      <c r="U27">
        <v>0.22231133297092429</v>
      </c>
      <c r="V27">
        <v>0.4952052425674866</v>
      </c>
      <c r="W27">
        <v>0</v>
      </c>
      <c r="X27">
        <v>0</v>
      </c>
      <c r="Y27">
        <v>0.71223531634394621</v>
      </c>
      <c r="Z27">
        <v>0.34230546009211604</v>
      </c>
      <c r="AA27">
        <v>0.15310047801636323</v>
      </c>
      <c r="AB27">
        <v>0.11665627288550585</v>
      </c>
      <c r="AC27">
        <v>0.1102606975952337</v>
      </c>
      <c r="AD27">
        <v>0.1136883456851035</v>
      </c>
      <c r="AE27">
        <v>0.14973250631398963</v>
      </c>
      <c r="AF27">
        <v>0.35173308019013388</v>
      </c>
      <c r="AG27">
        <v>0.87727333439223243</v>
      </c>
      <c r="AH27">
        <v>0</v>
      </c>
      <c r="AI27">
        <v>0</v>
      </c>
      <c r="AJ27">
        <v>0.72546467946153115</v>
      </c>
      <c r="AK27">
        <v>0.33018270131235222</v>
      </c>
      <c r="AL27">
        <v>0.24937643517334049</v>
      </c>
      <c r="AM27">
        <v>0.23857778686999445</v>
      </c>
      <c r="AN27">
        <v>0.26751465059636015</v>
      </c>
      <c r="AO27">
        <v>0.4502219089868652</v>
      </c>
      <c r="AP27">
        <v>0.88280318539463609</v>
      </c>
      <c r="AQ27">
        <v>0</v>
      </c>
      <c r="EA27" t="s">
        <v>146</v>
      </c>
      <c r="EB27">
        <v>0</v>
      </c>
      <c r="EC27">
        <v>0</v>
      </c>
      <c r="ED27">
        <v>0</v>
      </c>
      <c r="EE27">
        <v>6.8034670386630622E-2</v>
      </c>
      <c r="EF27">
        <v>0.23640268654780425</v>
      </c>
      <c r="EG27">
        <v>0.29487479700695834</v>
      </c>
      <c r="EH27">
        <v>0.21602319689726773</v>
      </c>
      <c r="EI27">
        <v>5.4688697614723628E-2</v>
      </c>
      <c r="EJ27">
        <v>0</v>
      </c>
      <c r="EK27">
        <v>0</v>
      </c>
      <c r="EL27">
        <v>0</v>
      </c>
      <c r="EM27">
        <v>4.3529005502969989E-4</v>
      </c>
      <c r="EN27">
        <v>4.5071415130670978E-2</v>
      </c>
      <c r="EO27">
        <v>0.24772393572622853</v>
      </c>
      <c r="EP27">
        <v>0.42248468574825321</v>
      </c>
      <c r="EQ27">
        <v>0.45522776663211439</v>
      </c>
      <c r="ER27">
        <v>0.3623086836894191</v>
      </c>
      <c r="ES27">
        <v>0.18023978828591475</v>
      </c>
      <c r="ET27">
        <v>2.1639743094040799E-2</v>
      </c>
      <c r="EU27">
        <v>0</v>
      </c>
      <c r="EV27">
        <v>0</v>
      </c>
      <c r="EW27">
        <v>1.9403105180705617E-3</v>
      </c>
      <c r="EX27">
        <v>8.1381075541382672E-2</v>
      </c>
      <c r="EY27">
        <v>0.32885618608853112</v>
      </c>
      <c r="EZ27">
        <v>0.52376891752043009</v>
      </c>
      <c r="FA27">
        <v>0.56079185653315267</v>
      </c>
      <c r="FB27">
        <v>0.46588129482793778</v>
      </c>
      <c r="FC27">
        <v>0.26237116060900606</v>
      </c>
      <c r="FD27">
        <v>5.2121095826850358E-2</v>
      </c>
      <c r="FE27">
        <v>1.0010351451550984E-4</v>
      </c>
      <c r="FF27">
        <v>0</v>
      </c>
      <c r="FG27">
        <v>0</v>
      </c>
      <c r="FH27">
        <v>1.2276240180609806E-2</v>
      </c>
      <c r="FI27">
        <v>0.15745665438943202</v>
      </c>
      <c r="FJ27">
        <v>0.32636815770799049</v>
      </c>
      <c r="FK27">
        <v>0.36366288686071013</v>
      </c>
      <c r="FL27">
        <v>0.26375929234256867</v>
      </c>
      <c r="FM27">
        <v>8.127268647720319E-2</v>
      </c>
      <c r="FN27">
        <v>2.1465063802682781E-3</v>
      </c>
      <c r="FO27">
        <v>0</v>
      </c>
      <c r="FQ27" t="s">
        <v>146</v>
      </c>
      <c r="FR27" t="s">
        <v>127</v>
      </c>
      <c r="FS27" t="s">
        <v>128</v>
      </c>
      <c r="FT27">
        <v>0.48834134542741858</v>
      </c>
    </row>
    <row r="28" spans="2:176" x14ac:dyDescent="0.45">
      <c r="B28" t="s">
        <v>147</v>
      </c>
      <c r="C28" t="s">
        <v>123</v>
      </c>
      <c r="D28">
        <v>0</v>
      </c>
      <c r="E28">
        <v>0</v>
      </c>
      <c r="F28">
        <v>0.92026584178972981</v>
      </c>
      <c r="G28">
        <v>0.26867706609503123</v>
      </c>
      <c r="H28">
        <v>0.15745617457627412</v>
      </c>
      <c r="I28">
        <v>0.14392243895364071</v>
      </c>
      <c r="J28">
        <v>0.16911659685095284</v>
      </c>
      <c r="K28">
        <v>0.43761700349756455</v>
      </c>
      <c r="L28">
        <v>0</v>
      </c>
      <c r="M28">
        <v>0</v>
      </c>
      <c r="N28">
        <v>0</v>
      </c>
      <c r="O28">
        <v>0.83948194716546587</v>
      </c>
      <c r="P28">
        <v>0.38323365056929753</v>
      </c>
      <c r="Q28">
        <v>0.18401917220571576</v>
      </c>
      <c r="R28">
        <v>0.13758245079626591</v>
      </c>
      <c r="S28">
        <v>0.12620239559547683</v>
      </c>
      <c r="T28">
        <v>0.13119829892935914</v>
      </c>
      <c r="U28">
        <v>0.21739802184215878</v>
      </c>
      <c r="V28">
        <v>0.65433880234692765</v>
      </c>
      <c r="W28">
        <v>0</v>
      </c>
      <c r="X28">
        <v>0</v>
      </c>
      <c r="Y28">
        <v>0.66796713317240297</v>
      </c>
      <c r="Z28">
        <v>0.28089769613110371</v>
      </c>
      <c r="AA28">
        <v>8.560893181749947E-2</v>
      </c>
      <c r="AB28">
        <v>4.3098820930967494E-2</v>
      </c>
      <c r="AC28">
        <v>4.4451076448368286E-2</v>
      </c>
      <c r="AD28">
        <v>6.2244199311013888E-2</v>
      </c>
      <c r="AE28">
        <v>0.15191745532034986</v>
      </c>
      <c r="AF28">
        <v>0.4399838133283695</v>
      </c>
      <c r="AG28">
        <v>0</v>
      </c>
      <c r="AH28">
        <v>0</v>
      </c>
      <c r="AI28">
        <v>0</v>
      </c>
      <c r="AJ28">
        <v>0.52393438279847626</v>
      </c>
      <c r="AK28">
        <v>0.17800137174808603</v>
      </c>
      <c r="AL28">
        <v>0.12123909073301781</v>
      </c>
      <c r="AM28">
        <v>0.12723896124615808</v>
      </c>
      <c r="AN28">
        <v>0.18115333537172848</v>
      </c>
      <c r="AO28">
        <v>0.40560518921272476</v>
      </c>
      <c r="AP28">
        <v>0.93543449300897108</v>
      </c>
      <c r="AQ28">
        <v>0</v>
      </c>
      <c r="EA28" t="s">
        <v>147</v>
      </c>
      <c r="EB28">
        <v>0</v>
      </c>
      <c r="EC28">
        <v>0</v>
      </c>
      <c r="ED28">
        <v>3.0205996964453993E-3</v>
      </c>
      <c r="EE28">
        <v>0.18798627676662988</v>
      </c>
      <c r="EF28">
        <v>0.42435907498854042</v>
      </c>
      <c r="EG28">
        <v>0.46272243689908898</v>
      </c>
      <c r="EH28">
        <v>0.31183491568732519</v>
      </c>
      <c r="EI28">
        <v>6.5609995762310996E-2</v>
      </c>
      <c r="EJ28">
        <v>0</v>
      </c>
      <c r="EK28">
        <v>0</v>
      </c>
      <c r="EL28">
        <v>0</v>
      </c>
      <c r="EM28">
        <v>1.0926841518514769E-3</v>
      </c>
      <c r="EN28">
        <v>8.8119331437077869E-2</v>
      </c>
      <c r="EO28">
        <v>0.345249824064082</v>
      </c>
      <c r="EP28">
        <v>0.53571877129092371</v>
      </c>
      <c r="EQ28">
        <v>0.57871626875390136</v>
      </c>
      <c r="ER28">
        <v>0.45655055222159691</v>
      </c>
      <c r="ES28">
        <v>0.19950484535856863</v>
      </c>
      <c r="ET28">
        <v>8.73370974974488E-3</v>
      </c>
      <c r="EU28">
        <v>0</v>
      </c>
      <c r="EV28">
        <v>0</v>
      </c>
      <c r="EW28">
        <v>3.4032364619631106E-3</v>
      </c>
      <c r="EX28">
        <v>0.13275507593774433</v>
      </c>
      <c r="EY28">
        <v>0.44130522330873118</v>
      </c>
      <c r="EZ28">
        <v>0.62668913331035236</v>
      </c>
      <c r="FA28">
        <v>0.64360421089979891</v>
      </c>
      <c r="FB28">
        <v>0.5136911875299156</v>
      </c>
      <c r="FC28">
        <v>0.26128651185279111</v>
      </c>
      <c r="FD28">
        <v>2.5748412820382947E-2</v>
      </c>
      <c r="FE28">
        <v>0</v>
      </c>
      <c r="FF28">
        <v>0</v>
      </c>
      <c r="FG28">
        <v>0</v>
      </c>
      <c r="FH28">
        <v>4.5789066650912806E-2</v>
      </c>
      <c r="FI28">
        <v>0.30405102249174215</v>
      </c>
      <c r="FJ28">
        <v>0.50238207480324137</v>
      </c>
      <c r="FK28">
        <v>0.50374640774065138</v>
      </c>
      <c r="FL28">
        <v>0.34714652447007421</v>
      </c>
      <c r="FM28">
        <v>9.084584053216585E-2</v>
      </c>
      <c r="FN28">
        <v>2.7123637823656024E-4</v>
      </c>
      <c r="FO28">
        <v>0</v>
      </c>
      <c r="FQ28" t="s">
        <v>147</v>
      </c>
      <c r="FR28" t="s">
        <v>127</v>
      </c>
      <c r="FS28" t="s">
        <v>128</v>
      </c>
      <c r="FT28">
        <v>0.47227663990484436</v>
      </c>
    </row>
    <row r="29" spans="2:176" x14ac:dyDescent="0.45">
      <c r="B29" t="s">
        <v>148</v>
      </c>
      <c r="C29" t="s">
        <v>123</v>
      </c>
      <c r="D29">
        <v>0</v>
      </c>
      <c r="E29">
        <v>0</v>
      </c>
      <c r="F29">
        <v>0.95693722525763725</v>
      </c>
      <c r="G29">
        <v>0.29021013242110039</v>
      </c>
      <c r="H29">
        <v>0.15696640895671019</v>
      </c>
      <c r="I29">
        <v>0.13956921105115011</v>
      </c>
      <c r="J29">
        <v>0.17128460340357929</v>
      </c>
      <c r="K29">
        <v>0.42091518273937217</v>
      </c>
      <c r="L29">
        <v>0</v>
      </c>
      <c r="M29">
        <v>0</v>
      </c>
      <c r="N29">
        <v>0</v>
      </c>
      <c r="O29">
        <v>0.85892505417189513</v>
      </c>
      <c r="P29">
        <v>0.42060693108659447</v>
      </c>
      <c r="Q29">
        <v>0.20371341982478897</v>
      </c>
      <c r="R29">
        <v>0.16747422929891662</v>
      </c>
      <c r="S29">
        <v>0.15534633348521831</v>
      </c>
      <c r="T29">
        <v>0.1608278857530237</v>
      </c>
      <c r="U29">
        <v>0.22021816037313224</v>
      </c>
      <c r="V29">
        <v>0.55339596877206931</v>
      </c>
      <c r="W29">
        <v>0</v>
      </c>
      <c r="X29">
        <v>0</v>
      </c>
      <c r="Y29">
        <v>0.68739793594565057</v>
      </c>
      <c r="Z29">
        <v>0.31323527108882959</v>
      </c>
      <c r="AA29">
        <v>9.6324253745766267E-2</v>
      </c>
      <c r="AB29">
        <v>4.6772843994868314E-2</v>
      </c>
      <c r="AC29">
        <v>4.4994553822382259E-2</v>
      </c>
      <c r="AD29">
        <v>6.7729608744716938E-2</v>
      </c>
      <c r="AE29">
        <v>0.13889518385622066</v>
      </c>
      <c r="AF29">
        <v>0.37748519627334542</v>
      </c>
      <c r="AG29">
        <v>0</v>
      </c>
      <c r="AH29">
        <v>0</v>
      </c>
      <c r="AI29">
        <v>0</v>
      </c>
      <c r="AJ29">
        <v>0.62865291722199879</v>
      </c>
      <c r="AK29">
        <v>0.22486292288787926</v>
      </c>
      <c r="AL29">
        <v>0.15832403693371583</v>
      </c>
      <c r="AM29">
        <v>0.15243346517710857</v>
      </c>
      <c r="AN29">
        <v>0.18584546782791631</v>
      </c>
      <c r="AO29">
        <v>0.38373142949381772</v>
      </c>
      <c r="AP29">
        <v>0.89529724536306965</v>
      </c>
      <c r="AQ29">
        <v>0</v>
      </c>
      <c r="EA29" t="s">
        <v>148</v>
      </c>
      <c r="EB29">
        <v>0</v>
      </c>
      <c r="EC29">
        <v>0</v>
      </c>
      <c r="ED29">
        <v>7.6573109173029314E-4</v>
      </c>
      <c r="EE29">
        <v>0.18055456707772419</v>
      </c>
      <c r="EF29">
        <v>0.44229886120191203</v>
      </c>
      <c r="EG29">
        <v>0.5155843331033988</v>
      </c>
      <c r="EH29">
        <v>0.36669052872359043</v>
      </c>
      <c r="EI29">
        <v>8.9510193068189109E-2</v>
      </c>
      <c r="EJ29">
        <v>0</v>
      </c>
      <c r="EK29">
        <v>0</v>
      </c>
      <c r="EL29">
        <v>0</v>
      </c>
      <c r="EM29">
        <v>8.0519443783433461E-4</v>
      </c>
      <c r="EN29">
        <v>7.2759021495423154E-2</v>
      </c>
      <c r="EO29">
        <v>0.33001493997289144</v>
      </c>
      <c r="EP29">
        <v>0.52234797998060312</v>
      </c>
      <c r="EQ29">
        <v>0.55884740377398745</v>
      </c>
      <c r="ER29">
        <v>0.45008383941882851</v>
      </c>
      <c r="ES29">
        <v>0.21444796993058662</v>
      </c>
      <c r="ET29">
        <v>1.5363470487544963E-2</v>
      </c>
      <c r="EU29">
        <v>0</v>
      </c>
      <c r="EV29">
        <v>0</v>
      </c>
      <c r="EW29">
        <v>2.5872801061260129E-3</v>
      </c>
      <c r="EX29">
        <v>0.11135298310024756</v>
      </c>
      <c r="EY29">
        <v>0.40884756787091403</v>
      </c>
      <c r="EZ29">
        <v>0.60380355700728372</v>
      </c>
      <c r="FA29">
        <v>0.63040869504852337</v>
      </c>
      <c r="FB29">
        <v>0.50573062103322641</v>
      </c>
      <c r="FC29">
        <v>0.26545773342659984</v>
      </c>
      <c r="FD29">
        <v>3.8393015071771515E-2</v>
      </c>
      <c r="FE29">
        <v>0</v>
      </c>
      <c r="FF29">
        <v>0</v>
      </c>
      <c r="FG29">
        <v>0</v>
      </c>
      <c r="FH29">
        <v>3.0032852464830392E-2</v>
      </c>
      <c r="FI29">
        <v>0.25515307526200232</v>
      </c>
      <c r="FJ29">
        <v>0.45602247972445592</v>
      </c>
      <c r="FK29">
        <v>0.48022338169248818</v>
      </c>
      <c r="FL29">
        <v>0.3376014160333648</v>
      </c>
      <c r="FM29">
        <v>0.10283382475798664</v>
      </c>
      <c r="FN29">
        <v>9.6702071815241261E-4</v>
      </c>
      <c r="FO29">
        <v>0</v>
      </c>
      <c r="FQ29" t="s">
        <v>148</v>
      </c>
      <c r="FR29" t="s">
        <v>127</v>
      </c>
      <c r="FS29" t="s">
        <v>128</v>
      </c>
      <c r="FT29">
        <v>0.48116419979113512</v>
      </c>
    </row>
    <row r="30" spans="2:176" x14ac:dyDescent="0.45">
      <c r="B30" t="s">
        <v>149</v>
      </c>
      <c r="C30" t="s">
        <v>123</v>
      </c>
      <c r="D30">
        <v>0</v>
      </c>
      <c r="E30">
        <v>0</v>
      </c>
      <c r="F30">
        <v>0</v>
      </c>
      <c r="G30">
        <v>0.31978750790003579</v>
      </c>
      <c r="H30">
        <v>0.14233784507967776</v>
      </c>
      <c r="I30">
        <v>0.11839061723395901</v>
      </c>
      <c r="J30">
        <v>0.1344289963541061</v>
      </c>
      <c r="K30">
        <v>0.3543556381839531</v>
      </c>
      <c r="L30">
        <v>0.94444444444444431</v>
      </c>
      <c r="M30">
        <v>0</v>
      </c>
      <c r="N30">
        <v>0</v>
      </c>
      <c r="O30">
        <v>0.93666268377557371</v>
      </c>
      <c r="P30">
        <v>0.48441592515559351</v>
      </c>
      <c r="Q30">
        <v>0.19459526197280835</v>
      </c>
      <c r="R30">
        <v>0.13330994023931347</v>
      </c>
      <c r="S30">
        <v>0.12821065871763737</v>
      </c>
      <c r="T30">
        <v>0.14238130933105855</v>
      </c>
      <c r="U30">
        <v>0.18848478151433537</v>
      </c>
      <c r="V30">
        <v>0.48633515248325249</v>
      </c>
      <c r="W30">
        <v>0</v>
      </c>
      <c r="X30">
        <v>0</v>
      </c>
      <c r="Y30">
        <v>0.79863552480387345</v>
      </c>
      <c r="Z30">
        <v>0.36085955333713654</v>
      </c>
      <c r="AA30">
        <v>0.11737716492242362</v>
      </c>
      <c r="AB30">
        <v>5.5403619982514092E-2</v>
      </c>
      <c r="AC30">
        <v>5.5702966884595209E-2</v>
      </c>
      <c r="AD30">
        <v>7.8676284857517098E-2</v>
      </c>
      <c r="AE30">
        <v>0.13034314089353757</v>
      </c>
      <c r="AF30">
        <v>0.36289916630298635</v>
      </c>
      <c r="AG30">
        <v>0.89554606936996362</v>
      </c>
      <c r="AH30">
        <v>0</v>
      </c>
      <c r="AI30">
        <v>0</v>
      </c>
      <c r="AJ30">
        <v>0.68250622146327555</v>
      </c>
      <c r="AK30">
        <v>0.21881417783669482</v>
      </c>
      <c r="AL30">
        <v>0.1234924715338986</v>
      </c>
      <c r="AM30">
        <v>0.11389613951258845</v>
      </c>
      <c r="AN30">
        <v>0.14488824876209158</v>
      </c>
      <c r="AO30">
        <v>0.32432275276717931</v>
      </c>
      <c r="AP30">
        <v>0.84297964861336572</v>
      </c>
      <c r="AQ30">
        <v>0</v>
      </c>
      <c r="EA30" t="s">
        <v>149</v>
      </c>
      <c r="EB30">
        <v>0</v>
      </c>
      <c r="EC30">
        <v>0</v>
      </c>
      <c r="ED30">
        <v>0</v>
      </c>
      <c r="EE30">
        <v>0.14358516478620165</v>
      </c>
      <c r="EF30">
        <v>0.42366480314493515</v>
      </c>
      <c r="EG30">
        <v>0.52524631987624382</v>
      </c>
      <c r="EH30">
        <v>0.41647894751251013</v>
      </c>
      <c r="EI30">
        <v>0.13149674733562644</v>
      </c>
      <c r="EJ30">
        <v>2.789259904090438E-4</v>
      </c>
      <c r="EK30">
        <v>0</v>
      </c>
      <c r="EL30">
        <v>0</v>
      </c>
      <c r="EM30">
        <v>3.1805981782529127E-5</v>
      </c>
      <c r="EN30">
        <v>4.6971644793473995E-2</v>
      </c>
      <c r="EO30">
        <v>0.29863020967863874</v>
      </c>
      <c r="EP30">
        <v>0.52089815243378801</v>
      </c>
      <c r="EQ30">
        <v>0.57357648343669665</v>
      </c>
      <c r="ER30">
        <v>0.46766003158004288</v>
      </c>
      <c r="ES30">
        <v>0.24495551308806734</v>
      </c>
      <c r="ET30">
        <v>2.8973941399629572E-2</v>
      </c>
      <c r="EU30">
        <v>0</v>
      </c>
      <c r="EV30">
        <v>0</v>
      </c>
      <c r="EW30">
        <v>3.4163314533637232E-4</v>
      </c>
      <c r="EX30">
        <v>7.5813928313559223E-2</v>
      </c>
      <c r="EY30">
        <v>0.36092468209424344</v>
      </c>
      <c r="EZ30">
        <v>0.58481678281339577</v>
      </c>
      <c r="FA30">
        <v>0.63027400140096768</v>
      </c>
      <c r="FB30">
        <v>0.51782359840047054</v>
      </c>
      <c r="FC30">
        <v>0.29423973210546572</v>
      </c>
      <c r="FD30">
        <v>5.6301115227725046E-2</v>
      </c>
      <c r="FE30">
        <v>1.1778261385376425E-5</v>
      </c>
      <c r="FF30">
        <v>0</v>
      </c>
      <c r="FG30">
        <v>0</v>
      </c>
      <c r="FH30">
        <v>1.7908153211113151E-2</v>
      </c>
      <c r="FI30">
        <v>0.23601450097884702</v>
      </c>
      <c r="FJ30">
        <v>0.47884381092454958</v>
      </c>
      <c r="FK30">
        <v>0.53486615331523768</v>
      </c>
      <c r="FL30">
        <v>0.40347726379323912</v>
      </c>
      <c r="FM30">
        <v>0.14472404400259919</v>
      </c>
      <c r="FN30">
        <v>4.2194352540347348E-3</v>
      </c>
      <c r="FO30">
        <v>0</v>
      </c>
      <c r="FQ30" t="s">
        <v>149</v>
      </c>
      <c r="FR30" t="s">
        <v>127</v>
      </c>
      <c r="FS30" t="s">
        <v>128</v>
      </c>
      <c r="FT30">
        <v>0.46810838862132897</v>
      </c>
    </row>
    <row r="31" spans="2:176" x14ac:dyDescent="0.45">
      <c r="B31" t="s">
        <v>150</v>
      </c>
      <c r="C31" t="s">
        <v>123</v>
      </c>
      <c r="D31">
        <v>0</v>
      </c>
      <c r="E31">
        <v>0</v>
      </c>
      <c r="F31">
        <v>0.99444444444444458</v>
      </c>
      <c r="G31">
        <v>0.32643392272914185</v>
      </c>
      <c r="H31">
        <v>0.17834497514377193</v>
      </c>
      <c r="I31">
        <v>0.15390402889095964</v>
      </c>
      <c r="J31">
        <v>0.17368539241476572</v>
      </c>
      <c r="K31">
        <v>0.40096234620870735</v>
      </c>
      <c r="L31">
        <v>0</v>
      </c>
      <c r="M31">
        <v>0</v>
      </c>
      <c r="N31">
        <v>0</v>
      </c>
      <c r="O31">
        <v>0.89282628567210376</v>
      </c>
      <c r="P31">
        <v>0.47417233245233331</v>
      </c>
      <c r="Q31">
        <v>0.22047151099653534</v>
      </c>
      <c r="R31">
        <v>0.16267528261322961</v>
      </c>
      <c r="S31">
        <v>0.15201136737679541</v>
      </c>
      <c r="T31">
        <v>0.16296789302362039</v>
      </c>
      <c r="U31">
        <v>0.21051043698733443</v>
      </c>
      <c r="V31">
        <v>0.52082600362157372</v>
      </c>
      <c r="W31">
        <v>0</v>
      </c>
      <c r="X31">
        <v>0</v>
      </c>
      <c r="Y31">
        <v>0.73323150945294802</v>
      </c>
      <c r="Z31">
        <v>0.3482253869564802</v>
      </c>
      <c r="AA31">
        <v>0.10700788890987548</v>
      </c>
      <c r="AB31">
        <v>5.2756162697591188E-2</v>
      </c>
      <c r="AC31">
        <v>4.8774069139951859E-2</v>
      </c>
      <c r="AD31">
        <v>6.7656227621404066E-2</v>
      </c>
      <c r="AE31">
        <v>0.13356679809256738</v>
      </c>
      <c r="AF31">
        <v>0.36955704303936626</v>
      </c>
      <c r="AG31">
        <v>0</v>
      </c>
      <c r="AH31">
        <v>0</v>
      </c>
      <c r="AI31">
        <v>0</v>
      </c>
      <c r="AJ31">
        <v>0.68178163211631526</v>
      </c>
      <c r="AK31">
        <v>0.24696234800311845</v>
      </c>
      <c r="AL31">
        <v>0.17030898488533852</v>
      </c>
      <c r="AM31">
        <v>0.15361699288510272</v>
      </c>
      <c r="AN31">
        <v>0.18611364534370153</v>
      </c>
      <c r="AO31">
        <v>0.37403815361018183</v>
      </c>
      <c r="AP31">
        <v>0.86510509707472472</v>
      </c>
      <c r="AQ31">
        <v>0</v>
      </c>
      <c r="EA31" t="s">
        <v>150</v>
      </c>
      <c r="EB31">
        <v>0</v>
      </c>
      <c r="EC31">
        <v>0</v>
      </c>
      <c r="ED31">
        <v>5.1441384020221144E-5</v>
      </c>
      <c r="EE31">
        <v>0.14175532413051872</v>
      </c>
      <c r="EF31">
        <v>0.39874111408700136</v>
      </c>
      <c r="EG31">
        <v>0.48401898995663167</v>
      </c>
      <c r="EH31">
        <v>0.36953268043839577</v>
      </c>
      <c r="EI31">
        <v>0.10610272354474221</v>
      </c>
      <c r="EJ31">
        <v>0</v>
      </c>
      <c r="EK31">
        <v>0</v>
      </c>
      <c r="EL31">
        <v>0</v>
      </c>
      <c r="EM31">
        <v>2.9197078293094036E-4</v>
      </c>
      <c r="EN31">
        <v>5.6579495806087017E-2</v>
      </c>
      <c r="EO31">
        <v>0.29570152604044175</v>
      </c>
      <c r="EP31">
        <v>0.49427827344952358</v>
      </c>
      <c r="EQ31">
        <v>0.53627048753088946</v>
      </c>
      <c r="ER31">
        <v>0.44254546345780843</v>
      </c>
      <c r="ES31">
        <v>0.22755980724824471</v>
      </c>
      <c r="ET31">
        <v>2.3046308174995856E-2</v>
      </c>
      <c r="EU31">
        <v>0</v>
      </c>
      <c r="EV31">
        <v>0</v>
      </c>
      <c r="EW31">
        <v>1.2360916325207059E-3</v>
      </c>
      <c r="EX31">
        <v>9.0483765366638713E-2</v>
      </c>
      <c r="EY31">
        <v>0.38300979297269111</v>
      </c>
      <c r="EZ31">
        <v>0.59987061929601848</v>
      </c>
      <c r="FA31">
        <v>0.6534916731441005</v>
      </c>
      <c r="FB31">
        <v>0.54452690866836184</v>
      </c>
      <c r="FC31">
        <v>0.29853324140647725</v>
      </c>
      <c r="FD31">
        <v>4.9902465660369752E-2</v>
      </c>
      <c r="FE31">
        <v>0</v>
      </c>
      <c r="FF31">
        <v>0</v>
      </c>
      <c r="FG31">
        <v>0</v>
      </c>
      <c r="FH31">
        <v>2.1146018214841539E-2</v>
      </c>
      <c r="FI31">
        <v>0.22473082151908522</v>
      </c>
      <c r="FJ31">
        <v>0.43406666632806862</v>
      </c>
      <c r="FK31">
        <v>0.4791785573911031</v>
      </c>
      <c r="FL31">
        <v>0.35279554168137339</v>
      </c>
      <c r="FM31">
        <v>0.11554935684903953</v>
      </c>
      <c r="FN31">
        <v>2.4213385625143826E-3</v>
      </c>
      <c r="FO31">
        <v>0</v>
      </c>
      <c r="FQ31" t="s">
        <v>150</v>
      </c>
      <c r="FR31" t="s">
        <v>127</v>
      </c>
      <c r="FS31" t="s">
        <v>128</v>
      </c>
      <c r="FT31">
        <v>0.46278439075597205</v>
      </c>
    </row>
    <row r="32" spans="2:176" x14ac:dyDescent="0.45">
      <c r="B32" t="s">
        <v>151</v>
      </c>
      <c r="C32" t="s">
        <v>123</v>
      </c>
      <c r="D32">
        <v>0</v>
      </c>
      <c r="E32">
        <v>0</v>
      </c>
      <c r="F32">
        <v>0</v>
      </c>
      <c r="G32">
        <v>0.4361828729986717</v>
      </c>
      <c r="H32">
        <v>0.24043385657523908</v>
      </c>
      <c r="I32">
        <v>0.18935629604457588</v>
      </c>
      <c r="J32">
        <v>0.19668981605776889</v>
      </c>
      <c r="K32">
        <v>0.41223542411486291</v>
      </c>
      <c r="L32">
        <v>0.97222222222222221</v>
      </c>
      <c r="M32">
        <v>0</v>
      </c>
      <c r="N32">
        <v>0</v>
      </c>
      <c r="O32">
        <v>0.97282608695652184</v>
      </c>
      <c r="P32">
        <v>0.50180034084960545</v>
      </c>
      <c r="Q32">
        <v>0.2230989942207722</v>
      </c>
      <c r="R32">
        <v>0.15882558876189912</v>
      </c>
      <c r="S32">
        <v>0.15102393062080502</v>
      </c>
      <c r="T32">
        <v>0.16205386487366127</v>
      </c>
      <c r="U32">
        <v>0.21074709358721366</v>
      </c>
      <c r="V32">
        <v>0.49376537741958892</v>
      </c>
      <c r="W32">
        <v>0</v>
      </c>
      <c r="X32">
        <v>0</v>
      </c>
      <c r="Y32">
        <v>0.85076101860838038</v>
      </c>
      <c r="Z32">
        <v>0.37643309410713849</v>
      </c>
      <c r="AA32">
        <v>0.15655466065874621</v>
      </c>
      <c r="AB32">
        <v>0.10715226098876378</v>
      </c>
      <c r="AC32">
        <v>8.0747261364924452E-2</v>
      </c>
      <c r="AD32">
        <v>9.3461853039807335E-2</v>
      </c>
      <c r="AE32">
        <v>0.1450210430528581</v>
      </c>
      <c r="AF32">
        <v>0.36363628485952987</v>
      </c>
      <c r="AG32">
        <v>0.95652173913043459</v>
      </c>
      <c r="AH32">
        <v>0</v>
      </c>
      <c r="AI32">
        <v>0</v>
      </c>
      <c r="AJ32">
        <v>0.72040798416352181</v>
      </c>
      <c r="AK32">
        <v>0.30636036619956386</v>
      </c>
      <c r="AL32">
        <v>0.2281264909451049</v>
      </c>
      <c r="AM32">
        <v>0.21421999044199255</v>
      </c>
      <c r="AN32">
        <v>0.23409242963041235</v>
      </c>
      <c r="AO32">
        <v>0.36210486658084884</v>
      </c>
      <c r="AP32">
        <v>0.8401167456929558</v>
      </c>
      <c r="AQ32">
        <v>0</v>
      </c>
      <c r="EA32" t="s">
        <v>151</v>
      </c>
      <c r="EB32">
        <v>0</v>
      </c>
      <c r="EC32">
        <v>0</v>
      </c>
      <c r="ED32">
        <v>0</v>
      </c>
      <c r="EE32">
        <v>9.2897951520585026E-2</v>
      </c>
      <c r="EF32">
        <v>0.31680657284846192</v>
      </c>
      <c r="EG32">
        <v>0.42778167784982107</v>
      </c>
      <c r="EH32">
        <v>0.34167284437693018</v>
      </c>
      <c r="EI32">
        <v>0.10854951892435345</v>
      </c>
      <c r="EJ32">
        <v>4.2426788862539048E-4</v>
      </c>
      <c r="EK32">
        <v>0</v>
      </c>
      <c r="EL32">
        <v>0</v>
      </c>
      <c r="EM32">
        <v>9.9726742638676402E-6</v>
      </c>
      <c r="EN32">
        <v>3.7545699596408674E-2</v>
      </c>
      <c r="EO32">
        <v>0.24722270768249366</v>
      </c>
      <c r="EP32">
        <v>0.47003857685853018</v>
      </c>
      <c r="EQ32">
        <v>0.53717264011470067</v>
      </c>
      <c r="ER32">
        <v>0.44200747753763742</v>
      </c>
      <c r="ES32">
        <v>0.22691806011065868</v>
      </c>
      <c r="ET32">
        <v>2.9238106526105059E-2</v>
      </c>
      <c r="EU32">
        <v>0</v>
      </c>
      <c r="EV32">
        <v>0</v>
      </c>
      <c r="EW32">
        <v>1.7747569551140451E-4</v>
      </c>
      <c r="EX32">
        <v>6.2069377363757512E-2</v>
      </c>
      <c r="EY32">
        <v>0.30914144527894266</v>
      </c>
      <c r="EZ32">
        <v>0.5334024670440235</v>
      </c>
      <c r="FA32">
        <v>0.61041573031690266</v>
      </c>
      <c r="FB32">
        <v>0.51557370735169317</v>
      </c>
      <c r="FC32">
        <v>0.29305738669568659</v>
      </c>
      <c r="FD32">
        <v>5.7322684843877258E-2</v>
      </c>
      <c r="FE32">
        <v>5.5753323777697927E-6</v>
      </c>
      <c r="FF32">
        <v>0</v>
      </c>
      <c r="FG32">
        <v>0</v>
      </c>
      <c r="FH32">
        <v>1.1656273229528157E-2</v>
      </c>
      <c r="FI32">
        <v>0.17434723000918406</v>
      </c>
      <c r="FJ32">
        <v>0.36573375617900367</v>
      </c>
      <c r="FK32">
        <v>0.41647267259741383</v>
      </c>
      <c r="FL32">
        <v>0.31902383140245111</v>
      </c>
      <c r="FM32">
        <v>0.11650645830834619</v>
      </c>
      <c r="FN32">
        <v>4.1395478062722559E-3</v>
      </c>
      <c r="FO32">
        <v>0</v>
      </c>
      <c r="FQ32" t="s">
        <v>151</v>
      </c>
      <c r="FR32" t="s">
        <v>127</v>
      </c>
      <c r="FS32" t="s">
        <v>128</v>
      </c>
      <c r="FT32">
        <v>0.45955337607615465</v>
      </c>
    </row>
    <row r="33" spans="2:176" x14ac:dyDescent="0.45">
      <c r="B33" t="s">
        <v>152</v>
      </c>
      <c r="C33" t="s">
        <v>123</v>
      </c>
      <c r="D33">
        <v>0</v>
      </c>
      <c r="E33">
        <v>0</v>
      </c>
      <c r="F33">
        <v>0</v>
      </c>
      <c r="G33">
        <v>0.45981035802274001</v>
      </c>
      <c r="H33">
        <v>0.20891997332594786</v>
      </c>
      <c r="I33">
        <v>0.17175997066605425</v>
      </c>
      <c r="J33">
        <v>0.18858833079869022</v>
      </c>
      <c r="K33">
        <v>0.39146138707404576</v>
      </c>
      <c r="L33">
        <v>0.93787643464940296</v>
      </c>
      <c r="M33">
        <v>0</v>
      </c>
      <c r="N33">
        <v>0</v>
      </c>
      <c r="O33">
        <v>0</v>
      </c>
      <c r="P33">
        <v>0.53195404145697833</v>
      </c>
      <c r="Q33">
        <v>0.23344908104732404</v>
      </c>
      <c r="R33">
        <v>0.16349206192985558</v>
      </c>
      <c r="S33">
        <v>0.15464749496000149</v>
      </c>
      <c r="T33">
        <v>0.15995706732567083</v>
      </c>
      <c r="U33">
        <v>0.19932501801906014</v>
      </c>
      <c r="V33">
        <v>0.46726932250062542</v>
      </c>
      <c r="W33">
        <v>0</v>
      </c>
      <c r="X33">
        <v>0</v>
      </c>
      <c r="Y33">
        <v>0.93478260869565244</v>
      </c>
      <c r="Z33">
        <v>0.39633846821950769</v>
      </c>
      <c r="AA33">
        <v>0.16719432829783545</v>
      </c>
      <c r="AB33">
        <v>0.11870695590786655</v>
      </c>
      <c r="AC33">
        <v>0.10043796726863426</v>
      </c>
      <c r="AD33">
        <v>0.1059148468609013</v>
      </c>
      <c r="AE33">
        <v>0.14568639407670636</v>
      </c>
      <c r="AF33">
        <v>0.36340069439310263</v>
      </c>
      <c r="AG33">
        <v>0.85359317960731607</v>
      </c>
      <c r="AH33">
        <v>0</v>
      </c>
      <c r="AI33">
        <v>0</v>
      </c>
      <c r="AJ33">
        <v>0.74844493813450241</v>
      </c>
      <c r="AK33">
        <v>0.2998833939677053</v>
      </c>
      <c r="AL33">
        <v>0.21068648061270651</v>
      </c>
      <c r="AM33">
        <v>0.18689663783387661</v>
      </c>
      <c r="AN33">
        <v>0.21276590326941136</v>
      </c>
      <c r="AO33">
        <v>0.35744100285379621</v>
      </c>
      <c r="AP33">
        <v>0.82148489213299192</v>
      </c>
      <c r="AQ33">
        <v>0</v>
      </c>
      <c r="EA33" t="s">
        <v>152</v>
      </c>
      <c r="EB33">
        <v>0</v>
      </c>
      <c r="EC33">
        <v>0</v>
      </c>
      <c r="ED33">
        <v>0</v>
      </c>
      <c r="EE33">
        <v>8.5054820568687003E-2</v>
      </c>
      <c r="EF33">
        <v>0.32661674038681049</v>
      </c>
      <c r="EG33">
        <v>0.43846410081538323</v>
      </c>
      <c r="EH33">
        <v>0.35242041356597875</v>
      </c>
      <c r="EI33">
        <v>0.11376100825132771</v>
      </c>
      <c r="EJ33">
        <v>1.4909873191722492E-3</v>
      </c>
      <c r="EK33">
        <v>0</v>
      </c>
      <c r="EL33">
        <v>0</v>
      </c>
      <c r="EM33">
        <v>0</v>
      </c>
      <c r="EN33">
        <v>3.0303895744461597E-2</v>
      </c>
      <c r="EO33">
        <v>0.23404435921358266</v>
      </c>
      <c r="EP33">
        <v>0.45124929509209821</v>
      </c>
      <c r="EQ33">
        <v>0.51581847820287896</v>
      </c>
      <c r="ER33">
        <v>0.43191910497357222</v>
      </c>
      <c r="ES33">
        <v>0.24113524500786038</v>
      </c>
      <c r="ET33">
        <v>3.6504089248925897E-2</v>
      </c>
      <c r="EU33">
        <v>0</v>
      </c>
      <c r="EV33">
        <v>0</v>
      </c>
      <c r="EW33">
        <v>5.3250829169214282E-6</v>
      </c>
      <c r="EX33">
        <v>5.2680492342251223E-2</v>
      </c>
      <c r="EY33">
        <v>0.29157912906181876</v>
      </c>
      <c r="EZ33">
        <v>0.51383547200372914</v>
      </c>
      <c r="FA33">
        <v>0.58820022952333739</v>
      </c>
      <c r="FB33">
        <v>0.51215706642814485</v>
      </c>
      <c r="FC33">
        <v>0.30778038967452542</v>
      </c>
      <c r="FD33">
        <v>6.7704940710685252E-2</v>
      </c>
      <c r="FE33">
        <v>1.7680968950159169E-4</v>
      </c>
      <c r="FF33">
        <v>0</v>
      </c>
      <c r="FG33">
        <v>0</v>
      </c>
      <c r="FH33">
        <v>8.9036615193253798E-3</v>
      </c>
      <c r="FI33">
        <v>0.17290526005889029</v>
      </c>
      <c r="FJ33">
        <v>0.37204952115927226</v>
      </c>
      <c r="FK33">
        <v>0.43704608505763454</v>
      </c>
      <c r="FL33">
        <v>0.33522150589562338</v>
      </c>
      <c r="FM33">
        <v>0.13021496560947568</v>
      </c>
      <c r="FN33">
        <v>5.9454640310442229E-3</v>
      </c>
      <c r="FO33">
        <v>0</v>
      </c>
      <c r="FQ33" t="s">
        <v>152</v>
      </c>
      <c r="FR33" t="s">
        <v>127</v>
      </c>
      <c r="FS33" t="s">
        <v>128</v>
      </c>
      <c r="FT33">
        <v>0.52539271187551773</v>
      </c>
    </row>
    <row r="34" spans="2:176" x14ac:dyDescent="0.45">
      <c r="B34" t="s">
        <v>153</v>
      </c>
      <c r="C34" t="s">
        <v>123</v>
      </c>
      <c r="D34">
        <v>0</v>
      </c>
      <c r="E34">
        <v>0</v>
      </c>
      <c r="F34">
        <v>0</v>
      </c>
      <c r="G34">
        <v>0.47487167644242578</v>
      </c>
      <c r="H34">
        <v>0.23917951421683278</v>
      </c>
      <c r="I34">
        <v>0.19826323125356476</v>
      </c>
      <c r="J34">
        <v>0.20417132075375138</v>
      </c>
      <c r="K34">
        <v>0.41652911050448777</v>
      </c>
      <c r="L34">
        <v>0.94437313209209039</v>
      </c>
      <c r="M34">
        <v>0</v>
      </c>
      <c r="N34">
        <v>0</v>
      </c>
      <c r="O34">
        <v>0.97826086956521741</v>
      </c>
      <c r="P34">
        <v>0.51408850093516212</v>
      </c>
      <c r="Q34">
        <v>0.21211085272225513</v>
      </c>
      <c r="R34">
        <v>0.13720554028315016</v>
      </c>
      <c r="S34">
        <v>0.14231245832653422</v>
      </c>
      <c r="T34">
        <v>0.15534331268866283</v>
      </c>
      <c r="U34">
        <v>0.18408216387579265</v>
      </c>
      <c r="V34">
        <v>0.45328530939445605</v>
      </c>
      <c r="W34">
        <v>0.99275362318840588</v>
      </c>
      <c r="X34">
        <v>0</v>
      </c>
      <c r="Y34">
        <v>0.85231464689187997</v>
      </c>
      <c r="Z34">
        <v>0.38186652427413359</v>
      </c>
      <c r="AA34">
        <v>0.1537166100953393</v>
      </c>
      <c r="AB34">
        <v>0.10717094955114918</v>
      </c>
      <c r="AC34">
        <v>9.6523432631416189E-2</v>
      </c>
      <c r="AD34">
        <v>0.10715955039820282</v>
      </c>
      <c r="AE34">
        <v>0.14189838446119246</v>
      </c>
      <c r="AF34">
        <v>0.35980497584395288</v>
      </c>
      <c r="AG34">
        <v>0.84094342555560619</v>
      </c>
      <c r="AH34">
        <v>0</v>
      </c>
      <c r="AI34">
        <v>0</v>
      </c>
      <c r="AJ34">
        <v>0.7468267206774144</v>
      </c>
      <c r="AK34">
        <v>0.28599553491491553</v>
      </c>
      <c r="AL34">
        <v>0.19456224840333203</v>
      </c>
      <c r="AM34">
        <v>0.19278342496914028</v>
      </c>
      <c r="AN34">
        <v>0.23614454510835639</v>
      </c>
      <c r="AO34">
        <v>0.36321351026399346</v>
      </c>
      <c r="AP34">
        <v>0.82486786586143879</v>
      </c>
      <c r="AQ34">
        <v>0</v>
      </c>
      <c r="EA34" t="s">
        <v>153</v>
      </c>
      <c r="EB34">
        <v>0</v>
      </c>
      <c r="EC34">
        <v>0</v>
      </c>
      <c r="ED34">
        <v>0</v>
      </c>
      <c r="EE34">
        <v>8.4964233470648243E-2</v>
      </c>
      <c r="EF34">
        <v>0.31373877905757658</v>
      </c>
      <c r="EG34">
        <v>0.41286127612005091</v>
      </c>
      <c r="EH34">
        <v>0.32998210922620846</v>
      </c>
      <c r="EI34">
        <v>0.10432195168059508</v>
      </c>
      <c r="EJ34">
        <v>1.3783362818232609E-3</v>
      </c>
      <c r="EK34">
        <v>0</v>
      </c>
      <c r="EL34">
        <v>0</v>
      </c>
      <c r="EM34">
        <v>1.9157523579745569E-6</v>
      </c>
      <c r="EN34">
        <v>3.4797790094196972E-2</v>
      </c>
      <c r="EO34">
        <v>0.25331704936282007</v>
      </c>
      <c r="EP34">
        <v>0.47007405325317109</v>
      </c>
      <c r="EQ34">
        <v>0.51925695285350515</v>
      </c>
      <c r="ER34">
        <v>0.43439881361640154</v>
      </c>
      <c r="ES34">
        <v>0.24326981579402637</v>
      </c>
      <c r="ET34">
        <v>3.625878967487637E-2</v>
      </c>
      <c r="EU34">
        <v>1.2130220927530752E-7</v>
      </c>
      <c r="EV34">
        <v>0</v>
      </c>
      <c r="EW34">
        <v>8.7479414205883494E-5</v>
      </c>
      <c r="EX34">
        <v>5.6975944148806412E-2</v>
      </c>
      <c r="EY34">
        <v>0.3015326950504798</v>
      </c>
      <c r="EZ34">
        <v>0.52144336702496097</v>
      </c>
      <c r="FA34">
        <v>0.5910949703525239</v>
      </c>
      <c r="FB34">
        <v>0.51245541156547869</v>
      </c>
      <c r="FC34">
        <v>0.31062803304634196</v>
      </c>
      <c r="FD34">
        <v>6.8016053939149029E-2</v>
      </c>
      <c r="FE34">
        <v>2.1748993736586775E-4</v>
      </c>
      <c r="FF34">
        <v>0</v>
      </c>
      <c r="FG34">
        <v>0</v>
      </c>
      <c r="FH34">
        <v>9.0434886205951505E-3</v>
      </c>
      <c r="FI34">
        <v>0.16906586588781558</v>
      </c>
      <c r="FJ34">
        <v>0.36867001279203637</v>
      </c>
      <c r="FK34">
        <v>0.4146325718748331</v>
      </c>
      <c r="FL34">
        <v>0.31717089527556092</v>
      </c>
      <c r="FM34">
        <v>0.12345569202472588</v>
      </c>
      <c r="FN34">
        <v>5.6098117420419289E-3</v>
      </c>
      <c r="FO34">
        <v>0</v>
      </c>
      <c r="FQ34" t="s">
        <v>153</v>
      </c>
      <c r="FR34" t="s">
        <v>127</v>
      </c>
      <c r="FS34" t="s">
        <v>128</v>
      </c>
      <c r="FT34">
        <v>0.47777296983949102</v>
      </c>
    </row>
    <row r="35" spans="2:176" x14ac:dyDescent="0.45">
      <c r="B35" t="s">
        <v>154</v>
      </c>
      <c r="C35" t="s">
        <v>123</v>
      </c>
      <c r="D35">
        <v>0</v>
      </c>
      <c r="E35">
        <v>0</v>
      </c>
      <c r="F35">
        <v>0</v>
      </c>
      <c r="G35">
        <v>0.46537057163441448</v>
      </c>
      <c r="H35">
        <v>0.28409378861269763</v>
      </c>
      <c r="I35">
        <v>0.23090000686362519</v>
      </c>
      <c r="J35">
        <v>0.23683097211937695</v>
      </c>
      <c r="K35">
        <v>0.43859988955823487</v>
      </c>
      <c r="L35">
        <v>0.9833333333333335</v>
      </c>
      <c r="M35">
        <v>0</v>
      </c>
      <c r="N35">
        <v>0</v>
      </c>
      <c r="O35">
        <v>0.94816523302218225</v>
      </c>
      <c r="P35">
        <v>0.50572076678254774</v>
      </c>
      <c r="Q35">
        <v>0.24317604207332844</v>
      </c>
      <c r="R35">
        <v>0.16292119367497576</v>
      </c>
      <c r="S35">
        <v>0.148183167206834</v>
      </c>
      <c r="T35">
        <v>0.16593223916344352</v>
      </c>
      <c r="U35">
        <v>0.20759714026684004</v>
      </c>
      <c r="V35">
        <v>0.48881279168908304</v>
      </c>
      <c r="W35">
        <v>0</v>
      </c>
      <c r="X35">
        <v>0</v>
      </c>
      <c r="Y35">
        <v>0.78395949041633817</v>
      </c>
      <c r="Z35">
        <v>0.36734179477955725</v>
      </c>
      <c r="AA35">
        <v>0.14188249887729934</v>
      </c>
      <c r="AB35">
        <v>0.10727082364116858</v>
      </c>
      <c r="AC35">
        <v>9.099386545584412E-2</v>
      </c>
      <c r="AD35">
        <v>0.10221070528090392</v>
      </c>
      <c r="AE35">
        <v>0.14492119019047064</v>
      </c>
      <c r="AF35">
        <v>0.36756051477917867</v>
      </c>
      <c r="AG35">
        <v>0.93840579710144922</v>
      </c>
      <c r="AH35">
        <v>0</v>
      </c>
      <c r="AI35">
        <v>0</v>
      </c>
      <c r="AJ35">
        <v>0.72106917688606553</v>
      </c>
      <c r="AK35">
        <v>0.30030748940112451</v>
      </c>
      <c r="AL35">
        <v>0.22768733967792559</v>
      </c>
      <c r="AM35">
        <v>0.21553237993133956</v>
      </c>
      <c r="AN35">
        <v>0.24528736356319392</v>
      </c>
      <c r="AO35">
        <v>0.39785195269831886</v>
      </c>
      <c r="AP35">
        <v>0.85669480097091044</v>
      </c>
      <c r="AQ35">
        <v>0</v>
      </c>
      <c r="EA35" t="s">
        <v>154</v>
      </c>
      <c r="EB35">
        <v>0</v>
      </c>
      <c r="EC35">
        <v>0</v>
      </c>
      <c r="ED35">
        <v>0</v>
      </c>
      <c r="EE35">
        <v>9.0254495564614831E-2</v>
      </c>
      <c r="EF35">
        <v>0.28852912144754994</v>
      </c>
      <c r="EG35">
        <v>0.38634573486323454</v>
      </c>
      <c r="EH35">
        <v>0.30896587168613293</v>
      </c>
      <c r="EI35">
        <v>9.4295959976141777E-2</v>
      </c>
      <c r="EJ35">
        <v>1.8796870096446974E-4</v>
      </c>
      <c r="EK35">
        <v>0</v>
      </c>
      <c r="EL35">
        <v>0</v>
      </c>
      <c r="EM35">
        <v>5.0033327829744505E-5</v>
      </c>
      <c r="EN35">
        <v>4.0830763068955396E-2</v>
      </c>
      <c r="EO35">
        <v>0.24971493195916902</v>
      </c>
      <c r="EP35">
        <v>0.45570083591780552</v>
      </c>
      <c r="EQ35">
        <v>0.51545259591579529</v>
      </c>
      <c r="ER35">
        <v>0.4258142694543619</v>
      </c>
      <c r="ES35">
        <v>0.22366570173258657</v>
      </c>
      <c r="ET35">
        <v>2.8656210515164985E-2</v>
      </c>
      <c r="EU35">
        <v>0</v>
      </c>
      <c r="EV35">
        <v>0</v>
      </c>
      <c r="EW35">
        <v>4.6242482743752308E-4</v>
      </c>
      <c r="EX35">
        <v>7.0535746678456843E-2</v>
      </c>
      <c r="EY35">
        <v>0.32902354016986485</v>
      </c>
      <c r="EZ35">
        <v>0.53937495156297632</v>
      </c>
      <c r="FA35">
        <v>0.60573613388436509</v>
      </c>
      <c r="FB35">
        <v>0.51431287629618505</v>
      </c>
      <c r="FC35">
        <v>0.30006572624959998</v>
      </c>
      <c r="FD35">
        <v>5.7926595830694261E-2</v>
      </c>
      <c r="FE35">
        <v>1.2118765298092294E-5</v>
      </c>
      <c r="FF35">
        <v>0</v>
      </c>
      <c r="FG35">
        <v>0</v>
      </c>
      <c r="FH35">
        <v>1.2158262100361986E-2</v>
      </c>
      <c r="FI35">
        <v>0.1764261417515241</v>
      </c>
      <c r="FJ35">
        <v>0.37096425860595444</v>
      </c>
      <c r="FK35">
        <v>0.41255592048815432</v>
      </c>
      <c r="FL35">
        <v>0.3071845630382728</v>
      </c>
      <c r="FM35">
        <v>0.10605510002065534</v>
      </c>
      <c r="FN35">
        <v>3.5669111796717595E-3</v>
      </c>
      <c r="FO35">
        <v>0</v>
      </c>
      <c r="FQ35" t="s">
        <v>154</v>
      </c>
      <c r="FR35" t="s">
        <v>127</v>
      </c>
      <c r="FS35" t="s">
        <v>128</v>
      </c>
      <c r="FT35">
        <v>0.42844129272695819</v>
      </c>
    </row>
    <row r="36" spans="2:176" x14ac:dyDescent="0.45">
      <c r="B36" t="s">
        <v>155</v>
      </c>
      <c r="C36" t="s">
        <v>123</v>
      </c>
      <c r="D36">
        <v>0</v>
      </c>
      <c r="E36">
        <v>0</v>
      </c>
      <c r="F36">
        <v>0</v>
      </c>
      <c r="G36">
        <v>0.49354392044978418</v>
      </c>
      <c r="H36">
        <v>0.26609109679576631</v>
      </c>
      <c r="I36">
        <v>0.2330438872377377</v>
      </c>
      <c r="J36">
        <v>0.24987199558633261</v>
      </c>
      <c r="K36">
        <v>0.45419019471148225</v>
      </c>
      <c r="L36">
        <v>0.97222222222222232</v>
      </c>
      <c r="M36">
        <v>0</v>
      </c>
      <c r="N36">
        <v>0</v>
      </c>
      <c r="O36">
        <v>0.94605592320597909</v>
      </c>
      <c r="P36">
        <v>0.49517451956853592</v>
      </c>
      <c r="Q36">
        <v>0.21910303990775581</v>
      </c>
      <c r="R36">
        <v>0.15456897937956046</v>
      </c>
      <c r="S36">
        <v>0.13416993242669112</v>
      </c>
      <c r="T36">
        <v>0.15365587830876143</v>
      </c>
      <c r="U36">
        <v>0.18792254395134361</v>
      </c>
      <c r="V36">
        <v>0.46150131308445369</v>
      </c>
      <c r="W36">
        <v>0</v>
      </c>
      <c r="X36">
        <v>0</v>
      </c>
      <c r="Y36">
        <v>0.7866647538230076</v>
      </c>
      <c r="Z36">
        <v>0.36769057755270934</v>
      </c>
      <c r="AA36">
        <v>0.13804811332391886</v>
      </c>
      <c r="AB36">
        <v>0.10247588305946392</v>
      </c>
      <c r="AC36">
        <v>0.10400948328304976</v>
      </c>
      <c r="AD36">
        <v>0.11789192814016453</v>
      </c>
      <c r="AE36">
        <v>0.15355475429405202</v>
      </c>
      <c r="AF36">
        <v>0.35735697592812682</v>
      </c>
      <c r="AG36">
        <v>0.85123901261440882</v>
      </c>
      <c r="AH36">
        <v>0</v>
      </c>
      <c r="AI36">
        <v>0</v>
      </c>
      <c r="AJ36">
        <v>0.74224827328798004</v>
      </c>
      <c r="AK36">
        <v>0.31008879109701787</v>
      </c>
      <c r="AL36">
        <v>0.22365710171724468</v>
      </c>
      <c r="AM36">
        <v>0.22260819182191727</v>
      </c>
      <c r="AN36">
        <v>0.25629209381891799</v>
      </c>
      <c r="AO36">
        <v>0.39958373772745226</v>
      </c>
      <c r="AP36">
        <v>0.85124930759635664</v>
      </c>
      <c r="AQ36">
        <v>0</v>
      </c>
      <c r="EA36" t="s">
        <v>155</v>
      </c>
      <c r="EB36">
        <v>0</v>
      </c>
      <c r="EC36">
        <v>0</v>
      </c>
      <c r="ED36">
        <v>0</v>
      </c>
      <c r="EE36">
        <v>8.6422024046494433E-2</v>
      </c>
      <c r="EF36">
        <v>0.30162938691713242</v>
      </c>
      <c r="EG36">
        <v>0.38857940640045791</v>
      </c>
      <c r="EH36">
        <v>0.30676837737416979</v>
      </c>
      <c r="EI36">
        <v>9.5157083954510169E-2</v>
      </c>
      <c r="EJ36">
        <v>6.235183111564682E-4</v>
      </c>
      <c r="EK36">
        <v>0</v>
      </c>
      <c r="EL36">
        <v>0</v>
      </c>
      <c r="EM36">
        <v>4.1784511159326257E-5</v>
      </c>
      <c r="EN36">
        <v>3.8184512083235277E-2</v>
      </c>
      <c r="EO36">
        <v>0.24933781527076873</v>
      </c>
      <c r="EP36">
        <v>0.45068381909576594</v>
      </c>
      <c r="EQ36">
        <v>0.50860904840180299</v>
      </c>
      <c r="ER36">
        <v>0.42267176769355291</v>
      </c>
      <c r="ES36">
        <v>0.22790600127386301</v>
      </c>
      <c r="ET36">
        <v>3.1696204908279429E-2</v>
      </c>
      <c r="EU36">
        <v>0</v>
      </c>
      <c r="EV36">
        <v>0</v>
      </c>
      <c r="EW36">
        <v>4.1556706278749871E-4</v>
      </c>
      <c r="EX36">
        <v>6.6796553676347514E-2</v>
      </c>
      <c r="EY36">
        <v>0.32548852554516172</v>
      </c>
      <c r="EZ36">
        <v>0.53270171106709008</v>
      </c>
      <c r="FA36">
        <v>0.58693456076058115</v>
      </c>
      <c r="FB36">
        <v>0.49874110905950847</v>
      </c>
      <c r="FC36">
        <v>0.29587898554843595</v>
      </c>
      <c r="FD36">
        <v>6.2437792860961176E-2</v>
      </c>
      <c r="FE36">
        <v>1.5161003472588853E-4</v>
      </c>
      <c r="FF36">
        <v>0</v>
      </c>
      <c r="FG36">
        <v>0</v>
      </c>
      <c r="FH36">
        <v>1.0031072318882185E-2</v>
      </c>
      <c r="FI36">
        <v>0.16479977349999295</v>
      </c>
      <c r="FJ36">
        <v>0.35110210190447982</v>
      </c>
      <c r="FK36">
        <v>0.39147628059340844</v>
      </c>
      <c r="FL36">
        <v>0.29799315909680496</v>
      </c>
      <c r="FM36">
        <v>0.10898335897543521</v>
      </c>
      <c r="FN36">
        <v>4.1849095437971485E-3</v>
      </c>
      <c r="FO36">
        <v>0</v>
      </c>
      <c r="FQ36" t="s">
        <v>155</v>
      </c>
      <c r="FR36" t="s">
        <v>127</v>
      </c>
      <c r="FS36" t="s">
        <v>128</v>
      </c>
      <c r="FT36">
        <v>0.44237578859951487</v>
      </c>
    </row>
    <row r="37" spans="2:176" x14ac:dyDescent="0.45">
      <c r="B37" t="s">
        <v>156</v>
      </c>
      <c r="C37" t="s">
        <v>123</v>
      </c>
      <c r="D37">
        <v>0</v>
      </c>
      <c r="E37">
        <v>0</v>
      </c>
      <c r="F37">
        <v>0.97613809821516528</v>
      </c>
      <c r="G37">
        <v>0.34484586914997828</v>
      </c>
      <c r="H37">
        <v>0.19693505523164118</v>
      </c>
      <c r="I37">
        <v>0.18034892780932421</v>
      </c>
      <c r="J37">
        <v>0.21451473261828996</v>
      </c>
      <c r="K37">
        <v>0.46863395036878314</v>
      </c>
      <c r="L37">
        <v>0</v>
      </c>
      <c r="M37">
        <v>0</v>
      </c>
      <c r="N37">
        <v>0</v>
      </c>
      <c r="O37">
        <v>0.85175773911313268</v>
      </c>
      <c r="P37">
        <v>0.42562310886742005</v>
      </c>
      <c r="Q37">
        <v>0.22119763308271903</v>
      </c>
      <c r="R37">
        <v>0.17131696157564022</v>
      </c>
      <c r="S37">
        <v>0.16356618243813473</v>
      </c>
      <c r="T37">
        <v>0.16385501830914534</v>
      </c>
      <c r="U37">
        <v>0.21620711967519057</v>
      </c>
      <c r="V37">
        <v>0.54083008883922012</v>
      </c>
      <c r="W37">
        <v>0</v>
      </c>
      <c r="X37">
        <v>0</v>
      </c>
      <c r="Y37">
        <v>0.68561872039351213</v>
      </c>
      <c r="Z37">
        <v>0.32522970508538218</v>
      </c>
      <c r="AA37">
        <v>0.12808652253303132</v>
      </c>
      <c r="AB37">
        <v>0.10162795228051764</v>
      </c>
      <c r="AC37">
        <v>9.3441198749440804E-2</v>
      </c>
      <c r="AD37">
        <v>0.10564420662685441</v>
      </c>
      <c r="AE37">
        <v>0.1528232162323071</v>
      </c>
      <c r="AF37">
        <v>0.37388665122589354</v>
      </c>
      <c r="AG37">
        <v>0</v>
      </c>
      <c r="AH37">
        <v>0</v>
      </c>
      <c r="AI37">
        <v>0</v>
      </c>
      <c r="AJ37">
        <v>0.65731970041125609</v>
      </c>
      <c r="AK37">
        <v>0.2778751904165826</v>
      </c>
      <c r="AL37">
        <v>0.20548071153353753</v>
      </c>
      <c r="AM37">
        <v>0.20303753656604229</v>
      </c>
      <c r="AN37">
        <v>0.22798612219149417</v>
      </c>
      <c r="AO37">
        <v>0.42407676245473214</v>
      </c>
      <c r="AP37">
        <v>0.90702614744169863</v>
      </c>
      <c r="AQ37">
        <v>0</v>
      </c>
      <c r="EA37" t="s">
        <v>156</v>
      </c>
      <c r="EB37">
        <v>0</v>
      </c>
      <c r="EC37">
        <v>0</v>
      </c>
      <c r="ED37">
        <v>5.012454308297679E-4</v>
      </c>
      <c r="EE37">
        <v>0.13211006872538056</v>
      </c>
      <c r="EF37">
        <v>0.38213954309143899</v>
      </c>
      <c r="EG37">
        <v>0.46415343024571359</v>
      </c>
      <c r="EH37">
        <v>0.31922476825237189</v>
      </c>
      <c r="EI37">
        <v>7.5034915398559374E-2</v>
      </c>
      <c r="EJ37">
        <v>0</v>
      </c>
      <c r="EK37">
        <v>0</v>
      </c>
      <c r="EL37">
        <v>0</v>
      </c>
      <c r="EM37">
        <v>6.6697718341230641E-4</v>
      </c>
      <c r="EN37">
        <v>5.864107204716322E-2</v>
      </c>
      <c r="EO37">
        <v>0.28705430312449254</v>
      </c>
      <c r="EP37">
        <v>0.48081656226421254</v>
      </c>
      <c r="EQ37">
        <v>0.52045870810508321</v>
      </c>
      <c r="ER37">
        <v>0.40968810609375877</v>
      </c>
      <c r="ES37">
        <v>0.18943983229752101</v>
      </c>
      <c r="ET37">
        <v>1.5643535531311589E-2</v>
      </c>
      <c r="EU37">
        <v>0</v>
      </c>
      <c r="EV37">
        <v>0</v>
      </c>
      <c r="EW37">
        <v>2.6449857311156965E-3</v>
      </c>
      <c r="EX37">
        <v>0.10025005942123411</v>
      </c>
      <c r="EY37">
        <v>0.37282936237003811</v>
      </c>
      <c r="EZ37">
        <v>0.55268666931610333</v>
      </c>
      <c r="FA37">
        <v>0.57787373798456843</v>
      </c>
      <c r="FB37">
        <v>0.46833896633769734</v>
      </c>
      <c r="FC37">
        <v>0.25015271566726588</v>
      </c>
      <c r="FD37">
        <v>3.9705332546940988E-2</v>
      </c>
      <c r="FE37">
        <v>0</v>
      </c>
      <c r="FF37">
        <v>0</v>
      </c>
      <c r="FG37">
        <v>0</v>
      </c>
      <c r="FH37">
        <v>2.0415225251486226E-2</v>
      </c>
      <c r="FI37">
        <v>0.20257987025638746</v>
      </c>
      <c r="FJ37">
        <v>0.40400676237125582</v>
      </c>
      <c r="FK37">
        <v>0.44047248480036205</v>
      </c>
      <c r="FL37">
        <v>0.31368455969916215</v>
      </c>
      <c r="FM37">
        <v>8.9870772883857086E-2</v>
      </c>
      <c r="FN37">
        <v>1.0218826653691153E-3</v>
      </c>
      <c r="FO37">
        <v>0</v>
      </c>
      <c r="FQ37" t="s">
        <v>156</v>
      </c>
      <c r="FR37" t="s">
        <v>127</v>
      </c>
      <c r="FS37" t="s">
        <v>128</v>
      </c>
      <c r="FT37">
        <v>0.50801967985436192</v>
      </c>
    </row>
    <row r="38" spans="2:176" x14ac:dyDescent="0.45">
      <c r="B38" t="s">
        <v>157</v>
      </c>
      <c r="C38" t="s">
        <v>123</v>
      </c>
      <c r="D38">
        <v>0</v>
      </c>
      <c r="E38">
        <v>0</v>
      </c>
      <c r="F38">
        <v>0.97777777777777808</v>
      </c>
      <c r="G38">
        <v>0.38585735627031392</v>
      </c>
      <c r="H38">
        <v>0.24198968247613556</v>
      </c>
      <c r="I38">
        <v>0.22303502014976101</v>
      </c>
      <c r="J38">
        <v>0.26059229325878835</v>
      </c>
      <c r="K38">
        <v>0.49872221844670356</v>
      </c>
      <c r="L38">
        <v>0</v>
      </c>
      <c r="M38">
        <v>0</v>
      </c>
      <c r="N38">
        <v>0</v>
      </c>
      <c r="O38">
        <v>0.85735637127400033</v>
      </c>
      <c r="P38">
        <v>0.42572690258547435</v>
      </c>
      <c r="Q38">
        <v>0.23659018555504591</v>
      </c>
      <c r="R38">
        <v>0.1961172095392317</v>
      </c>
      <c r="S38">
        <v>0.17691384214527325</v>
      </c>
      <c r="T38">
        <v>0.18891983548737387</v>
      </c>
      <c r="U38">
        <v>0.24648496081701587</v>
      </c>
      <c r="V38">
        <v>0.56100375362993504</v>
      </c>
      <c r="W38">
        <v>0</v>
      </c>
      <c r="X38">
        <v>0</v>
      </c>
      <c r="Y38">
        <v>0.68854076957955024</v>
      </c>
      <c r="Z38">
        <v>0.32693517017630502</v>
      </c>
      <c r="AA38">
        <v>0.13760470548801221</v>
      </c>
      <c r="AB38">
        <v>0.11444971923221442</v>
      </c>
      <c r="AC38">
        <v>0.10579513882774673</v>
      </c>
      <c r="AD38">
        <v>0.11155862658061552</v>
      </c>
      <c r="AE38">
        <v>0.154872862453488</v>
      </c>
      <c r="AF38">
        <v>0.3572934170068196</v>
      </c>
      <c r="AG38">
        <v>0</v>
      </c>
      <c r="AH38">
        <v>0</v>
      </c>
      <c r="AI38">
        <v>0</v>
      </c>
      <c r="AJ38">
        <v>0.65793630053607088</v>
      </c>
      <c r="AK38">
        <v>0.30665989581824166</v>
      </c>
      <c r="AL38">
        <v>0.22706540471095346</v>
      </c>
      <c r="AM38">
        <v>0.21014360313152078</v>
      </c>
      <c r="AN38">
        <v>0.23696490484637101</v>
      </c>
      <c r="AO38">
        <v>0.44251566923550373</v>
      </c>
      <c r="AP38">
        <v>0.91682315432794215</v>
      </c>
      <c r="AQ38">
        <v>0</v>
      </c>
      <c r="EA38" t="s">
        <v>157</v>
      </c>
      <c r="EB38">
        <v>0</v>
      </c>
      <c r="EC38">
        <v>0</v>
      </c>
      <c r="ED38">
        <v>3.0181288999582068E-4</v>
      </c>
      <c r="EE38">
        <v>0.10788625857935075</v>
      </c>
      <c r="EF38">
        <v>0.32276239004426438</v>
      </c>
      <c r="EG38">
        <v>0.3907992371396386</v>
      </c>
      <c r="EH38">
        <v>0.25910662871398032</v>
      </c>
      <c r="EI38">
        <v>5.8937826276166644E-2</v>
      </c>
      <c r="EJ38">
        <v>0</v>
      </c>
      <c r="EK38">
        <v>0</v>
      </c>
      <c r="EL38">
        <v>0</v>
      </c>
      <c r="EM38">
        <v>6.8468258940350077E-4</v>
      </c>
      <c r="EN38">
        <v>5.4471496713516976E-2</v>
      </c>
      <c r="EO38">
        <v>0.26645837538653971</v>
      </c>
      <c r="EP38">
        <v>0.434020524269431</v>
      </c>
      <c r="EQ38">
        <v>0.46473824742903391</v>
      </c>
      <c r="ER38">
        <v>0.35720249996594489</v>
      </c>
      <c r="ES38">
        <v>0.16732272867580844</v>
      </c>
      <c r="ET38">
        <v>1.4321239275126282E-2</v>
      </c>
      <c r="EU38">
        <v>0</v>
      </c>
      <c r="EV38">
        <v>0</v>
      </c>
      <c r="EW38">
        <v>3.0333275202280236E-3</v>
      </c>
      <c r="EX38">
        <v>9.8403681737686155E-2</v>
      </c>
      <c r="EY38">
        <v>0.35783784297909355</v>
      </c>
      <c r="EZ38">
        <v>0.5346384644163481</v>
      </c>
      <c r="FA38">
        <v>0.56952901897402297</v>
      </c>
      <c r="FB38">
        <v>0.45875896692913903</v>
      </c>
      <c r="FC38">
        <v>0.24418176222487203</v>
      </c>
      <c r="FD38">
        <v>3.9527986771822586E-2</v>
      </c>
      <c r="FE38">
        <v>0</v>
      </c>
      <c r="FF38">
        <v>0</v>
      </c>
      <c r="FG38">
        <v>0</v>
      </c>
      <c r="FH38">
        <v>1.6741486040069857E-2</v>
      </c>
      <c r="FI38">
        <v>0.1747370286849238</v>
      </c>
      <c r="FJ38">
        <v>0.35830157232065302</v>
      </c>
      <c r="FK38">
        <v>0.39876283895297004</v>
      </c>
      <c r="FL38">
        <v>0.27802934225751152</v>
      </c>
      <c r="FM38">
        <v>7.7735779924945944E-2</v>
      </c>
      <c r="FN38">
        <v>1.0156699204566129E-3</v>
      </c>
      <c r="FO38">
        <v>0</v>
      </c>
      <c r="FQ38" t="s">
        <v>157</v>
      </c>
      <c r="FR38" t="s">
        <v>127</v>
      </c>
      <c r="FS38" t="s">
        <v>128</v>
      </c>
      <c r="FT38">
        <v>0.481102336545771</v>
      </c>
    </row>
    <row r="39" spans="2:176" x14ac:dyDescent="0.45">
      <c r="B39" t="s">
        <v>158</v>
      </c>
      <c r="C39" t="s">
        <v>123</v>
      </c>
      <c r="D39">
        <v>0</v>
      </c>
      <c r="E39">
        <v>0</v>
      </c>
      <c r="F39">
        <v>0.9944444444444448</v>
      </c>
      <c r="G39">
        <v>0.40665969013997955</v>
      </c>
      <c r="H39">
        <v>0.22535784545938131</v>
      </c>
      <c r="I39">
        <v>0.19951190485610956</v>
      </c>
      <c r="J39">
        <v>0.2243428317872031</v>
      </c>
      <c r="K39">
        <v>0.44649258920720269</v>
      </c>
      <c r="L39">
        <v>0</v>
      </c>
      <c r="M39">
        <v>0</v>
      </c>
      <c r="N39">
        <v>0</v>
      </c>
      <c r="O39">
        <v>0.89439594469439532</v>
      </c>
      <c r="P39">
        <v>0.46774739918755504</v>
      </c>
      <c r="Q39">
        <v>0.22803840511953008</v>
      </c>
      <c r="R39">
        <v>0.17767822026229813</v>
      </c>
      <c r="S39">
        <v>0.1565181456925287</v>
      </c>
      <c r="T39">
        <v>0.16692681785636346</v>
      </c>
      <c r="U39">
        <v>0.21321110735025636</v>
      </c>
      <c r="V39">
        <v>0.51279573124051692</v>
      </c>
      <c r="W39">
        <v>0</v>
      </c>
      <c r="X39">
        <v>0</v>
      </c>
      <c r="Y39">
        <v>0.72638787165359542</v>
      </c>
      <c r="Z39">
        <v>0.35153180291409114</v>
      </c>
      <c r="AA39">
        <v>0.12985901148463236</v>
      </c>
      <c r="AB39">
        <v>9.752850137394227E-2</v>
      </c>
      <c r="AC39">
        <v>9.4027521780955484E-2</v>
      </c>
      <c r="AD39">
        <v>0.1089850306746505</v>
      </c>
      <c r="AE39">
        <v>0.14610640953428666</v>
      </c>
      <c r="AF39">
        <v>0.36252574114322683</v>
      </c>
      <c r="AG39">
        <v>0.94834095537079544</v>
      </c>
      <c r="AH39">
        <v>0</v>
      </c>
      <c r="AI39">
        <v>0</v>
      </c>
      <c r="AJ39">
        <v>0.678741934255784</v>
      </c>
      <c r="AK39">
        <v>0.28416426587126137</v>
      </c>
      <c r="AL39">
        <v>0.20856820436436382</v>
      </c>
      <c r="AM39">
        <v>0.20712451751090213</v>
      </c>
      <c r="AN39">
        <v>0.23638725060328089</v>
      </c>
      <c r="AO39">
        <v>0.41052259158330323</v>
      </c>
      <c r="AP39">
        <v>0.86745892610730235</v>
      </c>
      <c r="AQ39">
        <v>0</v>
      </c>
      <c r="EA39" t="s">
        <v>158</v>
      </c>
      <c r="EB39">
        <v>0</v>
      </c>
      <c r="EC39">
        <v>0</v>
      </c>
      <c r="ED39">
        <v>2.2964399865127274E-6</v>
      </c>
      <c r="EE39">
        <v>0.10299724628859522</v>
      </c>
      <c r="EF39">
        <v>0.32643940971230695</v>
      </c>
      <c r="EG39">
        <v>0.41549971032858174</v>
      </c>
      <c r="EH39">
        <v>0.31547166832132351</v>
      </c>
      <c r="EI39">
        <v>8.6532242658690278E-2</v>
      </c>
      <c r="EJ39">
        <v>0</v>
      </c>
      <c r="EK39">
        <v>0</v>
      </c>
      <c r="EL39">
        <v>0</v>
      </c>
      <c r="EM39">
        <v>2.5553582806091285E-4</v>
      </c>
      <c r="EN39">
        <v>4.6998819026023417E-2</v>
      </c>
      <c r="EO39">
        <v>0.2585890106530761</v>
      </c>
      <c r="EP39">
        <v>0.44185020598407621</v>
      </c>
      <c r="EQ39">
        <v>0.49851683143631176</v>
      </c>
      <c r="ER39">
        <v>0.40090552704968219</v>
      </c>
      <c r="ES39">
        <v>0.19991461093076471</v>
      </c>
      <c r="ET39">
        <v>2.1915327908039951E-2</v>
      </c>
      <c r="EU39">
        <v>0</v>
      </c>
      <c r="EV39">
        <v>0</v>
      </c>
      <c r="EW39">
        <v>1.3459260533106748E-3</v>
      </c>
      <c r="EX39">
        <v>8.5675145145001894E-2</v>
      </c>
      <c r="EY39">
        <v>0.35890004137883713</v>
      </c>
      <c r="EZ39">
        <v>0.55837428208538742</v>
      </c>
      <c r="FA39">
        <v>0.60133195117414517</v>
      </c>
      <c r="FB39">
        <v>0.49936227396734972</v>
      </c>
      <c r="FC39">
        <v>0.28042762037715802</v>
      </c>
      <c r="FD39">
        <v>5.0133034576933307E-2</v>
      </c>
      <c r="FE39">
        <v>1.5993683648436695E-6</v>
      </c>
      <c r="FF39">
        <v>0</v>
      </c>
      <c r="FG39">
        <v>0</v>
      </c>
      <c r="FH39">
        <v>1.5265779952886811E-2</v>
      </c>
      <c r="FI39">
        <v>0.17854623929585473</v>
      </c>
      <c r="FJ39">
        <v>0.36875603170629589</v>
      </c>
      <c r="FK39">
        <v>0.41049283797165775</v>
      </c>
      <c r="FL39">
        <v>0.29943508000095503</v>
      </c>
      <c r="FM39">
        <v>9.6473141679634722E-2</v>
      </c>
      <c r="FN39">
        <v>2.2617747821031967E-3</v>
      </c>
      <c r="FO39">
        <v>0</v>
      </c>
      <c r="FQ39" t="s">
        <v>158</v>
      </c>
      <c r="FR39" t="s">
        <v>127</v>
      </c>
      <c r="FS39" t="s">
        <v>128</v>
      </c>
      <c r="FT39">
        <v>0.44258581499468025</v>
      </c>
    </row>
    <row r="40" spans="2:176" x14ac:dyDescent="0.45">
      <c r="B40" t="s">
        <v>159</v>
      </c>
      <c r="C40" t="s">
        <v>123</v>
      </c>
      <c r="D40">
        <v>0</v>
      </c>
      <c r="E40">
        <v>0</v>
      </c>
      <c r="F40">
        <v>0</v>
      </c>
      <c r="G40">
        <v>0.44144165552174247</v>
      </c>
      <c r="H40">
        <v>0.25702132146089229</v>
      </c>
      <c r="I40">
        <v>0.23931280644535388</v>
      </c>
      <c r="J40">
        <v>0.2742178997964615</v>
      </c>
      <c r="K40">
        <v>0.48995727462053001</v>
      </c>
      <c r="L40">
        <v>0</v>
      </c>
      <c r="M40">
        <v>0</v>
      </c>
      <c r="N40">
        <v>0</v>
      </c>
      <c r="O40">
        <v>0.87690747025716553</v>
      </c>
      <c r="P40">
        <v>0.44380487826132115</v>
      </c>
      <c r="Q40">
        <v>0.21985591550086633</v>
      </c>
      <c r="R40">
        <v>0.18831844206357184</v>
      </c>
      <c r="S40">
        <v>0.17656863840505291</v>
      </c>
      <c r="T40">
        <v>0.17422574193110352</v>
      </c>
      <c r="U40">
        <v>0.21407851995803506</v>
      </c>
      <c r="V40">
        <v>0.50885744212350481</v>
      </c>
      <c r="W40">
        <v>0</v>
      </c>
      <c r="X40">
        <v>0</v>
      </c>
      <c r="Y40">
        <v>0.70983046031144093</v>
      </c>
      <c r="Z40">
        <v>0.3428229806077801</v>
      </c>
      <c r="AA40">
        <v>0.14773373243223609</v>
      </c>
      <c r="AB40">
        <v>0.12210010086467507</v>
      </c>
      <c r="AC40">
        <v>0.10999767923418191</v>
      </c>
      <c r="AD40">
        <v>0.11550039531549196</v>
      </c>
      <c r="AE40">
        <v>0.15221706242498434</v>
      </c>
      <c r="AF40">
        <v>0.35251534625120717</v>
      </c>
      <c r="AG40">
        <v>0.90434476727396684</v>
      </c>
      <c r="AH40">
        <v>0</v>
      </c>
      <c r="AI40">
        <v>0</v>
      </c>
      <c r="AJ40">
        <v>0.6883936587705588</v>
      </c>
      <c r="AK40">
        <v>0.30518270323014302</v>
      </c>
      <c r="AL40">
        <v>0.23628562945938009</v>
      </c>
      <c r="AM40">
        <v>0.22618797314575295</v>
      </c>
      <c r="AN40">
        <v>0.25516533788212009</v>
      </c>
      <c r="AO40">
        <v>0.43754852672775335</v>
      </c>
      <c r="AP40">
        <v>0.87217991604447842</v>
      </c>
      <c r="AQ40">
        <v>0</v>
      </c>
      <c r="EA40" t="s">
        <v>159</v>
      </c>
      <c r="EB40">
        <v>0</v>
      </c>
      <c r="EC40">
        <v>0</v>
      </c>
      <c r="ED40">
        <v>0</v>
      </c>
      <c r="EE40">
        <v>8.7530645670717958E-2</v>
      </c>
      <c r="EF40">
        <v>0.27892680315725299</v>
      </c>
      <c r="EG40">
        <v>0.34739986167761489</v>
      </c>
      <c r="EH40">
        <v>0.25398578230609142</v>
      </c>
      <c r="EI40">
        <v>6.5424458282690418E-2</v>
      </c>
      <c r="EJ40">
        <v>0</v>
      </c>
      <c r="EK40">
        <v>0</v>
      </c>
      <c r="EL40">
        <v>0</v>
      </c>
      <c r="EM40">
        <v>4.29286827430639E-4</v>
      </c>
      <c r="EN40">
        <v>4.6883997624157459E-2</v>
      </c>
      <c r="EO40">
        <v>0.24799448090682716</v>
      </c>
      <c r="EP40">
        <v>0.41963932904206042</v>
      </c>
      <c r="EQ40">
        <v>0.46310373143134059</v>
      </c>
      <c r="ER40">
        <v>0.37040846831064222</v>
      </c>
      <c r="ES40">
        <v>0.18413906149885081</v>
      </c>
      <c r="ET40">
        <v>1.9841058935115116E-2</v>
      </c>
      <c r="EU40">
        <v>0</v>
      </c>
      <c r="EV40">
        <v>0</v>
      </c>
      <c r="EW40">
        <v>1.9145745281231683E-3</v>
      </c>
      <c r="EX40">
        <v>8.5807085884235773E-2</v>
      </c>
      <c r="EY40">
        <v>0.34085812201687243</v>
      </c>
      <c r="EZ40">
        <v>0.52876272819017356</v>
      </c>
      <c r="FA40">
        <v>0.56882503636427717</v>
      </c>
      <c r="FB40">
        <v>0.47196420117893484</v>
      </c>
      <c r="FC40">
        <v>0.26244701369727602</v>
      </c>
      <c r="FD40">
        <v>4.8560563946609764E-2</v>
      </c>
      <c r="FE40">
        <v>1.3409073840940476E-5</v>
      </c>
      <c r="FF40">
        <v>0</v>
      </c>
      <c r="FG40">
        <v>0</v>
      </c>
      <c r="FH40">
        <v>1.3638650064302375E-2</v>
      </c>
      <c r="FI40">
        <v>0.16621526009695936</v>
      </c>
      <c r="FJ40">
        <v>0.34159474261705586</v>
      </c>
      <c r="FK40">
        <v>0.38101276634498515</v>
      </c>
      <c r="FL40">
        <v>0.27361546712525658</v>
      </c>
      <c r="FM40">
        <v>8.6142313302251194E-2</v>
      </c>
      <c r="FN40">
        <v>1.9463448658483583E-3</v>
      </c>
      <c r="FO40">
        <v>0</v>
      </c>
      <c r="FQ40" t="s">
        <v>159</v>
      </c>
      <c r="FR40" t="s">
        <v>127</v>
      </c>
      <c r="FS40" t="s">
        <v>128</v>
      </c>
      <c r="FT40">
        <v>0.50290525538967978</v>
      </c>
    </row>
    <row r="41" spans="2:176" x14ac:dyDescent="0.45">
      <c r="B41" t="s">
        <v>160</v>
      </c>
      <c r="C41" t="s">
        <v>123</v>
      </c>
      <c r="D41">
        <v>0.25402651962709888</v>
      </c>
      <c r="E41">
        <v>0.27999622537681274</v>
      </c>
      <c r="F41">
        <v>0.28630957301245197</v>
      </c>
      <c r="G41">
        <v>0.29807529967134588</v>
      </c>
      <c r="H41">
        <v>0.32017597369737644</v>
      </c>
      <c r="I41">
        <v>0.3267600254571526</v>
      </c>
      <c r="J41">
        <v>0.31661465734269223</v>
      </c>
      <c r="K41">
        <v>0.29892284431660826</v>
      </c>
      <c r="L41">
        <v>0.27503226000580477</v>
      </c>
      <c r="M41">
        <v>0.25802428583445969</v>
      </c>
      <c r="N41">
        <v>0.29671554240395365</v>
      </c>
      <c r="O41">
        <v>0.28874256427282513</v>
      </c>
      <c r="P41">
        <v>0.29432933939986117</v>
      </c>
      <c r="Q41">
        <v>0.32301602452649103</v>
      </c>
      <c r="R41">
        <v>0.34338541077760804</v>
      </c>
      <c r="S41">
        <v>0.33289713625132189</v>
      </c>
      <c r="T41">
        <v>0.30629520407095012</v>
      </c>
      <c r="U41">
        <v>0.27894875828689902</v>
      </c>
      <c r="V41">
        <v>0.27578352639170167</v>
      </c>
      <c r="W41">
        <v>0.302744000297206</v>
      </c>
      <c r="X41">
        <v>0.38948320015448046</v>
      </c>
      <c r="Y41">
        <v>0.39640732134591522</v>
      </c>
      <c r="Z41">
        <v>0.40013912333494422</v>
      </c>
      <c r="AA41">
        <v>0.43307163407307125</v>
      </c>
      <c r="AB41">
        <v>0.4398817127172871</v>
      </c>
      <c r="AC41">
        <v>0.39820499726503711</v>
      </c>
      <c r="AD41">
        <v>0.35548867803129597</v>
      </c>
      <c r="AE41">
        <v>0.34276063933018525</v>
      </c>
      <c r="AF41">
        <v>0.36138014322861828</v>
      </c>
      <c r="AG41">
        <v>0.37401688683950396</v>
      </c>
      <c r="AH41">
        <v>0.26615456322762782</v>
      </c>
      <c r="AI41">
        <v>0.28240812526903619</v>
      </c>
      <c r="AJ41">
        <v>0.2931455868839748</v>
      </c>
      <c r="AK41">
        <v>0.30971637161657078</v>
      </c>
      <c r="AL41">
        <v>0.31462331117327003</v>
      </c>
      <c r="AM41">
        <v>0.31508931902036258</v>
      </c>
      <c r="AN41">
        <v>0.30316314078754419</v>
      </c>
      <c r="AO41">
        <v>0.28753070025904259</v>
      </c>
      <c r="AP41">
        <v>0.2723922975845075</v>
      </c>
      <c r="AQ41">
        <v>0.262169847934624</v>
      </c>
      <c r="EA41" t="s">
        <v>160</v>
      </c>
      <c r="EB41">
        <v>0.57466858529973919</v>
      </c>
      <c r="EC41">
        <v>0.54901230492463271</v>
      </c>
      <c r="ED41">
        <v>0.53963808298446481</v>
      </c>
      <c r="EE41">
        <v>0.5289204613657652</v>
      </c>
      <c r="EF41">
        <v>0.51922641612736331</v>
      </c>
      <c r="EG41">
        <v>0.52487212673297212</v>
      </c>
      <c r="EH41">
        <v>0.53774775608055014</v>
      </c>
      <c r="EI41">
        <v>0.55313511488729084</v>
      </c>
      <c r="EJ41">
        <v>0.56663584601887018</v>
      </c>
      <c r="EK41">
        <v>0.58260172356073081</v>
      </c>
      <c r="EL41">
        <v>0.49678074049960014</v>
      </c>
      <c r="EM41">
        <v>0.51240053690259424</v>
      </c>
      <c r="EN41">
        <v>0.5110359386534572</v>
      </c>
      <c r="EO41">
        <v>0.48816320151740433</v>
      </c>
      <c r="EP41">
        <v>0.46890751019982679</v>
      </c>
      <c r="EQ41">
        <v>0.48116716500408091</v>
      </c>
      <c r="ER41">
        <v>0.50490682931451913</v>
      </c>
      <c r="ES41">
        <v>0.51222187750491566</v>
      </c>
      <c r="ET41">
        <v>0.51976736929280687</v>
      </c>
      <c r="EU41">
        <v>0.50554180341474608</v>
      </c>
      <c r="EV41">
        <v>0.38778235898246527</v>
      </c>
      <c r="EW41">
        <v>0.37307742609480388</v>
      </c>
      <c r="EX41">
        <v>0.37606002902348856</v>
      </c>
      <c r="EY41">
        <v>0.34596246355561855</v>
      </c>
      <c r="EZ41">
        <v>0.33097108175827455</v>
      </c>
      <c r="FA41">
        <v>0.34325663503719861</v>
      </c>
      <c r="FB41">
        <v>0.37544716152754021</v>
      </c>
      <c r="FC41">
        <v>0.40599858125450916</v>
      </c>
      <c r="FD41">
        <v>0.41673789463480604</v>
      </c>
      <c r="FE41">
        <v>0.40624089794813167</v>
      </c>
      <c r="FF41">
        <v>0.5761115957380385</v>
      </c>
      <c r="FG41">
        <v>0.56263760859755385</v>
      </c>
      <c r="FH41">
        <v>0.55140632473337137</v>
      </c>
      <c r="FI41">
        <v>0.52658019118934518</v>
      </c>
      <c r="FJ41">
        <v>0.5104733147370828</v>
      </c>
      <c r="FK41">
        <v>0.50565001603382553</v>
      </c>
      <c r="FL41">
        <v>0.51841204431728616</v>
      </c>
      <c r="FM41">
        <v>0.54205743271738638</v>
      </c>
      <c r="FN41">
        <v>0.5643216120774518</v>
      </c>
      <c r="FO41">
        <v>0.57802159240644879</v>
      </c>
      <c r="FQ41" t="s">
        <v>161</v>
      </c>
      <c r="FR41" t="s">
        <v>127</v>
      </c>
      <c r="FS41" t="s">
        <v>128</v>
      </c>
      <c r="FT41">
        <v>0.19464687317879667</v>
      </c>
    </row>
    <row r="42" spans="2:176" x14ac:dyDescent="0.45">
      <c r="B42" t="s">
        <v>162</v>
      </c>
      <c r="C42" t="s">
        <v>123</v>
      </c>
      <c r="D42">
        <v>0.48794613634592093</v>
      </c>
      <c r="E42">
        <v>0.46853440516224576</v>
      </c>
      <c r="F42">
        <v>0.4540571187968705</v>
      </c>
      <c r="G42">
        <v>0.45101855355082715</v>
      </c>
      <c r="H42">
        <v>0.47842694458592222</v>
      </c>
      <c r="I42">
        <v>0.49712276361055385</v>
      </c>
      <c r="J42">
        <v>0.50895007168951722</v>
      </c>
      <c r="K42">
        <v>0.52110303252946033</v>
      </c>
      <c r="L42">
        <v>0.50091272388744046</v>
      </c>
      <c r="M42">
        <v>0.48376820487306055</v>
      </c>
      <c r="N42">
        <v>0.40596727454327514</v>
      </c>
      <c r="O42">
        <v>0.40739234167481475</v>
      </c>
      <c r="P42">
        <v>0.4072037514268203</v>
      </c>
      <c r="Q42">
        <v>0.41814475077367003</v>
      </c>
      <c r="R42">
        <v>0.41612464935339427</v>
      </c>
      <c r="S42">
        <v>0.41913082820764419</v>
      </c>
      <c r="T42">
        <v>0.41710241229522649</v>
      </c>
      <c r="U42">
        <v>0.41360486503097055</v>
      </c>
      <c r="V42">
        <v>0.42276905766033168</v>
      </c>
      <c r="W42">
        <v>0.41674625772779361</v>
      </c>
      <c r="X42">
        <v>0.48847860417632649</v>
      </c>
      <c r="Y42">
        <v>0.4990773579624026</v>
      </c>
      <c r="Z42">
        <v>0.49052514003151804</v>
      </c>
      <c r="AA42">
        <v>0.50591293614264943</v>
      </c>
      <c r="AB42">
        <v>0.49628171095420498</v>
      </c>
      <c r="AC42">
        <v>0.44137070623649555</v>
      </c>
      <c r="AD42">
        <v>0.43940234727919225</v>
      </c>
      <c r="AE42">
        <v>0.43177223543921284</v>
      </c>
      <c r="AF42">
        <v>0.43588259752185332</v>
      </c>
      <c r="AG42">
        <v>0.48882429642447456</v>
      </c>
      <c r="AH42">
        <v>0.46111025342223205</v>
      </c>
      <c r="AI42">
        <v>0.46564730274441418</v>
      </c>
      <c r="AJ42">
        <v>0.45185892758203117</v>
      </c>
      <c r="AK42">
        <v>0.47371117992223327</v>
      </c>
      <c r="AL42">
        <v>0.48367016733993506</v>
      </c>
      <c r="AM42">
        <v>0.47017962299154137</v>
      </c>
      <c r="AN42">
        <v>0.45274048959251656</v>
      </c>
      <c r="AO42">
        <v>0.43929824022574293</v>
      </c>
      <c r="AP42">
        <v>0.44752184564131342</v>
      </c>
      <c r="AQ42">
        <v>0.44564965604735973</v>
      </c>
      <c r="EA42" t="s">
        <v>162</v>
      </c>
      <c r="EB42">
        <v>0.21011479681916262</v>
      </c>
      <c r="EC42">
        <v>0.22468438047130054</v>
      </c>
      <c r="ED42">
        <v>0.21255567097759623</v>
      </c>
      <c r="EE42">
        <v>0.21086284656723606</v>
      </c>
      <c r="EF42">
        <v>0.21195365185334542</v>
      </c>
      <c r="EG42">
        <v>0.20241630539696756</v>
      </c>
      <c r="EH42">
        <v>0.20059739116654213</v>
      </c>
      <c r="EI42">
        <v>0.20878288458387445</v>
      </c>
      <c r="EJ42">
        <v>0.21309193448593314</v>
      </c>
      <c r="EK42">
        <v>0.2060086974854968</v>
      </c>
      <c r="EL42">
        <v>0.30113788904800137</v>
      </c>
      <c r="EM42">
        <v>0.31794765751143172</v>
      </c>
      <c r="EN42">
        <v>0.31788161263277337</v>
      </c>
      <c r="EO42">
        <v>0.31392774292784048</v>
      </c>
      <c r="EP42">
        <v>0.30974308466208417</v>
      </c>
      <c r="EQ42">
        <v>0.29606961324325354</v>
      </c>
      <c r="ER42">
        <v>0.29027654099301697</v>
      </c>
      <c r="ES42">
        <v>0.29546053350757956</v>
      </c>
      <c r="ET42">
        <v>0.29502987404768904</v>
      </c>
      <c r="EU42">
        <v>0.28840287060653258</v>
      </c>
      <c r="EV42">
        <v>8.9091159230751435E-2</v>
      </c>
      <c r="EW42">
        <v>8.2673017951503697E-2</v>
      </c>
      <c r="EX42">
        <v>7.0006645699227765E-2</v>
      </c>
      <c r="EY42">
        <v>6.0838728672392615E-2</v>
      </c>
      <c r="EZ42">
        <v>6.833238248525017E-2</v>
      </c>
      <c r="FA42">
        <v>9.5325223306106668E-2</v>
      </c>
      <c r="FB42">
        <v>0.11933561798388113</v>
      </c>
      <c r="FC42">
        <v>0.11551425900431869</v>
      </c>
      <c r="FD42">
        <v>0.10754780838619502</v>
      </c>
      <c r="FE42">
        <v>9.6542745754045464E-2</v>
      </c>
      <c r="FF42">
        <v>0.30124959399951046</v>
      </c>
      <c r="FG42">
        <v>0.2766338773795412</v>
      </c>
      <c r="FH42">
        <v>0.27463557920670623</v>
      </c>
      <c r="FI42">
        <v>0.27156181653859218</v>
      </c>
      <c r="FJ42">
        <v>0.26810386633358613</v>
      </c>
      <c r="FK42">
        <v>0.27636420060583855</v>
      </c>
      <c r="FL42">
        <v>0.29245317228328849</v>
      </c>
      <c r="FM42">
        <v>0.30581174485662455</v>
      </c>
      <c r="FN42">
        <v>0.30123056733123493</v>
      </c>
      <c r="FO42">
        <v>0.3036493105408673</v>
      </c>
      <c r="FQ42" t="s">
        <v>163</v>
      </c>
      <c r="FR42" t="s">
        <v>127</v>
      </c>
      <c r="FS42" t="s">
        <v>128</v>
      </c>
      <c r="FT42">
        <v>0.2150125505779332</v>
      </c>
    </row>
    <row r="43" spans="2:176" x14ac:dyDescent="0.45">
      <c r="B43" t="s">
        <v>164</v>
      </c>
      <c r="C43" t="s">
        <v>123</v>
      </c>
      <c r="D43">
        <v>0.47860644164239391</v>
      </c>
      <c r="E43">
        <v>0.45643550889272355</v>
      </c>
      <c r="F43">
        <v>0.45702397594632077</v>
      </c>
      <c r="G43">
        <v>0.46853733665277758</v>
      </c>
      <c r="H43">
        <v>0.49039000404934008</v>
      </c>
      <c r="I43">
        <v>0.47440916512454839</v>
      </c>
      <c r="J43">
        <v>0.46732111553946809</v>
      </c>
      <c r="K43">
        <v>0.46008360314712365</v>
      </c>
      <c r="L43">
        <v>0.46396003453361595</v>
      </c>
      <c r="M43">
        <v>0.45811543224493845</v>
      </c>
      <c r="N43">
        <v>0.41360438433074798</v>
      </c>
      <c r="O43">
        <v>0.41251360795526426</v>
      </c>
      <c r="P43">
        <v>0.40294774780463688</v>
      </c>
      <c r="Q43">
        <v>0.418153579533523</v>
      </c>
      <c r="R43">
        <v>0.42715921492685027</v>
      </c>
      <c r="S43">
        <v>0.40257130443265893</v>
      </c>
      <c r="T43">
        <v>0.38788588273777014</v>
      </c>
      <c r="U43">
        <v>0.3909460430350537</v>
      </c>
      <c r="V43">
        <v>0.40350771638995625</v>
      </c>
      <c r="W43">
        <v>0.40985133726597506</v>
      </c>
      <c r="X43">
        <v>0.49233143480137254</v>
      </c>
      <c r="Y43">
        <v>0.49996593458838845</v>
      </c>
      <c r="Z43">
        <v>0.51211881280593985</v>
      </c>
      <c r="AA43">
        <v>0.53118648132571755</v>
      </c>
      <c r="AB43">
        <v>0.53409766540851233</v>
      </c>
      <c r="AC43">
        <v>0.50311107112480435</v>
      </c>
      <c r="AD43">
        <v>0.46398260760788873</v>
      </c>
      <c r="AE43">
        <v>0.45386083704870522</v>
      </c>
      <c r="AF43">
        <v>0.44087824970062084</v>
      </c>
      <c r="AG43">
        <v>0.4641072401967643</v>
      </c>
      <c r="AH43">
        <v>0.43863195844281161</v>
      </c>
      <c r="AI43">
        <v>0.42853053533367863</v>
      </c>
      <c r="AJ43">
        <v>0.42174075977360848</v>
      </c>
      <c r="AK43">
        <v>0.43502817036854119</v>
      </c>
      <c r="AL43">
        <v>0.44417329666713556</v>
      </c>
      <c r="AM43">
        <v>0.43658443007017467</v>
      </c>
      <c r="AN43">
        <v>0.42915166516429265</v>
      </c>
      <c r="AO43">
        <v>0.42989126695543783</v>
      </c>
      <c r="AP43">
        <v>0.43234001339390787</v>
      </c>
      <c r="AQ43">
        <v>0.42048832622157017</v>
      </c>
      <c r="EA43" t="s">
        <v>164</v>
      </c>
      <c r="EB43">
        <v>0.26302446664588375</v>
      </c>
      <c r="EC43">
        <v>0.27557794657273454</v>
      </c>
      <c r="ED43">
        <v>0.27553323734383006</v>
      </c>
      <c r="EE43">
        <v>0.27084180083655324</v>
      </c>
      <c r="EF43">
        <v>0.26358020250280156</v>
      </c>
      <c r="EG43">
        <v>0.27384802225488175</v>
      </c>
      <c r="EH43">
        <v>0.27784526259272663</v>
      </c>
      <c r="EI43">
        <v>0.27912910430518773</v>
      </c>
      <c r="EJ43">
        <v>0.27006705144738941</v>
      </c>
      <c r="EK43">
        <v>0.25441560450664369</v>
      </c>
      <c r="EL43">
        <v>0.33163218081866674</v>
      </c>
      <c r="EM43">
        <v>0.34688057852701576</v>
      </c>
      <c r="EN43">
        <v>0.34285052319974341</v>
      </c>
      <c r="EO43">
        <v>0.33035124260039211</v>
      </c>
      <c r="EP43">
        <v>0.32674679805043699</v>
      </c>
      <c r="EQ43">
        <v>0.33205475342903817</v>
      </c>
      <c r="ER43">
        <v>0.34671836191517363</v>
      </c>
      <c r="ES43">
        <v>0.35968429073345937</v>
      </c>
      <c r="ET43">
        <v>0.35102900053893571</v>
      </c>
      <c r="EU43">
        <v>0.31986092855971893</v>
      </c>
      <c r="EV43">
        <v>0.115855626254073</v>
      </c>
      <c r="EW43">
        <v>0.11554851976277127</v>
      </c>
      <c r="EX43">
        <v>0.11229730547931129</v>
      </c>
      <c r="EY43">
        <v>9.5017112052803818E-2</v>
      </c>
      <c r="EZ43">
        <v>9.1726054856946432E-2</v>
      </c>
      <c r="FA43">
        <v>0.11459460970709012</v>
      </c>
      <c r="FB43">
        <v>0.13236469662621608</v>
      </c>
      <c r="FC43">
        <v>0.1377947302085242</v>
      </c>
      <c r="FD43">
        <v>0.13586694599907356</v>
      </c>
      <c r="FE43">
        <v>0.11945481590584546</v>
      </c>
      <c r="FF43">
        <v>0.33899792043793114</v>
      </c>
      <c r="FG43">
        <v>0.31701333704018914</v>
      </c>
      <c r="FH43">
        <v>0.31076543892502517</v>
      </c>
      <c r="FI43">
        <v>0.29651806334971842</v>
      </c>
      <c r="FJ43">
        <v>0.28130798436314453</v>
      </c>
      <c r="FK43">
        <v>0.29079476211726296</v>
      </c>
      <c r="FL43">
        <v>0.31743537054970489</v>
      </c>
      <c r="FM43">
        <v>0.33868833233523055</v>
      </c>
      <c r="FN43">
        <v>0.34412920575797151</v>
      </c>
      <c r="FO43">
        <v>0.34220767341355501</v>
      </c>
      <c r="FQ43" t="s">
        <v>165</v>
      </c>
      <c r="FR43" t="s">
        <v>127</v>
      </c>
      <c r="FS43" t="s">
        <v>128</v>
      </c>
      <c r="FT43">
        <v>0.27515607034265982</v>
      </c>
    </row>
    <row r="44" spans="2:176" x14ac:dyDescent="0.45">
      <c r="B44" t="s">
        <v>166</v>
      </c>
      <c r="C44" t="s">
        <v>123</v>
      </c>
      <c r="D44">
        <v>0.53162596158560949</v>
      </c>
      <c r="E44">
        <v>0.51728951189622985</v>
      </c>
      <c r="F44">
        <v>0.49698686740597769</v>
      </c>
      <c r="G44">
        <v>0.50092840333452848</v>
      </c>
      <c r="H44">
        <v>0.53182198149804571</v>
      </c>
      <c r="I44">
        <v>0.52661404919092591</v>
      </c>
      <c r="J44">
        <v>0.50517589592506096</v>
      </c>
      <c r="K44">
        <v>0.52137786812028508</v>
      </c>
      <c r="L44">
        <v>0.52476102828403393</v>
      </c>
      <c r="M44">
        <v>0.5105306767830351</v>
      </c>
      <c r="N44">
        <v>0.49505841134213985</v>
      </c>
      <c r="O44">
        <v>0.48003031105587496</v>
      </c>
      <c r="P44">
        <v>0.46832222844269417</v>
      </c>
      <c r="Q44">
        <v>0.48237932586006821</v>
      </c>
      <c r="R44">
        <v>0.49483583243542373</v>
      </c>
      <c r="S44">
        <v>0.49912676820047702</v>
      </c>
      <c r="T44">
        <v>0.50645559020349606</v>
      </c>
      <c r="U44">
        <v>0.51781264537044669</v>
      </c>
      <c r="V44">
        <v>0.51905836154047336</v>
      </c>
      <c r="W44">
        <v>0.51421107595202586</v>
      </c>
      <c r="X44">
        <v>0.56803311087412145</v>
      </c>
      <c r="Y44">
        <v>0.56389898068251565</v>
      </c>
      <c r="Z44">
        <v>0.53195146796445048</v>
      </c>
      <c r="AA44">
        <v>0.5504762051630413</v>
      </c>
      <c r="AB44">
        <v>0.56586634675112735</v>
      </c>
      <c r="AC44">
        <v>0.56662342700278023</v>
      </c>
      <c r="AD44">
        <v>0.53191703153897774</v>
      </c>
      <c r="AE44">
        <v>0.48160099186840238</v>
      </c>
      <c r="AF44">
        <v>0.49848470459754385</v>
      </c>
      <c r="AG44">
        <v>0.51652277095972776</v>
      </c>
      <c r="AH44">
        <v>0.46853565614082848</v>
      </c>
      <c r="AI44">
        <v>0.45234252055824331</v>
      </c>
      <c r="AJ44">
        <v>0.43366230275551104</v>
      </c>
      <c r="AK44">
        <v>0.44387661067035938</v>
      </c>
      <c r="AL44">
        <v>0.46404165324479801</v>
      </c>
      <c r="AM44">
        <v>0.45792564142164865</v>
      </c>
      <c r="AN44">
        <v>0.44818198738206877</v>
      </c>
      <c r="AO44">
        <v>0.44490286233920512</v>
      </c>
      <c r="AP44">
        <v>0.4361191329535255</v>
      </c>
      <c r="AQ44">
        <v>0.42945589154392522</v>
      </c>
      <c r="EA44" t="s">
        <v>166</v>
      </c>
      <c r="EB44">
        <v>0.2567297808580204</v>
      </c>
      <c r="EC44">
        <v>0.28012956602615302</v>
      </c>
      <c r="ED44">
        <v>0.28987820061609254</v>
      </c>
      <c r="EE44">
        <v>0.2807383592499213</v>
      </c>
      <c r="EF44">
        <v>0.28145775591450123</v>
      </c>
      <c r="EG44">
        <v>0.29609849669892963</v>
      </c>
      <c r="EH44">
        <v>0.29988053031783135</v>
      </c>
      <c r="EI44">
        <v>0.29040596089325843</v>
      </c>
      <c r="EJ44">
        <v>0.27566176807029275</v>
      </c>
      <c r="EK44">
        <v>0.25176262563025509</v>
      </c>
      <c r="EL44">
        <v>0.32833304961842141</v>
      </c>
      <c r="EM44">
        <v>0.30463287502567732</v>
      </c>
      <c r="EN44">
        <v>0.31900724904287769</v>
      </c>
      <c r="EO44">
        <v>0.30827029203899892</v>
      </c>
      <c r="EP44">
        <v>0.3161675634100507</v>
      </c>
      <c r="EQ44">
        <v>0.33076182306736568</v>
      </c>
      <c r="ER44">
        <v>0.32481326689847501</v>
      </c>
      <c r="ES44">
        <v>0.321075188332622</v>
      </c>
      <c r="ET44">
        <v>0.32246855409365432</v>
      </c>
      <c r="EU44">
        <v>0.32476333696188481</v>
      </c>
      <c r="EV44">
        <v>0.10765025769385671</v>
      </c>
      <c r="EW44">
        <v>0.1143676714551554</v>
      </c>
      <c r="EX44">
        <v>0.12056721419788158</v>
      </c>
      <c r="EY44">
        <v>0.11934168466921066</v>
      </c>
      <c r="EZ44">
        <v>0.11895882815018843</v>
      </c>
      <c r="FA44">
        <v>0.10744425463654687</v>
      </c>
      <c r="FB44">
        <v>9.8151496768443161E-2</v>
      </c>
      <c r="FC44">
        <v>9.7983773461158344E-2</v>
      </c>
      <c r="FD44">
        <v>0.10652006635791622</v>
      </c>
      <c r="FE44">
        <v>0.1131181377817141</v>
      </c>
      <c r="FF44">
        <v>0.31720678153688314</v>
      </c>
      <c r="FG44">
        <v>0.31576092964470653</v>
      </c>
      <c r="FH44">
        <v>0.31182377601738326</v>
      </c>
      <c r="FI44">
        <v>0.31297205559459035</v>
      </c>
      <c r="FJ44">
        <v>0.32277556147700137</v>
      </c>
      <c r="FK44">
        <v>0.34930288340643068</v>
      </c>
      <c r="FL44">
        <v>0.36922191885417677</v>
      </c>
      <c r="FM44">
        <v>0.37334406688383392</v>
      </c>
      <c r="FN44">
        <v>0.37235425115156162</v>
      </c>
      <c r="FO44">
        <v>0.35951715339343626</v>
      </c>
      <c r="FQ44" t="s">
        <v>167</v>
      </c>
      <c r="FR44" t="s">
        <v>127</v>
      </c>
      <c r="FS44" t="s">
        <v>128</v>
      </c>
      <c r="FT44">
        <v>0.52800711372828024</v>
      </c>
    </row>
    <row r="45" spans="2:176" x14ac:dyDescent="0.45">
      <c r="B45" t="s">
        <v>168</v>
      </c>
      <c r="C45" t="s">
        <v>123</v>
      </c>
      <c r="D45">
        <v>0.35602150869236249</v>
      </c>
      <c r="E45">
        <v>0.3683911250158049</v>
      </c>
      <c r="F45">
        <v>0.37653193712155586</v>
      </c>
      <c r="G45">
        <v>0.38788265947538952</v>
      </c>
      <c r="H45">
        <v>0.4057059545462684</v>
      </c>
      <c r="I45">
        <v>0.39541973996913987</v>
      </c>
      <c r="J45">
        <v>0.37215959021919864</v>
      </c>
      <c r="K45">
        <v>0.35986639614177102</v>
      </c>
      <c r="L45">
        <v>0.35450111880253382</v>
      </c>
      <c r="M45">
        <v>0.35213427278814718</v>
      </c>
      <c r="N45">
        <v>0.38334289819718526</v>
      </c>
      <c r="O45">
        <v>0.39142299396050945</v>
      </c>
      <c r="P45">
        <v>0.38373713651625019</v>
      </c>
      <c r="Q45">
        <v>0.36845575368367239</v>
      </c>
      <c r="R45">
        <v>0.33731434536024441</v>
      </c>
      <c r="S45">
        <v>0.30897914746750438</v>
      </c>
      <c r="T45">
        <v>0.28875313469457548</v>
      </c>
      <c r="U45">
        <v>0.28545833099997386</v>
      </c>
      <c r="V45">
        <v>0.29286648553124334</v>
      </c>
      <c r="W45">
        <v>0.32490415823147989</v>
      </c>
      <c r="X45">
        <v>0.50515270874329588</v>
      </c>
      <c r="Y45">
        <v>0.52195455370916899</v>
      </c>
      <c r="Z45">
        <v>0.51342140896706701</v>
      </c>
      <c r="AA45">
        <v>0.49930028398232351</v>
      </c>
      <c r="AB45">
        <v>0.48084290299798776</v>
      </c>
      <c r="AC45">
        <v>0.45340273112732998</v>
      </c>
      <c r="AD45">
        <v>0.45796603527085916</v>
      </c>
      <c r="AE45">
        <v>0.48322861793773342</v>
      </c>
      <c r="AF45">
        <v>0.49622111707326433</v>
      </c>
      <c r="AG45">
        <v>0.49963329152882413</v>
      </c>
      <c r="AH45">
        <v>0.39086200718499053</v>
      </c>
      <c r="AI45">
        <v>0.39768496419967764</v>
      </c>
      <c r="AJ45">
        <v>0.39141835193079749</v>
      </c>
      <c r="AK45">
        <v>0.40608231428891284</v>
      </c>
      <c r="AL45">
        <v>0.41740405098340622</v>
      </c>
      <c r="AM45">
        <v>0.4023222184362012</v>
      </c>
      <c r="AN45">
        <v>0.37738499275532783</v>
      </c>
      <c r="AO45">
        <v>0.37476530029384508</v>
      </c>
      <c r="AP45">
        <v>0.37581268913044796</v>
      </c>
      <c r="AQ45">
        <v>0.37233564789077467</v>
      </c>
      <c r="EA45" t="s">
        <v>168</v>
      </c>
      <c r="EB45">
        <v>0.39856661483992195</v>
      </c>
      <c r="EC45">
        <v>0.40598333901142869</v>
      </c>
      <c r="ED45">
        <v>0.40318550765562772</v>
      </c>
      <c r="EE45">
        <v>0.38469645247919082</v>
      </c>
      <c r="EF45">
        <v>0.37755752664273279</v>
      </c>
      <c r="EG45">
        <v>0.39604789973495536</v>
      </c>
      <c r="EH45">
        <v>0.41203326097722037</v>
      </c>
      <c r="EI45">
        <v>0.42697944808811428</v>
      </c>
      <c r="EJ45">
        <v>0.41684963301848393</v>
      </c>
      <c r="EK45">
        <v>0.40785347767720481</v>
      </c>
      <c r="EL45">
        <v>0.40482899602826483</v>
      </c>
      <c r="EM45">
        <v>0.40159823349538543</v>
      </c>
      <c r="EN45">
        <v>0.41037516365621107</v>
      </c>
      <c r="EO45">
        <v>0.42149887674432274</v>
      </c>
      <c r="EP45">
        <v>0.44693263275166473</v>
      </c>
      <c r="EQ45">
        <v>0.4940064464084824</v>
      </c>
      <c r="ER45">
        <v>0.52385393506625721</v>
      </c>
      <c r="ES45">
        <v>0.52232362823097089</v>
      </c>
      <c r="ET45">
        <v>0.50102399316478052</v>
      </c>
      <c r="EU45">
        <v>0.4472450428311362</v>
      </c>
      <c r="EV45">
        <v>0.21723581263546743</v>
      </c>
      <c r="EW45">
        <v>0.18050923427417481</v>
      </c>
      <c r="EX45">
        <v>0.17745107153959161</v>
      </c>
      <c r="EY45">
        <v>0.17773992257620561</v>
      </c>
      <c r="EZ45">
        <v>0.19960345149406314</v>
      </c>
      <c r="FA45">
        <v>0.24007710300590809</v>
      </c>
      <c r="FB45">
        <v>0.25924521044489784</v>
      </c>
      <c r="FC45">
        <v>0.26288699160775908</v>
      </c>
      <c r="FD45">
        <v>0.26110147263242195</v>
      </c>
      <c r="FE45">
        <v>0.24396855340193582</v>
      </c>
      <c r="FF45">
        <v>0.42536670474770011</v>
      </c>
      <c r="FG45">
        <v>0.40609220494840803</v>
      </c>
      <c r="FH45">
        <v>0.40279963472341512</v>
      </c>
      <c r="FI45">
        <v>0.38863951973729433</v>
      </c>
      <c r="FJ45">
        <v>0.38575476028652561</v>
      </c>
      <c r="FK45">
        <v>0.40915953633167884</v>
      </c>
      <c r="FL45">
        <v>0.42832866636289341</v>
      </c>
      <c r="FM45">
        <v>0.44317268851004288</v>
      </c>
      <c r="FN45">
        <v>0.4377546720835791</v>
      </c>
      <c r="FO45">
        <v>0.43941194595844052</v>
      </c>
      <c r="FQ45" t="s">
        <v>169</v>
      </c>
      <c r="FR45" t="s">
        <v>127</v>
      </c>
      <c r="FS45" t="s">
        <v>128</v>
      </c>
      <c r="FT45">
        <v>0.39184672754396638</v>
      </c>
    </row>
    <row r="46" spans="2:176" x14ac:dyDescent="0.45">
      <c r="B46" t="s">
        <v>170</v>
      </c>
      <c r="C46" t="s">
        <v>123</v>
      </c>
      <c r="D46">
        <v>0.47495756927806193</v>
      </c>
      <c r="E46">
        <v>0.5054925653748481</v>
      </c>
      <c r="F46">
        <v>0.51368520106133131</v>
      </c>
      <c r="G46">
        <v>0.54862166831828929</v>
      </c>
      <c r="H46">
        <v>0.56345038622713772</v>
      </c>
      <c r="I46">
        <v>0.52274420453035764</v>
      </c>
      <c r="J46">
        <v>0.49170631802504311</v>
      </c>
      <c r="K46">
        <v>0.47407882336422369</v>
      </c>
      <c r="L46">
        <v>0.47517985914625838</v>
      </c>
      <c r="M46">
        <v>0.45069974357830539</v>
      </c>
      <c r="N46">
        <v>0.53862820393133626</v>
      </c>
      <c r="O46">
        <v>0.51846122057157673</v>
      </c>
      <c r="P46">
        <v>0.51667208774305351</v>
      </c>
      <c r="Q46">
        <v>0.50086981907974248</v>
      </c>
      <c r="R46">
        <v>0.46242936459062001</v>
      </c>
      <c r="S46">
        <v>0.40481530677592503</v>
      </c>
      <c r="T46">
        <v>0.39760013412808387</v>
      </c>
      <c r="U46">
        <v>0.41307087341961507</v>
      </c>
      <c r="V46">
        <v>0.4378404579444542</v>
      </c>
      <c r="W46">
        <v>0.49675157767738087</v>
      </c>
      <c r="X46">
        <v>0.59157204618312631</v>
      </c>
      <c r="Y46">
        <v>0.60235385925876128</v>
      </c>
      <c r="Z46">
        <v>0.6221994273935203</v>
      </c>
      <c r="AA46">
        <v>0.58425298807902537</v>
      </c>
      <c r="AB46">
        <v>0.52594458141439371</v>
      </c>
      <c r="AC46">
        <v>0.45735320467347912</v>
      </c>
      <c r="AD46">
        <v>0.42474904850096068</v>
      </c>
      <c r="AE46">
        <v>0.43328085395578603</v>
      </c>
      <c r="AF46">
        <v>0.49669570578596356</v>
      </c>
      <c r="AG46">
        <v>0.55974525307800094</v>
      </c>
      <c r="AH46">
        <v>0.49888184575549127</v>
      </c>
      <c r="AI46">
        <v>0.49816814346798616</v>
      </c>
      <c r="AJ46">
        <v>0.49460761687138693</v>
      </c>
      <c r="AK46">
        <v>0.51436852867968408</v>
      </c>
      <c r="AL46">
        <v>0.5084460493719849</v>
      </c>
      <c r="AM46">
        <v>0.48605764333622176</v>
      </c>
      <c r="AN46">
        <v>0.44055574396509778</v>
      </c>
      <c r="AO46">
        <v>0.42332433512485451</v>
      </c>
      <c r="AP46">
        <v>0.46983431192313552</v>
      </c>
      <c r="AQ46">
        <v>0.48817771591011805</v>
      </c>
      <c r="EA46" t="s">
        <v>170</v>
      </c>
      <c r="EB46">
        <v>0.25032293662920385</v>
      </c>
      <c r="EC46">
        <v>0.25305527533055283</v>
      </c>
      <c r="ED46">
        <v>0.24663263795341159</v>
      </c>
      <c r="EE46">
        <v>0.22182021220990766</v>
      </c>
      <c r="EF46">
        <v>0.23426917777720113</v>
      </c>
      <c r="EG46">
        <v>0.25940805567693637</v>
      </c>
      <c r="EH46">
        <v>0.27564733753711657</v>
      </c>
      <c r="EI46">
        <v>0.28480822481991103</v>
      </c>
      <c r="EJ46">
        <v>0.27092535715524313</v>
      </c>
      <c r="EK46">
        <v>0.25337075327277286</v>
      </c>
      <c r="EL46">
        <v>0.23236325175638067</v>
      </c>
      <c r="EM46">
        <v>0.2241916329620163</v>
      </c>
      <c r="EN46">
        <v>0.22338395559547833</v>
      </c>
      <c r="EO46">
        <v>0.25580688382109179</v>
      </c>
      <c r="EP46">
        <v>0.29990065401754057</v>
      </c>
      <c r="EQ46">
        <v>0.33653184573631734</v>
      </c>
      <c r="ER46">
        <v>0.34329603692648286</v>
      </c>
      <c r="ES46">
        <v>0.31546165895364853</v>
      </c>
      <c r="ET46">
        <v>0.29169940446635062</v>
      </c>
      <c r="EU46">
        <v>0.2491842924933155</v>
      </c>
      <c r="EV46">
        <v>0.11695486975519959</v>
      </c>
      <c r="EW46">
        <v>8.5377664427379263E-2</v>
      </c>
      <c r="EX46">
        <v>8.6664649319414894E-2</v>
      </c>
      <c r="EY46">
        <v>0.11245465186885154</v>
      </c>
      <c r="EZ46">
        <v>0.14073124597653869</v>
      </c>
      <c r="FA46">
        <v>0.18082279165062812</v>
      </c>
      <c r="FB46">
        <v>0.20131482507238854</v>
      </c>
      <c r="FC46">
        <v>0.19697503234214231</v>
      </c>
      <c r="FD46">
        <v>0.17368406663350153</v>
      </c>
      <c r="FE46">
        <v>0.14857966335240644</v>
      </c>
      <c r="FF46">
        <v>0.21913794970682279</v>
      </c>
      <c r="FG46">
        <v>0.21764594148383937</v>
      </c>
      <c r="FH46">
        <v>0.20946126788916006</v>
      </c>
      <c r="FI46">
        <v>0.20896818620219296</v>
      </c>
      <c r="FJ46">
        <v>0.22361471399071289</v>
      </c>
      <c r="FK46">
        <v>0.2436823213785109</v>
      </c>
      <c r="FL46">
        <v>0.24998396812237103</v>
      </c>
      <c r="FM46">
        <v>0.25198217320312222</v>
      </c>
      <c r="FN46">
        <v>0.24424614989746279</v>
      </c>
      <c r="FO46">
        <v>0.23548649479387732</v>
      </c>
      <c r="FQ46" t="s">
        <v>171</v>
      </c>
      <c r="FR46" t="s">
        <v>127</v>
      </c>
      <c r="FS46" t="s">
        <v>128</v>
      </c>
      <c r="FT46">
        <v>0.33954982815723023</v>
      </c>
    </row>
    <row r="47" spans="2:176" x14ac:dyDescent="0.45">
      <c r="B47" t="s">
        <v>172</v>
      </c>
      <c r="C47" t="s">
        <v>123</v>
      </c>
      <c r="D47">
        <v>0.39994109209814943</v>
      </c>
      <c r="E47">
        <v>0.40351912341655555</v>
      </c>
      <c r="F47">
        <v>0.42261725500910968</v>
      </c>
      <c r="G47">
        <v>0.43381226902470099</v>
      </c>
      <c r="H47">
        <v>0.42833941605285036</v>
      </c>
      <c r="I47">
        <v>0.43498437785638916</v>
      </c>
      <c r="J47">
        <v>0.43187947904668095</v>
      </c>
      <c r="K47">
        <v>0.42881903229963664</v>
      </c>
      <c r="L47">
        <v>0.40620578484120684</v>
      </c>
      <c r="M47">
        <v>0.39772605518312198</v>
      </c>
      <c r="N47">
        <v>0.32078205971677298</v>
      </c>
      <c r="O47">
        <v>0.32275002818268411</v>
      </c>
      <c r="P47">
        <v>0.3324032112997129</v>
      </c>
      <c r="Q47">
        <v>0.33252884490144363</v>
      </c>
      <c r="R47">
        <v>0.31887765668399187</v>
      </c>
      <c r="S47">
        <v>0.31055790437327579</v>
      </c>
      <c r="T47">
        <v>0.31502944991397303</v>
      </c>
      <c r="U47">
        <v>0.31358779090435829</v>
      </c>
      <c r="V47">
        <v>0.31949013733898118</v>
      </c>
      <c r="W47">
        <v>0.32375621816017236</v>
      </c>
      <c r="X47">
        <v>0.45202133265835898</v>
      </c>
      <c r="Y47">
        <v>0.46716682087717415</v>
      </c>
      <c r="Z47">
        <v>0.47477608105122482</v>
      </c>
      <c r="AA47">
        <v>0.49448279696132236</v>
      </c>
      <c r="AB47">
        <v>0.47733032106112261</v>
      </c>
      <c r="AC47">
        <v>0.451559776229631</v>
      </c>
      <c r="AD47">
        <v>0.43946519138410273</v>
      </c>
      <c r="AE47">
        <v>0.43028940707267255</v>
      </c>
      <c r="AF47">
        <v>0.431520049526257</v>
      </c>
      <c r="AG47">
        <v>0.43054959481492411</v>
      </c>
      <c r="AH47">
        <v>0.38401725247768431</v>
      </c>
      <c r="AI47">
        <v>0.39945640371235575</v>
      </c>
      <c r="AJ47">
        <v>0.41463711954783938</v>
      </c>
      <c r="AK47">
        <v>0.42620726722953833</v>
      </c>
      <c r="AL47">
        <v>0.41531299840370217</v>
      </c>
      <c r="AM47">
        <v>0.40439733523248483</v>
      </c>
      <c r="AN47">
        <v>0.38802439384151965</v>
      </c>
      <c r="AO47">
        <v>0.37898104093408264</v>
      </c>
      <c r="AP47">
        <v>0.38204098685564952</v>
      </c>
      <c r="AQ47">
        <v>0.37382927639280583</v>
      </c>
      <c r="EA47" t="s">
        <v>172</v>
      </c>
      <c r="EB47">
        <v>0.29604908808183422</v>
      </c>
      <c r="EC47">
        <v>0.29032688734756051</v>
      </c>
      <c r="ED47">
        <v>0.29355096015899318</v>
      </c>
      <c r="EE47">
        <v>0.2891143871646189</v>
      </c>
      <c r="EF47">
        <v>0.29405230902894564</v>
      </c>
      <c r="EG47">
        <v>0.30300821257608562</v>
      </c>
      <c r="EH47">
        <v>0.30998740318180212</v>
      </c>
      <c r="EI47">
        <v>0.31137737789274766</v>
      </c>
      <c r="EJ47">
        <v>0.31007488140244405</v>
      </c>
      <c r="EK47">
        <v>0.29321009207278842</v>
      </c>
      <c r="EL47">
        <v>0.34328041217907002</v>
      </c>
      <c r="EM47">
        <v>0.33418991899341205</v>
      </c>
      <c r="EN47">
        <v>0.33113669452722022</v>
      </c>
      <c r="EO47">
        <v>0.34020319144856376</v>
      </c>
      <c r="EP47">
        <v>0.3599537068490844</v>
      </c>
      <c r="EQ47">
        <v>0.38314932386610917</v>
      </c>
      <c r="ER47">
        <v>0.39019935882023382</v>
      </c>
      <c r="ES47">
        <v>0.38454056654938917</v>
      </c>
      <c r="ET47">
        <v>0.36065701405125278</v>
      </c>
      <c r="EU47">
        <v>0.34674780414485307</v>
      </c>
      <c r="EV47">
        <v>0.12959695692179249</v>
      </c>
      <c r="EW47">
        <v>0.109752254029351</v>
      </c>
      <c r="EX47">
        <v>0.10709657527430343</v>
      </c>
      <c r="EY47">
        <v>0.10729270477683123</v>
      </c>
      <c r="EZ47">
        <v>0.11922651505759126</v>
      </c>
      <c r="FA47">
        <v>0.14674352076804206</v>
      </c>
      <c r="FB47">
        <v>0.1621856953874449</v>
      </c>
      <c r="FC47">
        <v>0.15767328292612268</v>
      </c>
      <c r="FD47">
        <v>0.15132770682228222</v>
      </c>
      <c r="FE47">
        <v>0.13626087945893586</v>
      </c>
      <c r="FF47">
        <v>0.29723419277841912</v>
      </c>
      <c r="FG47">
        <v>0.28818465984312686</v>
      </c>
      <c r="FH47">
        <v>0.28697728640974957</v>
      </c>
      <c r="FI47">
        <v>0.29114503794400803</v>
      </c>
      <c r="FJ47">
        <v>0.31026746354334861</v>
      </c>
      <c r="FK47">
        <v>0.32030926584075092</v>
      </c>
      <c r="FL47">
        <v>0.32667768563829186</v>
      </c>
      <c r="FM47">
        <v>0.32351704583824592</v>
      </c>
      <c r="FN47">
        <v>0.31479537280383602</v>
      </c>
      <c r="FO47">
        <v>0.30633862408400797</v>
      </c>
      <c r="FQ47" t="s">
        <v>173</v>
      </c>
      <c r="FR47" t="s">
        <v>127</v>
      </c>
      <c r="FS47" t="s">
        <v>128</v>
      </c>
      <c r="FT47">
        <v>0.34752911694303429</v>
      </c>
    </row>
    <row r="48" spans="2:176" x14ac:dyDescent="0.45">
      <c r="B48" t="s">
        <v>174</v>
      </c>
      <c r="C48" t="s">
        <v>123</v>
      </c>
      <c r="D48">
        <v>0.4564920711056159</v>
      </c>
      <c r="E48">
        <v>0.47611859830831099</v>
      </c>
      <c r="F48">
        <v>0.47194670033572905</v>
      </c>
      <c r="G48">
        <v>0.47534831558509294</v>
      </c>
      <c r="H48">
        <v>0.46254984251424158</v>
      </c>
      <c r="I48">
        <v>0.45588843494540537</v>
      </c>
      <c r="J48">
        <v>0.44327203298210827</v>
      </c>
      <c r="K48">
        <v>0.45346497338621328</v>
      </c>
      <c r="L48">
        <v>0.45416283819688108</v>
      </c>
      <c r="M48">
        <v>0.45923863850811419</v>
      </c>
      <c r="N48">
        <v>0.40633396406916206</v>
      </c>
      <c r="O48">
        <v>0.41737438077785122</v>
      </c>
      <c r="P48">
        <v>0.44147288532345214</v>
      </c>
      <c r="Q48">
        <v>0.42921235415185799</v>
      </c>
      <c r="R48">
        <v>0.41198496657303468</v>
      </c>
      <c r="S48">
        <v>0.39383684380353468</v>
      </c>
      <c r="T48">
        <v>0.39007166736853777</v>
      </c>
      <c r="U48">
        <v>0.40555430188386477</v>
      </c>
      <c r="V48">
        <v>0.38414492965777691</v>
      </c>
      <c r="W48">
        <v>0.39417151420974483</v>
      </c>
      <c r="X48">
        <v>0.54427964474322255</v>
      </c>
      <c r="Y48">
        <v>0.53232329540540824</v>
      </c>
      <c r="Z48">
        <v>0.51832346383147254</v>
      </c>
      <c r="AA48">
        <v>0.49288804125532215</v>
      </c>
      <c r="AB48">
        <v>0.4353242393625259</v>
      </c>
      <c r="AC48">
        <v>0.42625166143504395</v>
      </c>
      <c r="AD48">
        <v>0.43538488558830407</v>
      </c>
      <c r="AE48">
        <v>0.45143903318544354</v>
      </c>
      <c r="AF48">
        <v>0.49172442671588812</v>
      </c>
      <c r="AG48">
        <v>0.52053719597730286</v>
      </c>
      <c r="AH48">
        <v>0.43846116447343719</v>
      </c>
      <c r="AI48">
        <v>0.44160912662986362</v>
      </c>
      <c r="AJ48">
        <v>0.4468625324836657</v>
      </c>
      <c r="AK48">
        <v>0.45228601954136405</v>
      </c>
      <c r="AL48">
        <v>0.43963269711802255</v>
      </c>
      <c r="AM48">
        <v>0.43838140408429238</v>
      </c>
      <c r="AN48">
        <v>0.43996260702986517</v>
      </c>
      <c r="AO48">
        <v>0.43869872227749546</v>
      </c>
      <c r="AP48">
        <v>0.42462712583442447</v>
      </c>
      <c r="AQ48">
        <v>0.4045246886650648</v>
      </c>
      <c r="EA48" t="s">
        <v>174</v>
      </c>
      <c r="EB48">
        <v>0.26813156706953628</v>
      </c>
      <c r="EC48">
        <v>0.25789233594421401</v>
      </c>
      <c r="ED48">
        <v>0.26440223500572352</v>
      </c>
      <c r="EE48">
        <v>0.26808649109961052</v>
      </c>
      <c r="EF48">
        <v>0.28271465544045593</v>
      </c>
      <c r="EG48">
        <v>0.29907322566594102</v>
      </c>
      <c r="EH48">
        <v>0.316933997363473</v>
      </c>
      <c r="EI48">
        <v>0.29772976706735788</v>
      </c>
      <c r="EJ48">
        <v>0.28599204908370868</v>
      </c>
      <c r="EK48">
        <v>0.27720355276337444</v>
      </c>
      <c r="EL48">
        <v>0.29816092238154102</v>
      </c>
      <c r="EM48">
        <v>0.30083795248166373</v>
      </c>
      <c r="EN48">
        <v>0.3065207350142452</v>
      </c>
      <c r="EO48">
        <v>0.30101818853164214</v>
      </c>
      <c r="EP48">
        <v>0.30022071276123269</v>
      </c>
      <c r="EQ48">
        <v>0.31341803396555962</v>
      </c>
      <c r="ER48">
        <v>0.31934182061282312</v>
      </c>
      <c r="ES48">
        <v>0.30718199920881056</v>
      </c>
      <c r="ET48">
        <v>0.30945670365548245</v>
      </c>
      <c r="EU48">
        <v>0.31696568300316541</v>
      </c>
      <c r="EV48">
        <v>9.7984634815340699E-2</v>
      </c>
      <c r="EW48">
        <v>9.1181226940218199E-2</v>
      </c>
      <c r="EX48">
        <v>9.5691136948121508E-2</v>
      </c>
      <c r="EY48">
        <v>0.1124483314962835</v>
      </c>
      <c r="EZ48">
        <v>0.13593710713979343</v>
      </c>
      <c r="FA48">
        <v>0.13670251217832707</v>
      </c>
      <c r="FB48">
        <v>0.12483329049554533</v>
      </c>
      <c r="FC48">
        <v>0.11213689329831497</v>
      </c>
      <c r="FD48">
        <v>0.10699023202481761</v>
      </c>
      <c r="FE48">
        <v>0.10692466086407691</v>
      </c>
      <c r="FF48">
        <v>0.27917443352577448</v>
      </c>
      <c r="FG48">
        <v>0.26524944865633476</v>
      </c>
      <c r="FH48">
        <v>0.26202553182592164</v>
      </c>
      <c r="FI48">
        <v>0.26848595861632091</v>
      </c>
      <c r="FJ48">
        <v>0.27406046146291546</v>
      </c>
      <c r="FK48">
        <v>0.28075600841727394</v>
      </c>
      <c r="FL48">
        <v>0.28831362336807487</v>
      </c>
      <c r="FM48">
        <v>0.2897676710707166</v>
      </c>
      <c r="FN48">
        <v>0.30161052067114225</v>
      </c>
      <c r="FO48">
        <v>0.2957703411803434</v>
      </c>
      <c r="FQ48" t="s">
        <v>175</v>
      </c>
      <c r="FR48" t="s">
        <v>127</v>
      </c>
      <c r="FS48" t="s">
        <v>128</v>
      </c>
      <c r="FT48">
        <v>0.40782409510667672</v>
      </c>
    </row>
    <row r="49" spans="2:176" x14ac:dyDescent="0.45">
      <c r="B49" t="s">
        <v>176</v>
      </c>
      <c r="C49" t="s">
        <v>123</v>
      </c>
      <c r="D49">
        <v>0.32997056362135768</v>
      </c>
      <c r="E49">
        <v>0.3239939367270725</v>
      </c>
      <c r="F49">
        <v>0.33013234357616139</v>
      </c>
      <c r="G49">
        <v>0.34701201574304424</v>
      </c>
      <c r="H49">
        <v>0.36740460135674863</v>
      </c>
      <c r="I49">
        <v>0.38076090858418848</v>
      </c>
      <c r="J49">
        <v>0.35309638529669712</v>
      </c>
      <c r="K49">
        <v>0.31670822480849592</v>
      </c>
      <c r="L49">
        <v>0.29716957327420446</v>
      </c>
      <c r="M49">
        <v>0.29823526690871566</v>
      </c>
      <c r="N49">
        <v>0.32609246655346941</v>
      </c>
      <c r="O49">
        <v>0.32294685276308688</v>
      </c>
      <c r="P49">
        <v>0.32417082501562455</v>
      </c>
      <c r="Q49">
        <v>0.3395420675342366</v>
      </c>
      <c r="R49">
        <v>0.36544257598940716</v>
      </c>
      <c r="S49">
        <v>0.35600918507685131</v>
      </c>
      <c r="T49">
        <v>0.32075488131045338</v>
      </c>
      <c r="U49">
        <v>0.31557683714107071</v>
      </c>
      <c r="V49">
        <v>0.31002930077947266</v>
      </c>
      <c r="W49">
        <v>0.31810971576820984</v>
      </c>
      <c r="X49">
        <v>0.32095641367431182</v>
      </c>
      <c r="Y49">
        <v>0.36231532126087279</v>
      </c>
      <c r="Z49">
        <v>0.39139083676983583</v>
      </c>
      <c r="AA49">
        <v>0.44174954189423454</v>
      </c>
      <c r="AB49">
        <v>0.45871930778457787</v>
      </c>
      <c r="AC49">
        <v>0.33607392671576025</v>
      </c>
      <c r="AD49">
        <v>0.26635063312074925</v>
      </c>
      <c r="AE49">
        <v>0.25044859561379057</v>
      </c>
      <c r="AF49">
        <v>0.26166685068216333</v>
      </c>
      <c r="AG49">
        <v>0.29606910982979417</v>
      </c>
      <c r="AH49">
        <v>0.32684051483165594</v>
      </c>
      <c r="AI49">
        <v>0.33366343816440808</v>
      </c>
      <c r="AJ49">
        <v>0.34242996455644403</v>
      </c>
      <c r="AK49">
        <v>0.35629998018166364</v>
      </c>
      <c r="AL49">
        <v>0.37302249870721638</v>
      </c>
      <c r="AM49">
        <v>0.36508599396586355</v>
      </c>
      <c r="AN49">
        <v>0.35402124307029292</v>
      </c>
      <c r="AO49">
        <v>0.36152053378410998</v>
      </c>
      <c r="AP49">
        <v>0.34535392239665841</v>
      </c>
      <c r="AQ49">
        <v>0.33485879251640377</v>
      </c>
      <c r="EA49" t="s">
        <v>176</v>
      </c>
      <c r="EB49">
        <v>0.48153007997053648</v>
      </c>
      <c r="EC49">
        <v>0.47538700974106435</v>
      </c>
      <c r="ED49">
        <v>0.46623186412734013</v>
      </c>
      <c r="EE49">
        <v>0.43857330981949966</v>
      </c>
      <c r="EF49">
        <v>0.41884325856783766</v>
      </c>
      <c r="EG49">
        <v>0.40801461211152951</v>
      </c>
      <c r="EH49">
        <v>0.41175618136917019</v>
      </c>
      <c r="EI49">
        <v>0.43055031654062142</v>
      </c>
      <c r="EJ49">
        <v>0.45741425400032398</v>
      </c>
      <c r="EK49">
        <v>0.48300105137161242</v>
      </c>
      <c r="EL49">
        <v>0.38765872938226337</v>
      </c>
      <c r="EM49">
        <v>0.39997009884682572</v>
      </c>
      <c r="EN49">
        <v>0.39418821560783729</v>
      </c>
      <c r="EO49">
        <v>0.37040965387814334</v>
      </c>
      <c r="EP49">
        <v>0.35743160701807303</v>
      </c>
      <c r="EQ49">
        <v>0.37142255450606898</v>
      </c>
      <c r="ER49">
        <v>0.40071886238740068</v>
      </c>
      <c r="ES49">
        <v>0.41530360678260964</v>
      </c>
      <c r="ET49">
        <v>0.40060240271710684</v>
      </c>
      <c r="EU49">
        <v>0.37085008676660408</v>
      </c>
      <c r="EV49">
        <v>0.21091554118841724</v>
      </c>
      <c r="EW49">
        <v>0.17954182728189655</v>
      </c>
      <c r="EX49">
        <v>0.16286839234395306</v>
      </c>
      <c r="EY49">
        <v>0.15148985071274457</v>
      </c>
      <c r="EZ49">
        <v>0.15684226603735948</v>
      </c>
      <c r="FA49">
        <v>0.21081389274555129</v>
      </c>
      <c r="FB49">
        <v>0.29709236250205734</v>
      </c>
      <c r="FC49">
        <v>0.3338232051763167</v>
      </c>
      <c r="FD49">
        <v>0.32927483144040809</v>
      </c>
      <c r="FE49">
        <v>0.27656791121318375</v>
      </c>
      <c r="FF49">
        <v>0.3922102891159911</v>
      </c>
      <c r="FG49">
        <v>0.39382895518902594</v>
      </c>
      <c r="FH49">
        <v>0.39814383041661833</v>
      </c>
      <c r="FI49">
        <v>0.37111585770699906</v>
      </c>
      <c r="FJ49">
        <v>0.35032396491696699</v>
      </c>
      <c r="FK49">
        <v>0.37458425034786885</v>
      </c>
      <c r="FL49">
        <v>0.40167796117643806</v>
      </c>
      <c r="FM49">
        <v>0.42011445349858545</v>
      </c>
      <c r="FN49">
        <v>0.42900902106590039</v>
      </c>
      <c r="FO49">
        <v>0.41803259367248541</v>
      </c>
      <c r="FQ49" t="s">
        <v>177</v>
      </c>
      <c r="FR49" t="s">
        <v>127</v>
      </c>
      <c r="FS49" t="s">
        <v>128</v>
      </c>
      <c r="FT49">
        <v>0.38860154436683658</v>
      </c>
    </row>
    <row r="50" spans="2:176" x14ac:dyDescent="0.45">
      <c r="B50" t="s">
        <v>178</v>
      </c>
      <c r="C50" t="s">
        <v>123</v>
      </c>
      <c r="D50">
        <v>0.42563237212412985</v>
      </c>
      <c r="E50">
        <v>0.44050106100092562</v>
      </c>
      <c r="F50">
        <v>0.43160439466224243</v>
      </c>
      <c r="G50">
        <v>0.447704669761535</v>
      </c>
      <c r="H50">
        <v>0.47066870393546667</v>
      </c>
      <c r="I50">
        <v>0.47679898200257742</v>
      </c>
      <c r="J50">
        <v>0.46945642557865691</v>
      </c>
      <c r="K50">
        <v>0.44858966552196838</v>
      </c>
      <c r="L50">
        <v>0.43194334381985339</v>
      </c>
      <c r="M50">
        <v>0.4153662886774333</v>
      </c>
      <c r="N50">
        <v>0.4368235579753319</v>
      </c>
      <c r="O50">
        <v>0.44353013210968001</v>
      </c>
      <c r="P50">
        <v>0.43956595206966265</v>
      </c>
      <c r="Q50">
        <v>0.44057703060296854</v>
      </c>
      <c r="R50">
        <v>0.44450262179783245</v>
      </c>
      <c r="S50">
        <v>0.42197235961145424</v>
      </c>
      <c r="T50">
        <v>0.398461273108002</v>
      </c>
      <c r="U50">
        <v>0.41834159120805564</v>
      </c>
      <c r="V50">
        <v>0.42896944105876811</v>
      </c>
      <c r="W50">
        <v>0.44631049814644774</v>
      </c>
      <c r="X50">
        <v>0.45870181830935142</v>
      </c>
      <c r="Y50">
        <v>0.52705883254099828</v>
      </c>
      <c r="Z50">
        <v>0.56735363771160119</v>
      </c>
      <c r="AA50">
        <v>0.57107570261696572</v>
      </c>
      <c r="AB50">
        <v>0.51012257264272542</v>
      </c>
      <c r="AC50">
        <v>0.37545851166942407</v>
      </c>
      <c r="AD50">
        <v>0.29969986596876186</v>
      </c>
      <c r="AE50">
        <v>0.30418539352644747</v>
      </c>
      <c r="AF50">
        <v>0.37631661048110765</v>
      </c>
      <c r="AG50">
        <v>0.41460982508269345</v>
      </c>
      <c r="AH50">
        <v>0.45991017804810891</v>
      </c>
      <c r="AI50">
        <v>0.44162893145701354</v>
      </c>
      <c r="AJ50">
        <v>0.45004389917169341</v>
      </c>
      <c r="AK50">
        <v>0.48422235701375699</v>
      </c>
      <c r="AL50">
        <v>0.51467133491084605</v>
      </c>
      <c r="AM50">
        <v>0.47390011527746712</v>
      </c>
      <c r="AN50">
        <v>0.45577776636963441</v>
      </c>
      <c r="AO50">
        <v>0.44681777451766558</v>
      </c>
      <c r="AP50">
        <v>0.46936923398497787</v>
      </c>
      <c r="AQ50">
        <v>0.46048014484891509</v>
      </c>
      <c r="EA50" t="s">
        <v>178</v>
      </c>
      <c r="EB50">
        <v>0.36131311804185517</v>
      </c>
      <c r="EC50">
        <v>0.33929213795086577</v>
      </c>
      <c r="ED50">
        <v>0.34084893833755309</v>
      </c>
      <c r="EE50">
        <v>0.31846613133158019</v>
      </c>
      <c r="EF50">
        <v>0.3071566153408235</v>
      </c>
      <c r="EG50">
        <v>0.31448221761772099</v>
      </c>
      <c r="EH50">
        <v>0.31235144616673804</v>
      </c>
      <c r="EI50">
        <v>0.30384408810382918</v>
      </c>
      <c r="EJ50">
        <v>0.29534325848669851</v>
      </c>
      <c r="EK50">
        <v>0.32010118887216471</v>
      </c>
      <c r="EL50">
        <v>0.23816032805226986</v>
      </c>
      <c r="EM50">
        <v>0.27457154916761362</v>
      </c>
      <c r="EN50">
        <v>0.28105432281976706</v>
      </c>
      <c r="EO50">
        <v>0.26032076519787434</v>
      </c>
      <c r="EP50">
        <v>0.26482566744696512</v>
      </c>
      <c r="EQ50">
        <v>0.2792971047026146</v>
      </c>
      <c r="ER50">
        <v>0.28600577738151239</v>
      </c>
      <c r="ES50">
        <v>0.27247001805074472</v>
      </c>
      <c r="ET50">
        <v>0.25477324869058543</v>
      </c>
      <c r="EU50">
        <v>0.24065063814413262</v>
      </c>
      <c r="EV50">
        <v>8.895377798345061E-2</v>
      </c>
      <c r="EW50">
        <v>8.4417757289053916E-2</v>
      </c>
      <c r="EX50">
        <v>8.8772636817378472E-2</v>
      </c>
      <c r="EY50">
        <v>9.7402606273965867E-2</v>
      </c>
      <c r="EZ50">
        <v>0.1107698047493139</v>
      </c>
      <c r="FA50">
        <v>0.14546030396393136</v>
      </c>
      <c r="FB50">
        <v>0.16411282263352009</v>
      </c>
      <c r="FC50">
        <v>0.13516911635246209</v>
      </c>
      <c r="FD50">
        <v>0.10371741967948923</v>
      </c>
      <c r="FE50">
        <v>9.6115555860139298E-2</v>
      </c>
      <c r="FF50">
        <v>0.22704436451370655</v>
      </c>
      <c r="FG50">
        <v>0.22423810992328511</v>
      </c>
      <c r="FH50">
        <v>0.23219189012760891</v>
      </c>
      <c r="FI50">
        <v>0.21566248729193052</v>
      </c>
      <c r="FJ50">
        <v>0.20013454819167198</v>
      </c>
      <c r="FK50">
        <v>0.2118830934267972</v>
      </c>
      <c r="FL50">
        <v>0.22790812429265825</v>
      </c>
      <c r="FM50">
        <v>0.2396910314507025</v>
      </c>
      <c r="FN50">
        <v>0.25099939675003824</v>
      </c>
      <c r="FO50">
        <v>0.24358748894691426</v>
      </c>
      <c r="FQ50" t="s">
        <v>179</v>
      </c>
      <c r="FR50" t="s">
        <v>127</v>
      </c>
      <c r="FS50" t="s">
        <v>128</v>
      </c>
      <c r="FT50">
        <v>0.328519011076923</v>
      </c>
    </row>
    <row r="51" spans="2:176" x14ac:dyDescent="0.45">
      <c r="B51" t="s">
        <v>180</v>
      </c>
      <c r="C51" t="s">
        <v>123</v>
      </c>
      <c r="D51">
        <v>0.27505984878719514</v>
      </c>
      <c r="E51">
        <v>0.29107869628555422</v>
      </c>
      <c r="F51">
        <v>0.2897127496693932</v>
      </c>
      <c r="G51">
        <v>0.28404650046653468</v>
      </c>
      <c r="H51">
        <v>0.29146409934844242</v>
      </c>
      <c r="I51">
        <v>0.28210586522580983</v>
      </c>
      <c r="J51">
        <v>0.27648641062300094</v>
      </c>
      <c r="K51">
        <v>0.26175590833320006</v>
      </c>
      <c r="L51">
        <v>0.24493857228913476</v>
      </c>
      <c r="M51">
        <v>0.2538584662352063</v>
      </c>
      <c r="N51">
        <v>0.28968885801692357</v>
      </c>
      <c r="O51">
        <v>0.28055201301374</v>
      </c>
      <c r="P51">
        <v>0.27306955244689129</v>
      </c>
      <c r="Q51">
        <v>0.27670943276496474</v>
      </c>
      <c r="R51">
        <v>0.28597836571441887</v>
      </c>
      <c r="S51">
        <v>0.28304488448829607</v>
      </c>
      <c r="T51">
        <v>0.271097685412161</v>
      </c>
      <c r="U51">
        <v>0.26634563707158926</v>
      </c>
      <c r="V51">
        <v>0.27213036199422797</v>
      </c>
      <c r="W51">
        <v>0.2751868336906621</v>
      </c>
      <c r="X51">
        <v>0.33677008385509233</v>
      </c>
      <c r="Y51">
        <v>0.35038486369901045</v>
      </c>
      <c r="Z51">
        <v>0.35717356590011357</v>
      </c>
      <c r="AA51">
        <v>0.38536153907253523</v>
      </c>
      <c r="AB51">
        <v>0.39486125519827375</v>
      </c>
      <c r="AC51">
        <v>0.37953053926197983</v>
      </c>
      <c r="AD51">
        <v>0.36006968489687213</v>
      </c>
      <c r="AE51">
        <v>0.33165334027997151</v>
      </c>
      <c r="AF51">
        <v>0.31502804205207424</v>
      </c>
      <c r="AG51">
        <v>0.33097859302597599</v>
      </c>
      <c r="AH51">
        <v>0.29284358331454718</v>
      </c>
      <c r="AI51">
        <v>0.30364924390657438</v>
      </c>
      <c r="AJ51">
        <v>0.30155841025411012</v>
      </c>
      <c r="AK51">
        <v>0.31296679072416073</v>
      </c>
      <c r="AL51">
        <v>0.30878561196702398</v>
      </c>
      <c r="AM51">
        <v>0.30768030491509252</v>
      </c>
      <c r="AN51">
        <v>0.31051749557056862</v>
      </c>
      <c r="AO51">
        <v>0.30441578043268064</v>
      </c>
      <c r="AP51">
        <v>0.31163507129574947</v>
      </c>
      <c r="AQ51">
        <v>0.31047939972747868</v>
      </c>
      <c r="EA51" t="s">
        <v>180</v>
      </c>
      <c r="EB51">
        <v>0.57909725039470972</v>
      </c>
      <c r="EC51">
        <v>0.58380461389805116</v>
      </c>
      <c r="ED51">
        <v>0.58486959768804681</v>
      </c>
      <c r="EE51">
        <v>0.56659639377425752</v>
      </c>
      <c r="EF51">
        <v>0.54007244716111513</v>
      </c>
      <c r="EG51">
        <v>0.53268692747720936</v>
      </c>
      <c r="EH51">
        <v>0.54675754271985266</v>
      </c>
      <c r="EI51">
        <v>0.5752041671835173</v>
      </c>
      <c r="EJ51">
        <v>0.60377291609320605</v>
      </c>
      <c r="EK51">
        <v>0.59662471766671876</v>
      </c>
      <c r="EL51">
        <v>0.51684967974631235</v>
      </c>
      <c r="EM51">
        <v>0.527737587225237</v>
      </c>
      <c r="EN51">
        <v>0.51366088520739217</v>
      </c>
      <c r="EO51">
        <v>0.49040225419175237</v>
      </c>
      <c r="EP51">
        <v>0.46943287154023139</v>
      </c>
      <c r="EQ51">
        <v>0.47085375857385875</v>
      </c>
      <c r="ER51">
        <v>0.48757988816097492</v>
      </c>
      <c r="ES51">
        <v>0.49880133977658775</v>
      </c>
      <c r="ET51">
        <v>0.50528925169252648</v>
      </c>
      <c r="EU51">
        <v>0.51280085144678655</v>
      </c>
      <c r="EV51">
        <v>0.35659160232458564</v>
      </c>
      <c r="EW51">
        <v>0.33492159610312228</v>
      </c>
      <c r="EX51">
        <v>0.32596344651253473</v>
      </c>
      <c r="EY51">
        <v>0.29428672423781604</v>
      </c>
      <c r="EZ51">
        <v>0.27436778277073554</v>
      </c>
      <c r="FA51">
        <v>0.28484175350571289</v>
      </c>
      <c r="FB51">
        <v>0.29634947870788192</v>
      </c>
      <c r="FC51">
        <v>0.31699481308303484</v>
      </c>
      <c r="FD51">
        <v>0.34966918229559146</v>
      </c>
      <c r="FE51">
        <v>0.35867353047219941</v>
      </c>
      <c r="FF51">
        <v>0.50174932559462471</v>
      </c>
      <c r="FG51">
        <v>0.50769188078204808</v>
      </c>
      <c r="FH51">
        <v>0.50977311253584334</v>
      </c>
      <c r="FI51">
        <v>0.50109063755726158</v>
      </c>
      <c r="FJ51">
        <v>0.49370537270109188</v>
      </c>
      <c r="FK51">
        <v>0.50218311092305545</v>
      </c>
      <c r="FL51">
        <v>0.50555807919180884</v>
      </c>
      <c r="FM51">
        <v>0.5082200305659812</v>
      </c>
      <c r="FN51">
        <v>0.50833997171785661</v>
      </c>
      <c r="FO51">
        <v>0.50220685306658541</v>
      </c>
      <c r="FQ51" t="s">
        <v>181</v>
      </c>
      <c r="FR51" t="s">
        <v>127</v>
      </c>
      <c r="FS51" t="s">
        <v>128</v>
      </c>
      <c r="FT51">
        <v>0.26767468376136261</v>
      </c>
    </row>
    <row r="52" spans="2:176" x14ac:dyDescent="0.45">
      <c r="B52" t="s">
        <v>182</v>
      </c>
      <c r="C52" t="s">
        <v>123</v>
      </c>
      <c r="D52">
        <v>0.28436922771955292</v>
      </c>
      <c r="E52">
        <v>0.29307192757815664</v>
      </c>
      <c r="F52">
        <v>0.30728317431808833</v>
      </c>
      <c r="G52">
        <v>0.31660545542618146</v>
      </c>
      <c r="H52">
        <v>0.32083848889276401</v>
      </c>
      <c r="I52">
        <v>0.31997447112042476</v>
      </c>
      <c r="J52">
        <v>0.30932930175801404</v>
      </c>
      <c r="K52">
        <v>0.29696176665430019</v>
      </c>
      <c r="L52">
        <v>0.27254180504367176</v>
      </c>
      <c r="M52">
        <v>0.2742753608681493</v>
      </c>
      <c r="N52">
        <v>0.30655018265120243</v>
      </c>
      <c r="O52">
        <v>0.30729026523035458</v>
      </c>
      <c r="P52">
        <v>0.30906343562159133</v>
      </c>
      <c r="Q52">
        <v>0.31511953939001774</v>
      </c>
      <c r="R52">
        <v>0.33290659521026383</v>
      </c>
      <c r="S52">
        <v>0.33352689007637382</v>
      </c>
      <c r="T52">
        <v>0.31043929751359001</v>
      </c>
      <c r="U52">
        <v>0.28465316325996315</v>
      </c>
      <c r="V52">
        <v>0.28708294292921072</v>
      </c>
      <c r="W52">
        <v>0.29649082837091739</v>
      </c>
      <c r="X52">
        <v>0.33894616660708859</v>
      </c>
      <c r="Y52">
        <v>0.35469187488156084</v>
      </c>
      <c r="Z52">
        <v>0.34143833486637154</v>
      </c>
      <c r="AA52">
        <v>0.38000502889226867</v>
      </c>
      <c r="AB52">
        <v>0.41333553934250883</v>
      </c>
      <c r="AC52">
        <v>0.36684577825956721</v>
      </c>
      <c r="AD52">
        <v>0.31218983723285082</v>
      </c>
      <c r="AE52">
        <v>0.2845500104572008</v>
      </c>
      <c r="AF52">
        <v>0.27074660928950162</v>
      </c>
      <c r="AG52">
        <v>0.2937869270721199</v>
      </c>
      <c r="AH52">
        <v>0.31926389994257087</v>
      </c>
      <c r="AI52">
        <v>0.31162775895287226</v>
      </c>
      <c r="AJ52">
        <v>0.31155172675669507</v>
      </c>
      <c r="AK52">
        <v>0.34053298402497068</v>
      </c>
      <c r="AL52">
        <v>0.34637515257010643</v>
      </c>
      <c r="AM52">
        <v>0.3286528413904512</v>
      </c>
      <c r="AN52">
        <v>0.32732291200298108</v>
      </c>
      <c r="AO52">
        <v>0.32937140811506355</v>
      </c>
      <c r="AP52">
        <v>0.32763309298724996</v>
      </c>
      <c r="AQ52">
        <v>0.31660207940887064</v>
      </c>
      <c r="EA52" t="s">
        <v>182</v>
      </c>
      <c r="EB52">
        <v>0.54310291379363629</v>
      </c>
      <c r="EC52">
        <v>0.54849076750069148</v>
      </c>
      <c r="ED52">
        <v>0.54430030900649651</v>
      </c>
      <c r="EE52">
        <v>0.51761862349844046</v>
      </c>
      <c r="EF52">
        <v>0.48139000595015985</v>
      </c>
      <c r="EG52">
        <v>0.46998916489398185</v>
      </c>
      <c r="EH52">
        <v>0.48258364487431116</v>
      </c>
      <c r="EI52">
        <v>0.50843358221743451</v>
      </c>
      <c r="EJ52">
        <v>0.54752840859216967</v>
      </c>
      <c r="EK52">
        <v>0.56029742845303276</v>
      </c>
      <c r="EL52">
        <v>0.45603048154600689</v>
      </c>
      <c r="EM52">
        <v>0.46864502932041463</v>
      </c>
      <c r="EN52">
        <v>0.45999752294527807</v>
      </c>
      <c r="EO52">
        <v>0.425553223615382</v>
      </c>
      <c r="EP52">
        <v>0.39741477914600087</v>
      </c>
      <c r="EQ52">
        <v>0.39990737663911669</v>
      </c>
      <c r="ER52">
        <v>0.42369409013318604</v>
      </c>
      <c r="ES52">
        <v>0.44586825306871053</v>
      </c>
      <c r="ET52">
        <v>0.45334385274314687</v>
      </c>
      <c r="EU52">
        <v>0.44397164017626867</v>
      </c>
      <c r="EV52">
        <v>0.32009124785898807</v>
      </c>
      <c r="EW52">
        <v>0.28990059738937074</v>
      </c>
      <c r="EX52">
        <v>0.26439990734772606</v>
      </c>
      <c r="EY52">
        <v>0.22324574988489362</v>
      </c>
      <c r="EZ52">
        <v>0.21267247243459053</v>
      </c>
      <c r="FA52">
        <v>0.24771535803946598</v>
      </c>
      <c r="FB52">
        <v>0.30711763453851648</v>
      </c>
      <c r="FC52">
        <v>0.34365887893235264</v>
      </c>
      <c r="FD52">
        <v>0.36508952530476158</v>
      </c>
      <c r="FE52">
        <v>0.3582419702028824</v>
      </c>
      <c r="FF52">
        <v>0.44527534217449588</v>
      </c>
      <c r="FG52">
        <v>0.46086501264670193</v>
      </c>
      <c r="FH52">
        <v>0.46907322816910207</v>
      </c>
      <c r="FI52">
        <v>0.44864335826070617</v>
      </c>
      <c r="FJ52">
        <v>0.44240227494796114</v>
      </c>
      <c r="FK52">
        <v>0.46187275290203195</v>
      </c>
      <c r="FL52">
        <v>0.48069077812062277</v>
      </c>
      <c r="FM52">
        <v>0.48686781512634159</v>
      </c>
      <c r="FN52">
        <v>0.47984580429418738</v>
      </c>
      <c r="FO52">
        <v>0.46832315799346019</v>
      </c>
      <c r="FQ52" t="s">
        <v>183</v>
      </c>
      <c r="FR52" t="s">
        <v>127</v>
      </c>
      <c r="FS52" t="s">
        <v>128</v>
      </c>
      <c r="FT52">
        <v>0.39503195338973646</v>
      </c>
    </row>
    <row r="53" spans="2:176" x14ac:dyDescent="0.45">
      <c r="B53" t="s">
        <v>184</v>
      </c>
      <c r="C53" t="s">
        <v>123</v>
      </c>
      <c r="D53">
        <v>0.25560194971322781</v>
      </c>
      <c r="E53">
        <v>0.24816894565631004</v>
      </c>
      <c r="F53">
        <v>0.23602374957531691</v>
      </c>
      <c r="G53">
        <v>0.22458345960916248</v>
      </c>
      <c r="H53">
        <v>0.21201161525752654</v>
      </c>
      <c r="I53">
        <v>0.22826798661686468</v>
      </c>
      <c r="J53">
        <v>0.2365658218675509</v>
      </c>
      <c r="K53">
        <v>0.25218108671167133</v>
      </c>
      <c r="L53">
        <v>0.25622815208801347</v>
      </c>
      <c r="M53">
        <v>0.25728946025155103</v>
      </c>
      <c r="N53">
        <v>0.22382188570067021</v>
      </c>
      <c r="O53">
        <v>0.24024839290337505</v>
      </c>
      <c r="P53">
        <v>0.25461391247419829</v>
      </c>
      <c r="Q53">
        <v>0.27712045502609306</v>
      </c>
      <c r="R53">
        <v>0.28209178282249314</v>
      </c>
      <c r="S53">
        <v>0.26883151880436773</v>
      </c>
      <c r="T53">
        <v>0.24552395725212892</v>
      </c>
      <c r="U53">
        <v>0.22804678604027467</v>
      </c>
      <c r="V53">
        <v>0.21418535278082748</v>
      </c>
      <c r="W53">
        <v>0.21349435450155196</v>
      </c>
      <c r="X53">
        <v>0.3443576874099365</v>
      </c>
      <c r="Y53">
        <v>0.3510921162686102</v>
      </c>
      <c r="Z53">
        <v>0.35177810061300691</v>
      </c>
      <c r="AA53">
        <v>0.36472565151095537</v>
      </c>
      <c r="AB53">
        <v>0.37964180864161257</v>
      </c>
      <c r="AC53">
        <v>0.36418689571543283</v>
      </c>
      <c r="AD53">
        <v>0.3318594774178647</v>
      </c>
      <c r="AE53">
        <v>0.31170478320190448</v>
      </c>
      <c r="AF53">
        <v>0.30273958488168357</v>
      </c>
      <c r="AG53">
        <v>0.31784361125768579</v>
      </c>
      <c r="AH53">
        <v>0.26750906784042222</v>
      </c>
      <c r="AI53">
        <v>0.2987459614874548</v>
      </c>
      <c r="AJ53">
        <v>0.29676219198628739</v>
      </c>
      <c r="AK53">
        <v>0.29039706788139563</v>
      </c>
      <c r="AL53">
        <v>0.30507824507629494</v>
      </c>
      <c r="AM53">
        <v>0.30558314330825376</v>
      </c>
      <c r="AN53">
        <v>0.29277401398639419</v>
      </c>
      <c r="AO53">
        <v>0.28206504854070391</v>
      </c>
      <c r="AP53">
        <v>0.2811438255671424</v>
      </c>
      <c r="AQ53">
        <v>0.27563380983545566</v>
      </c>
      <c r="EA53" t="s">
        <v>184</v>
      </c>
      <c r="EB53">
        <v>0.61389828438814376</v>
      </c>
      <c r="EC53">
        <v>0.62165208950912498</v>
      </c>
      <c r="ED53">
        <v>0.6231805277093222</v>
      </c>
      <c r="EE53">
        <v>0.6208774546316953</v>
      </c>
      <c r="EF53">
        <v>0.61901965574199858</v>
      </c>
      <c r="EG53">
        <v>0.6088516973638497</v>
      </c>
      <c r="EH53">
        <v>0.6128507325382283</v>
      </c>
      <c r="EI53">
        <v>0.61908329569834897</v>
      </c>
      <c r="EJ53">
        <v>0.61890922676019611</v>
      </c>
      <c r="EK53">
        <v>0.61164715880038101</v>
      </c>
      <c r="EL53">
        <v>0.58976950681379459</v>
      </c>
      <c r="EM53">
        <v>0.57148170491793604</v>
      </c>
      <c r="EN53">
        <v>0.56153130450250277</v>
      </c>
      <c r="EO53">
        <v>0.54015810133714759</v>
      </c>
      <c r="EP53">
        <v>0.536501304510832</v>
      </c>
      <c r="EQ53">
        <v>0.55450142961100424</v>
      </c>
      <c r="ER53">
        <v>0.58331297375538527</v>
      </c>
      <c r="ES53">
        <v>0.61124489132605053</v>
      </c>
      <c r="ET53">
        <v>0.62632612599647719</v>
      </c>
      <c r="EU53">
        <v>0.60670716222923227</v>
      </c>
      <c r="EV53">
        <v>0.42862490914847817</v>
      </c>
      <c r="EW53">
        <v>0.4187763981950044</v>
      </c>
      <c r="EX53">
        <v>0.4067555312886118</v>
      </c>
      <c r="EY53">
        <v>0.38799404416997146</v>
      </c>
      <c r="EZ53">
        <v>0.37656428104089984</v>
      </c>
      <c r="FA53">
        <v>0.40466904601020387</v>
      </c>
      <c r="FB53">
        <v>0.43822930009618555</v>
      </c>
      <c r="FC53">
        <v>0.45346684849025998</v>
      </c>
      <c r="FD53">
        <v>0.45230735009357054</v>
      </c>
      <c r="FE53">
        <v>0.43571470973651255</v>
      </c>
      <c r="FF53">
        <v>0.55884467100931101</v>
      </c>
      <c r="FG53">
        <v>0.53854192155186642</v>
      </c>
      <c r="FH53">
        <v>0.54290962077048111</v>
      </c>
      <c r="FI53">
        <v>0.54128188543259326</v>
      </c>
      <c r="FJ53">
        <v>0.52340961259019636</v>
      </c>
      <c r="FK53">
        <v>0.52572738940548469</v>
      </c>
      <c r="FL53">
        <v>0.54534960514759623</v>
      </c>
      <c r="FM53">
        <v>0.5558865775022217</v>
      </c>
      <c r="FN53">
        <v>0.56354355689888369</v>
      </c>
      <c r="FO53">
        <v>0.55919431363334537</v>
      </c>
      <c r="FQ53" t="s">
        <v>185</v>
      </c>
      <c r="FR53" t="s">
        <v>127</v>
      </c>
      <c r="FS53" t="s">
        <v>128</v>
      </c>
      <c r="FT53">
        <v>0.27586315660965605</v>
      </c>
    </row>
    <row r="54" spans="2:176" x14ac:dyDescent="0.45">
      <c r="B54" t="s">
        <v>186</v>
      </c>
      <c r="C54" t="s">
        <v>123</v>
      </c>
      <c r="D54">
        <v>0.25765991666605115</v>
      </c>
      <c r="E54">
        <v>0.24116290091339987</v>
      </c>
      <c r="F54">
        <v>0.24119889753962345</v>
      </c>
      <c r="G54">
        <v>0.25408293283755723</v>
      </c>
      <c r="H54">
        <v>0.25378406646849316</v>
      </c>
      <c r="I54">
        <v>0.25275307940975633</v>
      </c>
      <c r="J54">
        <v>0.25331672046817033</v>
      </c>
      <c r="K54">
        <v>0.24594527436374397</v>
      </c>
      <c r="L54">
        <v>0.24908004291024707</v>
      </c>
      <c r="M54">
        <v>0.261220553803234</v>
      </c>
      <c r="N54">
        <v>0.25892344258621408</v>
      </c>
      <c r="O54">
        <v>0.27168305777572349</v>
      </c>
      <c r="P54">
        <v>0.27236778539594564</v>
      </c>
      <c r="Q54">
        <v>0.28925667263604626</v>
      </c>
      <c r="R54">
        <v>0.30413392883007534</v>
      </c>
      <c r="S54">
        <v>0.29953593082925473</v>
      </c>
      <c r="T54">
        <v>0.29400392710413031</v>
      </c>
      <c r="U54">
        <v>0.28289254960150073</v>
      </c>
      <c r="V54">
        <v>0.26490975116466819</v>
      </c>
      <c r="W54">
        <v>0.25539834949638385</v>
      </c>
      <c r="X54">
        <v>0.32004523658218381</v>
      </c>
      <c r="Y54">
        <v>0.32499033774192793</v>
      </c>
      <c r="Z54">
        <v>0.33380682336240236</v>
      </c>
      <c r="AA54">
        <v>0.35163882651814865</v>
      </c>
      <c r="AB54">
        <v>0.36093816305519444</v>
      </c>
      <c r="AC54">
        <v>0.35549276514411049</v>
      </c>
      <c r="AD54">
        <v>0.34205328327968143</v>
      </c>
      <c r="AE54">
        <v>0.32879038219465095</v>
      </c>
      <c r="AF54">
        <v>0.30749368911992842</v>
      </c>
      <c r="AG54">
        <v>0.3011928680231768</v>
      </c>
      <c r="AH54">
        <v>0.30457351513888914</v>
      </c>
      <c r="AI54">
        <v>0.32302423205100167</v>
      </c>
      <c r="AJ54">
        <v>0.3080200354593674</v>
      </c>
      <c r="AK54">
        <v>0.29408765715021812</v>
      </c>
      <c r="AL54">
        <v>0.29591479613868998</v>
      </c>
      <c r="AM54">
        <v>0.28840516954687095</v>
      </c>
      <c r="AN54">
        <v>0.27504631403643626</v>
      </c>
      <c r="AO54">
        <v>0.26454653560973984</v>
      </c>
      <c r="AP54">
        <v>0.27122010401511037</v>
      </c>
      <c r="AQ54">
        <v>0.28231906317898792</v>
      </c>
      <c r="EA54" t="s">
        <v>186</v>
      </c>
      <c r="EB54">
        <v>0.59411558501973272</v>
      </c>
      <c r="EC54">
        <v>0.60264790288433834</v>
      </c>
      <c r="ED54">
        <v>0.60744994842302957</v>
      </c>
      <c r="EE54">
        <v>0.59565060834477768</v>
      </c>
      <c r="EF54">
        <v>0.58248813004381694</v>
      </c>
      <c r="EG54">
        <v>0.57834740653373717</v>
      </c>
      <c r="EH54">
        <v>0.58159748716811432</v>
      </c>
      <c r="EI54">
        <v>0.59162041621604444</v>
      </c>
      <c r="EJ54">
        <v>0.60343119467239192</v>
      </c>
      <c r="EK54">
        <v>0.59716572841217419</v>
      </c>
      <c r="EL54">
        <v>0.55915483702796831</v>
      </c>
      <c r="EM54">
        <v>0.55059913025611029</v>
      </c>
      <c r="EN54">
        <v>0.54287289251204096</v>
      </c>
      <c r="EO54">
        <v>0.51736112481554264</v>
      </c>
      <c r="EP54">
        <v>0.50109873598059962</v>
      </c>
      <c r="EQ54">
        <v>0.50782329390238767</v>
      </c>
      <c r="ER54">
        <v>0.52417034286730402</v>
      </c>
      <c r="ES54">
        <v>0.54510250796403259</v>
      </c>
      <c r="ET54">
        <v>0.56434687996525568</v>
      </c>
      <c r="EU54">
        <v>0.5633513575845881</v>
      </c>
      <c r="EV54">
        <v>0.42747552663200872</v>
      </c>
      <c r="EW54">
        <v>0.40836973726997267</v>
      </c>
      <c r="EX54">
        <v>0.40748601130504908</v>
      </c>
      <c r="EY54">
        <v>0.38692972735692616</v>
      </c>
      <c r="EZ54">
        <v>0.38151627294048857</v>
      </c>
      <c r="FA54">
        <v>0.39878317574914118</v>
      </c>
      <c r="FB54">
        <v>0.4168036307302258</v>
      </c>
      <c r="FC54">
        <v>0.43658956549051653</v>
      </c>
      <c r="FD54">
        <v>0.45750184842263292</v>
      </c>
      <c r="FE54">
        <v>0.45866769584577477</v>
      </c>
      <c r="FF54">
        <v>0.53444378977591334</v>
      </c>
      <c r="FG54">
        <v>0.52156372472576773</v>
      </c>
      <c r="FH54">
        <v>0.53601647706323574</v>
      </c>
      <c r="FI54">
        <v>0.54489932760247362</v>
      </c>
      <c r="FJ54">
        <v>0.53608820140348457</v>
      </c>
      <c r="FK54">
        <v>0.54171324373219476</v>
      </c>
      <c r="FL54">
        <v>0.56211776452226725</v>
      </c>
      <c r="FM54">
        <v>0.57988928310286547</v>
      </c>
      <c r="FN54">
        <v>0.57494079011219501</v>
      </c>
      <c r="FO54">
        <v>0.55902788601861897</v>
      </c>
      <c r="FQ54" t="s">
        <v>187</v>
      </c>
      <c r="FR54" t="s">
        <v>127</v>
      </c>
      <c r="FS54" t="s">
        <v>128</v>
      </c>
      <c r="FT54">
        <v>0.13462542207238989</v>
      </c>
    </row>
    <row r="55" spans="2:176" x14ac:dyDescent="0.45">
      <c r="B55" t="s">
        <v>188</v>
      </c>
      <c r="C55" t="s">
        <v>123</v>
      </c>
      <c r="D55">
        <v>0.21663134302104653</v>
      </c>
      <c r="E55">
        <v>0.20191414117306197</v>
      </c>
      <c r="F55">
        <v>0.19299982540852997</v>
      </c>
      <c r="G55">
        <v>0.19739150971301778</v>
      </c>
      <c r="H55">
        <v>0.19784859086163956</v>
      </c>
      <c r="I55">
        <v>0.19485608234985977</v>
      </c>
      <c r="J55">
        <v>0.19507556202311127</v>
      </c>
      <c r="K55">
        <v>0.19841161653195857</v>
      </c>
      <c r="L55">
        <v>0.21036860886934411</v>
      </c>
      <c r="M55">
        <v>0.21372973260628486</v>
      </c>
      <c r="N55">
        <v>0.19274770464844843</v>
      </c>
      <c r="O55">
        <v>0.1942281494121168</v>
      </c>
      <c r="P55">
        <v>0.20064327429925805</v>
      </c>
      <c r="Q55">
        <v>0.2202556809340116</v>
      </c>
      <c r="R55">
        <v>0.23032112287849624</v>
      </c>
      <c r="S55">
        <v>0.22463603200998666</v>
      </c>
      <c r="T55">
        <v>0.21520649450281359</v>
      </c>
      <c r="U55">
        <v>0.19764058327828482</v>
      </c>
      <c r="V55">
        <v>0.19292547683377359</v>
      </c>
      <c r="W55">
        <v>0.19758452089015435</v>
      </c>
      <c r="X55">
        <v>0.31458277321621397</v>
      </c>
      <c r="Y55">
        <v>0.3142930585429185</v>
      </c>
      <c r="Z55">
        <v>0.32434232466376051</v>
      </c>
      <c r="AA55">
        <v>0.34306010588615493</v>
      </c>
      <c r="AB55">
        <v>0.34675019091978265</v>
      </c>
      <c r="AC55">
        <v>0.33379114676319677</v>
      </c>
      <c r="AD55">
        <v>0.30899546554050378</v>
      </c>
      <c r="AE55">
        <v>0.29023449569044418</v>
      </c>
      <c r="AF55">
        <v>0.28691866833178725</v>
      </c>
      <c r="AG55">
        <v>0.30852051393606544</v>
      </c>
      <c r="AH55">
        <v>0.28129856520921875</v>
      </c>
      <c r="AI55">
        <v>0.2936795927799164</v>
      </c>
      <c r="AJ55">
        <v>0.29743691886568896</v>
      </c>
      <c r="AK55">
        <v>0.29789108839333961</v>
      </c>
      <c r="AL55">
        <v>0.29369913267824743</v>
      </c>
      <c r="AM55">
        <v>0.29073680078664199</v>
      </c>
      <c r="AN55">
        <v>0.28105242200558256</v>
      </c>
      <c r="AO55">
        <v>0.26922061193618896</v>
      </c>
      <c r="AP55">
        <v>0.26697010555557127</v>
      </c>
      <c r="AQ55">
        <v>0.27570285785344439</v>
      </c>
      <c r="EA55" t="s">
        <v>188</v>
      </c>
      <c r="EB55">
        <v>0.68055643394675602</v>
      </c>
      <c r="EC55">
        <v>0.68470642351305433</v>
      </c>
      <c r="ED55">
        <v>0.68683649920594592</v>
      </c>
      <c r="EE55">
        <v>0.67305149761596506</v>
      </c>
      <c r="EF55">
        <v>0.66577210386418684</v>
      </c>
      <c r="EG55">
        <v>0.67650199475504702</v>
      </c>
      <c r="EH55">
        <v>0.68225542989395438</v>
      </c>
      <c r="EI55">
        <v>0.68335914958815702</v>
      </c>
      <c r="EJ55">
        <v>0.68101931438944252</v>
      </c>
      <c r="EK55">
        <v>0.67442690008682071</v>
      </c>
      <c r="EL55">
        <v>0.65190799530011478</v>
      </c>
      <c r="EM55">
        <v>0.65356198406084853</v>
      </c>
      <c r="EN55">
        <v>0.6399884613151674</v>
      </c>
      <c r="EO55">
        <v>0.626067396392051</v>
      </c>
      <c r="EP55">
        <v>0.62738528234049518</v>
      </c>
      <c r="EQ55">
        <v>0.63839521852321668</v>
      </c>
      <c r="ER55">
        <v>0.65327501415865252</v>
      </c>
      <c r="ES55">
        <v>0.66494220347724453</v>
      </c>
      <c r="ET55">
        <v>0.66734926911607839</v>
      </c>
      <c r="EU55">
        <v>0.63979582974201543</v>
      </c>
      <c r="EV55">
        <v>0.45663931204086983</v>
      </c>
      <c r="EW55">
        <v>0.44582006967611926</v>
      </c>
      <c r="EX55">
        <v>0.4369343659864135</v>
      </c>
      <c r="EY55">
        <v>0.41868375944115205</v>
      </c>
      <c r="EZ55">
        <v>0.40976051946126979</v>
      </c>
      <c r="FA55">
        <v>0.4308742648123946</v>
      </c>
      <c r="FB55">
        <v>0.46394663240170847</v>
      </c>
      <c r="FC55">
        <v>0.4876857392411566</v>
      </c>
      <c r="FD55">
        <v>0.48744104993877929</v>
      </c>
      <c r="FE55">
        <v>0.46458285549518918</v>
      </c>
      <c r="FF55">
        <v>0.54341195276035426</v>
      </c>
      <c r="FG55">
        <v>0.54007648060994706</v>
      </c>
      <c r="FH55">
        <v>0.53996904933273981</v>
      </c>
      <c r="FI55">
        <v>0.54112777490009667</v>
      </c>
      <c r="FJ55">
        <v>0.54181222948500896</v>
      </c>
      <c r="FK55">
        <v>0.53907815057709618</v>
      </c>
      <c r="FL55">
        <v>0.54931190112620165</v>
      </c>
      <c r="FM55">
        <v>0.56081313786252596</v>
      </c>
      <c r="FN55">
        <v>0.5601515856181567</v>
      </c>
      <c r="FO55">
        <v>0.55171291298671477</v>
      </c>
      <c r="FQ55" t="s">
        <v>189</v>
      </c>
      <c r="FR55" t="s">
        <v>127</v>
      </c>
      <c r="FS55" t="s">
        <v>128</v>
      </c>
      <c r="FT55">
        <v>0.30748507526166319</v>
      </c>
    </row>
    <row r="56" spans="2:176" x14ac:dyDescent="0.45">
      <c r="B56" t="s">
        <v>190</v>
      </c>
      <c r="C56" t="s">
        <v>123</v>
      </c>
      <c r="D56">
        <v>0.23446279616260274</v>
      </c>
      <c r="E56">
        <v>0.23194870865799433</v>
      </c>
      <c r="F56">
        <v>0.22888017447422759</v>
      </c>
      <c r="G56">
        <v>0.22496232486730305</v>
      </c>
      <c r="H56">
        <v>0.22366942384085334</v>
      </c>
      <c r="I56">
        <v>0.22044967077866337</v>
      </c>
      <c r="J56">
        <v>0.21964270859173732</v>
      </c>
      <c r="K56">
        <v>0.22308018145172695</v>
      </c>
      <c r="L56">
        <v>0.22301058986084946</v>
      </c>
      <c r="M56">
        <v>0.22638226874217027</v>
      </c>
      <c r="N56">
        <v>0.23412995910560827</v>
      </c>
      <c r="O56">
        <v>0.2206158124642352</v>
      </c>
      <c r="P56">
        <v>0.21910502277215571</v>
      </c>
      <c r="Q56">
        <v>0.23484657971961251</v>
      </c>
      <c r="R56">
        <v>0.25374073793047947</v>
      </c>
      <c r="S56">
        <v>0.25944468469036908</v>
      </c>
      <c r="T56">
        <v>0.2508195573942798</v>
      </c>
      <c r="U56">
        <v>0.24489515854879257</v>
      </c>
      <c r="V56">
        <v>0.24039104735649972</v>
      </c>
      <c r="W56">
        <v>0.23839903407608184</v>
      </c>
      <c r="X56">
        <v>0.32275425105779487</v>
      </c>
      <c r="Y56">
        <v>0.32873254314908018</v>
      </c>
      <c r="Z56">
        <v>0.34095964331221174</v>
      </c>
      <c r="AA56">
        <v>0.34519861771430227</v>
      </c>
      <c r="AB56">
        <v>0.36182769427392369</v>
      </c>
      <c r="AC56">
        <v>0.36326729197705909</v>
      </c>
      <c r="AD56">
        <v>0.34629014615192072</v>
      </c>
      <c r="AE56">
        <v>0.31641230924398067</v>
      </c>
      <c r="AF56">
        <v>0.31004832191063519</v>
      </c>
      <c r="AG56">
        <v>0.31935009687127036</v>
      </c>
      <c r="AH56">
        <v>0.29274242874791656</v>
      </c>
      <c r="AI56">
        <v>0.28611328104442207</v>
      </c>
      <c r="AJ56">
        <v>0.29144148348220872</v>
      </c>
      <c r="AK56">
        <v>0.29103501962824624</v>
      </c>
      <c r="AL56">
        <v>0.29383919683890247</v>
      </c>
      <c r="AM56">
        <v>0.29413156756882336</v>
      </c>
      <c r="AN56">
        <v>0.28783528212160003</v>
      </c>
      <c r="AO56">
        <v>0.29902418086969945</v>
      </c>
      <c r="AP56">
        <v>0.29936879699793456</v>
      </c>
      <c r="AQ56">
        <v>0.30115807567737701</v>
      </c>
      <c r="EA56" t="s">
        <v>190</v>
      </c>
      <c r="EB56">
        <v>0.64762275581495132</v>
      </c>
      <c r="EC56">
        <v>0.65439661950147388</v>
      </c>
      <c r="ED56">
        <v>0.64911384404396144</v>
      </c>
      <c r="EE56">
        <v>0.63114977004071604</v>
      </c>
      <c r="EF56">
        <v>0.61886062465236513</v>
      </c>
      <c r="EG56">
        <v>0.63391961484383452</v>
      </c>
      <c r="EH56">
        <v>0.64057441360169032</v>
      </c>
      <c r="EI56">
        <v>0.64984028683291484</v>
      </c>
      <c r="EJ56">
        <v>0.65933861429331497</v>
      </c>
      <c r="EK56">
        <v>0.64340722189346189</v>
      </c>
      <c r="EL56">
        <v>0.60590170639115271</v>
      </c>
      <c r="EM56">
        <v>0.60943833168165351</v>
      </c>
      <c r="EN56">
        <v>0.60903187461301156</v>
      </c>
      <c r="EO56">
        <v>0.60458390200535572</v>
      </c>
      <c r="EP56">
        <v>0.60691811892119496</v>
      </c>
      <c r="EQ56">
        <v>0.60803491269194865</v>
      </c>
      <c r="ER56">
        <v>0.62168816003848015</v>
      </c>
      <c r="ES56">
        <v>0.62709098681670572</v>
      </c>
      <c r="ET56">
        <v>0.62285452277444309</v>
      </c>
      <c r="EU56">
        <v>0.60254936862094344</v>
      </c>
      <c r="EV56">
        <v>0.42777020972672974</v>
      </c>
      <c r="EW56">
        <v>0.41141968811960977</v>
      </c>
      <c r="EX56">
        <v>0.38741263547008875</v>
      </c>
      <c r="EY56">
        <v>0.35118906606027095</v>
      </c>
      <c r="EZ56">
        <v>0.33582299400517146</v>
      </c>
      <c r="FA56">
        <v>0.3518280956618754</v>
      </c>
      <c r="FB56">
        <v>0.38294353435551259</v>
      </c>
      <c r="FC56">
        <v>0.42331238930828996</v>
      </c>
      <c r="FD56">
        <v>0.45296630263245879</v>
      </c>
      <c r="FE56">
        <v>0.45366705307024607</v>
      </c>
      <c r="FF56">
        <v>0.54674124911924304</v>
      </c>
      <c r="FG56">
        <v>0.5474048555103137</v>
      </c>
      <c r="FH56">
        <v>0.54856606372442374</v>
      </c>
      <c r="FI56">
        <v>0.54844102794305238</v>
      </c>
      <c r="FJ56">
        <v>0.53541454718566983</v>
      </c>
      <c r="FK56">
        <v>0.53148089684536226</v>
      </c>
      <c r="FL56">
        <v>0.53908498175110453</v>
      </c>
      <c r="FM56">
        <v>0.54257415663469544</v>
      </c>
      <c r="FN56">
        <v>0.53708707777935483</v>
      </c>
      <c r="FO56">
        <v>0.53372530734242474</v>
      </c>
      <c r="FQ56" t="s">
        <v>191</v>
      </c>
      <c r="FR56" t="s">
        <v>127</v>
      </c>
      <c r="FS56" t="s">
        <v>128</v>
      </c>
      <c r="FT56">
        <v>0.26929291076066064</v>
      </c>
    </row>
    <row r="57" spans="2:176" x14ac:dyDescent="0.45">
      <c r="B57" t="s">
        <v>192</v>
      </c>
      <c r="C57" t="s">
        <v>123</v>
      </c>
      <c r="D57">
        <v>0.27053313323848227</v>
      </c>
      <c r="E57">
        <v>0.27161686930965767</v>
      </c>
      <c r="F57">
        <v>0.27199000727230888</v>
      </c>
      <c r="G57">
        <v>0.27333698744686774</v>
      </c>
      <c r="H57">
        <v>0.27596095663449843</v>
      </c>
      <c r="I57">
        <v>0.26801770403603992</v>
      </c>
      <c r="J57">
        <v>0.25122946052159489</v>
      </c>
      <c r="K57">
        <v>0.24740426140568705</v>
      </c>
      <c r="L57">
        <v>0.24665798947688122</v>
      </c>
      <c r="M57">
        <v>0.25766156861483291</v>
      </c>
      <c r="N57">
        <v>0.2626010553708929</v>
      </c>
      <c r="O57">
        <v>0.2560410915237914</v>
      </c>
      <c r="P57">
        <v>0.24603533378259015</v>
      </c>
      <c r="Q57">
        <v>0.25640928494722476</v>
      </c>
      <c r="R57">
        <v>0.28719782964367818</v>
      </c>
      <c r="S57">
        <v>0.29206638615426272</v>
      </c>
      <c r="T57">
        <v>0.27194362806087508</v>
      </c>
      <c r="U57">
        <v>0.26043619012057972</v>
      </c>
      <c r="V57">
        <v>0.25729456574784088</v>
      </c>
      <c r="W57">
        <v>0.24602496730064258</v>
      </c>
      <c r="X57">
        <v>0.30685157142839065</v>
      </c>
      <c r="Y57">
        <v>0.34634236490494535</v>
      </c>
      <c r="Z57">
        <v>0.37223993055114224</v>
      </c>
      <c r="AA57">
        <v>0.38674593523560558</v>
      </c>
      <c r="AB57">
        <v>0.3858868614668306</v>
      </c>
      <c r="AC57">
        <v>0.38664167264325811</v>
      </c>
      <c r="AD57">
        <v>0.35880536877870994</v>
      </c>
      <c r="AE57">
        <v>0.31291543259472071</v>
      </c>
      <c r="AF57">
        <v>0.27915912906481338</v>
      </c>
      <c r="AG57">
        <v>0.27044710829258994</v>
      </c>
      <c r="AH57">
        <v>0.2835784775189536</v>
      </c>
      <c r="AI57">
        <v>0.29520621489563459</v>
      </c>
      <c r="AJ57">
        <v>0.30241827767748702</v>
      </c>
      <c r="AK57">
        <v>0.30420711625611679</v>
      </c>
      <c r="AL57">
        <v>0.30442030055085051</v>
      </c>
      <c r="AM57">
        <v>0.29046118775359797</v>
      </c>
      <c r="AN57">
        <v>0.29613198600296187</v>
      </c>
      <c r="AO57">
        <v>0.30336354869213888</v>
      </c>
      <c r="AP57">
        <v>0.3003582493158613</v>
      </c>
      <c r="AQ57">
        <v>0.29005810278651556</v>
      </c>
      <c r="EA57" t="s">
        <v>192</v>
      </c>
      <c r="EB57">
        <v>0.58151012176134576</v>
      </c>
      <c r="EC57">
        <v>0.59016159702034998</v>
      </c>
      <c r="ED57">
        <v>0.58902776643359034</v>
      </c>
      <c r="EE57">
        <v>0.57194077746867322</v>
      </c>
      <c r="EF57">
        <v>0.54810460456327903</v>
      </c>
      <c r="EG57">
        <v>0.55238768325160914</v>
      </c>
      <c r="EH57">
        <v>0.56845167336960267</v>
      </c>
      <c r="EI57">
        <v>0.59213324546458102</v>
      </c>
      <c r="EJ57">
        <v>0.60487163106785735</v>
      </c>
      <c r="EK57">
        <v>0.5916592539786355</v>
      </c>
      <c r="EL57">
        <v>0.55666315443639391</v>
      </c>
      <c r="EM57">
        <v>0.55856194545949678</v>
      </c>
      <c r="EN57">
        <v>0.54264656975533765</v>
      </c>
      <c r="EO57">
        <v>0.51733689798869753</v>
      </c>
      <c r="EP57">
        <v>0.49791526413093989</v>
      </c>
      <c r="EQ57">
        <v>0.5064825193733854</v>
      </c>
      <c r="ER57">
        <v>0.53262515043537217</v>
      </c>
      <c r="ES57">
        <v>0.55604624474174946</v>
      </c>
      <c r="ET57">
        <v>0.56429301457682568</v>
      </c>
      <c r="EU57">
        <v>0.56231951441088768</v>
      </c>
      <c r="EV57">
        <v>0.41322562668589258</v>
      </c>
      <c r="EW57">
        <v>0.38750795208035266</v>
      </c>
      <c r="EX57">
        <v>0.36113134122725199</v>
      </c>
      <c r="EY57">
        <v>0.31249567478127582</v>
      </c>
      <c r="EZ57">
        <v>0.287647020591279</v>
      </c>
      <c r="FA57">
        <v>0.29383771647186135</v>
      </c>
      <c r="FB57">
        <v>0.31731715670104738</v>
      </c>
      <c r="FC57">
        <v>0.3663503027365399</v>
      </c>
      <c r="FD57">
        <v>0.41840520908999279</v>
      </c>
      <c r="FE57">
        <v>0.43213361174132814</v>
      </c>
      <c r="FF57">
        <v>0.52620658680826526</v>
      </c>
      <c r="FG57">
        <v>0.5280073677603494</v>
      </c>
      <c r="FH57">
        <v>0.52576666027984609</v>
      </c>
      <c r="FI57">
        <v>0.51915131004466342</v>
      </c>
      <c r="FJ57">
        <v>0.50088786712063038</v>
      </c>
      <c r="FK57">
        <v>0.50438411230467473</v>
      </c>
      <c r="FL57">
        <v>0.51341891516484472</v>
      </c>
      <c r="FM57">
        <v>0.523288952924161</v>
      </c>
      <c r="FN57">
        <v>0.52591510382762052</v>
      </c>
      <c r="FO57">
        <v>0.52133015604543842</v>
      </c>
      <c r="FQ57" t="s">
        <v>193</v>
      </c>
      <c r="FR57" t="s">
        <v>127</v>
      </c>
      <c r="FS57" t="s">
        <v>128</v>
      </c>
      <c r="FT57">
        <v>0.34713288615115584</v>
      </c>
    </row>
    <row r="58" spans="2:176" x14ac:dyDescent="0.45">
      <c r="B58" t="s">
        <v>161</v>
      </c>
      <c r="C58" t="s">
        <v>123</v>
      </c>
      <c r="D58">
        <v>0.41753846850483772</v>
      </c>
      <c r="E58">
        <v>0.41409910250786092</v>
      </c>
      <c r="F58">
        <v>0.42070847322758886</v>
      </c>
      <c r="G58">
        <v>0.44886986359149905</v>
      </c>
      <c r="H58">
        <v>0.47966882422956525</v>
      </c>
      <c r="I58">
        <v>0.4661549914652231</v>
      </c>
      <c r="J58">
        <v>0.43517505293640318</v>
      </c>
      <c r="K58">
        <v>0.40506076577363409</v>
      </c>
      <c r="L58">
        <v>0.40142705891910896</v>
      </c>
      <c r="M58">
        <v>0.41621614471843182</v>
      </c>
      <c r="N58">
        <v>0.34489585042080728</v>
      </c>
      <c r="O58">
        <v>0.35911309336727215</v>
      </c>
      <c r="P58">
        <v>0.40491089067811076</v>
      </c>
      <c r="Q58">
        <v>0.45888332797214182</v>
      </c>
      <c r="R58">
        <v>0.45555283925598733</v>
      </c>
      <c r="S58">
        <v>0.42197217093557937</v>
      </c>
      <c r="T58">
        <v>0.3890876558034615</v>
      </c>
      <c r="U58">
        <v>0.37422318617909472</v>
      </c>
      <c r="V58">
        <v>0.34897447754195726</v>
      </c>
      <c r="W58">
        <v>0.35889722027908671</v>
      </c>
      <c r="X58">
        <v>0.3586345741387556</v>
      </c>
      <c r="Y58">
        <v>0.37367405077176591</v>
      </c>
      <c r="Z58">
        <v>0.43205501140044311</v>
      </c>
      <c r="AA58">
        <v>0.44646641779565432</v>
      </c>
      <c r="AB58">
        <v>0.41227893598546483</v>
      </c>
      <c r="AC58">
        <v>0.41681598428107408</v>
      </c>
      <c r="AD58">
        <v>0.38756889582904203</v>
      </c>
      <c r="AE58">
        <v>0.34951792775260659</v>
      </c>
      <c r="AF58">
        <v>0.35691584494761935</v>
      </c>
      <c r="AG58">
        <v>0.35488936967920076</v>
      </c>
      <c r="AH58">
        <v>0.4321928299867378</v>
      </c>
      <c r="AI58">
        <v>0.44589741184330306</v>
      </c>
      <c r="AJ58">
        <v>0.44361603143192929</v>
      </c>
      <c r="AK58">
        <v>0.46995160481716475</v>
      </c>
      <c r="AL58">
        <v>0.48181783048658511</v>
      </c>
      <c r="AM58">
        <v>0.46009155433892052</v>
      </c>
      <c r="AN58">
        <v>0.44513363012915946</v>
      </c>
      <c r="AO58">
        <v>0.42545798160462001</v>
      </c>
      <c r="AP58">
        <v>0.39145944935864369</v>
      </c>
      <c r="AQ58">
        <v>0.38903737498388941</v>
      </c>
      <c r="EA58" t="s">
        <v>161</v>
      </c>
      <c r="EB58">
        <v>0.1866533793096507</v>
      </c>
      <c r="EC58">
        <v>0.18194263841941213</v>
      </c>
      <c r="ED58">
        <v>0.18695247713527346</v>
      </c>
      <c r="EE58">
        <v>0.19139684925565947</v>
      </c>
      <c r="EF58">
        <v>0.15867944111098528</v>
      </c>
      <c r="EG58">
        <v>0.17336925320706378</v>
      </c>
      <c r="EH58">
        <v>0.17813604391610482</v>
      </c>
      <c r="EI58">
        <v>0.19016378067709663</v>
      </c>
      <c r="EJ58">
        <v>0.20137035991224059</v>
      </c>
      <c r="EK58">
        <v>0.19905642210324762</v>
      </c>
      <c r="EL58">
        <v>0.13628551604764105</v>
      </c>
      <c r="EM58">
        <v>0.1345815290228419</v>
      </c>
      <c r="EN58">
        <v>0.13156657571797153</v>
      </c>
      <c r="EO58">
        <v>0.13144295869013603</v>
      </c>
      <c r="EP58">
        <v>0.1015744464744858</v>
      </c>
      <c r="EQ58">
        <v>0.11962391461939421</v>
      </c>
      <c r="ER58">
        <v>0.12797560550921966</v>
      </c>
      <c r="ES58">
        <v>0.12602491091791643</v>
      </c>
      <c r="ET58">
        <v>0.13121797821969669</v>
      </c>
      <c r="EU58">
        <v>0.13696981024450536</v>
      </c>
      <c r="EV58">
        <v>8.8780445706102398E-2</v>
      </c>
      <c r="EW58">
        <v>7.3601248054427998E-2</v>
      </c>
      <c r="EX58">
        <v>5.9585773662414181E-2</v>
      </c>
      <c r="EY58">
        <v>6.0079252627141352E-2</v>
      </c>
      <c r="EZ58">
        <v>5.9638582336448261E-2</v>
      </c>
      <c r="FA58">
        <v>7.4236419225834224E-2</v>
      </c>
      <c r="FB58">
        <v>8.408635394355031E-2</v>
      </c>
      <c r="FC58">
        <v>8.6334269441606951E-2</v>
      </c>
      <c r="FD58">
        <v>9.8644757367492342E-2</v>
      </c>
      <c r="FE58">
        <v>0.10148755388707195</v>
      </c>
      <c r="FF58">
        <v>0.18312958259871084</v>
      </c>
      <c r="FG58">
        <v>0.18264770021495938</v>
      </c>
      <c r="FH58">
        <v>0.17531435214852753</v>
      </c>
      <c r="FI58">
        <v>0.16492822314355293</v>
      </c>
      <c r="FJ58">
        <v>0.14391448781920815</v>
      </c>
      <c r="FK58">
        <v>0.16627274430708322</v>
      </c>
      <c r="FL58">
        <v>0.17052174089049246</v>
      </c>
      <c r="FM58">
        <v>0.17429388672920573</v>
      </c>
      <c r="FN58">
        <v>0.17492219132704018</v>
      </c>
      <c r="FO58">
        <v>0.1747295901128208</v>
      </c>
      <c r="FQ58" t="s">
        <v>194</v>
      </c>
      <c r="FR58" t="s">
        <v>127</v>
      </c>
      <c r="FS58" t="s">
        <v>128</v>
      </c>
      <c r="FT58">
        <v>0.37045291474763353</v>
      </c>
    </row>
    <row r="59" spans="2:176" x14ac:dyDescent="0.45">
      <c r="B59" t="s">
        <v>163</v>
      </c>
      <c r="C59" t="s">
        <v>123</v>
      </c>
      <c r="D59">
        <v>0.44574436585155602</v>
      </c>
      <c r="E59">
        <v>0.45698685273096218</v>
      </c>
      <c r="F59">
        <v>0.45727090073766508</v>
      </c>
      <c r="G59">
        <v>0.47875697689779118</v>
      </c>
      <c r="H59">
        <v>0.48283315529840409</v>
      </c>
      <c r="I59">
        <v>0.4797798306055549</v>
      </c>
      <c r="J59">
        <v>0.45146804817791086</v>
      </c>
      <c r="K59">
        <v>0.42643902839875653</v>
      </c>
      <c r="L59">
        <v>0.42103022885900487</v>
      </c>
      <c r="M59">
        <v>0.43674908834167314</v>
      </c>
      <c r="N59">
        <v>0.36898724262789406</v>
      </c>
      <c r="O59">
        <v>0.38201446266868261</v>
      </c>
      <c r="P59">
        <v>0.4076143846836226</v>
      </c>
      <c r="Q59">
        <v>0.44680504951190841</v>
      </c>
      <c r="R59">
        <v>0.46785361320163826</v>
      </c>
      <c r="S59">
        <v>0.41469721308381446</v>
      </c>
      <c r="T59">
        <v>0.3751514553716957</v>
      </c>
      <c r="U59">
        <v>0.34860784706503573</v>
      </c>
      <c r="V59">
        <v>0.34443602713154148</v>
      </c>
      <c r="W59">
        <v>0.3669699957138356</v>
      </c>
      <c r="X59">
        <v>0.35105726526626979</v>
      </c>
      <c r="Y59">
        <v>0.37866814907475693</v>
      </c>
      <c r="Z59">
        <v>0.43889269794176911</v>
      </c>
      <c r="AA59">
        <v>0.46692686197392608</v>
      </c>
      <c r="AB59">
        <v>0.42257930055269149</v>
      </c>
      <c r="AC59">
        <v>0.40656739452782042</v>
      </c>
      <c r="AD59">
        <v>0.36087803310212391</v>
      </c>
      <c r="AE59">
        <v>0.34174828286243542</v>
      </c>
      <c r="AF59">
        <v>0.30565497342714643</v>
      </c>
      <c r="AG59">
        <v>0.30877803820042621</v>
      </c>
      <c r="AH59">
        <v>0.39612087844264915</v>
      </c>
      <c r="AI59">
        <v>0.4103979184557045</v>
      </c>
      <c r="AJ59">
        <v>0.41258789493160541</v>
      </c>
      <c r="AK59">
        <v>0.43372079268743075</v>
      </c>
      <c r="AL59">
        <v>0.46335279159877407</v>
      </c>
      <c r="AM59">
        <v>0.45921102485796272</v>
      </c>
      <c r="AN59">
        <v>0.44853083295573359</v>
      </c>
      <c r="AO59">
        <v>0.40350996596652527</v>
      </c>
      <c r="AP59">
        <v>0.37507950623200698</v>
      </c>
      <c r="AQ59">
        <v>0.37289067067266513</v>
      </c>
      <c r="EA59" t="s">
        <v>163</v>
      </c>
      <c r="EB59">
        <v>0.20305376498624528</v>
      </c>
      <c r="EC59">
        <v>0.1982422372647199</v>
      </c>
      <c r="ED59">
        <v>0.20003507891137184</v>
      </c>
      <c r="EE59">
        <v>0.1930677981766025</v>
      </c>
      <c r="EF59">
        <v>0.16107403279733593</v>
      </c>
      <c r="EG59">
        <v>0.16366899080595865</v>
      </c>
      <c r="EH59">
        <v>0.17690985915830243</v>
      </c>
      <c r="EI59">
        <v>0.1986104767250485</v>
      </c>
      <c r="EJ59">
        <v>0.22058217209826445</v>
      </c>
      <c r="EK59">
        <v>0.21837453684251032</v>
      </c>
      <c r="EL59">
        <v>0.13539491702462556</v>
      </c>
      <c r="EM59">
        <v>0.13119917187867711</v>
      </c>
      <c r="EN59">
        <v>0.12783568224046213</v>
      </c>
      <c r="EO59">
        <v>0.12316399370914322</v>
      </c>
      <c r="EP59">
        <v>0.10343971942973233</v>
      </c>
      <c r="EQ59">
        <v>0.12251081638769339</v>
      </c>
      <c r="ER59">
        <v>0.13469498335814212</v>
      </c>
      <c r="ES59">
        <v>0.12747881544031614</v>
      </c>
      <c r="ET59">
        <v>0.13508623464891373</v>
      </c>
      <c r="EU59">
        <v>0.14349341286271522</v>
      </c>
      <c r="EV59">
        <v>9.9924735112497567E-2</v>
      </c>
      <c r="EW59">
        <v>8.2243093874207834E-2</v>
      </c>
      <c r="EX59">
        <v>6.6982048429725841E-2</v>
      </c>
      <c r="EY59">
        <v>6.594554782469661E-2</v>
      </c>
      <c r="EZ59">
        <v>6.5579101544067334E-2</v>
      </c>
      <c r="FA59">
        <v>7.9663039610351385E-2</v>
      </c>
      <c r="FB59">
        <v>8.7702689266455719E-2</v>
      </c>
      <c r="FC59">
        <v>9.585806848617226E-2</v>
      </c>
      <c r="FD59">
        <v>9.395527813278845E-2</v>
      </c>
      <c r="FE59">
        <v>0.10243641154147846</v>
      </c>
      <c r="FF59">
        <v>0.20503893504493881</v>
      </c>
      <c r="FG59">
        <v>0.20226938043281764</v>
      </c>
      <c r="FH59">
        <v>0.20090711140364595</v>
      </c>
      <c r="FI59">
        <v>0.19720555406138029</v>
      </c>
      <c r="FJ59">
        <v>0.1799371150296519</v>
      </c>
      <c r="FK59">
        <v>0.19134143982996021</v>
      </c>
      <c r="FL59">
        <v>0.19229002427554828</v>
      </c>
      <c r="FM59">
        <v>0.18780406131660918</v>
      </c>
      <c r="FN59">
        <v>0.19348861703647621</v>
      </c>
      <c r="FO59">
        <v>0.20152905332554277</v>
      </c>
      <c r="FQ59" t="s">
        <v>195</v>
      </c>
      <c r="FR59" t="s">
        <v>127</v>
      </c>
      <c r="FS59" t="s">
        <v>128</v>
      </c>
      <c r="FT59">
        <v>0.30112767489883902</v>
      </c>
    </row>
    <row r="60" spans="2:176" x14ac:dyDescent="0.45">
      <c r="B60" t="s">
        <v>165</v>
      </c>
      <c r="C60" t="s">
        <v>123</v>
      </c>
      <c r="D60">
        <v>0.41460480106453074</v>
      </c>
      <c r="E60">
        <v>0.40755371574367583</v>
      </c>
      <c r="F60">
        <v>0.4023293138562461</v>
      </c>
      <c r="G60">
        <v>0.41643353453867538</v>
      </c>
      <c r="H60">
        <v>0.42815696377882018</v>
      </c>
      <c r="I60">
        <v>0.43170944479675216</v>
      </c>
      <c r="J60">
        <v>0.41952430626852988</v>
      </c>
      <c r="K60">
        <v>0.41757998944763358</v>
      </c>
      <c r="L60">
        <v>0.41041494729863248</v>
      </c>
      <c r="M60">
        <v>0.4136124159560719</v>
      </c>
      <c r="N60">
        <v>0.32410872069904767</v>
      </c>
      <c r="O60">
        <v>0.33904746017637721</v>
      </c>
      <c r="P60">
        <v>0.34262973480939013</v>
      </c>
      <c r="Q60">
        <v>0.40618337502240681</v>
      </c>
      <c r="R60">
        <v>0.44631398307420656</v>
      </c>
      <c r="S60">
        <v>0.4201312664768953</v>
      </c>
      <c r="T60">
        <v>0.39764309935062492</v>
      </c>
      <c r="U60">
        <v>0.36948070520254794</v>
      </c>
      <c r="V60">
        <v>0.33930819475464324</v>
      </c>
      <c r="W60">
        <v>0.33738214097835467</v>
      </c>
      <c r="X60">
        <v>0.33849876424496189</v>
      </c>
      <c r="Y60">
        <v>0.35676206347065786</v>
      </c>
      <c r="Z60">
        <v>0.40424974549674286</v>
      </c>
      <c r="AA60">
        <v>0.43655670129226737</v>
      </c>
      <c r="AB60">
        <v>0.42861706517982145</v>
      </c>
      <c r="AC60">
        <v>0.41391243156115054</v>
      </c>
      <c r="AD60">
        <v>0.39208829452338656</v>
      </c>
      <c r="AE60">
        <v>0.36643082365873209</v>
      </c>
      <c r="AF60">
        <v>0.31745922117732295</v>
      </c>
      <c r="AG60">
        <v>0.31871935867266765</v>
      </c>
      <c r="AH60">
        <v>0.36257111048963081</v>
      </c>
      <c r="AI60">
        <v>0.37697267749675933</v>
      </c>
      <c r="AJ60">
        <v>0.39198126497091068</v>
      </c>
      <c r="AK60">
        <v>0.42086267172414299</v>
      </c>
      <c r="AL60">
        <v>0.44737627252789641</v>
      </c>
      <c r="AM60">
        <v>0.42641439124198938</v>
      </c>
      <c r="AN60">
        <v>0.40122805473466627</v>
      </c>
      <c r="AO60">
        <v>0.37185847918765136</v>
      </c>
      <c r="AP60">
        <v>0.3386710182385943</v>
      </c>
      <c r="AQ60">
        <v>0.33158496253185871</v>
      </c>
      <c r="EA60" t="s">
        <v>165</v>
      </c>
      <c r="EB60">
        <v>0.25741115012473564</v>
      </c>
      <c r="EC60">
        <v>0.25854241462380473</v>
      </c>
      <c r="ED60">
        <v>0.25762877058356903</v>
      </c>
      <c r="EE60">
        <v>0.25061434834151058</v>
      </c>
      <c r="EF60">
        <v>0.20358988149506277</v>
      </c>
      <c r="EG60">
        <v>0.21015019017893671</v>
      </c>
      <c r="EH60">
        <v>0.23339012092171663</v>
      </c>
      <c r="EI60">
        <v>0.26185318478258868</v>
      </c>
      <c r="EJ60">
        <v>0.2819716467649484</v>
      </c>
      <c r="EK60">
        <v>0.26934641342504084</v>
      </c>
      <c r="EL60">
        <v>0.20359501400037117</v>
      </c>
      <c r="EM60">
        <v>0.20180375942648549</v>
      </c>
      <c r="EN60">
        <v>0.18367948950532059</v>
      </c>
      <c r="EO60">
        <v>0.16452283431315118</v>
      </c>
      <c r="EP60">
        <v>0.13497936192812912</v>
      </c>
      <c r="EQ60">
        <v>0.15612537294143763</v>
      </c>
      <c r="ER60">
        <v>0.17151024704519965</v>
      </c>
      <c r="ES60">
        <v>0.17082804947160524</v>
      </c>
      <c r="ET60">
        <v>0.19100555280613718</v>
      </c>
      <c r="EU60">
        <v>0.21246153039893756</v>
      </c>
      <c r="EV60">
        <v>0.15188293860388213</v>
      </c>
      <c r="EW60">
        <v>0.13545574719016826</v>
      </c>
      <c r="EX60">
        <v>0.10429164372134976</v>
      </c>
      <c r="EY60">
        <v>9.205515840267682E-2</v>
      </c>
      <c r="EZ60">
        <v>9.511493651591206E-2</v>
      </c>
      <c r="FA60">
        <v>0.10524754748395992</v>
      </c>
      <c r="FB60">
        <v>0.12226903030464178</v>
      </c>
      <c r="FC60">
        <v>0.1343985125893768</v>
      </c>
      <c r="FD60">
        <v>0.13847331011585373</v>
      </c>
      <c r="FE60">
        <v>0.16258800187917416</v>
      </c>
      <c r="FF60">
        <v>0.27569224822506549</v>
      </c>
      <c r="FG60">
        <v>0.26897038981041671</v>
      </c>
      <c r="FH60">
        <v>0.26063878950386282</v>
      </c>
      <c r="FI60">
        <v>0.24957578897510757</v>
      </c>
      <c r="FJ60">
        <v>0.22672761595997132</v>
      </c>
      <c r="FK60">
        <v>0.24376295000268225</v>
      </c>
      <c r="FL60">
        <v>0.237700731775355</v>
      </c>
      <c r="FM60">
        <v>0.24080525745850018</v>
      </c>
      <c r="FN60">
        <v>0.2686174956646647</v>
      </c>
      <c r="FO60">
        <v>0.28396670225138393</v>
      </c>
      <c r="FQ60" t="s">
        <v>196</v>
      </c>
      <c r="FR60" t="s">
        <v>127</v>
      </c>
      <c r="FS60" t="s">
        <v>128</v>
      </c>
      <c r="FT60">
        <v>0.23009255189193653</v>
      </c>
    </row>
    <row r="61" spans="2:176" x14ac:dyDescent="0.45">
      <c r="B61" t="s">
        <v>167</v>
      </c>
      <c r="C61" t="s">
        <v>123</v>
      </c>
      <c r="D61">
        <v>0.2486854985697152</v>
      </c>
      <c r="E61">
        <v>0.25368826539745315</v>
      </c>
      <c r="F61">
        <v>0.25224783776381016</v>
      </c>
      <c r="G61">
        <v>0.24637543149139626</v>
      </c>
      <c r="H61">
        <v>0.24469248615727979</v>
      </c>
      <c r="I61">
        <v>0.24062402666503652</v>
      </c>
      <c r="J61">
        <v>0.25129683677416387</v>
      </c>
      <c r="K61">
        <v>0.24791966059549567</v>
      </c>
      <c r="L61">
        <v>0.24234334292822965</v>
      </c>
      <c r="M61">
        <v>0.23763731254264514</v>
      </c>
      <c r="N61">
        <v>0.22648654716132827</v>
      </c>
      <c r="O61">
        <v>0.23475411196118862</v>
      </c>
      <c r="P61">
        <v>0.24479908832090272</v>
      </c>
      <c r="Q61">
        <v>0.25891353276839563</v>
      </c>
      <c r="R61">
        <v>0.27705574449298481</v>
      </c>
      <c r="S61">
        <v>0.26940030375647778</v>
      </c>
      <c r="T61">
        <v>0.25018421740958413</v>
      </c>
      <c r="U61">
        <v>0.23335800790689637</v>
      </c>
      <c r="V61">
        <v>0.22680587503941041</v>
      </c>
      <c r="W61">
        <v>0.2183810644792572</v>
      </c>
      <c r="X61">
        <v>0.31148669680827812</v>
      </c>
      <c r="Y61">
        <v>0.32335525062497278</v>
      </c>
      <c r="Z61">
        <v>0.33747426660376229</v>
      </c>
      <c r="AA61">
        <v>0.34717359526787522</v>
      </c>
      <c r="AB61">
        <v>0.35018771438553503</v>
      </c>
      <c r="AC61">
        <v>0.33460523776370621</v>
      </c>
      <c r="AD61">
        <v>0.3120292406309364</v>
      </c>
      <c r="AE61">
        <v>0.28689489214720759</v>
      </c>
      <c r="AF61">
        <v>0.28369418991726564</v>
      </c>
      <c r="AG61">
        <v>0.29286120985901271</v>
      </c>
      <c r="AH61">
        <v>0.27776473873248575</v>
      </c>
      <c r="AI61">
        <v>0.29134410799934446</v>
      </c>
      <c r="AJ61">
        <v>0.30137793296916743</v>
      </c>
      <c r="AK61">
        <v>0.30301414135032928</v>
      </c>
      <c r="AL61">
        <v>0.2938209259535422</v>
      </c>
      <c r="AM61">
        <v>0.29855474354242589</v>
      </c>
      <c r="AN61">
        <v>0.29746748982001858</v>
      </c>
      <c r="AO61">
        <v>0.30229511167380019</v>
      </c>
      <c r="AP61">
        <v>0.29919039424083144</v>
      </c>
      <c r="AQ61">
        <v>0.29017911278433245</v>
      </c>
      <c r="EA61" t="s">
        <v>167</v>
      </c>
      <c r="EB61">
        <v>0.53011471947398314</v>
      </c>
      <c r="EC61">
        <v>0.53364015100267304</v>
      </c>
      <c r="ED61">
        <v>0.52708694591646132</v>
      </c>
      <c r="EE61">
        <v>0.52263599683034123</v>
      </c>
      <c r="EF61">
        <v>0.50816194990057528</v>
      </c>
      <c r="EG61">
        <v>0.51258317575542423</v>
      </c>
      <c r="EH61">
        <v>0.51406131326059978</v>
      </c>
      <c r="EI61">
        <v>0.51886040330621563</v>
      </c>
      <c r="EJ61">
        <v>0.53474927702334263</v>
      </c>
      <c r="EK61">
        <v>0.54034479608813402</v>
      </c>
      <c r="EL61">
        <v>0.47995278437774824</v>
      </c>
      <c r="EM61">
        <v>0.47175841357982823</v>
      </c>
      <c r="EN61">
        <v>0.46890733484770647</v>
      </c>
      <c r="EO61">
        <v>0.46523519390690415</v>
      </c>
      <c r="EP61">
        <v>0.44265671548204649</v>
      </c>
      <c r="EQ61">
        <v>0.45716646721668353</v>
      </c>
      <c r="ER61">
        <v>0.48103377769893579</v>
      </c>
      <c r="ES61">
        <v>0.49852542538484163</v>
      </c>
      <c r="ET61">
        <v>0.49868074339335794</v>
      </c>
      <c r="EU61">
        <v>0.49665108348894133</v>
      </c>
      <c r="EV61">
        <v>0.35763842381802841</v>
      </c>
      <c r="EW61">
        <v>0.33463887914319979</v>
      </c>
      <c r="EX61">
        <v>0.3191100725181798</v>
      </c>
      <c r="EY61">
        <v>0.30580758409233672</v>
      </c>
      <c r="EZ61">
        <v>0.29462174939194258</v>
      </c>
      <c r="FA61">
        <v>0.32457370713322753</v>
      </c>
      <c r="FB61">
        <v>0.35654799326326442</v>
      </c>
      <c r="FC61">
        <v>0.379008598386885</v>
      </c>
      <c r="FD61">
        <v>0.37658178338000364</v>
      </c>
      <c r="FE61">
        <v>0.37405034484334743</v>
      </c>
      <c r="FF61">
        <v>0.48058365362393096</v>
      </c>
      <c r="FG61">
        <v>0.47187232543339441</v>
      </c>
      <c r="FH61">
        <v>0.46092449767391752</v>
      </c>
      <c r="FI61">
        <v>0.46460827082953976</v>
      </c>
      <c r="FJ61">
        <v>0.45927366051472723</v>
      </c>
      <c r="FK61">
        <v>0.46562613880532833</v>
      </c>
      <c r="FL61">
        <v>0.47189229901767404</v>
      </c>
      <c r="FM61">
        <v>0.47107996273948233</v>
      </c>
      <c r="FN61">
        <v>0.47226687118471522</v>
      </c>
      <c r="FO61">
        <v>0.47493084629999155</v>
      </c>
      <c r="FQ61" t="s">
        <v>197</v>
      </c>
      <c r="FR61" t="s">
        <v>127</v>
      </c>
      <c r="FS61" t="s">
        <v>128</v>
      </c>
      <c r="FT61">
        <v>0.26375292360990149</v>
      </c>
    </row>
    <row r="62" spans="2:176" x14ac:dyDescent="0.45">
      <c r="B62" t="s">
        <v>169</v>
      </c>
      <c r="C62" t="s">
        <v>123</v>
      </c>
      <c r="D62">
        <v>0.29656892790505879</v>
      </c>
      <c r="E62">
        <v>0.29875162093920582</v>
      </c>
      <c r="F62">
        <v>0.30472000079949202</v>
      </c>
      <c r="G62">
        <v>0.31926642661336113</v>
      </c>
      <c r="H62">
        <v>0.34677109107106902</v>
      </c>
      <c r="I62">
        <v>0.3386837133420903</v>
      </c>
      <c r="J62">
        <v>0.32382823488497148</v>
      </c>
      <c r="K62">
        <v>0.30425601363859178</v>
      </c>
      <c r="L62">
        <v>0.284642916529592</v>
      </c>
      <c r="M62">
        <v>0.28666508863161755</v>
      </c>
      <c r="N62">
        <v>0.27252428970120995</v>
      </c>
      <c r="O62">
        <v>0.25451374507843794</v>
      </c>
      <c r="P62">
        <v>0.26558925510029102</v>
      </c>
      <c r="Q62">
        <v>0.29999788662950794</v>
      </c>
      <c r="R62">
        <v>0.32695367952679499</v>
      </c>
      <c r="S62">
        <v>0.32555559338234086</v>
      </c>
      <c r="T62">
        <v>0.30493804831776028</v>
      </c>
      <c r="U62">
        <v>0.28513019299449416</v>
      </c>
      <c r="V62">
        <v>0.25825110822598807</v>
      </c>
      <c r="W62">
        <v>0.24837908885671656</v>
      </c>
      <c r="X62">
        <v>0.27242843168748537</v>
      </c>
      <c r="Y62">
        <v>0.30026766281104017</v>
      </c>
      <c r="Z62">
        <v>0.34496427064874652</v>
      </c>
      <c r="AA62">
        <v>0.39294821373825456</v>
      </c>
      <c r="AB62">
        <v>0.38226215528876895</v>
      </c>
      <c r="AC62">
        <v>0.35580194895552553</v>
      </c>
      <c r="AD62">
        <v>0.34179349840774009</v>
      </c>
      <c r="AE62">
        <v>0.3153854496060215</v>
      </c>
      <c r="AF62">
        <v>0.26944242213527952</v>
      </c>
      <c r="AG62">
        <v>0.23623919654820494</v>
      </c>
      <c r="AH62">
        <v>0.31435656732130524</v>
      </c>
      <c r="AI62">
        <v>0.30759348495434186</v>
      </c>
      <c r="AJ62">
        <v>0.31872292312302741</v>
      </c>
      <c r="AK62">
        <v>0.334046740617573</v>
      </c>
      <c r="AL62">
        <v>0.33393971703909192</v>
      </c>
      <c r="AM62">
        <v>0.32905526202477203</v>
      </c>
      <c r="AN62">
        <v>0.32439047198481047</v>
      </c>
      <c r="AO62">
        <v>0.33061804692998631</v>
      </c>
      <c r="AP62">
        <v>0.31288438686221348</v>
      </c>
      <c r="AQ62">
        <v>0.30936895471697184</v>
      </c>
      <c r="EA62" t="s">
        <v>169</v>
      </c>
      <c r="EB62">
        <v>0.39867773703902976</v>
      </c>
      <c r="EC62">
        <v>0.39972381415079755</v>
      </c>
      <c r="ED62">
        <v>0.3958865746188725</v>
      </c>
      <c r="EE62">
        <v>0.38605604813777572</v>
      </c>
      <c r="EF62">
        <v>0.35105791897659444</v>
      </c>
      <c r="EG62">
        <v>0.35926954796956623</v>
      </c>
      <c r="EH62">
        <v>0.36666072674980987</v>
      </c>
      <c r="EI62">
        <v>0.37153536414471328</v>
      </c>
      <c r="EJ62">
        <v>0.39232256707999236</v>
      </c>
      <c r="EK62">
        <v>0.40507672261032601</v>
      </c>
      <c r="EL62">
        <v>0.33617881389509813</v>
      </c>
      <c r="EM62">
        <v>0.32857122778101217</v>
      </c>
      <c r="EN62">
        <v>0.32091094963702782</v>
      </c>
      <c r="EO62">
        <v>0.31396724510198842</v>
      </c>
      <c r="EP62">
        <v>0.28363468036562572</v>
      </c>
      <c r="EQ62">
        <v>0.31046821019313375</v>
      </c>
      <c r="ER62">
        <v>0.33581213037957319</v>
      </c>
      <c r="ES62">
        <v>0.34365000511504123</v>
      </c>
      <c r="ET62">
        <v>0.34134357136432636</v>
      </c>
      <c r="EU62">
        <v>0.34785245182838292</v>
      </c>
      <c r="EV62">
        <v>0.25149647603347602</v>
      </c>
      <c r="EW62">
        <v>0.23197408250122326</v>
      </c>
      <c r="EX62">
        <v>0.20203473908134467</v>
      </c>
      <c r="EY62">
        <v>0.17950590623514551</v>
      </c>
      <c r="EZ62">
        <v>0.18201628424736901</v>
      </c>
      <c r="FA62">
        <v>0.21538281109678198</v>
      </c>
      <c r="FB62">
        <v>0.23768213195045795</v>
      </c>
      <c r="FC62">
        <v>0.25071843943298944</v>
      </c>
      <c r="FD62">
        <v>0.25157782154265357</v>
      </c>
      <c r="FE62">
        <v>0.27145741371591314</v>
      </c>
      <c r="FF62">
        <v>0.35634642988866766</v>
      </c>
      <c r="FG62">
        <v>0.34321328079089664</v>
      </c>
      <c r="FH62">
        <v>0.3375231992554778</v>
      </c>
      <c r="FI62">
        <v>0.31874450338019666</v>
      </c>
      <c r="FJ62">
        <v>0.31621504272588724</v>
      </c>
      <c r="FK62">
        <v>0.34640971517101554</v>
      </c>
      <c r="FL62">
        <v>0.36098490282082946</v>
      </c>
      <c r="FM62">
        <v>0.35919328710223958</v>
      </c>
      <c r="FN62">
        <v>0.35953321118633297</v>
      </c>
      <c r="FO62">
        <v>0.361222967181067</v>
      </c>
      <c r="FQ62" t="s">
        <v>198</v>
      </c>
      <c r="FR62" t="s">
        <v>127</v>
      </c>
      <c r="FS62" t="s">
        <v>128</v>
      </c>
      <c r="FT62">
        <v>0.24901382427287208</v>
      </c>
    </row>
    <row r="63" spans="2:176" x14ac:dyDescent="0.45">
      <c r="B63" t="s">
        <v>171</v>
      </c>
      <c r="C63" t="s">
        <v>123</v>
      </c>
      <c r="D63">
        <v>0.33080062910233698</v>
      </c>
      <c r="E63">
        <v>0.33451543390257737</v>
      </c>
      <c r="F63">
        <v>0.32905660266426107</v>
      </c>
      <c r="G63">
        <v>0.33927910893580837</v>
      </c>
      <c r="H63">
        <v>0.37209209583302733</v>
      </c>
      <c r="I63">
        <v>0.37569290360021823</v>
      </c>
      <c r="J63">
        <v>0.36745845330995219</v>
      </c>
      <c r="K63">
        <v>0.34976679118792275</v>
      </c>
      <c r="L63">
        <v>0.31499321603362795</v>
      </c>
      <c r="M63">
        <v>0.31832927456187898</v>
      </c>
      <c r="N63">
        <v>0.27874082255441518</v>
      </c>
      <c r="O63">
        <v>0.28280707924376547</v>
      </c>
      <c r="P63">
        <v>0.32291188416717059</v>
      </c>
      <c r="Q63">
        <v>0.37057178469297664</v>
      </c>
      <c r="R63">
        <v>0.38965835639135071</v>
      </c>
      <c r="S63">
        <v>0.38503311774654253</v>
      </c>
      <c r="T63">
        <v>0.35613223133861538</v>
      </c>
      <c r="U63">
        <v>0.34117693441724856</v>
      </c>
      <c r="V63">
        <v>0.29751773235055462</v>
      </c>
      <c r="W63">
        <v>0.27588124138338865</v>
      </c>
      <c r="X63">
        <v>0.29148156128109126</v>
      </c>
      <c r="Y63">
        <v>0.3019414703089085</v>
      </c>
      <c r="Z63">
        <v>0.3599759236097545</v>
      </c>
      <c r="AA63">
        <v>0.41452579089889813</v>
      </c>
      <c r="AB63">
        <v>0.3988269123920819</v>
      </c>
      <c r="AC63">
        <v>0.37591899538517082</v>
      </c>
      <c r="AD63">
        <v>0.3535021714396484</v>
      </c>
      <c r="AE63">
        <v>0.33474210139105265</v>
      </c>
      <c r="AF63">
        <v>0.31281329353357318</v>
      </c>
      <c r="AG63">
        <v>0.27872690321065435</v>
      </c>
      <c r="AH63">
        <v>0.33094855776481202</v>
      </c>
      <c r="AI63">
        <v>0.35476791862821194</v>
      </c>
      <c r="AJ63">
        <v>0.35153915764242988</v>
      </c>
      <c r="AK63">
        <v>0.37810121942732589</v>
      </c>
      <c r="AL63">
        <v>0.3951236714375253</v>
      </c>
      <c r="AM63">
        <v>0.40197660925715156</v>
      </c>
      <c r="AN63">
        <v>0.39030663377299823</v>
      </c>
      <c r="AO63">
        <v>0.37233912821514237</v>
      </c>
      <c r="AP63">
        <v>0.34400243061906455</v>
      </c>
      <c r="AQ63">
        <v>0.31915286994120307</v>
      </c>
      <c r="EA63" t="s">
        <v>171</v>
      </c>
      <c r="EB63">
        <v>0.34330860551522191</v>
      </c>
      <c r="EC63">
        <v>0.33729098883227643</v>
      </c>
      <c r="ED63">
        <v>0.33525824570639384</v>
      </c>
      <c r="EE63">
        <v>0.32945207674415788</v>
      </c>
      <c r="EF63">
        <v>0.30007758844907845</v>
      </c>
      <c r="EG63">
        <v>0.30542679762635533</v>
      </c>
      <c r="EH63">
        <v>0.3182348255033785</v>
      </c>
      <c r="EI63">
        <v>0.31992613239695233</v>
      </c>
      <c r="EJ63">
        <v>0.3375766224032728</v>
      </c>
      <c r="EK63">
        <v>0.34408830304165194</v>
      </c>
      <c r="EL63">
        <v>0.25538382456787312</v>
      </c>
      <c r="EM63">
        <v>0.25239151675704496</v>
      </c>
      <c r="EN63">
        <v>0.24650514276021446</v>
      </c>
      <c r="EO63">
        <v>0.2245629164680206</v>
      </c>
      <c r="EP63">
        <v>0.1877366232320643</v>
      </c>
      <c r="EQ63">
        <v>0.20308136116434392</v>
      </c>
      <c r="ER63">
        <v>0.23196261529183854</v>
      </c>
      <c r="ES63">
        <v>0.24417495208677237</v>
      </c>
      <c r="ET63">
        <v>0.24638495340136587</v>
      </c>
      <c r="EU63">
        <v>0.26042248579078231</v>
      </c>
      <c r="EV63">
        <v>0.18165035825662665</v>
      </c>
      <c r="EW63">
        <v>0.16085286744395519</v>
      </c>
      <c r="EX63">
        <v>0.13095386096980971</v>
      </c>
      <c r="EY63">
        <v>0.1129617615846242</v>
      </c>
      <c r="EZ63">
        <v>0.12284930145256868</v>
      </c>
      <c r="FA63">
        <v>0.15121874375074143</v>
      </c>
      <c r="FB63">
        <v>0.16520906781908892</v>
      </c>
      <c r="FC63">
        <v>0.16622038869486547</v>
      </c>
      <c r="FD63">
        <v>0.1591651122737392</v>
      </c>
      <c r="FE63">
        <v>0.19453444754323321</v>
      </c>
      <c r="FF63">
        <v>0.30683511274905739</v>
      </c>
      <c r="FG63">
        <v>0.2977811183461051</v>
      </c>
      <c r="FH63">
        <v>0.29088153684599372</v>
      </c>
      <c r="FI63">
        <v>0.27342310978809103</v>
      </c>
      <c r="FJ63">
        <v>0.25835198764040468</v>
      </c>
      <c r="FK63">
        <v>0.27144703312944596</v>
      </c>
      <c r="FL63">
        <v>0.28152824994212283</v>
      </c>
      <c r="FM63">
        <v>0.28162106939076598</v>
      </c>
      <c r="FN63">
        <v>0.30257644518582866</v>
      </c>
      <c r="FO63">
        <v>0.31847134755514511</v>
      </c>
      <c r="FQ63" t="s">
        <v>199</v>
      </c>
      <c r="FR63" t="s">
        <v>127</v>
      </c>
      <c r="FS63" t="s">
        <v>128</v>
      </c>
      <c r="FT63">
        <v>0.21462319373114372</v>
      </c>
    </row>
    <row r="64" spans="2:176" x14ac:dyDescent="0.45">
      <c r="B64" t="s">
        <v>173</v>
      </c>
      <c r="C64" t="s">
        <v>123</v>
      </c>
      <c r="D64">
        <v>0.34372373816532548</v>
      </c>
      <c r="E64">
        <v>0.34932039392747583</v>
      </c>
      <c r="F64">
        <v>0.34430911888231225</v>
      </c>
      <c r="G64">
        <v>0.35839726757862578</v>
      </c>
      <c r="H64">
        <v>0.40852507838672464</v>
      </c>
      <c r="I64">
        <v>0.40061848499321456</v>
      </c>
      <c r="J64">
        <v>0.38126823578121805</v>
      </c>
      <c r="K64">
        <v>0.36404617313208143</v>
      </c>
      <c r="L64">
        <v>0.33430507285017735</v>
      </c>
      <c r="M64">
        <v>0.33339577892692568</v>
      </c>
      <c r="N64">
        <v>0.27057884382871444</v>
      </c>
      <c r="O64">
        <v>0.27286797017562359</v>
      </c>
      <c r="P64">
        <v>0.30764975200399974</v>
      </c>
      <c r="Q64">
        <v>0.35729316883010342</v>
      </c>
      <c r="R64">
        <v>0.39482184001190235</v>
      </c>
      <c r="S64">
        <v>0.3731233673663828</v>
      </c>
      <c r="T64">
        <v>0.34324505532054073</v>
      </c>
      <c r="U64">
        <v>0.33325366338926288</v>
      </c>
      <c r="V64">
        <v>0.30736445086220132</v>
      </c>
      <c r="W64">
        <v>0.28293666337810364</v>
      </c>
      <c r="X64">
        <v>0.29672609184806881</v>
      </c>
      <c r="Y64">
        <v>0.31143566626039793</v>
      </c>
      <c r="Z64">
        <v>0.36587453461789282</v>
      </c>
      <c r="AA64">
        <v>0.42071122226100993</v>
      </c>
      <c r="AB64">
        <v>0.41505643412863119</v>
      </c>
      <c r="AC64">
        <v>0.40629490981138755</v>
      </c>
      <c r="AD64">
        <v>0.39148098394904096</v>
      </c>
      <c r="AE64">
        <v>0.37086649610019873</v>
      </c>
      <c r="AF64">
        <v>0.31371579763160407</v>
      </c>
      <c r="AG64">
        <v>0.28483829031620889</v>
      </c>
      <c r="AH64">
        <v>0.35460208506415597</v>
      </c>
      <c r="AI64">
        <v>0.37131324402634625</v>
      </c>
      <c r="AJ64">
        <v>0.36421735377403597</v>
      </c>
      <c r="AK64">
        <v>0.38564299208980168</v>
      </c>
      <c r="AL64">
        <v>0.41071316081292331</v>
      </c>
      <c r="AM64">
        <v>0.38914110265489688</v>
      </c>
      <c r="AN64">
        <v>0.38516794676397742</v>
      </c>
      <c r="AO64">
        <v>0.36702319915783094</v>
      </c>
      <c r="AP64">
        <v>0.33854984529733889</v>
      </c>
      <c r="AQ64">
        <v>0.33183859908644964</v>
      </c>
      <c r="EA64" t="s">
        <v>173</v>
      </c>
      <c r="EB64">
        <v>0.34675707614556284</v>
      </c>
      <c r="EC64">
        <v>0.33722715478015652</v>
      </c>
      <c r="ED64">
        <v>0.34017611544023152</v>
      </c>
      <c r="EE64">
        <v>0.33138017081336379</v>
      </c>
      <c r="EF64">
        <v>0.2802037978180788</v>
      </c>
      <c r="EG64">
        <v>0.29417601864433546</v>
      </c>
      <c r="EH64">
        <v>0.31386382809395869</v>
      </c>
      <c r="EI64">
        <v>0.33180899723031704</v>
      </c>
      <c r="EJ64">
        <v>0.35349539292049892</v>
      </c>
      <c r="EK64">
        <v>0.35678961341417931</v>
      </c>
      <c r="EL64">
        <v>0.2803578803172469</v>
      </c>
      <c r="EM64">
        <v>0.26790478367796755</v>
      </c>
      <c r="EN64">
        <v>0.26051863806065467</v>
      </c>
      <c r="EO64">
        <v>0.23811909645871734</v>
      </c>
      <c r="EP64">
        <v>0.18887445655288634</v>
      </c>
      <c r="EQ64">
        <v>0.21882139985119695</v>
      </c>
      <c r="ER64">
        <v>0.23885497237066411</v>
      </c>
      <c r="ES64">
        <v>0.24022487047541544</v>
      </c>
      <c r="ET64">
        <v>0.25897389324512338</v>
      </c>
      <c r="EU64">
        <v>0.29227319086271258</v>
      </c>
      <c r="EV64">
        <v>0.21869003440723936</v>
      </c>
      <c r="EW64">
        <v>0.19416105633787578</v>
      </c>
      <c r="EX64">
        <v>0.15245685065756029</v>
      </c>
      <c r="EY64">
        <v>0.13568419528734849</v>
      </c>
      <c r="EZ64">
        <v>0.12043413584814437</v>
      </c>
      <c r="FA64">
        <v>0.14991477783558835</v>
      </c>
      <c r="FB64">
        <v>0.16921975057275154</v>
      </c>
      <c r="FC64">
        <v>0.17440898899560245</v>
      </c>
      <c r="FD64">
        <v>0.18099442999536225</v>
      </c>
      <c r="FE64">
        <v>0.22685626383106028</v>
      </c>
      <c r="FF64">
        <v>0.32281825740381992</v>
      </c>
      <c r="FG64">
        <v>0.30776311983092874</v>
      </c>
      <c r="FH64">
        <v>0.30395413007904665</v>
      </c>
      <c r="FI64">
        <v>0.29156977663367556</v>
      </c>
      <c r="FJ64">
        <v>0.25986523170312098</v>
      </c>
      <c r="FK64">
        <v>0.28149623404990332</v>
      </c>
      <c r="FL64">
        <v>0.29633964803569435</v>
      </c>
      <c r="FM64">
        <v>0.30438267893327836</v>
      </c>
      <c r="FN64">
        <v>0.3324704842378895</v>
      </c>
      <c r="FO64">
        <v>0.34787998055131664</v>
      </c>
      <c r="FQ64" t="s">
        <v>200</v>
      </c>
      <c r="FR64" t="s">
        <v>127</v>
      </c>
      <c r="FS64" t="s">
        <v>128</v>
      </c>
      <c r="FT64">
        <v>0.19852459825428576</v>
      </c>
    </row>
    <row r="65" spans="2:176" x14ac:dyDescent="0.45">
      <c r="B65" t="s">
        <v>175</v>
      </c>
      <c r="C65" t="s">
        <v>123</v>
      </c>
      <c r="D65">
        <v>0.29803513002864807</v>
      </c>
      <c r="E65">
        <v>0.29966631616859096</v>
      </c>
      <c r="F65">
        <v>0.30076931577545379</v>
      </c>
      <c r="G65">
        <v>0.30701825324442072</v>
      </c>
      <c r="H65">
        <v>0.35092233756192209</v>
      </c>
      <c r="I65">
        <v>0.36687202062924129</v>
      </c>
      <c r="J65">
        <v>0.35007301316897432</v>
      </c>
      <c r="K65">
        <v>0.32176114318391424</v>
      </c>
      <c r="L65">
        <v>0.28859518047661936</v>
      </c>
      <c r="M65">
        <v>0.28086864649264287</v>
      </c>
      <c r="N65">
        <v>0.2591216393521974</v>
      </c>
      <c r="O65">
        <v>0.25170448672189921</v>
      </c>
      <c r="P65">
        <v>0.27276421489441588</v>
      </c>
      <c r="Q65">
        <v>0.30574614853729692</v>
      </c>
      <c r="R65">
        <v>0.32684835138445001</v>
      </c>
      <c r="S65">
        <v>0.31818249911848995</v>
      </c>
      <c r="T65">
        <v>0.30376487994333085</v>
      </c>
      <c r="U65">
        <v>0.29019130141173044</v>
      </c>
      <c r="V65">
        <v>0.27858079135929475</v>
      </c>
      <c r="W65">
        <v>0.26917298922487587</v>
      </c>
      <c r="X65">
        <v>0.27742166825661563</v>
      </c>
      <c r="Y65">
        <v>0.29530475005054679</v>
      </c>
      <c r="Z65">
        <v>0.35121795370035902</v>
      </c>
      <c r="AA65">
        <v>0.38934278814488432</v>
      </c>
      <c r="AB65">
        <v>0.36360688037505207</v>
      </c>
      <c r="AC65">
        <v>0.33459923009914244</v>
      </c>
      <c r="AD65">
        <v>0.32214245279102227</v>
      </c>
      <c r="AE65">
        <v>0.31676143335876167</v>
      </c>
      <c r="AF65">
        <v>0.30075563270933808</v>
      </c>
      <c r="AG65">
        <v>0.27543647014848405</v>
      </c>
      <c r="AH65">
        <v>0.32397400669962934</v>
      </c>
      <c r="AI65">
        <v>0.32359258986494738</v>
      </c>
      <c r="AJ65">
        <v>0.32928995988897691</v>
      </c>
      <c r="AK65">
        <v>0.35239257743425012</v>
      </c>
      <c r="AL65">
        <v>0.36243481575593867</v>
      </c>
      <c r="AM65">
        <v>0.34950695156651951</v>
      </c>
      <c r="AN65">
        <v>0.34065189699248755</v>
      </c>
      <c r="AO65">
        <v>0.33463213453517043</v>
      </c>
      <c r="AP65">
        <v>0.31400973615844263</v>
      </c>
      <c r="AQ65">
        <v>0.30973090057022873</v>
      </c>
      <c r="EA65" t="s">
        <v>175</v>
      </c>
      <c r="EB65">
        <v>0.42067058196830431</v>
      </c>
      <c r="EC65">
        <v>0.40849313124460002</v>
      </c>
      <c r="ED65">
        <v>0.40795702169008813</v>
      </c>
      <c r="EE65">
        <v>0.40461133717783421</v>
      </c>
      <c r="EF65">
        <v>0.36198902189875354</v>
      </c>
      <c r="EG65">
        <v>0.37114850245322706</v>
      </c>
      <c r="EH65">
        <v>0.38257617401149985</v>
      </c>
      <c r="EI65">
        <v>0.40013467413691672</v>
      </c>
      <c r="EJ65">
        <v>0.42201366930010159</v>
      </c>
      <c r="EK65">
        <v>0.43549218387051641</v>
      </c>
      <c r="EL65">
        <v>0.33861195571465552</v>
      </c>
      <c r="EM65">
        <v>0.33182239730000901</v>
      </c>
      <c r="EN65">
        <v>0.32409370233569729</v>
      </c>
      <c r="EO65">
        <v>0.31142869969399489</v>
      </c>
      <c r="EP65">
        <v>0.27809078296366357</v>
      </c>
      <c r="EQ65">
        <v>0.30892631768835555</v>
      </c>
      <c r="ER65">
        <v>0.32435069404282413</v>
      </c>
      <c r="ES65">
        <v>0.31572969433470638</v>
      </c>
      <c r="ET65">
        <v>0.3166834277285247</v>
      </c>
      <c r="EU65">
        <v>0.34098296629750124</v>
      </c>
      <c r="EV65">
        <v>0.26874599348096884</v>
      </c>
      <c r="EW65">
        <v>0.2342550027037984</v>
      </c>
      <c r="EX65">
        <v>0.20017313783531065</v>
      </c>
      <c r="EY65">
        <v>0.18753029569448201</v>
      </c>
      <c r="EZ65">
        <v>0.17857091510067452</v>
      </c>
      <c r="FA65">
        <v>0.2117398933756231</v>
      </c>
      <c r="FB65">
        <v>0.23221789296544604</v>
      </c>
      <c r="FC65">
        <v>0.2449542097175465</v>
      </c>
      <c r="FD65">
        <v>0.24835609610733023</v>
      </c>
      <c r="FE65">
        <v>0.28618568175206421</v>
      </c>
      <c r="FF65">
        <v>0.36770927681242832</v>
      </c>
      <c r="FG65">
        <v>0.35668282952835895</v>
      </c>
      <c r="FH65">
        <v>0.35274536623437147</v>
      </c>
      <c r="FI65">
        <v>0.34104083131397078</v>
      </c>
      <c r="FJ65">
        <v>0.31648496254551767</v>
      </c>
      <c r="FK65">
        <v>0.35597382890159096</v>
      </c>
      <c r="FL65">
        <v>0.36697354851920089</v>
      </c>
      <c r="FM65">
        <v>0.36660980322865772</v>
      </c>
      <c r="FN65">
        <v>0.38400303530515562</v>
      </c>
      <c r="FO65">
        <v>0.388504097303638</v>
      </c>
      <c r="FQ65" t="s">
        <v>201</v>
      </c>
      <c r="FR65" t="s">
        <v>127</v>
      </c>
      <c r="FS65" t="s">
        <v>128</v>
      </c>
      <c r="FT65">
        <v>0.28283769622985871</v>
      </c>
    </row>
    <row r="66" spans="2:176" x14ac:dyDescent="0.45">
      <c r="B66" t="s">
        <v>177</v>
      </c>
      <c r="C66" t="s">
        <v>123</v>
      </c>
      <c r="D66">
        <v>0.31880544503564406</v>
      </c>
      <c r="E66">
        <v>0.32566922639777435</v>
      </c>
      <c r="F66">
        <v>0.32547569682492788</v>
      </c>
      <c r="G66">
        <v>0.33658410228422586</v>
      </c>
      <c r="H66">
        <v>0.38181252263397375</v>
      </c>
      <c r="I66">
        <v>0.39317207931037784</v>
      </c>
      <c r="J66">
        <v>0.37747497121325263</v>
      </c>
      <c r="K66">
        <v>0.33281004373186518</v>
      </c>
      <c r="L66">
        <v>0.30487160028880833</v>
      </c>
      <c r="M66">
        <v>0.30613406681689431</v>
      </c>
      <c r="N66">
        <v>0.29341579374226906</v>
      </c>
      <c r="O66">
        <v>0.29671169022120275</v>
      </c>
      <c r="P66">
        <v>0.31896453601470043</v>
      </c>
      <c r="Q66">
        <v>0.34320186606341702</v>
      </c>
      <c r="R66">
        <v>0.34553845629545737</v>
      </c>
      <c r="S66">
        <v>0.32594704406943165</v>
      </c>
      <c r="T66">
        <v>0.32421521028363848</v>
      </c>
      <c r="U66">
        <v>0.32903113172880383</v>
      </c>
      <c r="V66">
        <v>0.31773283304644945</v>
      </c>
      <c r="W66">
        <v>0.31647720136847762</v>
      </c>
      <c r="X66">
        <v>0.29633449218447933</v>
      </c>
      <c r="Y66">
        <v>0.29149197127667342</v>
      </c>
      <c r="Z66">
        <v>0.33325045772017875</v>
      </c>
      <c r="AA66">
        <v>0.38079515069999637</v>
      </c>
      <c r="AB66">
        <v>0.40366103683530286</v>
      </c>
      <c r="AC66">
        <v>0.38964174227082948</v>
      </c>
      <c r="AD66">
        <v>0.37290279961976613</v>
      </c>
      <c r="AE66">
        <v>0.3570798253539525</v>
      </c>
      <c r="AF66">
        <v>0.33124562376717093</v>
      </c>
      <c r="AG66">
        <v>0.30541227006733734</v>
      </c>
      <c r="AH66">
        <v>0.32410055205142085</v>
      </c>
      <c r="AI66">
        <v>0.34798293862348489</v>
      </c>
      <c r="AJ66">
        <v>0.35241751120959491</v>
      </c>
      <c r="AK66">
        <v>0.38526730590540142</v>
      </c>
      <c r="AL66">
        <v>0.39280516054544151</v>
      </c>
      <c r="AM66">
        <v>0.36855451449581944</v>
      </c>
      <c r="AN66">
        <v>0.35738330028976351</v>
      </c>
      <c r="AO66">
        <v>0.35167540390823976</v>
      </c>
      <c r="AP66">
        <v>0.32346608262678822</v>
      </c>
      <c r="AQ66">
        <v>0.30505372964885402</v>
      </c>
      <c r="EA66" t="s">
        <v>177</v>
      </c>
      <c r="EB66">
        <v>0.3990862621070202</v>
      </c>
      <c r="EC66">
        <v>0.3855474262014964</v>
      </c>
      <c r="ED66">
        <v>0.38295615823878087</v>
      </c>
      <c r="EE66">
        <v>0.37378662800186341</v>
      </c>
      <c r="EF66">
        <v>0.32598327321607834</v>
      </c>
      <c r="EG66">
        <v>0.34236496908505365</v>
      </c>
      <c r="EH66">
        <v>0.34734477196487912</v>
      </c>
      <c r="EI66">
        <v>0.37473450666943808</v>
      </c>
      <c r="EJ66">
        <v>0.40003432163607155</v>
      </c>
      <c r="EK66">
        <v>0.40359746835499255</v>
      </c>
      <c r="EL66">
        <v>0.30900364605019426</v>
      </c>
      <c r="EM66">
        <v>0.31041796471012623</v>
      </c>
      <c r="EN66">
        <v>0.30353240689978994</v>
      </c>
      <c r="EO66">
        <v>0.2863546390091295</v>
      </c>
      <c r="EP66">
        <v>0.22874068429998418</v>
      </c>
      <c r="EQ66">
        <v>0.26136393215437898</v>
      </c>
      <c r="ER66">
        <v>0.2815035832134396</v>
      </c>
      <c r="ES66">
        <v>0.28174687599328091</v>
      </c>
      <c r="ET66">
        <v>0.29297776784400908</v>
      </c>
      <c r="EU66">
        <v>0.31049044855198599</v>
      </c>
      <c r="EV66">
        <v>0.24347426936145347</v>
      </c>
      <c r="EW66">
        <v>0.22085417524574585</v>
      </c>
      <c r="EX66">
        <v>0.18500715546053864</v>
      </c>
      <c r="EY66">
        <v>0.16576957511567095</v>
      </c>
      <c r="EZ66">
        <v>0.14457412059169283</v>
      </c>
      <c r="FA66">
        <v>0.16886274845677274</v>
      </c>
      <c r="FB66">
        <v>0.18097338335786284</v>
      </c>
      <c r="FC66">
        <v>0.18441278893463606</v>
      </c>
      <c r="FD66">
        <v>0.19706080189040065</v>
      </c>
      <c r="FE66">
        <v>0.24401474633448073</v>
      </c>
      <c r="FF66">
        <v>0.36062062029319158</v>
      </c>
      <c r="FG66">
        <v>0.34218791487278899</v>
      </c>
      <c r="FH66">
        <v>0.33976107374964132</v>
      </c>
      <c r="FI66">
        <v>0.32730028396900823</v>
      </c>
      <c r="FJ66">
        <v>0.29255318958587606</v>
      </c>
      <c r="FK66">
        <v>0.32195341741263661</v>
      </c>
      <c r="FL66">
        <v>0.33541593439973555</v>
      </c>
      <c r="FM66">
        <v>0.3505326763297234</v>
      </c>
      <c r="FN66">
        <v>0.37911132583322454</v>
      </c>
      <c r="FO66">
        <v>0.38401948469192876</v>
      </c>
      <c r="FQ66" t="s">
        <v>202</v>
      </c>
      <c r="FR66" t="s">
        <v>127</v>
      </c>
      <c r="FS66" t="s">
        <v>128</v>
      </c>
      <c r="FT66">
        <v>0.24117862102084761</v>
      </c>
    </row>
    <row r="67" spans="2:176" x14ac:dyDescent="0.45">
      <c r="B67" t="s">
        <v>179</v>
      </c>
      <c r="C67" t="s">
        <v>123</v>
      </c>
      <c r="D67">
        <v>0.35748536087297594</v>
      </c>
      <c r="E67">
        <v>0.35820328834840459</v>
      </c>
      <c r="F67">
        <v>0.35348240923104612</v>
      </c>
      <c r="G67">
        <v>0.3716603513661384</v>
      </c>
      <c r="H67">
        <v>0.40575912522461333</v>
      </c>
      <c r="I67">
        <v>0.40452769475290584</v>
      </c>
      <c r="J67">
        <v>0.38366305500817721</v>
      </c>
      <c r="K67">
        <v>0.36026483632463718</v>
      </c>
      <c r="L67">
        <v>0.33845156534321597</v>
      </c>
      <c r="M67">
        <v>0.33987452607434349</v>
      </c>
      <c r="N67">
        <v>0.29951529769128199</v>
      </c>
      <c r="O67">
        <v>0.29932903446926873</v>
      </c>
      <c r="P67">
        <v>0.32113239418613176</v>
      </c>
      <c r="Q67">
        <v>0.37055938022812213</v>
      </c>
      <c r="R67">
        <v>0.41319409488278142</v>
      </c>
      <c r="S67">
        <v>0.40027050786137974</v>
      </c>
      <c r="T67">
        <v>0.37038934715761823</v>
      </c>
      <c r="U67">
        <v>0.34923333923720323</v>
      </c>
      <c r="V67">
        <v>0.31586655923807933</v>
      </c>
      <c r="W67">
        <v>0.29823132592653617</v>
      </c>
      <c r="X67">
        <v>0.30539305410038858</v>
      </c>
      <c r="Y67">
        <v>0.31287870784300043</v>
      </c>
      <c r="Z67">
        <v>0.37366683967248776</v>
      </c>
      <c r="AA67">
        <v>0.41203586665662284</v>
      </c>
      <c r="AB67">
        <v>0.41728364971188953</v>
      </c>
      <c r="AC67">
        <v>0.42403760398137957</v>
      </c>
      <c r="AD67">
        <v>0.40237769217997182</v>
      </c>
      <c r="AE67">
        <v>0.36490517500759545</v>
      </c>
      <c r="AF67">
        <v>0.32065279856058321</v>
      </c>
      <c r="AG67">
        <v>0.30596640602433306</v>
      </c>
      <c r="AH67">
        <v>0.34838493771620577</v>
      </c>
      <c r="AI67">
        <v>0.3548289263401877</v>
      </c>
      <c r="AJ67">
        <v>0.36557527981941912</v>
      </c>
      <c r="AK67">
        <v>0.40317815267818613</v>
      </c>
      <c r="AL67">
        <v>0.42094371797340213</v>
      </c>
      <c r="AM67">
        <v>0.40335100221593062</v>
      </c>
      <c r="AN67">
        <v>0.38970220950173257</v>
      </c>
      <c r="AO67">
        <v>0.36889193539453102</v>
      </c>
      <c r="AP67">
        <v>0.33847866810272326</v>
      </c>
      <c r="AQ67">
        <v>0.32647457172595801</v>
      </c>
      <c r="EA67" t="s">
        <v>179</v>
      </c>
      <c r="EB67">
        <v>0.33249221230442505</v>
      </c>
      <c r="EC67">
        <v>0.33224644800492209</v>
      </c>
      <c r="ED67">
        <v>0.33269861976188064</v>
      </c>
      <c r="EE67">
        <v>0.32549468054896263</v>
      </c>
      <c r="EF67">
        <v>0.26982891551785015</v>
      </c>
      <c r="EG67">
        <v>0.27394869030001723</v>
      </c>
      <c r="EH67">
        <v>0.29096513768846338</v>
      </c>
      <c r="EI67">
        <v>0.31611542059758668</v>
      </c>
      <c r="EJ67">
        <v>0.33960301512733321</v>
      </c>
      <c r="EK67">
        <v>0.33755458475737793</v>
      </c>
      <c r="EL67">
        <v>0.27117739791370732</v>
      </c>
      <c r="EM67">
        <v>0.2757184626685607</v>
      </c>
      <c r="EN67">
        <v>0.26268920611389562</v>
      </c>
      <c r="EO67">
        <v>0.24185494104925825</v>
      </c>
      <c r="EP67">
        <v>0.19018470315988251</v>
      </c>
      <c r="EQ67">
        <v>0.21284440199056628</v>
      </c>
      <c r="ER67">
        <v>0.22978158924319861</v>
      </c>
      <c r="ES67">
        <v>0.22906567883507292</v>
      </c>
      <c r="ET67">
        <v>0.24561945532116988</v>
      </c>
      <c r="EU67">
        <v>0.26681232238976244</v>
      </c>
      <c r="EV67">
        <v>0.19854890021045402</v>
      </c>
      <c r="EW67">
        <v>0.18167687717296102</v>
      </c>
      <c r="EX67">
        <v>0.14166436710942629</v>
      </c>
      <c r="EY67">
        <v>0.12331822659679384</v>
      </c>
      <c r="EZ67">
        <v>0.11235618263474109</v>
      </c>
      <c r="FA67">
        <v>0.13423819399718717</v>
      </c>
      <c r="FB67">
        <v>0.14181524761300021</v>
      </c>
      <c r="FC67">
        <v>0.1432687911849401</v>
      </c>
      <c r="FD67">
        <v>0.15509260514172488</v>
      </c>
      <c r="FE67">
        <v>0.20327729411324172</v>
      </c>
      <c r="FF67">
        <v>0.31396449719541375</v>
      </c>
      <c r="FG67">
        <v>0.30014805993888782</v>
      </c>
      <c r="FH67">
        <v>0.29337165792897274</v>
      </c>
      <c r="FI67">
        <v>0.27713113754370877</v>
      </c>
      <c r="FJ67">
        <v>0.23407208701234897</v>
      </c>
      <c r="FK67">
        <v>0.25990233273861385</v>
      </c>
      <c r="FL67">
        <v>0.26879140846602884</v>
      </c>
      <c r="FM67">
        <v>0.28122300546730034</v>
      </c>
      <c r="FN67">
        <v>0.31160644400293619</v>
      </c>
      <c r="FO67">
        <v>0.32637091814681057</v>
      </c>
      <c r="FQ67" t="s">
        <v>203</v>
      </c>
      <c r="FR67" t="s">
        <v>127</v>
      </c>
      <c r="FS67" t="s">
        <v>128</v>
      </c>
      <c r="FT67">
        <v>0.19815178152437565</v>
      </c>
    </row>
    <row r="68" spans="2:176" x14ac:dyDescent="0.45">
      <c r="B68" t="s">
        <v>181</v>
      </c>
      <c r="C68" t="s">
        <v>123</v>
      </c>
      <c r="D68">
        <v>0.41804378693003691</v>
      </c>
      <c r="E68">
        <v>0.43472318384320646</v>
      </c>
      <c r="F68">
        <v>0.43303870814160228</v>
      </c>
      <c r="G68">
        <v>0.43840832103419136</v>
      </c>
      <c r="H68">
        <v>0.43471606116587752</v>
      </c>
      <c r="I68">
        <v>0.43789100362941136</v>
      </c>
      <c r="J68">
        <v>0.43186354329116389</v>
      </c>
      <c r="K68">
        <v>0.43581307537436476</v>
      </c>
      <c r="L68">
        <v>0.41744891056578409</v>
      </c>
      <c r="M68">
        <v>0.41225090756840821</v>
      </c>
      <c r="N68">
        <v>0.32420221366829627</v>
      </c>
      <c r="O68">
        <v>0.32785443356176613</v>
      </c>
      <c r="P68">
        <v>0.33810638304701468</v>
      </c>
      <c r="Q68">
        <v>0.34565321328327647</v>
      </c>
      <c r="R68">
        <v>0.33450706898747512</v>
      </c>
      <c r="S68">
        <v>0.31982674706643582</v>
      </c>
      <c r="T68">
        <v>0.31536134113385317</v>
      </c>
      <c r="U68">
        <v>0.31421096143232613</v>
      </c>
      <c r="V68">
        <v>0.31963300698323682</v>
      </c>
      <c r="W68">
        <v>0.32000475571733333</v>
      </c>
      <c r="X68">
        <v>0.45402019504551988</v>
      </c>
      <c r="Y68">
        <v>0.47336331018377642</v>
      </c>
      <c r="Z68">
        <v>0.4692395722118245</v>
      </c>
      <c r="AA68">
        <v>0.45172331413867306</v>
      </c>
      <c r="AB68">
        <v>0.40259408844380407</v>
      </c>
      <c r="AC68">
        <v>0.36313316014520147</v>
      </c>
      <c r="AD68">
        <v>0.34604307015854679</v>
      </c>
      <c r="AE68">
        <v>0.34655104096497608</v>
      </c>
      <c r="AF68">
        <v>0.3726186483797595</v>
      </c>
      <c r="AG68">
        <v>0.41008729891225992</v>
      </c>
      <c r="AH68">
        <v>0.39036072631951152</v>
      </c>
      <c r="AI68">
        <v>0.40468204497536531</v>
      </c>
      <c r="AJ68">
        <v>0.40269180025713919</v>
      </c>
      <c r="AK68">
        <v>0.40817311654539462</v>
      </c>
      <c r="AL68">
        <v>0.40263964775673616</v>
      </c>
      <c r="AM68">
        <v>0.38471274495786972</v>
      </c>
      <c r="AN68">
        <v>0.36686473566289352</v>
      </c>
      <c r="AO68">
        <v>0.3584287461317453</v>
      </c>
      <c r="AP68">
        <v>0.36801856168410763</v>
      </c>
      <c r="AQ68">
        <v>0.37256505886361774</v>
      </c>
      <c r="EA68" t="s">
        <v>181</v>
      </c>
      <c r="EB68">
        <v>0.18198411101968012</v>
      </c>
      <c r="EC68">
        <v>0.1809950101213432</v>
      </c>
      <c r="ED68">
        <v>0.18788185468204849</v>
      </c>
      <c r="EE68">
        <v>0.19553149382664714</v>
      </c>
      <c r="EF68">
        <v>0.19462030951316492</v>
      </c>
      <c r="EG68">
        <v>0.21015301186218846</v>
      </c>
      <c r="EH68">
        <v>0.21225062512115905</v>
      </c>
      <c r="EI68">
        <v>0.20360251668820659</v>
      </c>
      <c r="EJ68">
        <v>0.1944360109371564</v>
      </c>
      <c r="EK68">
        <v>0.18746077174438483</v>
      </c>
      <c r="EL68">
        <v>0.24085789955840381</v>
      </c>
      <c r="EM68">
        <v>0.23472669125163212</v>
      </c>
      <c r="EN68">
        <v>0.23269824454193938</v>
      </c>
      <c r="EO68">
        <v>0.24043205403553908</v>
      </c>
      <c r="EP68">
        <v>0.2396817112155577</v>
      </c>
      <c r="EQ68">
        <v>0.26174212682878306</v>
      </c>
      <c r="ER68">
        <v>0.27520015241925577</v>
      </c>
      <c r="ES68">
        <v>0.27133207619078797</v>
      </c>
      <c r="ET68">
        <v>0.25596906973365363</v>
      </c>
      <c r="EU68">
        <v>0.24659466319918574</v>
      </c>
      <c r="EV68">
        <v>8.2203567706837885E-2</v>
      </c>
      <c r="EW68">
        <v>7.4220925166000248E-2</v>
      </c>
      <c r="EX68">
        <v>6.9452818235091543E-2</v>
      </c>
      <c r="EY68">
        <v>7.4126054480310219E-2</v>
      </c>
      <c r="EZ68">
        <v>8.342819962369695E-2</v>
      </c>
      <c r="FA68">
        <v>0.10434520226931852</v>
      </c>
      <c r="FB68">
        <v>0.11661112187450688</v>
      </c>
      <c r="FC68">
        <v>0.10683990437675585</v>
      </c>
      <c r="FD68">
        <v>9.1736053689088964E-2</v>
      </c>
      <c r="FE68">
        <v>8.0228873613270288E-2</v>
      </c>
      <c r="FF68">
        <v>0.20876320418800048</v>
      </c>
      <c r="FG68">
        <v>0.205257422715689</v>
      </c>
      <c r="FH68">
        <v>0.20295964571643399</v>
      </c>
      <c r="FI68">
        <v>0.20397222154211311</v>
      </c>
      <c r="FJ68">
        <v>0.20554414812441599</v>
      </c>
      <c r="FK68">
        <v>0.21468765500112658</v>
      </c>
      <c r="FL68">
        <v>0.21818119920854781</v>
      </c>
      <c r="FM68">
        <v>0.21758429908825291</v>
      </c>
      <c r="FN68">
        <v>0.21822522341325429</v>
      </c>
      <c r="FO68">
        <v>0.21470030275974927</v>
      </c>
      <c r="FQ68" t="s">
        <v>204</v>
      </c>
      <c r="FR68" t="s">
        <v>127</v>
      </c>
      <c r="FS68" t="s">
        <v>128</v>
      </c>
      <c r="FT68">
        <v>0.23228673870197031</v>
      </c>
    </row>
    <row r="69" spans="2:176" x14ac:dyDescent="0.45">
      <c r="B69" t="s">
        <v>183</v>
      </c>
      <c r="C69" t="s">
        <v>123</v>
      </c>
      <c r="D69">
        <v>0.44782503295566278</v>
      </c>
      <c r="E69">
        <v>0.45810888273047234</v>
      </c>
      <c r="F69">
        <v>0.46876260585333235</v>
      </c>
      <c r="G69">
        <v>0.47716270066347199</v>
      </c>
      <c r="H69">
        <v>0.50053561219732867</v>
      </c>
      <c r="I69">
        <v>0.48391816720242681</v>
      </c>
      <c r="J69">
        <v>0.45978098045992738</v>
      </c>
      <c r="K69">
        <v>0.43985379096545074</v>
      </c>
      <c r="L69">
        <v>0.43433712268457136</v>
      </c>
      <c r="M69">
        <v>0.44300403340335143</v>
      </c>
      <c r="N69">
        <v>0.43671100891235876</v>
      </c>
      <c r="O69">
        <v>0.4531348592358076</v>
      </c>
      <c r="P69">
        <v>0.45192975350781517</v>
      </c>
      <c r="Q69">
        <v>0.43813427578202258</v>
      </c>
      <c r="R69">
        <v>0.39973718860059015</v>
      </c>
      <c r="S69">
        <v>0.35784516272557454</v>
      </c>
      <c r="T69">
        <v>0.33067942735310751</v>
      </c>
      <c r="U69">
        <v>0.33035640846646436</v>
      </c>
      <c r="V69">
        <v>0.32610684221772701</v>
      </c>
      <c r="W69">
        <v>0.35968596835284045</v>
      </c>
      <c r="X69">
        <v>0.52278562083554903</v>
      </c>
      <c r="Y69">
        <v>0.55177183743830926</v>
      </c>
      <c r="Z69">
        <v>0.54776498696732301</v>
      </c>
      <c r="AA69">
        <v>0.53104403044749859</v>
      </c>
      <c r="AB69">
        <v>0.51756350061455514</v>
      </c>
      <c r="AC69">
        <v>0.47628766992540539</v>
      </c>
      <c r="AD69">
        <v>0.45455945618794258</v>
      </c>
      <c r="AE69">
        <v>0.44553784902211113</v>
      </c>
      <c r="AF69">
        <v>0.47696594471369208</v>
      </c>
      <c r="AG69">
        <v>0.5008240907907836</v>
      </c>
      <c r="AH69">
        <v>0.47967557039621778</v>
      </c>
      <c r="AI69">
        <v>0.48378108835943151</v>
      </c>
      <c r="AJ69">
        <v>0.48026538348945985</v>
      </c>
      <c r="AK69">
        <v>0.47129909110597396</v>
      </c>
      <c r="AL69">
        <v>0.48411727796952081</v>
      </c>
      <c r="AM69">
        <v>0.46767966562880686</v>
      </c>
      <c r="AN69">
        <v>0.4398330000713192</v>
      </c>
      <c r="AO69">
        <v>0.42686260206119769</v>
      </c>
      <c r="AP69">
        <v>0.44913494326152692</v>
      </c>
      <c r="AQ69">
        <v>0.46712083877422461</v>
      </c>
      <c r="EA69" t="s">
        <v>183</v>
      </c>
      <c r="EB69">
        <v>0.26037550563033113</v>
      </c>
      <c r="EC69">
        <v>0.27761701412638301</v>
      </c>
      <c r="ED69">
        <v>0.28097983259688308</v>
      </c>
      <c r="EE69">
        <v>0.26534777297060447</v>
      </c>
      <c r="EF69">
        <v>0.24565719787844267</v>
      </c>
      <c r="EG69">
        <v>0.26644525047701101</v>
      </c>
      <c r="EH69">
        <v>0.28101959477497107</v>
      </c>
      <c r="EI69">
        <v>0.29388863540185828</v>
      </c>
      <c r="EJ69">
        <v>0.28278257000799334</v>
      </c>
      <c r="EK69">
        <v>0.26062494691887117</v>
      </c>
      <c r="EL69">
        <v>0.28422632908257561</v>
      </c>
      <c r="EM69">
        <v>0.28273228182818211</v>
      </c>
      <c r="EN69">
        <v>0.28056926056465281</v>
      </c>
      <c r="EO69">
        <v>0.29438446906063259</v>
      </c>
      <c r="EP69">
        <v>0.32000616352676103</v>
      </c>
      <c r="EQ69">
        <v>0.37618597058925557</v>
      </c>
      <c r="ER69">
        <v>0.40542103746082803</v>
      </c>
      <c r="ES69">
        <v>0.39797906236842595</v>
      </c>
      <c r="ET69">
        <v>0.38177179919955306</v>
      </c>
      <c r="EU69">
        <v>0.33471919834902408</v>
      </c>
      <c r="EV69">
        <v>0.12557745372603615</v>
      </c>
      <c r="EW69">
        <v>0.10075539557321131</v>
      </c>
      <c r="EX69">
        <v>8.4580355906257121E-2</v>
      </c>
      <c r="EY69">
        <v>0.10192433593407182</v>
      </c>
      <c r="EZ69">
        <v>0.11909561954855166</v>
      </c>
      <c r="FA69">
        <v>0.15220715809254071</v>
      </c>
      <c r="FB69">
        <v>0.17808886264003873</v>
      </c>
      <c r="FC69">
        <v>0.18895186595167007</v>
      </c>
      <c r="FD69">
        <v>0.18117033029316768</v>
      </c>
      <c r="FE69">
        <v>0.16192658621188283</v>
      </c>
      <c r="FF69">
        <v>0.28277735790852343</v>
      </c>
      <c r="FG69">
        <v>0.26770483035424136</v>
      </c>
      <c r="FH69">
        <v>0.25359824733751035</v>
      </c>
      <c r="FI69">
        <v>0.249844864445258</v>
      </c>
      <c r="FJ69">
        <v>0.25409590472612481</v>
      </c>
      <c r="FK69">
        <v>0.28122590133864861</v>
      </c>
      <c r="FL69">
        <v>0.30763120250890474</v>
      </c>
      <c r="FM69">
        <v>0.31568408131146453</v>
      </c>
      <c r="FN69">
        <v>0.31592903300416375</v>
      </c>
      <c r="FO69">
        <v>0.30386075724132483</v>
      </c>
      <c r="FQ69" t="s">
        <v>160</v>
      </c>
      <c r="FR69" t="s">
        <v>127</v>
      </c>
      <c r="FS69" t="s">
        <v>128</v>
      </c>
      <c r="FT69">
        <v>0.57590679110135401</v>
      </c>
    </row>
    <row r="70" spans="2:176" x14ac:dyDescent="0.45">
      <c r="B70" t="s">
        <v>185</v>
      </c>
      <c r="C70" t="s">
        <v>123</v>
      </c>
      <c r="D70">
        <v>0.56550068579843216</v>
      </c>
      <c r="E70">
        <v>0.57208150876290209</v>
      </c>
      <c r="F70">
        <v>0.59505251247060631</v>
      </c>
      <c r="G70">
        <v>0.6079776918825508</v>
      </c>
      <c r="H70">
        <v>0.61444396444445371</v>
      </c>
      <c r="I70">
        <v>0.58003139220829825</v>
      </c>
      <c r="J70">
        <v>0.54119321455419045</v>
      </c>
      <c r="K70">
        <v>0.52443682225584121</v>
      </c>
      <c r="L70">
        <v>0.5507302105220665</v>
      </c>
      <c r="M70">
        <v>0.56876501969452775</v>
      </c>
      <c r="N70">
        <v>0.51688268216448341</v>
      </c>
      <c r="O70">
        <v>0.51479971121035961</v>
      </c>
      <c r="P70">
        <v>0.52010770613259227</v>
      </c>
      <c r="Q70">
        <v>0.50422631546253538</v>
      </c>
      <c r="R70">
        <v>0.47654472041696277</v>
      </c>
      <c r="S70">
        <v>0.45018380097374538</v>
      </c>
      <c r="T70">
        <v>0.43750553371880774</v>
      </c>
      <c r="U70">
        <v>0.44369293407643168</v>
      </c>
      <c r="V70">
        <v>0.43537747466946419</v>
      </c>
      <c r="W70">
        <v>0.469509627573443</v>
      </c>
      <c r="X70">
        <v>0.59720041012715763</v>
      </c>
      <c r="Y70">
        <v>0.5834230812186828</v>
      </c>
      <c r="Z70">
        <v>0.57433739211048374</v>
      </c>
      <c r="AA70">
        <v>0.57944371413012941</v>
      </c>
      <c r="AB70">
        <v>0.52503728679067296</v>
      </c>
      <c r="AC70">
        <v>0.42697231271331759</v>
      </c>
      <c r="AD70">
        <v>0.43894433618473166</v>
      </c>
      <c r="AE70">
        <v>0.47057305085713419</v>
      </c>
      <c r="AF70">
        <v>0.5296970484920771</v>
      </c>
      <c r="AG70">
        <v>0.57836587525212213</v>
      </c>
      <c r="AH70">
        <v>0.55494858997858665</v>
      </c>
      <c r="AI70">
        <v>0.53907155501163317</v>
      </c>
      <c r="AJ70">
        <v>0.53891604051789221</v>
      </c>
      <c r="AK70">
        <v>0.52600175235485058</v>
      </c>
      <c r="AL70">
        <v>0.52586391813517508</v>
      </c>
      <c r="AM70">
        <v>0.49932729877077137</v>
      </c>
      <c r="AN70">
        <v>0.49173828186005886</v>
      </c>
      <c r="AO70">
        <v>0.50242619046340953</v>
      </c>
      <c r="AP70">
        <v>0.52039815379949184</v>
      </c>
      <c r="AQ70">
        <v>0.53308797025750188</v>
      </c>
      <c r="EA70" t="s">
        <v>185</v>
      </c>
      <c r="EB70">
        <v>0.14831238360180918</v>
      </c>
      <c r="EC70">
        <v>0.16498289389249068</v>
      </c>
      <c r="ED70">
        <v>0.17057822074172138</v>
      </c>
      <c r="EE70">
        <v>0.16067866453089003</v>
      </c>
      <c r="EF70">
        <v>0.14852684011071826</v>
      </c>
      <c r="EG70">
        <v>0.17174281501149827</v>
      </c>
      <c r="EH70">
        <v>0.17661578288405599</v>
      </c>
      <c r="EI70">
        <v>0.16974243183663959</v>
      </c>
      <c r="EJ70">
        <v>0.15526301818745641</v>
      </c>
      <c r="EK70">
        <v>0.13904153939470765</v>
      </c>
      <c r="EL70">
        <v>0.20271431313404767</v>
      </c>
      <c r="EM70">
        <v>0.19688435171943475</v>
      </c>
      <c r="EN70">
        <v>0.19446177104823406</v>
      </c>
      <c r="EO70">
        <v>0.20271997259348751</v>
      </c>
      <c r="EP70">
        <v>0.21331444416431528</v>
      </c>
      <c r="EQ70">
        <v>0.25905745594171453</v>
      </c>
      <c r="ER70">
        <v>0.28025127366972596</v>
      </c>
      <c r="ES70">
        <v>0.27729787841191483</v>
      </c>
      <c r="ET70">
        <v>0.26917151223873481</v>
      </c>
      <c r="EU70">
        <v>0.2313344594934155</v>
      </c>
      <c r="EV70">
        <v>5.6787898112167452E-2</v>
      </c>
      <c r="EW70">
        <v>4.9576970018335345E-2</v>
      </c>
      <c r="EX70">
        <v>4.1404731270398426E-2</v>
      </c>
      <c r="EY70">
        <v>5.1159425352983005E-2</v>
      </c>
      <c r="EZ70">
        <v>5.9243669637172355E-2</v>
      </c>
      <c r="FA70">
        <v>8.1657149547414334E-2</v>
      </c>
      <c r="FB70">
        <v>8.7003543655516435E-2</v>
      </c>
      <c r="FC70">
        <v>8.0993066507464212E-2</v>
      </c>
      <c r="FD70">
        <v>8.467804859312987E-2</v>
      </c>
      <c r="FE70">
        <v>8.2773241257236008E-2</v>
      </c>
      <c r="FF70">
        <v>0.19717565756158006</v>
      </c>
      <c r="FG70">
        <v>0.17340637903464501</v>
      </c>
      <c r="FH70">
        <v>0.16470299136607963</v>
      </c>
      <c r="FI70">
        <v>0.16437431889036541</v>
      </c>
      <c r="FJ70">
        <v>0.17561312346705732</v>
      </c>
      <c r="FK70">
        <v>0.20313448852229662</v>
      </c>
      <c r="FL70">
        <v>0.23115778493975678</v>
      </c>
      <c r="FM70">
        <v>0.24330488532628641</v>
      </c>
      <c r="FN70">
        <v>0.2487526679287477</v>
      </c>
      <c r="FO70">
        <v>0.23697528770912243</v>
      </c>
      <c r="FQ70" t="s">
        <v>162</v>
      </c>
      <c r="FR70" t="s">
        <v>127</v>
      </c>
      <c r="FS70" t="s">
        <v>128</v>
      </c>
      <c r="FT70">
        <v>0.31620290578902088</v>
      </c>
    </row>
    <row r="71" spans="2:176" x14ac:dyDescent="0.45">
      <c r="B71" t="s">
        <v>187</v>
      </c>
      <c r="C71" t="s">
        <v>123</v>
      </c>
      <c r="D71">
        <v>0.56299086221653849</v>
      </c>
      <c r="E71">
        <v>0.54618208673812729</v>
      </c>
      <c r="F71">
        <v>0.55124095913438897</v>
      </c>
      <c r="G71">
        <v>0.5719227203192444</v>
      </c>
      <c r="H71">
        <v>0.5782306421920318</v>
      </c>
      <c r="I71">
        <v>0.57787992499097773</v>
      </c>
      <c r="J71">
        <v>0.57155566377674372</v>
      </c>
      <c r="K71">
        <v>0.58287233297427643</v>
      </c>
      <c r="L71">
        <v>0.56726589543328387</v>
      </c>
      <c r="M71">
        <v>0.56112592435565756</v>
      </c>
      <c r="N71">
        <v>0.56800881245485713</v>
      </c>
      <c r="O71">
        <v>0.57373974840418995</v>
      </c>
      <c r="P71">
        <v>0.54714968927203855</v>
      </c>
      <c r="Q71">
        <v>0.50399273633403197</v>
      </c>
      <c r="R71">
        <v>0.47767514276015127</v>
      </c>
      <c r="S71">
        <v>0.47211904397755838</v>
      </c>
      <c r="T71">
        <v>0.49413473630722693</v>
      </c>
      <c r="U71">
        <v>0.53486700899418871</v>
      </c>
      <c r="V71">
        <v>0.58296845772193884</v>
      </c>
      <c r="W71">
        <v>0.58458322271041385</v>
      </c>
      <c r="X71">
        <v>0.54660931833417947</v>
      </c>
      <c r="Y71">
        <v>0.54627588750964395</v>
      </c>
      <c r="Z71">
        <v>0.5555624765709205</v>
      </c>
      <c r="AA71">
        <v>0.51134956102860385</v>
      </c>
      <c r="AB71">
        <v>0.44481891481450642</v>
      </c>
      <c r="AC71">
        <v>0.37999185735084512</v>
      </c>
      <c r="AD71">
        <v>0.32657653082177329</v>
      </c>
      <c r="AE71">
        <v>0.30988034870155456</v>
      </c>
      <c r="AF71">
        <v>0.37388027041328953</v>
      </c>
      <c r="AG71">
        <v>0.507279446548346</v>
      </c>
      <c r="AH71">
        <v>0.53248388291798887</v>
      </c>
      <c r="AI71">
        <v>0.54054570564934223</v>
      </c>
      <c r="AJ71">
        <v>0.51217797899020845</v>
      </c>
      <c r="AK71">
        <v>0.50132908795446762</v>
      </c>
      <c r="AL71">
        <v>0.47902584335763754</v>
      </c>
      <c r="AM71">
        <v>0.4508369046275677</v>
      </c>
      <c r="AN71">
        <v>0.44784327381783995</v>
      </c>
      <c r="AO71">
        <v>0.49461053505006158</v>
      </c>
      <c r="AP71">
        <v>0.52735310590023343</v>
      </c>
      <c r="AQ71">
        <v>0.52945569236898871</v>
      </c>
      <c r="EA71" t="s">
        <v>187</v>
      </c>
      <c r="EB71">
        <v>0.12141630626930337</v>
      </c>
      <c r="EC71">
        <v>0.12925424409849157</v>
      </c>
      <c r="ED71">
        <v>0.13604795700197833</v>
      </c>
      <c r="EE71">
        <v>0.13573817198242372</v>
      </c>
      <c r="EF71">
        <v>0.11986797179367083</v>
      </c>
      <c r="EG71">
        <v>0.116027243857065</v>
      </c>
      <c r="EH71">
        <v>0.1186428648678379</v>
      </c>
      <c r="EI71">
        <v>0.12272791644726466</v>
      </c>
      <c r="EJ71">
        <v>0.12513354283744574</v>
      </c>
      <c r="EK71">
        <v>0.11885914159205707</v>
      </c>
      <c r="EL71">
        <v>0.11203028414368063</v>
      </c>
      <c r="EM71">
        <v>0.10441133700964123</v>
      </c>
      <c r="EN71">
        <v>0.10228830723296953</v>
      </c>
      <c r="EO71">
        <v>9.8668569222512742E-2</v>
      </c>
      <c r="EP71">
        <v>0.1059648479934802</v>
      </c>
      <c r="EQ71">
        <v>0.1194415674139948</v>
      </c>
      <c r="ER71">
        <v>0.12487305108958896</v>
      </c>
      <c r="ES71">
        <v>0.11281504158408928</v>
      </c>
      <c r="ET71">
        <v>0.10698705514938489</v>
      </c>
      <c r="EU71">
        <v>0.10580900487484937</v>
      </c>
      <c r="EV71">
        <v>3.1562258691132147E-2</v>
      </c>
      <c r="EW71">
        <v>3.5981813522243021E-2</v>
      </c>
      <c r="EX71">
        <v>3.5633502726736682E-2</v>
      </c>
      <c r="EY71">
        <v>2.9017658562541172E-2</v>
      </c>
      <c r="EZ71">
        <v>3.3556008336903607E-2</v>
      </c>
      <c r="FA71">
        <v>4.0415761329274137E-2</v>
      </c>
      <c r="FB71">
        <v>2.8291715502627598E-2</v>
      </c>
      <c r="FC71">
        <v>2.0659002161625285E-2</v>
      </c>
      <c r="FD71">
        <v>1.9665414189069492E-2</v>
      </c>
      <c r="FE71">
        <v>2.346341597655302E-2</v>
      </c>
      <c r="FF71">
        <v>0.11867705351202289</v>
      </c>
      <c r="FG71">
        <v>0.11469309447540461</v>
      </c>
      <c r="FH71">
        <v>0.10840034308449294</v>
      </c>
      <c r="FI71">
        <v>9.897049154272651E-2</v>
      </c>
      <c r="FJ71">
        <v>9.1397673943192592E-2</v>
      </c>
      <c r="FK71">
        <v>0.10653272456269465</v>
      </c>
      <c r="FL71">
        <v>0.10966987877695279</v>
      </c>
      <c r="FM71">
        <v>0.1096220405447389</v>
      </c>
      <c r="FN71">
        <v>0.11522247487932423</v>
      </c>
      <c r="FO71">
        <v>0.12034808640793007</v>
      </c>
      <c r="FQ71" t="s">
        <v>164</v>
      </c>
      <c r="FR71" t="s">
        <v>127</v>
      </c>
      <c r="FS71" t="s">
        <v>128</v>
      </c>
      <c r="FT71">
        <v>0.35808834902137138</v>
      </c>
    </row>
    <row r="72" spans="2:176" x14ac:dyDescent="0.45">
      <c r="B72" t="s">
        <v>189</v>
      </c>
      <c r="C72" t="s">
        <v>123</v>
      </c>
      <c r="D72">
        <v>0.33771139743121731</v>
      </c>
      <c r="E72">
        <v>0.35182541870465855</v>
      </c>
      <c r="F72">
        <v>0.35987978311832369</v>
      </c>
      <c r="G72">
        <v>0.38180969921881719</v>
      </c>
      <c r="H72">
        <v>0.41583920348403514</v>
      </c>
      <c r="I72">
        <v>0.40576964696998569</v>
      </c>
      <c r="J72">
        <v>0.36871472278056466</v>
      </c>
      <c r="K72">
        <v>0.34130659614876291</v>
      </c>
      <c r="L72">
        <v>0.33104168924572702</v>
      </c>
      <c r="M72">
        <v>0.33664261020121511</v>
      </c>
      <c r="N72">
        <v>0.38405726781980504</v>
      </c>
      <c r="O72">
        <v>0.39252454168318124</v>
      </c>
      <c r="P72">
        <v>0.41367672007383643</v>
      </c>
      <c r="Q72">
        <v>0.45856950589706597</v>
      </c>
      <c r="R72">
        <v>0.4404997031914154</v>
      </c>
      <c r="S72">
        <v>0.40318531173885408</v>
      </c>
      <c r="T72">
        <v>0.38608423149223742</v>
      </c>
      <c r="U72">
        <v>0.38498477018140137</v>
      </c>
      <c r="V72">
        <v>0.3804473892535144</v>
      </c>
      <c r="W72">
        <v>0.38394084632239428</v>
      </c>
      <c r="X72">
        <v>0.41205561567218146</v>
      </c>
      <c r="Y72">
        <v>0.42376696328924573</v>
      </c>
      <c r="Z72">
        <v>0.4654866629596498</v>
      </c>
      <c r="AA72">
        <v>0.46831021013419155</v>
      </c>
      <c r="AB72">
        <v>0.45548743728097779</v>
      </c>
      <c r="AC72">
        <v>0.43558987493543821</v>
      </c>
      <c r="AD72">
        <v>0.43125370099800875</v>
      </c>
      <c r="AE72">
        <v>0.40092388653526101</v>
      </c>
      <c r="AF72">
        <v>0.37801404742017458</v>
      </c>
      <c r="AG72">
        <v>0.39268046044695909</v>
      </c>
      <c r="AH72">
        <v>0.3471641265172975</v>
      </c>
      <c r="AI72">
        <v>0.35388782640590138</v>
      </c>
      <c r="AJ72">
        <v>0.36612438681032733</v>
      </c>
      <c r="AK72">
        <v>0.39782309267014254</v>
      </c>
      <c r="AL72">
        <v>0.39524493105460701</v>
      </c>
      <c r="AM72">
        <v>0.37774518141832497</v>
      </c>
      <c r="AN72">
        <v>0.3699470216129408</v>
      </c>
      <c r="AO72">
        <v>0.35547994398772825</v>
      </c>
      <c r="AP72">
        <v>0.34063957048542853</v>
      </c>
      <c r="AQ72">
        <v>0.35122542128409062</v>
      </c>
      <c r="EA72" t="s">
        <v>189</v>
      </c>
      <c r="EB72">
        <v>0.28864873835040539</v>
      </c>
      <c r="EC72">
        <v>0.28548117617139118</v>
      </c>
      <c r="ED72">
        <v>0.28433751562042181</v>
      </c>
      <c r="EE72">
        <v>0.27552784976554168</v>
      </c>
      <c r="EF72">
        <v>0.25678424090532126</v>
      </c>
      <c r="EG72">
        <v>0.28174557372613446</v>
      </c>
      <c r="EH72">
        <v>0.29536901417030531</v>
      </c>
      <c r="EI72">
        <v>0.30679716541994878</v>
      </c>
      <c r="EJ72">
        <v>0.31551015177488062</v>
      </c>
      <c r="EK72">
        <v>0.29982385659797289</v>
      </c>
      <c r="EL72">
        <v>0.18494132349365017</v>
      </c>
      <c r="EM72">
        <v>0.18117361429496892</v>
      </c>
      <c r="EN72">
        <v>0.18081666228049667</v>
      </c>
      <c r="EO72">
        <v>0.19909344376451835</v>
      </c>
      <c r="EP72">
        <v>0.20982248649588373</v>
      </c>
      <c r="EQ72">
        <v>0.2392620791403483</v>
      </c>
      <c r="ER72">
        <v>0.25707706684617337</v>
      </c>
      <c r="ES72">
        <v>0.24783905781233334</v>
      </c>
      <c r="ET72">
        <v>0.23534040392457745</v>
      </c>
      <c r="EU72">
        <v>0.21205014794175769</v>
      </c>
      <c r="EV72">
        <v>0.18469994510953486</v>
      </c>
      <c r="EW72">
        <v>0.16801478313969706</v>
      </c>
      <c r="EX72">
        <v>0.15118353594187733</v>
      </c>
      <c r="EY72">
        <v>0.17168295505926778</v>
      </c>
      <c r="EZ72">
        <v>0.17631418090570267</v>
      </c>
      <c r="FA72">
        <v>0.19899101756500837</v>
      </c>
      <c r="FB72">
        <v>0.21275506718640505</v>
      </c>
      <c r="FC72">
        <v>0.21708867679518146</v>
      </c>
      <c r="FD72">
        <v>0.20797275388850106</v>
      </c>
      <c r="FE72">
        <v>0.20012191941734567</v>
      </c>
      <c r="FF72">
        <v>0.24953286567333524</v>
      </c>
      <c r="FG72">
        <v>0.24443086932270808</v>
      </c>
      <c r="FH72">
        <v>0.23456486394119522</v>
      </c>
      <c r="FI72">
        <v>0.22865940500182053</v>
      </c>
      <c r="FJ72">
        <v>0.23266206749106605</v>
      </c>
      <c r="FK72">
        <v>0.25678790429319798</v>
      </c>
      <c r="FL72">
        <v>0.26101821468752573</v>
      </c>
      <c r="FM72">
        <v>0.26175630391984067</v>
      </c>
      <c r="FN72">
        <v>0.26197900831808285</v>
      </c>
      <c r="FO72">
        <v>0.253192329576931</v>
      </c>
      <c r="FQ72" t="s">
        <v>166</v>
      </c>
      <c r="FR72" t="s">
        <v>127</v>
      </c>
      <c r="FS72" t="s">
        <v>128</v>
      </c>
      <c r="FT72">
        <v>0.37248812084358729</v>
      </c>
    </row>
    <row r="73" spans="2:176" x14ac:dyDescent="0.45">
      <c r="B73" t="s">
        <v>191</v>
      </c>
      <c r="C73" t="s">
        <v>123</v>
      </c>
      <c r="D73">
        <v>0.42544946887330842</v>
      </c>
      <c r="E73">
        <v>0.45077876644034037</v>
      </c>
      <c r="F73">
        <v>0.46654459363037798</v>
      </c>
      <c r="G73">
        <v>0.49572055501465034</v>
      </c>
      <c r="H73">
        <v>0.53632781868611956</v>
      </c>
      <c r="I73">
        <v>0.52890041140487976</v>
      </c>
      <c r="J73">
        <v>0.49546165171109552</v>
      </c>
      <c r="K73">
        <v>0.46273009030272599</v>
      </c>
      <c r="L73">
        <v>0.44225544167719194</v>
      </c>
      <c r="M73">
        <v>0.42097579132490398</v>
      </c>
      <c r="N73">
        <v>0.51350863556556692</v>
      </c>
      <c r="O73">
        <v>0.50119642782621354</v>
      </c>
      <c r="P73">
        <v>0.49228672340521934</v>
      </c>
      <c r="Q73">
        <v>0.51948212367114222</v>
      </c>
      <c r="R73">
        <v>0.4884222002773872</v>
      </c>
      <c r="S73">
        <v>0.43063249168557916</v>
      </c>
      <c r="T73">
        <v>0.38172884470119917</v>
      </c>
      <c r="U73">
        <v>0.39482147707665199</v>
      </c>
      <c r="V73">
        <v>0.41344603626580623</v>
      </c>
      <c r="W73">
        <v>0.46092392227141532</v>
      </c>
      <c r="X73">
        <v>0.55071377908121566</v>
      </c>
      <c r="Y73">
        <v>0.54572007792112687</v>
      </c>
      <c r="Z73">
        <v>0.55315571264996666</v>
      </c>
      <c r="AA73">
        <v>0.57637196767146859</v>
      </c>
      <c r="AB73">
        <v>0.52929630683669626</v>
      </c>
      <c r="AC73">
        <v>0.44796394037692988</v>
      </c>
      <c r="AD73">
        <v>0.41356270134952894</v>
      </c>
      <c r="AE73">
        <v>0.39431041535947287</v>
      </c>
      <c r="AF73">
        <v>0.4088507341556758</v>
      </c>
      <c r="AG73">
        <v>0.50476577959973168</v>
      </c>
      <c r="AH73">
        <v>0.443070574207236</v>
      </c>
      <c r="AI73">
        <v>0.46074093769179092</v>
      </c>
      <c r="AJ73">
        <v>0.45490620895968947</v>
      </c>
      <c r="AK73">
        <v>0.46052472991749482</v>
      </c>
      <c r="AL73">
        <v>0.47600991433508394</v>
      </c>
      <c r="AM73">
        <v>0.45252153266143191</v>
      </c>
      <c r="AN73">
        <v>0.42315254730089735</v>
      </c>
      <c r="AO73">
        <v>0.392468174639024</v>
      </c>
      <c r="AP73">
        <v>0.41302383826972749</v>
      </c>
      <c r="AQ73">
        <v>0.43721132280036673</v>
      </c>
      <c r="EA73" t="s">
        <v>191</v>
      </c>
      <c r="EB73">
        <v>0.21217688283786917</v>
      </c>
      <c r="EC73">
        <v>0.21222070156927025</v>
      </c>
      <c r="ED73">
        <v>0.21018434102162703</v>
      </c>
      <c r="EE73">
        <v>0.20073883791769892</v>
      </c>
      <c r="EF73">
        <v>0.18280395486307871</v>
      </c>
      <c r="EG73">
        <v>0.21582337351448694</v>
      </c>
      <c r="EH73">
        <v>0.23353595523729906</v>
      </c>
      <c r="EI73">
        <v>0.24215957457679985</v>
      </c>
      <c r="EJ73">
        <v>0.23397284168353735</v>
      </c>
      <c r="EK73">
        <v>0.21745795974800233</v>
      </c>
      <c r="EL73">
        <v>0.17597025313620679</v>
      </c>
      <c r="EM73">
        <v>0.17566259062400655</v>
      </c>
      <c r="EN73">
        <v>0.17121286695430446</v>
      </c>
      <c r="EO73">
        <v>0.18909578120914272</v>
      </c>
      <c r="EP73">
        <v>0.22017303609023503</v>
      </c>
      <c r="EQ73">
        <v>0.26642316794229381</v>
      </c>
      <c r="ER73">
        <v>0.28856838251332173</v>
      </c>
      <c r="ES73">
        <v>0.27388025953100376</v>
      </c>
      <c r="ET73">
        <v>0.24537997499313097</v>
      </c>
      <c r="EU73">
        <v>0.20282163563141853</v>
      </c>
      <c r="EV73">
        <v>0.10862239027755921</v>
      </c>
      <c r="EW73">
        <v>8.5773520946648626E-2</v>
      </c>
      <c r="EX73">
        <v>7.2004483838823422E-2</v>
      </c>
      <c r="EY73">
        <v>9.55929087822599E-2</v>
      </c>
      <c r="EZ73">
        <v>0.11593039402718652</v>
      </c>
      <c r="FA73">
        <v>0.15227969629149279</v>
      </c>
      <c r="FB73">
        <v>0.17774191338105058</v>
      </c>
      <c r="FC73">
        <v>0.18782042389922785</v>
      </c>
      <c r="FD73">
        <v>0.16890170632651094</v>
      </c>
      <c r="FE73">
        <v>0.13344794960748499</v>
      </c>
      <c r="FF73">
        <v>0.17039672621672433</v>
      </c>
      <c r="FG73">
        <v>0.16971607580968623</v>
      </c>
      <c r="FH73">
        <v>0.16528836458808768</v>
      </c>
      <c r="FI73">
        <v>0.15547871827971413</v>
      </c>
      <c r="FJ73">
        <v>0.16031517538089832</v>
      </c>
      <c r="FK73">
        <v>0.1896122873193859</v>
      </c>
      <c r="FL73">
        <v>0.20380904739084699</v>
      </c>
      <c r="FM73">
        <v>0.20800127128309584</v>
      </c>
      <c r="FN73">
        <v>0.19775291813485468</v>
      </c>
      <c r="FO73">
        <v>0.18086911110273551</v>
      </c>
      <c r="FQ73" t="s">
        <v>168</v>
      </c>
      <c r="FR73" t="s">
        <v>127</v>
      </c>
      <c r="FS73" t="s">
        <v>128</v>
      </c>
      <c r="FT73">
        <v>0.51873951184707912</v>
      </c>
    </row>
    <row r="74" spans="2:176" x14ac:dyDescent="0.45">
      <c r="B74" t="s">
        <v>193</v>
      </c>
      <c r="C74" t="s">
        <v>123</v>
      </c>
      <c r="D74">
        <v>0.30946919948918938</v>
      </c>
      <c r="E74">
        <v>0.34492875475621393</v>
      </c>
      <c r="F74">
        <v>0.35700046094526877</v>
      </c>
      <c r="G74">
        <v>0.37278952706179141</v>
      </c>
      <c r="H74">
        <v>0.39574861748639623</v>
      </c>
      <c r="I74">
        <v>0.39200127260668888</v>
      </c>
      <c r="J74">
        <v>0.37363808469860876</v>
      </c>
      <c r="K74">
        <v>0.34922842066241461</v>
      </c>
      <c r="L74">
        <v>0.32716194141224397</v>
      </c>
      <c r="M74">
        <v>0.3148205343452356</v>
      </c>
      <c r="N74">
        <v>0.32782324398263235</v>
      </c>
      <c r="O74">
        <v>0.31779785857415882</v>
      </c>
      <c r="P74">
        <v>0.33421855427959679</v>
      </c>
      <c r="Q74">
        <v>0.36060395693567687</v>
      </c>
      <c r="R74">
        <v>0.35895294002527539</v>
      </c>
      <c r="S74">
        <v>0.33989109962435499</v>
      </c>
      <c r="T74">
        <v>0.33163102214716472</v>
      </c>
      <c r="U74">
        <v>0.33536747158470248</v>
      </c>
      <c r="V74">
        <v>0.3331039104092518</v>
      </c>
      <c r="W74">
        <v>0.34543374936607651</v>
      </c>
      <c r="X74">
        <v>0.3941533653976918</v>
      </c>
      <c r="Y74">
        <v>0.39685780154013955</v>
      </c>
      <c r="Z74">
        <v>0.4258902683009741</v>
      </c>
      <c r="AA74">
        <v>0.45948955989893675</v>
      </c>
      <c r="AB74">
        <v>0.46162164749235013</v>
      </c>
      <c r="AC74">
        <v>0.4350881064115219</v>
      </c>
      <c r="AD74">
        <v>0.40318660698841308</v>
      </c>
      <c r="AE74">
        <v>0.38325509446237721</v>
      </c>
      <c r="AF74">
        <v>0.37965996201897917</v>
      </c>
      <c r="AG74">
        <v>0.37899778494891151</v>
      </c>
      <c r="AH74">
        <v>0.32585534795629323</v>
      </c>
      <c r="AI74">
        <v>0.32919847319601858</v>
      </c>
      <c r="AJ74">
        <v>0.34688791803256519</v>
      </c>
      <c r="AK74">
        <v>0.36711237039598554</v>
      </c>
      <c r="AL74">
        <v>0.37608312244641129</v>
      </c>
      <c r="AM74">
        <v>0.35975567348224258</v>
      </c>
      <c r="AN74">
        <v>0.34072335060583137</v>
      </c>
      <c r="AO74">
        <v>0.330641805787668</v>
      </c>
      <c r="AP74">
        <v>0.32699864865906964</v>
      </c>
      <c r="AQ74">
        <v>0.32608387900327213</v>
      </c>
      <c r="EA74" t="s">
        <v>193</v>
      </c>
      <c r="EB74">
        <v>0.32611673308594125</v>
      </c>
      <c r="EC74">
        <v>0.31495381546630546</v>
      </c>
      <c r="ED74">
        <v>0.31391546826807298</v>
      </c>
      <c r="EE74">
        <v>0.3110547423671004</v>
      </c>
      <c r="EF74">
        <v>0.3091473857835953</v>
      </c>
      <c r="EG74">
        <v>0.34193999488177235</v>
      </c>
      <c r="EH74">
        <v>0.35184477791997948</v>
      </c>
      <c r="EI74">
        <v>0.34998476109869503</v>
      </c>
      <c r="EJ74">
        <v>0.34479838450054751</v>
      </c>
      <c r="EK74">
        <v>0.33710937338724156</v>
      </c>
      <c r="EL74">
        <v>0.2670173221314438</v>
      </c>
      <c r="EM74">
        <v>0.27610426232858759</v>
      </c>
      <c r="EN74">
        <v>0.28089291141165956</v>
      </c>
      <c r="EO74">
        <v>0.29768733681232895</v>
      </c>
      <c r="EP74">
        <v>0.29984950196344584</v>
      </c>
      <c r="EQ74">
        <v>0.32488274345481627</v>
      </c>
      <c r="ER74">
        <v>0.33716340033730219</v>
      </c>
      <c r="ES74">
        <v>0.32195909750856666</v>
      </c>
      <c r="ET74">
        <v>0.30493670898602238</v>
      </c>
      <c r="EU74">
        <v>0.28578154838428593</v>
      </c>
      <c r="EV74">
        <v>0.19453896502060822</v>
      </c>
      <c r="EW74">
        <v>0.18884409464013846</v>
      </c>
      <c r="EX74">
        <v>0.18324203648295373</v>
      </c>
      <c r="EY74">
        <v>0.19846371283795056</v>
      </c>
      <c r="EZ74">
        <v>0.20053619802583125</v>
      </c>
      <c r="FA74">
        <v>0.22173625501127467</v>
      </c>
      <c r="FB74">
        <v>0.23960677112551468</v>
      </c>
      <c r="FC74">
        <v>0.23999192251427412</v>
      </c>
      <c r="FD74">
        <v>0.22010498905919204</v>
      </c>
      <c r="FE74">
        <v>0.20516506710897509</v>
      </c>
      <c r="FF74">
        <v>0.31091451201973552</v>
      </c>
      <c r="FG74">
        <v>0.31343534467598366</v>
      </c>
      <c r="FH74">
        <v>0.31182704602607181</v>
      </c>
      <c r="FI74">
        <v>0.31378794254943393</v>
      </c>
      <c r="FJ74">
        <v>0.31585345288154854</v>
      </c>
      <c r="FK74">
        <v>0.33594351738899941</v>
      </c>
      <c r="FL74">
        <v>0.34317018815794587</v>
      </c>
      <c r="FM74">
        <v>0.3375925189404827</v>
      </c>
      <c r="FN74">
        <v>0.32837325182592314</v>
      </c>
      <c r="FO74">
        <v>0.31872538984216447</v>
      </c>
      <c r="FQ74" t="s">
        <v>170</v>
      </c>
      <c r="FR74" t="s">
        <v>127</v>
      </c>
      <c r="FS74" t="s">
        <v>128</v>
      </c>
      <c r="FT74">
        <v>0.34065343473238224</v>
      </c>
    </row>
    <row r="75" spans="2:176" x14ac:dyDescent="0.45">
      <c r="B75" t="s">
        <v>194</v>
      </c>
      <c r="C75" t="s">
        <v>123</v>
      </c>
      <c r="D75">
        <v>0.28482473885167203</v>
      </c>
      <c r="E75">
        <v>0.2837277483354424</v>
      </c>
      <c r="F75">
        <v>0.2942922298827772</v>
      </c>
      <c r="G75">
        <v>0.32573458242323045</v>
      </c>
      <c r="H75">
        <v>0.37994701979516404</v>
      </c>
      <c r="I75">
        <v>0.37957798314548241</v>
      </c>
      <c r="J75">
        <v>0.35780351692291495</v>
      </c>
      <c r="K75">
        <v>0.33733453140498532</v>
      </c>
      <c r="L75">
        <v>0.30564730666823381</v>
      </c>
      <c r="M75">
        <v>0.28562781152008426</v>
      </c>
      <c r="N75">
        <v>0.28769973353892087</v>
      </c>
      <c r="O75">
        <v>0.30919025562019525</v>
      </c>
      <c r="P75">
        <v>0.32930548186658348</v>
      </c>
      <c r="Q75">
        <v>0.34840694345033968</v>
      </c>
      <c r="R75">
        <v>0.35453950966240549</v>
      </c>
      <c r="S75">
        <v>0.3516802633985604</v>
      </c>
      <c r="T75">
        <v>0.33657180040642748</v>
      </c>
      <c r="U75">
        <v>0.3227879382550124</v>
      </c>
      <c r="V75">
        <v>0.29535172803121801</v>
      </c>
      <c r="W75">
        <v>0.27668964269618646</v>
      </c>
      <c r="X75">
        <v>0.30203044999983181</v>
      </c>
      <c r="Y75">
        <v>0.31925523058604544</v>
      </c>
      <c r="Z75">
        <v>0.34431781449980919</v>
      </c>
      <c r="AA75">
        <v>0.40749334397209308</v>
      </c>
      <c r="AB75">
        <v>0.4074065103511823</v>
      </c>
      <c r="AC75">
        <v>0.37312905419947484</v>
      </c>
      <c r="AD75">
        <v>0.33940456155543303</v>
      </c>
      <c r="AE75">
        <v>0.32515308047284308</v>
      </c>
      <c r="AF75">
        <v>0.29443638518234316</v>
      </c>
      <c r="AG75">
        <v>0.26826555807119401</v>
      </c>
      <c r="AH75">
        <v>0.3327026764948906</v>
      </c>
      <c r="AI75">
        <v>0.34001882764790564</v>
      </c>
      <c r="AJ75">
        <v>0.32012076621154312</v>
      </c>
      <c r="AK75">
        <v>0.36536627960796719</v>
      </c>
      <c r="AL75">
        <v>0.3797217495661046</v>
      </c>
      <c r="AM75">
        <v>0.3721699025528119</v>
      </c>
      <c r="AN75">
        <v>0.36112532159151312</v>
      </c>
      <c r="AO75">
        <v>0.35037072745318526</v>
      </c>
      <c r="AP75">
        <v>0.32330457716758526</v>
      </c>
      <c r="AQ75">
        <v>0.30755320064023878</v>
      </c>
      <c r="EA75" t="s">
        <v>194</v>
      </c>
      <c r="EB75">
        <v>0.37391688556528113</v>
      </c>
      <c r="EC75">
        <v>0.37363466440726056</v>
      </c>
      <c r="ED75">
        <v>0.37135430695462601</v>
      </c>
      <c r="EE75">
        <v>0.35747699486021017</v>
      </c>
      <c r="EF75">
        <v>0.31998589247955728</v>
      </c>
      <c r="EG75">
        <v>0.31600134855591988</v>
      </c>
      <c r="EH75">
        <v>0.32696091618246581</v>
      </c>
      <c r="EI75">
        <v>0.3307894014422143</v>
      </c>
      <c r="EJ75">
        <v>0.35626231831220762</v>
      </c>
      <c r="EK75">
        <v>0.37016656368128831</v>
      </c>
      <c r="EL75">
        <v>0.28462033670040654</v>
      </c>
      <c r="EM75">
        <v>0.29463953611572208</v>
      </c>
      <c r="EN75">
        <v>0.28687776293783623</v>
      </c>
      <c r="EO75">
        <v>0.24869266478819857</v>
      </c>
      <c r="EP75">
        <v>0.20791424016069124</v>
      </c>
      <c r="EQ75">
        <v>0.23265956547162411</v>
      </c>
      <c r="ER75">
        <v>0.26671041589917016</v>
      </c>
      <c r="ES75">
        <v>0.27713799502317243</v>
      </c>
      <c r="ET75">
        <v>0.27600870694435509</v>
      </c>
      <c r="EU75">
        <v>0.27811087435588888</v>
      </c>
      <c r="EV75">
        <v>0.20828043951924405</v>
      </c>
      <c r="EW75">
        <v>0.19685901378010201</v>
      </c>
      <c r="EX75">
        <v>0.16187191589709699</v>
      </c>
      <c r="EY75">
        <v>0.13163332086300891</v>
      </c>
      <c r="EZ75">
        <v>0.14348021697223592</v>
      </c>
      <c r="FA75">
        <v>0.16443157575910591</v>
      </c>
      <c r="FB75">
        <v>0.18109623128147026</v>
      </c>
      <c r="FC75">
        <v>0.19090911327768792</v>
      </c>
      <c r="FD75">
        <v>0.18593034361747346</v>
      </c>
      <c r="FE75">
        <v>0.22056324767376356</v>
      </c>
      <c r="FF75">
        <v>0.30189226449675954</v>
      </c>
      <c r="FG75">
        <v>0.29671001332721159</v>
      </c>
      <c r="FH75">
        <v>0.30314086544774232</v>
      </c>
      <c r="FI75">
        <v>0.29177129055863699</v>
      </c>
      <c r="FJ75">
        <v>0.27106250152731765</v>
      </c>
      <c r="FK75">
        <v>0.2886691203256625</v>
      </c>
      <c r="FL75">
        <v>0.30959398050786824</v>
      </c>
      <c r="FM75">
        <v>0.31102486752450892</v>
      </c>
      <c r="FN75">
        <v>0.32481884144130097</v>
      </c>
      <c r="FO75">
        <v>0.3268575294711436</v>
      </c>
      <c r="FQ75" t="s">
        <v>172</v>
      </c>
      <c r="FR75" t="s">
        <v>127</v>
      </c>
      <c r="FS75" t="s">
        <v>128</v>
      </c>
      <c r="FT75">
        <v>0.38299431077049462</v>
      </c>
    </row>
    <row r="76" spans="2:176" x14ac:dyDescent="0.45">
      <c r="B76" t="s">
        <v>195</v>
      </c>
      <c r="C76" t="s">
        <v>123</v>
      </c>
      <c r="D76">
        <v>0.29237036700669655</v>
      </c>
      <c r="E76">
        <v>0.28225808569385546</v>
      </c>
      <c r="F76">
        <v>0.28611560130438723</v>
      </c>
      <c r="G76">
        <v>0.32518951362431031</v>
      </c>
      <c r="H76">
        <v>0.37489853763513409</v>
      </c>
      <c r="I76">
        <v>0.38410312519508699</v>
      </c>
      <c r="J76">
        <v>0.38398145266555561</v>
      </c>
      <c r="K76">
        <v>0.36046553193085645</v>
      </c>
      <c r="L76">
        <v>0.32577173326092834</v>
      </c>
      <c r="M76">
        <v>0.30247616730766808</v>
      </c>
      <c r="N76">
        <v>0.30175733936311477</v>
      </c>
      <c r="O76">
        <v>0.31646265875559654</v>
      </c>
      <c r="P76">
        <v>0.34491103550563113</v>
      </c>
      <c r="Q76">
        <v>0.37318235730508192</v>
      </c>
      <c r="R76">
        <v>0.37962698361785319</v>
      </c>
      <c r="S76">
        <v>0.38602920790084588</v>
      </c>
      <c r="T76">
        <v>0.37671255953801802</v>
      </c>
      <c r="U76">
        <v>0.36318584113644559</v>
      </c>
      <c r="V76">
        <v>0.32917476676678964</v>
      </c>
      <c r="W76">
        <v>0.29861871666286294</v>
      </c>
      <c r="X76">
        <v>0.28304512830174244</v>
      </c>
      <c r="Y76">
        <v>0.29578171103710038</v>
      </c>
      <c r="Z76">
        <v>0.33473739329615759</v>
      </c>
      <c r="AA76">
        <v>0.36409663709035434</v>
      </c>
      <c r="AB76">
        <v>0.3899232451070419</v>
      </c>
      <c r="AC76">
        <v>0.39160550087597717</v>
      </c>
      <c r="AD76">
        <v>0.36895874284593821</v>
      </c>
      <c r="AE76">
        <v>0.31560745988217348</v>
      </c>
      <c r="AF76">
        <v>0.25425124583582392</v>
      </c>
      <c r="AG76">
        <v>0.24737307483945728</v>
      </c>
      <c r="AH76">
        <v>0.32200390411030155</v>
      </c>
      <c r="AI76">
        <v>0.31790124351804894</v>
      </c>
      <c r="AJ76">
        <v>0.31972523813103504</v>
      </c>
      <c r="AK76">
        <v>0.38331460071424639</v>
      </c>
      <c r="AL76">
        <v>0.40823591924675429</v>
      </c>
      <c r="AM76">
        <v>0.39372606153979228</v>
      </c>
      <c r="AN76">
        <v>0.3757106627424584</v>
      </c>
      <c r="AO76">
        <v>0.36392800484118204</v>
      </c>
      <c r="AP76">
        <v>0.33595422888808857</v>
      </c>
      <c r="AQ76">
        <v>0.31482099079024373</v>
      </c>
      <c r="EA76" t="s">
        <v>195</v>
      </c>
      <c r="EB76">
        <v>0.30479915915793049</v>
      </c>
      <c r="EC76">
        <v>0.30346522592721081</v>
      </c>
      <c r="ED76">
        <v>0.29364662860433671</v>
      </c>
      <c r="EE76">
        <v>0.27404465431652686</v>
      </c>
      <c r="EF76">
        <v>0.23458966661689981</v>
      </c>
      <c r="EG76">
        <v>0.23296902534922073</v>
      </c>
      <c r="EH76">
        <v>0.25039823526297972</v>
      </c>
      <c r="EI76">
        <v>0.25794709389282694</v>
      </c>
      <c r="EJ76">
        <v>0.28120185999849934</v>
      </c>
      <c r="EK76">
        <v>0.29967579270454658</v>
      </c>
      <c r="EL76">
        <v>0.22994104999938939</v>
      </c>
      <c r="EM76">
        <v>0.23821296768440547</v>
      </c>
      <c r="EN76">
        <v>0.22804895935456534</v>
      </c>
      <c r="EO76">
        <v>0.19245719510574666</v>
      </c>
      <c r="EP76">
        <v>0.17923952811954655</v>
      </c>
      <c r="EQ76">
        <v>0.21545264788233928</v>
      </c>
      <c r="ER76">
        <v>0.25275952315859684</v>
      </c>
      <c r="ES76">
        <v>0.25756915695627075</v>
      </c>
      <c r="ET76">
        <v>0.24518465488965036</v>
      </c>
      <c r="EU76">
        <v>0.24084956618483036</v>
      </c>
      <c r="EV76">
        <v>0.16289054938931269</v>
      </c>
      <c r="EW76">
        <v>0.14180449898545502</v>
      </c>
      <c r="EX76">
        <v>0.11070902363934923</v>
      </c>
      <c r="EY76">
        <v>8.4758398170851734E-2</v>
      </c>
      <c r="EZ76">
        <v>9.4041317057392507E-2</v>
      </c>
      <c r="FA76">
        <v>0.10726947974946988</v>
      </c>
      <c r="FB76">
        <v>0.12956129104257491</v>
      </c>
      <c r="FC76">
        <v>0.14898690749151394</v>
      </c>
      <c r="FD76">
        <v>0.16214155505331712</v>
      </c>
      <c r="FE76">
        <v>0.19391798431814675</v>
      </c>
      <c r="FF76">
        <v>0.25034386366040629</v>
      </c>
      <c r="FG76">
        <v>0.24733377281020119</v>
      </c>
      <c r="FH76">
        <v>0.24573556396577367</v>
      </c>
      <c r="FI76">
        <v>0.22288596028975338</v>
      </c>
      <c r="FJ76">
        <v>0.19808234542023095</v>
      </c>
      <c r="FK76">
        <v>0.2151275143897044</v>
      </c>
      <c r="FL76">
        <v>0.24244256808344525</v>
      </c>
      <c r="FM76">
        <v>0.25020795271790119</v>
      </c>
      <c r="FN76">
        <v>0.26024892665285265</v>
      </c>
      <c r="FO76">
        <v>0.26170789231903191</v>
      </c>
      <c r="FQ76" t="s">
        <v>174</v>
      </c>
      <c r="FR76" t="s">
        <v>127</v>
      </c>
      <c r="FS76" t="s">
        <v>128</v>
      </c>
      <c r="FT76">
        <v>0.31734360050809896</v>
      </c>
    </row>
    <row r="77" spans="2:176" x14ac:dyDescent="0.45">
      <c r="B77" t="s">
        <v>196</v>
      </c>
      <c r="C77" t="s">
        <v>123</v>
      </c>
      <c r="D77">
        <v>0.40089555524838033</v>
      </c>
      <c r="E77">
        <v>0.41314729839609748</v>
      </c>
      <c r="F77">
        <v>0.42857536950135439</v>
      </c>
      <c r="G77">
        <v>0.43201678988296011</v>
      </c>
      <c r="H77">
        <v>0.48239232880219124</v>
      </c>
      <c r="I77">
        <v>0.49706110822582084</v>
      </c>
      <c r="J77">
        <v>0.47287186556400285</v>
      </c>
      <c r="K77">
        <v>0.42246537708846227</v>
      </c>
      <c r="L77">
        <v>0.37692070755783386</v>
      </c>
      <c r="M77">
        <v>0.38011830301702804</v>
      </c>
      <c r="N77">
        <v>0.38183335948899766</v>
      </c>
      <c r="O77">
        <v>0.36363368320967326</v>
      </c>
      <c r="P77">
        <v>0.3934145206064173</v>
      </c>
      <c r="Q77">
        <v>0.45554410380904664</v>
      </c>
      <c r="R77">
        <v>0.45745093097428213</v>
      </c>
      <c r="S77">
        <v>0.44215390671054144</v>
      </c>
      <c r="T77">
        <v>0.43241423529974554</v>
      </c>
      <c r="U77">
        <v>0.40587233897977137</v>
      </c>
      <c r="V77">
        <v>0.36776417964555996</v>
      </c>
      <c r="W77">
        <v>0.36576536176772767</v>
      </c>
      <c r="X77">
        <v>0.3224455173041938</v>
      </c>
      <c r="Y77">
        <v>0.37883426609257853</v>
      </c>
      <c r="Z77">
        <v>0.44540907241294492</v>
      </c>
      <c r="AA77">
        <v>0.53324889583066093</v>
      </c>
      <c r="AB77">
        <v>0.5336170827318315</v>
      </c>
      <c r="AC77">
        <v>0.50020911921880118</v>
      </c>
      <c r="AD77">
        <v>0.452691669204282</v>
      </c>
      <c r="AE77">
        <v>0.40088596820426964</v>
      </c>
      <c r="AF77">
        <v>0.36731172758871711</v>
      </c>
      <c r="AG77">
        <v>0.33582313349798748</v>
      </c>
      <c r="AH77">
        <v>0.382235463678814</v>
      </c>
      <c r="AI77">
        <v>0.39475028965789394</v>
      </c>
      <c r="AJ77">
        <v>0.39119669594100842</v>
      </c>
      <c r="AK77">
        <v>0.43626585094462428</v>
      </c>
      <c r="AL77">
        <v>0.48732588804005283</v>
      </c>
      <c r="AM77">
        <v>0.47447570619683938</v>
      </c>
      <c r="AN77">
        <v>0.4509750479716394</v>
      </c>
      <c r="AO77">
        <v>0.43761837850759089</v>
      </c>
      <c r="AP77">
        <v>0.40062683704817353</v>
      </c>
      <c r="AQ77">
        <v>0.38389539732807487</v>
      </c>
      <c r="EA77" t="s">
        <v>196</v>
      </c>
      <c r="EB77">
        <v>0.21085826370820188</v>
      </c>
      <c r="EC77">
        <v>0.23534203656156605</v>
      </c>
      <c r="ED77">
        <v>0.23132427786640536</v>
      </c>
      <c r="EE77">
        <v>0.21407917544880664</v>
      </c>
      <c r="EF77">
        <v>0.1824994875019243</v>
      </c>
      <c r="EG77">
        <v>0.19011497945105532</v>
      </c>
      <c r="EH77">
        <v>0.20572671741486678</v>
      </c>
      <c r="EI77">
        <v>0.20736729993119729</v>
      </c>
      <c r="EJ77">
        <v>0.21535490131650395</v>
      </c>
      <c r="EK77">
        <v>0.2098792769016864</v>
      </c>
      <c r="EL77">
        <v>0.19695828574392635</v>
      </c>
      <c r="EM77">
        <v>0.18791012462029552</v>
      </c>
      <c r="EN77">
        <v>0.18121977253852115</v>
      </c>
      <c r="EO77">
        <v>0.16122539924135229</v>
      </c>
      <c r="EP77">
        <v>0.1639618608862059</v>
      </c>
      <c r="EQ77">
        <v>0.20026385496620777</v>
      </c>
      <c r="ER77">
        <v>0.22727671716786702</v>
      </c>
      <c r="ES77">
        <v>0.22630566624050519</v>
      </c>
      <c r="ET77">
        <v>0.21511715532680589</v>
      </c>
      <c r="EU77">
        <v>0.20751143462185048</v>
      </c>
      <c r="EV77">
        <v>9.6542327047835608E-2</v>
      </c>
      <c r="EW77">
        <v>7.8930729437614019E-2</v>
      </c>
      <c r="EX77">
        <v>7.0364590424154022E-2</v>
      </c>
      <c r="EY77">
        <v>6.1246730653615716E-2</v>
      </c>
      <c r="EZ77">
        <v>6.7548278731831099E-2</v>
      </c>
      <c r="FA77">
        <v>8.1785160860541981E-2</v>
      </c>
      <c r="FB77">
        <v>9.1873621047365767E-2</v>
      </c>
      <c r="FC77">
        <v>9.4409879582853642E-2</v>
      </c>
      <c r="FD77">
        <v>9.4194407643817882E-2</v>
      </c>
      <c r="FE77">
        <v>0.10943607300181665</v>
      </c>
      <c r="FF77">
        <v>0.15676986630881731</v>
      </c>
      <c r="FG77">
        <v>0.14949965364320586</v>
      </c>
      <c r="FH77">
        <v>0.14216321992413372</v>
      </c>
      <c r="FI77">
        <v>0.12344093448094975</v>
      </c>
      <c r="FJ77">
        <v>0.11871012120887299</v>
      </c>
      <c r="FK77">
        <v>0.14055094366595378</v>
      </c>
      <c r="FL77">
        <v>0.1540895510756991</v>
      </c>
      <c r="FM77">
        <v>0.15781219230700727</v>
      </c>
      <c r="FN77">
        <v>0.16982596996397994</v>
      </c>
      <c r="FO77">
        <v>0.16658169040006041</v>
      </c>
      <c r="FQ77" t="s">
        <v>176</v>
      </c>
      <c r="FR77" t="s">
        <v>127</v>
      </c>
      <c r="FS77" t="s">
        <v>128</v>
      </c>
      <c r="FT77">
        <v>0.48128632482403644</v>
      </c>
    </row>
    <row r="78" spans="2:176" x14ac:dyDescent="0.45">
      <c r="B78" t="s">
        <v>197</v>
      </c>
      <c r="C78" t="s">
        <v>123</v>
      </c>
      <c r="D78">
        <v>0.31207833096214388</v>
      </c>
      <c r="E78">
        <v>0.30961108436958895</v>
      </c>
      <c r="F78">
        <v>0.31595254307145171</v>
      </c>
      <c r="G78">
        <v>0.34264516375636817</v>
      </c>
      <c r="H78">
        <v>0.40277652836304828</v>
      </c>
      <c r="I78">
        <v>0.43032665639831841</v>
      </c>
      <c r="J78">
        <v>0.43100108953884209</v>
      </c>
      <c r="K78">
        <v>0.38920648039504324</v>
      </c>
      <c r="L78">
        <v>0.34047630417035418</v>
      </c>
      <c r="M78">
        <v>0.33098073144417844</v>
      </c>
      <c r="N78">
        <v>0.32420694636491793</v>
      </c>
      <c r="O78">
        <v>0.32538582407617633</v>
      </c>
      <c r="P78">
        <v>0.34906884094422319</v>
      </c>
      <c r="Q78">
        <v>0.39185951829643767</v>
      </c>
      <c r="R78">
        <v>0.40615423010456964</v>
      </c>
      <c r="S78">
        <v>0.40604761532785444</v>
      </c>
      <c r="T78">
        <v>0.39335645236358574</v>
      </c>
      <c r="U78">
        <v>0.3677331749483787</v>
      </c>
      <c r="V78">
        <v>0.32887085006724442</v>
      </c>
      <c r="W78">
        <v>0.30766479023117282</v>
      </c>
      <c r="X78">
        <v>0.24254637534744039</v>
      </c>
      <c r="Y78">
        <v>0.29167652455396043</v>
      </c>
      <c r="Z78">
        <v>0.36604677692129267</v>
      </c>
      <c r="AA78">
        <v>0.45957765224747726</v>
      </c>
      <c r="AB78">
        <v>0.48149847939559953</v>
      </c>
      <c r="AC78">
        <v>0.45764512591235529</v>
      </c>
      <c r="AD78">
        <v>0.38324641045239988</v>
      </c>
      <c r="AE78">
        <v>0.30940078020375322</v>
      </c>
      <c r="AF78">
        <v>0.25221244383273012</v>
      </c>
      <c r="AG78">
        <v>0.20772417780631605</v>
      </c>
      <c r="AH78">
        <v>0.32022657551321826</v>
      </c>
      <c r="AI78">
        <v>0.32189769510005406</v>
      </c>
      <c r="AJ78">
        <v>0.33010907288697428</v>
      </c>
      <c r="AK78">
        <v>0.39287057381481988</v>
      </c>
      <c r="AL78">
        <v>0.43201700472943311</v>
      </c>
      <c r="AM78">
        <v>0.40891524235065418</v>
      </c>
      <c r="AN78">
        <v>0.37822271030098359</v>
      </c>
      <c r="AO78">
        <v>0.37209480753652996</v>
      </c>
      <c r="AP78">
        <v>0.3294705979145065</v>
      </c>
      <c r="AQ78">
        <v>0.31778479228550205</v>
      </c>
      <c r="EA78" t="s">
        <v>197</v>
      </c>
      <c r="EB78">
        <v>0.26488239467305802</v>
      </c>
      <c r="EC78">
        <v>0.26796326565415302</v>
      </c>
      <c r="ED78">
        <v>0.25657477573468612</v>
      </c>
      <c r="EE78">
        <v>0.23554652568588857</v>
      </c>
      <c r="EF78">
        <v>0.19692515976609981</v>
      </c>
      <c r="EG78">
        <v>0.20431111514594211</v>
      </c>
      <c r="EH78">
        <v>0.22232855992817216</v>
      </c>
      <c r="EI78">
        <v>0.22867382865213273</v>
      </c>
      <c r="EJ78">
        <v>0.24982681999672379</v>
      </c>
      <c r="EK78">
        <v>0.25903873662203364</v>
      </c>
      <c r="EL78">
        <v>0.23516238543644652</v>
      </c>
      <c r="EM78">
        <v>0.22748983154832844</v>
      </c>
      <c r="EN78">
        <v>0.21274698257810412</v>
      </c>
      <c r="EO78">
        <v>0.17907106692050573</v>
      </c>
      <c r="EP78">
        <v>0.17908470002297197</v>
      </c>
      <c r="EQ78">
        <v>0.22346308358028058</v>
      </c>
      <c r="ER78">
        <v>0.25614531836968046</v>
      </c>
      <c r="ES78">
        <v>0.25467076767366786</v>
      </c>
      <c r="ET78">
        <v>0.24488881297385753</v>
      </c>
      <c r="EU78">
        <v>0.24587152517361388</v>
      </c>
      <c r="EV78">
        <v>0.13120094526016182</v>
      </c>
      <c r="EW78">
        <v>0.10100918210999642</v>
      </c>
      <c r="EX78">
        <v>7.9536842412262693E-2</v>
      </c>
      <c r="EY78">
        <v>6.5783883519737088E-2</v>
      </c>
      <c r="EZ78">
        <v>7.3360329639741387E-2</v>
      </c>
      <c r="FA78">
        <v>9.0336943547789539E-2</v>
      </c>
      <c r="FB78">
        <v>0.11141564427120867</v>
      </c>
      <c r="FC78">
        <v>0.12506145444809305</v>
      </c>
      <c r="FD78">
        <v>0.13760477217068898</v>
      </c>
      <c r="FE78">
        <v>0.16756137316182387</v>
      </c>
      <c r="FF78">
        <v>0.21993971720016139</v>
      </c>
      <c r="FG78">
        <v>0.21273863654528821</v>
      </c>
      <c r="FH78">
        <v>0.20719938610403868</v>
      </c>
      <c r="FI78">
        <v>0.18408752909123455</v>
      </c>
      <c r="FJ78">
        <v>0.16460971714272743</v>
      </c>
      <c r="FK78">
        <v>0.18553856535559191</v>
      </c>
      <c r="FL78">
        <v>0.20058909505476116</v>
      </c>
      <c r="FM78">
        <v>0.20308555683857923</v>
      </c>
      <c r="FN78">
        <v>0.22327317754001444</v>
      </c>
      <c r="FO78">
        <v>0.23036278280185937</v>
      </c>
      <c r="FQ78" t="s">
        <v>178</v>
      </c>
      <c r="FR78" t="s">
        <v>127</v>
      </c>
      <c r="FS78" t="s">
        <v>128</v>
      </c>
      <c r="FT78">
        <v>0.36010289939715423</v>
      </c>
    </row>
    <row r="79" spans="2:176" x14ac:dyDescent="0.45">
      <c r="B79" t="s">
        <v>198</v>
      </c>
      <c r="C79" t="s">
        <v>123</v>
      </c>
      <c r="D79">
        <v>0.38129188560176625</v>
      </c>
      <c r="E79">
        <v>0.3821886140204302</v>
      </c>
      <c r="F79">
        <v>0.37985833054460311</v>
      </c>
      <c r="G79">
        <v>0.38740518284290665</v>
      </c>
      <c r="H79">
        <v>0.41537200508153987</v>
      </c>
      <c r="I79">
        <v>0.4172453309799144</v>
      </c>
      <c r="J79">
        <v>0.39386233523760983</v>
      </c>
      <c r="K79">
        <v>0.36273777019421921</v>
      </c>
      <c r="L79">
        <v>0.33411272515283841</v>
      </c>
      <c r="M79">
        <v>0.3527250332451447</v>
      </c>
      <c r="N79">
        <v>0.32819315187335374</v>
      </c>
      <c r="O79">
        <v>0.3427513404779885</v>
      </c>
      <c r="P79">
        <v>0.365404124827933</v>
      </c>
      <c r="Q79">
        <v>0.3913305891598774</v>
      </c>
      <c r="R79">
        <v>0.39065027421357795</v>
      </c>
      <c r="S79">
        <v>0.3809794728505792</v>
      </c>
      <c r="T79">
        <v>0.38012367644056988</v>
      </c>
      <c r="U79">
        <v>0.38169245526585521</v>
      </c>
      <c r="V79">
        <v>0.35219521288631245</v>
      </c>
      <c r="W79">
        <v>0.32380406289154806</v>
      </c>
      <c r="X79">
        <v>0.33145186940619231</v>
      </c>
      <c r="Y79">
        <v>0.35554206153267282</v>
      </c>
      <c r="Z79">
        <v>0.42146502188727525</v>
      </c>
      <c r="AA79">
        <v>0.48733076094836159</v>
      </c>
      <c r="AB79">
        <v>0.47939753355491826</v>
      </c>
      <c r="AC79">
        <v>0.48892679759724106</v>
      </c>
      <c r="AD79">
        <v>0.46625273559595565</v>
      </c>
      <c r="AE79">
        <v>0.40818854552441119</v>
      </c>
      <c r="AF79">
        <v>0.32263279509517923</v>
      </c>
      <c r="AG79">
        <v>0.2838106050561372</v>
      </c>
      <c r="AH79">
        <v>0.36286345688138488</v>
      </c>
      <c r="AI79">
        <v>0.37392602684779586</v>
      </c>
      <c r="AJ79">
        <v>0.38130245754648129</v>
      </c>
      <c r="AK79">
        <v>0.41728260035410952</v>
      </c>
      <c r="AL79">
        <v>0.44919782461765445</v>
      </c>
      <c r="AM79">
        <v>0.42224510326860015</v>
      </c>
      <c r="AN79">
        <v>0.38992113710411214</v>
      </c>
      <c r="AO79">
        <v>0.37403557892428546</v>
      </c>
      <c r="AP79">
        <v>0.34986812827214464</v>
      </c>
      <c r="AQ79">
        <v>0.35538063751378302</v>
      </c>
      <c r="EA79" t="s">
        <v>198</v>
      </c>
      <c r="EB79">
        <v>0.23725317548848018</v>
      </c>
      <c r="EC79">
        <v>0.24131296359672155</v>
      </c>
      <c r="ED79">
        <v>0.23787483431685522</v>
      </c>
      <c r="EE79">
        <v>0.229933816743397</v>
      </c>
      <c r="EF79">
        <v>0.21415645099898034</v>
      </c>
      <c r="EG79">
        <v>0.22906952896702054</v>
      </c>
      <c r="EH79">
        <v>0.24302871169914492</v>
      </c>
      <c r="EI79">
        <v>0.25201972984820259</v>
      </c>
      <c r="EJ79">
        <v>0.2544382707800048</v>
      </c>
      <c r="EK79">
        <v>0.24856062758338868</v>
      </c>
      <c r="EL79">
        <v>0.22289549774635278</v>
      </c>
      <c r="EM79">
        <v>0.212755391045055</v>
      </c>
      <c r="EN79">
        <v>0.20835246158066703</v>
      </c>
      <c r="EO79">
        <v>0.19956592138940846</v>
      </c>
      <c r="EP79">
        <v>0.19856897350823133</v>
      </c>
      <c r="EQ79">
        <v>0.22497845739991157</v>
      </c>
      <c r="ER79">
        <v>0.25404903192986317</v>
      </c>
      <c r="ES79">
        <v>0.25486413207331254</v>
      </c>
      <c r="ET79">
        <v>0.24323429918016398</v>
      </c>
      <c r="EU79">
        <v>0.23497907836800871</v>
      </c>
      <c r="EV79">
        <v>0.148322289794136</v>
      </c>
      <c r="EW79">
        <v>0.12510348168795787</v>
      </c>
      <c r="EX79">
        <v>0.1124122558326382</v>
      </c>
      <c r="EY79">
        <v>0.10269459715989926</v>
      </c>
      <c r="EZ79">
        <v>0.10734672833963613</v>
      </c>
      <c r="FA79">
        <v>0.12564341716348937</v>
      </c>
      <c r="FB79">
        <v>0.13497164458129882</v>
      </c>
      <c r="FC79">
        <v>0.13429035710181186</v>
      </c>
      <c r="FD79">
        <v>0.13787582236475918</v>
      </c>
      <c r="FE79">
        <v>0.16297747790948064</v>
      </c>
      <c r="FF79">
        <v>0.24204916286084843</v>
      </c>
      <c r="FG79">
        <v>0.23745477666279094</v>
      </c>
      <c r="FH79">
        <v>0.23234455914419364</v>
      </c>
      <c r="FI79">
        <v>0.22175246393549081</v>
      </c>
      <c r="FJ79">
        <v>0.21930727518186574</v>
      </c>
      <c r="FK79">
        <v>0.23692659502307459</v>
      </c>
      <c r="FL79">
        <v>0.2427528379810624</v>
      </c>
      <c r="FM79">
        <v>0.24040175455945037</v>
      </c>
      <c r="FN79">
        <v>0.24971240244339868</v>
      </c>
      <c r="FO79">
        <v>0.25231870496816572</v>
      </c>
      <c r="FQ79" t="s">
        <v>180</v>
      </c>
      <c r="FR79" t="s">
        <v>127</v>
      </c>
      <c r="FS79" t="s">
        <v>128</v>
      </c>
      <c r="FT79">
        <v>0.59636605734881576</v>
      </c>
    </row>
    <row r="80" spans="2:176" x14ac:dyDescent="0.45">
      <c r="B80" t="s">
        <v>199</v>
      </c>
      <c r="C80" t="s">
        <v>123</v>
      </c>
      <c r="D80">
        <v>0.41180510027502293</v>
      </c>
      <c r="E80">
        <v>0.41301742058887131</v>
      </c>
      <c r="F80">
        <v>0.42564529310007843</v>
      </c>
      <c r="G80">
        <v>0.4363012567802344</v>
      </c>
      <c r="H80">
        <v>0.41697511237061535</v>
      </c>
      <c r="I80">
        <v>0.41174453454483917</v>
      </c>
      <c r="J80">
        <v>0.40635965340311936</v>
      </c>
      <c r="K80">
        <v>0.40905682897409607</v>
      </c>
      <c r="L80">
        <v>0.44326681140693863</v>
      </c>
      <c r="M80">
        <v>0.42906788324564576</v>
      </c>
      <c r="N80">
        <v>0.40844050938274479</v>
      </c>
      <c r="O80">
        <v>0.41528903795937139</v>
      </c>
      <c r="P80">
        <v>0.42228489652349988</v>
      </c>
      <c r="Q80">
        <v>0.4112451160163797</v>
      </c>
      <c r="R80">
        <v>0.39857717870747605</v>
      </c>
      <c r="S80">
        <v>0.38187229700725611</v>
      </c>
      <c r="T80">
        <v>0.38051188631283539</v>
      </c>
      <c r="U80">
        <v>0.39482340318976672</v>
      </c>
      <c r="V80">
        <v>0.40930078172391765</v>
      </c>
      <c r="W80">
        <v>0.40833192533896545</v>
      </c>
      <c r="X80">
        <v>0.36356810488049657</v>
      </c>
      <c r="Y80">
        <v>0.42120771057253603</v>
      </c>
      <c r="Z80">
        <v>0.42769706517582956</v>
      </c>
      <c r="AA80">
        <v>0.43293246992465939</v>
      </c>
      <c r="AB80">
        <v>0.39983750281930358</v>
      </c>
      <c r="AC80">
        <v>0.38205607921819079</v>
      </c>
      <c r="AD80">
        <v>0.33837044426874863</v>
      </c>
      <c r="AE80">
        <v>0.32755019191261064</v>
      </c>
      <c r="AF80">
        <v>0.29931741218883001</v>
      </c>
      <c r="AG80">
        <v>0.31325931841430726</v>
      </c>
      <c r="AH80">
        <v>0.42444093394519539</v>
      </c>
      <c r="AI80">
        <v>0.40982575602245364</v>
      </c>
      <c r="AJ80">
        <v>0.41371350542189816</v>
      </c>
      <c r="AK80">
        <v>0.4179824422619916</v>
      </c>
      <c r="AL80">
        <v>0.40060584476834077</v>
      </c>
      <c r="AM80">
        <v>0.37077675364406815</v>
      </c>
      <c r="AN80">
        <v>0.37157868037852604</v>
      </c>
      <c r="AO80">
        <v>0.39483938155194997</v>
      </c>
      <c r="AP80">
        <v>0.42149353963772346</v>
      </c>
      <c r="AQ80">
        <v>0.44699064579036507</v>
      </c>
      <c r="EA80" t="s">
        <v>199</v>
      </c>
      <c r="EB80">
        <v>0.18322842402916681</v>
      </c>
      <c r="EC80">
        <v>0.1937748844671098</v>
      </c>
      <c r="ED80">
        <v>0.19697493677683783</v>
      </c>
      <c r="EE80">
        <v>0.19397790619819932</v>
      </c>
      <c r="EF80">
        <v>0.16950768657656098</v>
      </c>
      <c r="EG80">
        <v>0.19574060093466247</v>
      </c>
      <c r="EH80">
        <v>0.20513180763098984</v>
      </c>
      <c r="EI80">
        <v>0.19080957070543064</v>
      </c>
      <c r="EJ80">
        <v>0.17731123060885631</v>
      </c>
      <c r="EK80">
        <v>0.1702511072456433</v>
      </c>
      <c r="EL80">
        <v>0.12161763450407113</v>
      </c>
      <c r="EM80">
        <v>0.13582003761398562</v>
      </c>
      <c r="EN80">
        <v>0.15015585662625083</v>
      </c>
      <c r="EO80">
        <v>0.16421367657702313</v>
      </c>
      <c r="EP80">
        <v>0.18098626432879786</v>
      </c>
      <c r="EQ80">
        <v>0.21677369459444557</v>
      </c>
      <c r="ER80">
        <v>0.21381415093682313</v>
      </c>
      <c r="ES80">
        <v>0.195460212865534</v>
      </c>
      <c r="ET80">
        <v>0.15895742940991858</v>
      </c>
      <c r="EU80">
        <v>0.13055052666930719</v>
      </c>
      <c r="EV80">
        <v>4.5884925898100989E-2</v>
      </c>
      <c r="EW80">
        <v>4.4775827608696812E-2</v>
      </c>
      <c r="EX80">
        <v>4.65352337772105E-2</v>
      </c>
      <c r="EY80">
        <v>5.8234158423821888E-2</v>
      </c>
      <c r="EZ80">
        <v>7.0557915949056429E-2</v>
      </c>
      <c r="FA80">
        <v>8.5486859846443372E-2</v>
      </c>
      <c r="FB80">
        <v>0.10028047452954456</v>
      </c>
      <c r="FC80">
        <v>0.10823427061137669</v>
      </c>
      <c r="FD80">
        <v>7.8617994536222285E-2</v>
      </c>
      <c r="FE80">
        <v>5.1269625997251281E-2</v>
      </c>
      <c r="FF80">
        <v>0.16328119659891652</v>
      </c>
      <c r="FG80">
        <v>0.15909032247375898</v>
      </c>
      <c r="FH80">
        <v>0.16023005208544522</v>
      </c>
      <c r="FI80">
        <v>0.16424539553424206</v>
      </c>
      <c r="FJ80">
        <v>0.16352266957988235</v>
      </c>
      <c r="FK80">
        <v>0.18615485384314945</v>
      </c>
      <c r="FL80">
        <v>0.19150134630332605</v>
      </c>
      <c r="FM80">
        <v>0.17076128790499046</v>
      </c>
      <c r="FN80">
        <v>0.16112013094836644</v>
      </c>
      <c r="FO80">
        <v>0.16539232550076621</v>
      </c>
      <c r="FQ80" t="s">
        <v>182</v>
      </c>
      <c r="FR80" t="s">
        <v>127</v>
      </c>
      <c r="FS80" t="s">
        <v>128</v>
      </c>
      <c r="FT80">
        <v>0.55893331921589895</v>
      </c>
    </row>
    <row r="81" spans="2:176" x14ac:dyDescent="0.45">
      <c r="B81" t="s">
        <v>200</v>
      </c>
      <c r="C81" t="s">
        <v>123</v>
      </c>
      <c r="D81">
        <v>0.41558411948265106</v>
      </c>
      <c r="E81">
        <v>0.43809237513758154</v>
      </c>
      <c r="F81">
        <v>0.439690820704841</v>
      </c>
      <c r="G81">
        <v>0.43723878305267416</v>
      </c>
      <c r="H81">
        <v>0.45123785535931055</v>
      </c>
      <c r="I81">
        <v>0.44381820371953623</v>
      </c>
      <c r="J81">
        <v>0.43377983495349104</v>
      </c>
      <c r="K81">
        <v>0.40194944559143647</v>
      </c>
      <c r="L81">
        <v>0.38265112537836954</v>
      </c>
      <c r="M81">
        <v>0.36818262932718243</v>
      </c>
      <c r="N81">
        <v>0.39572826887522727</v>
      </c>
      <c r="O81">
        <v>0.39400690721219978</v>
      </c>
      <c r="P81">
        <v>0.41481370901002773</v>
      </c>
      <c r="Q81">
        <v>0.43759200129627013</v>
      </c>
      <c r="R81">
        <v>0.43391631059505198</v>
      </c>
      <c r="S81">
        <v>0.40345394856438416</v>
      </c>
      <c r="T81">
        <v>0.39864681254704687</v>
      </c>
      <c r="U81">
        <v>0.40387028341397996</v>
      </c>
      <c r="V81">
        <v>0.40663685986916887</v>
      </c>
      <c r="W81">
        <v>0.39991114685485757</v>
      </c>
      <c r="X81">
        <v>0.38823248350621281</v>
      </c>
      <c r="Y81">
        <v>0.39873608357056117</v>
      </c>
      <c r="Z81">
        <v>0.43398839085000046</v>
      </c>
      <c r="AA81">
        <v>0.4457231202515432</v>
      </c>
      <c r="AB81">
        <v>0.43683185299064864</v>
      </c>
      <c r="AC81">
        <v>0.40362362623245246</v>
      </c>
      <c r="AD81">
        <v>0.40377902117283249</v>
      </c>
      <c r="AE81">
        <v>0.40774435074812559</v>
      </c>
      <c r="AF81">
        <v>0.40260319039541681</v>
      </c>
      <c r="AG81">
        <v>0.37425563856205396</v>
      </c>
      <c r="AH81">
        <v>0.40015699495762735</v>
      </c>
      <c r="AI81">
        <v>0.41353650279684434</v>
      </c>
      <c r="AJ81">
        <v>0.41811196553572672</v>
      </c>
      <c r="AK81">
        <v>0.44254283429377722</v>
      </c>
      <c r="AL81">
        <v>0.44923110633684205</v>
      </c>
      <c r="AM81">
        <v>0.42709160393068873</v>
      </c>
      <c r="AN81">
        <v>0.40741096184264458</v>
      </c>
      <c r="AO81">
        <v>0.40699440255631608</v>
      </c>
      <c r="AP81">
        <v>0.41293656470830081</v>
      </c>
      <c r="AQ81">
        <v>0.40419866470529797</v>
      </c>
      <c r="EA81" t="s">
        <v>200</v>
      </c>
      <c r="EB81">
        <v>0.15267802916647327</v>
      </c>
      <c r="EC81">
        <v>0.17096214821771138</v>
      </c>
      <c r="ED81">
        <v>0.18105694150155777</v>
      </c>
      <c r="EE81">
        <v>0.17945359762514268</v>
      </c>
      <c r="EF81">
        <v>0.18018339330545269</v>
      </c>
      <c r="EG81">
        <v>0.20080462628180959</v>
      </c>
      <c r="EH81">
        <v>0.19653078213195643</v>
      </c>
      <c r="EI81">
        <v>0.17807694082374342</v>
      </c>
      <c r="EJ81">
        <v>0.16164843034144158</v>
      </c>
      <c r="EK81">
        <v>0.15691642034530204</v>
      </c>
      <c r="EL81">
        <v>0.1255133253415385</v>
      </c>
      <c r="EM81">
        <v>0.1228431243358951</v>
      </c>
      <c r="EN81">
        <v>0.12115741969931844</v>
      </c>
      <c r="EO81">
        <v>0.13446714435542659</v>
      </c>
      <c r="EP81">
        <v>0.14680208821664667</v>
      </c>
      <c r="EQ81">
        <v>0.17348658287346708</v>
      </c>
      <c r="ER81">
        <v>0.18553536478950652</v>
      </c>
      <c r="ES81">
        <v>0.17116917682791541</v>
      </c>
      <c r="ET81">
        <v>0.14963766728276931</v>
      </c>
      <c r="EU81">
        <v>0.13858039167698991</v>
      </c>
      <c r="EV81">
        <v>7.5694945919413184E-2</v>
      </c>
      <c r="EW81">
        <v>6.4301113705199753E-2</v>
      </c>
      <c r="EX81">
        <v>5.9507194215728164E-2</v>
      </c>
      <c r="EY81">
        <v>6.3291325631664272E-2</v>
      </c>
      <c r="EZ81">
        <v>7.0404042793205043E-2</v>
      </c>
      <c r="FA81">
        <v>8.670423229760213E-2</v>
      </c>
      <c r="FB81">
        <v>9.1335509943982457E-2</v>
      </c>
      <c r="FC81">
        <v>8.487608272810121E-2</v>
      </c>
      <c r="FD81">
        <v>7.7171002058520358E-2</v>
      </c>
      <c r="FE81">
        <v>8.061678054076564E-2</v>
      </c>
      <c r="FF81">
        <v>0.1407462463597266</v>
      </c>
      <c r="FG81">
        <v>0.14245164360991192</v>
      </c>
      <c r="FH81">
        <v>0.13966262177922184</v>
      </c>
      <c r="FI81">
        <v>0.13307203438111675</v>
      </c>
      <c r="FJ81">
        <v>0.13683686921870966</v>
      </c>
      <c r="FK81">
        <v>0.15645897036434844</v>
      </c>
      <c r="FL81">
        <v>0.16353293445514722</v>
      </c>
      <c r="FM81">
        <v>0.15741971440513358</v>
      </c>
      <c r="FN81">
        <v>0.15353583197252654</v>
      </c>
      <c r="FO81">
        <v>0.15314703210941438</v>
      </c>
      <c r="FQ81" t="s">
        <v>184</v>
      </c>
      <c r="FR81" t="s">
        <v>127</v>
      </c>
      <c r="FS81" t="s">
        <v>128</v>
      </c>
      <c r="FT81">
        <v>0.61179721245793606</v>
      </c>
    </row>
    <row r="82" spans="2:176" x14ac:dyDescent="0.45">
      <c r="B82" t="s">
        <v>201</v>
      </c>
      <c r="C82" t="s">
        <v>123</v>
      </c>
      <c r="D82">
        <v>0.35372949249974939</v>
      </c>
      <c r="E82">
        <v>0.34054483490444731</v>
      </c>
      <c r="F82">
        <v>0.33142714236319509</v>
      </c>
      <c r="G82">
        <v>0.32922669821400374</v>
      </c>
      <c r="H82">
        <v>0.34667097526115631</v>
      </c>
      <c r="I82">
        <v>0.36648808831330437</v>
      </c>
      <c r="J82">
        <v>0.3728453993263211</v>
      </c>
      <c r="K82">
        <v>0.34239414138202912</v>
      </c>
      <c r="L82">
        <v>0.33791132898215359</v>
      </c>
      <c r="M82">
        <v>0.35556469700412113</v>
      </c>
      <c r="N82">
        <v>0.33814138633347446</v>
      </c>
      <c r="O82">
        <v>0.33759658294309591</v>
      </c>
      <c r="P82">
        <v>0.36052326493202769</v>
      </c>
      <c r="Q82">
        <v>0.41011857090612663</v>
      </c>
      <c r="R82">
        <v>0.41623224894645477</v>
      </c>
      <c r="S82">
        <v>0.40672025339630036</v>
      </c>
      <c r="T82">
        <v>0.38388053162091529</v>
      </c>
      <c r="U82">
        <v>0.38631528277102489</v>
      </c>
      <c r="V82">
        <v>0.36436882191058972</v>
      </c>
      <c r="W82">
        <v>0.34184146714542957</v>
      </c>
      <c r="X82">
        <v>0.35090193623945976</v>
      </c>
      <c r="Y82">
        <v>0.33429248211061996</v>
      </c>
      <c r="Z82">
        <v>0.36571672319605603</v>
      </c>
      <c r="AA82">
        <v>0.42649242927065195</v>
      </c>
      <c r="AB82">
        <v>0.43266043196553544</v>
      </c>
      <c r="AC82">
        <v>0.421308202841226</v>
      </c>
      <c r="AD82">
        <v>0.38831092742801876</v>
      </c>
      <c r="AE82">
        <v>0.35344124417663941</v>
      </c>
      <c r="AF82">
        <v>0.32149315910602505</v>
      </c>
      <c r="AG82">
        <v>0.32860521622524874</v>
      </c>
      <c r="AH82">
        <v>0.34402000246412251</v>
      </c>
      <c r="AI82">
        <v>0.37224713250241226</v>
      </c>
      <c r="AJ82">
        <v>0.37974149662879592</v>
      </c>
      <c r="AK82">
        <v>0.3909147273979961</v>
      </c>
      <c r="AL82">
        <v>0.40460421606954905</v>
      </c>
      <c r="AM82">
        <v>0.39604126138476348</v>
      </c>
      <c r="AN82">
        <v>0.37666420267065348</v>
      </c>
      <c r="AO82">
        <v>0.36132972673257385</v>
      </c>
      <c r="AP82">
        <v>0.35020863080343534</v>
      </c>
      <c r="AQ82">
        <v>0.33824291853541233</v>
      </c>
      <c r="EA82" t="s">
        <v>201</v>
      </c>
      <c r="EB82">
        <v>0.27127779698240462</v>
      </c>
      <c r="EC82">
        <v>0.27901914191499144</v>
      </c>
      <c r="ED82">
        <v>0.27241389233648455</v>
      </c>
      <c r="EE82">
        <v>0.26374576204875627</v>
      </c>
      <c r="EF82">
        <v>0.23882655909200598</v>
      </c>
      <c r="EG82">
        <v>0.24325095949634581</v>
      </c>
      <c r="EH82">
        <v>0.26292185171438004</v>
      </c>
      <c r="EI82">
        <v>0.2699012571377607</v>
      </c>
      <c r="EJ82">
        <v>0.28036717239075981</v>
      </c>
      <c r="EK82">
        <v>0.27492022405902306</v>
      </c>
      <c r="EL82">
        <v>0.20152998272988054</v>
      </c>
      <c r="EM82">
        <v>0.20826524836786536</v>
      </c>
      <c r="EN82">
        <v>0.21698257158966919</v>
      </c>
      <c r="EO82">
        <v>0.20684472626746012</v>
      </c>
      <c r="EP82">
        <v>0.18746816916806808</v>
      </c>
      <c r="EQ82">
        <v>0.20908836683000132</v>
      </c>
      <c r="ER82">
        <v>0.22465444111992244</v>
      </c>
      <c r="ES82">
        <v>0.22940019488057473</v>
      </c>
      <c r="ET82">
        <v>0.21943722453251654</v>
      </c>
      <c r="EU82">
        <v>0.2126300093351256</v>
      </c>
      <c r="EV82">
        <v>0.15196295037172661</v>
      </c>
      <c r="EW82">
        <v>0.13609062419116574</v>
      </c>
      <c r="EX82">
        <v>0.11745529705824879</v>
      </c>
      <c r="EY82">
        <v>9.7110098359704106E-2</v>
      </c>
      <c r="EZ82">
        <v>0.10656105474508513</v>
      </c>
      <c r="FA82">
        <v>0.11767148302918097</v>
      </c>
      <c r="FB82">
        <v>0.12519117772726979</v>
      </c>
      <c r="FC82">
        <v>0.13099988989913985</v>
      </c>
      <c r="FD82">
        <v>0.1310189026839938</v>
      </c>
      <c r="FE82">
        <v>0.15154238552810084</v>
      </c>
      <c r="FF82">
        <v>0.27648351181956904</v>
      </c>
      <c r="FG82">
        <v>0.27463677151300914</v>
      </c>
      <c r="FH82">
        <v>0.27653956931421431</v>
      </c>
      <c r="FI82">
        <v>0.26886051718595028</v>
      </c>
      <c r="FJ82">
        <v>0.24951413844114409</v>
      </c>
      <c r="FK82">
        <v>0.2520834324867034</v>
      </c>
      <c r="FL82">
        <v>0.24957092601046435</v>
      </c>
      <c r="FM82">
        <v>0.25550741242796871</v>
      </c>
      <c r="FN82">
        <v>0.27614770412905004</v>
      </c>
      <c r="FO82">
        <v>0.28858570279058993</v>
      </c>
      <c r="FQ82" t="s">
        <v>186</v>
      </c>
      <c r="FR82" t="s">
        <v>127</v>
      </c>
      <c r="FS82" t="s">
        <v>128</v>
      </c>
      <c r="FT82">
        <v>0.5888999732042367</v>
      </c>
    </row>
    <row r="83" spans="2:176" x14ac:dyDescent="0.45">
      <c r="B83" t="s">
        <v>202</v>
      </c>
      <c r="C83" t="s">
        <v>123</v>
      </c>
      <c r="D83">
        <v>0.38751361207749169</v>
      </c>
      <c r="E83">
        <v>0.3854939835668853</v>
      </c>
      <c r="F83">
        <v>0.36059001406544189</v>
      </c>
      <c r="G83">
        <v>0.36464328828846004</v>
      </c>
      <c r="H83">
        <v>0.38758831725205373</v>
      </c>
      <c r="I83">
        <v>0.4125418854577193</v>
      </c>
      <c r="J83">
        <v>0.40481400125217837</v>
      </c>
      <c r="K83">
        <v>0.388005742998769</v>
      </c>
      <c r="L83">
        <v>0.36958177049845936</v>
      </c>
      <c r="M83">
        <v>0.37802452781961432</v>
      </c>
      <c r="N83">
        <v>0.33015343549445997</v>
      </c>
      <c r="O83">
        <v>0.31206562788274128</v>
      </c>
      <c r="P83">
        <v>0.34766056579094473</v>
      </c>
      <c r="Q83">
        <v>0.41638835455055989</v>
      </c>
      <c r="R83">
        <v>0.43823142042278984</v>
      </c>
      <c r="S83">
        <v>0.43475616501194636</v>
      </c>
      <c r="T83">
        <v>0.41898748914363992</v>
      </c>
      <c r="U83">
        <v>0.40606285033738959</v>
      </c>
      <c r="V83">
        <v>0.35081770484393321</v>
      </c>
      <c r="W83">
        <v>0.3424169557961465</v>
      </c>
      <c r="X83">
        <v>0.33372417656211695</v>
      </c>
      <c r="Y83">
        <v>0.34045171557846066</v>
      </c>
      <c r="Z83">
        <v>0.39492396109952937</v>
      </c>
      <c r="AA83">
        <v>0.44443933632140886</v>
      </c>
      <c r="AB83">
        <v>0.42187936943868143</v>
      </c>
      <c r="AC83">
        <v>0.40133309079743956</v>
      </c>
      <c r="AD83">
        <v>0.38312247186476905</v>
      </c>
      <c r="AE83">
        <v>0.33969952856327151</v>
      </c>
      <c r="AF83">
        <v>0.28795836547543646</v>
      </c>
      <c r="AG83">
        <v>0.29823928907943181</v>
      </c>
      <c r="AH83">
        <v>0.37387373168408156</v>
      </c>
      <c r="AI83">
        <v>0.40167536426802619</v>
      </c>
      <c r="AJ83">
        <v>0.41333171522784889</v>
      </c>
      <c r="AK83">
        <v>0.44910664429218211</v>
      </c>
      <c r="AL83">
        <v>0.45932351649022579</v>
      </c>
      <c r="AM83">
        <v>0.44475651703474617</v>
      </c>
      <c r="AN83">
        <v>0.42030470683163512</v>
      </c>
      <c r="AO83">
        <v>0.38576229405453655</v>
      </c>
      <c r="AP83">
        <v>0.36618100411349364</v>
      </c>
      <c r="AQ83">
        <v>0.36159477202318707</v>
      </c>
      <c r="EA83" t="s">
        <v>202</v>
      </c>
      <c r="EB83">
        <v>0.23237424964818962</v>
      </c>
      <c r="EC83">
        <v>0.22768081247185232</v>
      </c>
      <c r="ED83">
        <v>0.230756351045969</v>
      </c>
      <c r="EE83">
        <v>0.23365838410491241</v>
      </c>
      <c r="EF83">
        <v>0.20516396890702807</v>
      </c>
      <c r="EG83">
        <v>0.22145409455307682</v>
      </c>
      <c r="EH83">
        <v>0.23564878347633464</v>
      </c>
      <c r="EI83">
        <v>0.24247315775502984</v>
      </c>
      <c r="EJ83">
        <v>0.24362178648328969</v>
      </c>
      <c r="EK83">
        <v>0.23587434439785171</v>
      </c>
      <c r="EL83">
        <v>0.18114691793722307</v>
      </c>
      <c r="EM83">
        <v>0.17536714774635442</v>
      </c>
      <c r="EN83">
        <v>0.16781853492176366</v>
      </c>
      <c r="EO83">
        <v>0.16049177755623367</v>
      </c>
      <c r="EP83">
        <v>0.14043153241666873</v>
      </c>
      <c r="EQ83">
        <v>0.16757223425811585</v>
      </c>
      <c r="ER83">
        <v>0.17653849094900387</v>
      </c>
      <c r="ES83">
        <v>0.18154691112391164</v>
      </c>
      <c r="ET83">
        <v>0.19209580231256929</v>
      </c>
      <c r="EU83">
        <v>0.19787927895963969</v>
      </c>
      <c r="EV83">
        <v>0.12268324950944905</v>
      </c>
      <c r="EW83">
        <v>0.11256054082110654</v>
      </c>
      <c r="EX83">
        <v>9.2958527274846409E-2</v>
      </c>
      <c r="EY83">
        <v>8.2878788226723427E-2</v>
      </c>
      <c r="EZ83">
        <v>8.7880330923534075E-2</v>
      </c>
      <c r="FA83">
        <v>0.10721006032957636</v>
      </c>
      <c r="FB83">
        <v>0.12597249231315533</v>
      </c>
      <c r="FC83">
        <v>0.12353167458506889</v>
      </c>
      <c r="FD83">
        <v>0.12169072906922566</v>
      </c>
      <c r="FE83">
        <v>0.13329534081697178</v>
      </c>
      <c r="FF83">
        <v>0.23938470026080036</v>
      </c>
      <c r="FG83">
        <v>0.24115558123793535</v>
      </c>
      <c r="FH83">
        <v>0.24513566970542491</v>
      </c>
      <c r="FI83">
        <v>0.22952647569769238</v>
      </c>
      <c r="FJ83">
        <v>0.20043593764168863</v>
      </c>
      <c r="FK83">
        <v>0.2141374053115748</v>
      </c>
      <c r="FL83">
        <v>0.20948041228920386</v>
      </c>
      <c r="FM83">
        <v>0.21461265174406188</v>
      </c>
      <c r="FN83">
        <v>0.23563021251385524</v>
      </c>
      <c r="FO83">
        <v>0.24760893394618971</v>
      </c>
      <c r="FQ83" t="s">
        <v>188</v>
      </c>
      <c r="FR83" t="s">
        <v>127</v>
      </c>
      <c r="FS83" t="s">
        <v>128</v>
      </c>
      <c r="FT83">
        <v>0.67879279481954669</v>
      </c>
    </row>
    <row r="84" spans="2:176" x14ac:dyDescent="0.45">
      <c r="B84" t="s">
        <v>203</v>
      </c>
      <c r="C84" t="s">
        <v>123</v>
      </c>
      <c r="D84">
        <v>0.44666780383182436</v>
      </c>
      <c r="E84">
        <v>0.44767102625674227</v>
      </c>
      <c r="F84">
        <v>0.42836942311914983</v>
      </c>
      <c r="G84">
        <v>0.42505766944301204</v>
      </c>
      <c r="H84">
        <v>0.4425765128292492</v>
      </c>
      <c r="I84">
        <v>0.42049975377881404</v>
      </c>
      <c r="J84">
        <v>0.40660427876165822</v>
      </c>
      <c r="K84">
        <v>0.38165139734718961</v>
      </c>
      <c r="L84">
        <v>0.38936719863827934</v>
      </c>
      <c r="M84">
        <v>0.4238131818220533</v>
      </c>
      <c r="N84">
        <v>0.4190267079732326</v>
      </c>
      <c r="O84">
        <v>0.43145855814941569</v>
      </c>
      <c r="P84">
        <v>0.44585409368154061</v>
      </c>
      <c r="Q84">
        <v>0.47251083553160039</v>
      </c>
      <c r="R84">
        <v>0.45686381973214857</v>
      </c>
      <c r="S84">
        <v>0.41564810585711098</v>
      </c>
      <c r="T84">
        <v>0.40894890995948646</v>
      </c>
      <c r="U84">
        <v>0.4059732349673239</v>
      </c>
      <c r="V84">
        <v>0.39596584543938607</v>
      </c>
      <c r="W84">
        <v>0.40111233811737412</v>
      </c>
      <c r="X84">
        <v>0.39509534570465871</v>
      </c>
      <c r="Y84">
        <v>0.42025675671527846</v>
      </c>
      <c r="Z84">
        <v>0.46404503370491579</v>
      </c>
      <c r="AA84">
        <v>0.50047222753318998</v>
      </c>
      <c r="AB84">
        <v>0.48627686754294219</v>
      </c>
      <c r="AC84">
        <v>0.46928391230467514</v>
      </c>
      <c r="AD84">
        <v>0.44606055359312863</v>
      </c>
      <c r="AE84">
        <v>0.42119581814779244</v>
      </c>
      <c r="AF84">
        <v>0.38875972595573505</v>
      </c>
      <c r="AG84">
        <v>0.38592552504668959</v>
      </c>
      <c r="AH84">
        <v>0.40459596114129159</v>
      </c>
      <c r="AI84">
        <v>0.41975917370616889</v>
      </c>
      <c r="AJ84">
        <v>0.42336418396187875</v>
      </c>
      <c r="AK84">
        <v>0.44348225137981317</v>
      </c>
      <c r="AL84">
        <v>0.46406146895882433</v>
      </c>
      <c r="AM84">
        <v>0.4353829082693868</v>
      </c>
      <c r="AN84">
        <v>0.42726126790769042</v>
      </c>
      <c r="AO84">
        <v>0.41291147651281224</v>
      </c>
      <c r="AP84">
        <v>0.37825258288303504</v>
      </c>
      <c r="AQ84">
        <v>0.37482516638484836</v>
      </c>
      <c r="EA84" t="s">
        <v>203</v>
      </c>
      <c r="EB84">
        <v>0.17358456214727527</v>
      </c>
      <c r="EC84">
        <v>0.17144146126111073</v>
      </c>
      <c r="ED84">
        <v>0.16747936615461717</v>
      </c>
      <c r="EE84">
        <v>0.16145869617009256</v>
      </c>
      <c r="EF84">
        <v>0.13603323058432185</v>
      </c>
      <c r="EG84">
        <v>0.15310107706876669</v>
      </c>
      <c r="EH84">
        <v>0.18167440843624377</v>
      </c>
      <c r="EI84">
        <v>0.19874227655288132</v>
      </c>
      <c r="EJ84">
        <v>0.20166515882671965</v>
      </c>
      <c r="EK84">
        <v>0.18320656777621797</v>
      </c>
      <c r="EL84">
        <v>0.1353439996522888</v>
      </c>
      <c r="EM84">
        <v>0.1211561049918288</v>
      </c>
      <c r="EN84">
        <v>0.11078128551730909</v>
      </c>
      <c r="EO84">
        <v>0.10405781254117277</v>
      </c>
      <c r="EP84">
        <v>0.10789449426114553</v>
      </c>
      <c r="EQ84">
        <v>0.13048727182353706</v>
      </c>
      <c r="ER84">
        <v>0.14647630947340828</v>
      </c>
      <c r="ES84">
        <v>0.14519249387536978</v>
      </c>
      <c r="ET84">
        <v>0.16051708009770776</v>
      </c>
      <c r="EU84">
        <v>0.15465399338408584</v>
      </c>
      <c r="EV84">
        <v>0.10725705058622749</v>
      </c>
      <c r="EW84">
        <v>8.8310109125497124E-2</v>
      </c>
      <c r="EX84">
        <v>7.2121339423689396E-2</v>
      </c>
      <c r="EY84">
        <v>7.1355636336289066E-2</v>
      </c>
      <c r="EZ84">
        <v>7.7778179005820458E-2</v>
      </c>
      <c r="FA84">
        <v>0.10139529148170714</v>
      </c>
      <c r="FB84">
        <v>0.12427918681342684</v>
      </c>
      <c r="FC84">
        <v>0.13247284060430517</v>
      </c>
      <c r="FD84">
        <v>0.13050346190198761</v>
      </c>
      <c r="FE84">
        <v>0.1292494506425528</v>
      </c>
      <c r="FF84">
        <v>0.19752122546771464</v>
      </c>
      <c r="FG84">
        <v>0.20056946524011637</v>
      </c>
      <c r="FH84">
        <v>0.19306818472658399</v>
      </c>
      <c r="FI84">
        <v>0.17883583687761181</v>
      </c>
      <c r="FJ84">
        <v>0.17269939958287828</v>
      </c>
      <c r="FK84">
        <v>0.19101308728608007</v>
      </c>
      <c r="FL84">
        <v>0.18660222624315395</v>
      </c>
      <c r="FM84">
        <v>0.18939012896080781</v>
      </c>
      <c r="FN84">
        <v>0.19824060301075602</v>
      </c>
      <c r="FO84">
        <v>0.20132315703087073</v>
      </c>
      <c r="FQ84" t="s">
        <v>190</v>
      </c>
      <c r="FR84" t="s">
        <v>127</v>
      </c>
      <c r="FS84" t="s">
        <v>128</v>
      </c>
      <c r="FT84">
        <v>0.65434099364399545</v>
      </c>
    </row>
    <row r="85" spans="2:176" x14ac:dyDescent="0.45">
      <c r="B85" t="s">
        <v>204</v>
      </c>
      <c r="C85" t="s">
        <v>123</v>
      </c>
      <c r="D85">
        <v>0.42281100745019884</v>
      </c>
      <c r="E85">
        <v>0.42076562751881541</v>
      </c>
      <c r="F85">
        <v>0.40776907278424201</v>
      </c>
      <c r="G85">
        <v>0.39903416718711621</v>
      </c>
      <c r="H85">
        <v>0.40981283444397304</v>
      </c>
      <c r="I85">
        <v>0.41276702093809853</v>
      </c>
      <c r="J85">
        <v>0.39547950930183262</v>
      </c>
      <c r="K85">
        <v>0.38410004646830154</v>
      </c>
      <c r="L85">
        <v>0.38847087456318419</v>
      </c>
      <c r="M85">
        <v>0.41185055147778471</v>
      </c>
      <c r="N85">
        <v>0.39727607823967309</v>
      </c>
      <c r="O85">
        <v>0.38095631241262651</v>
      </c>
      <c r="P85">
        <v>0.39318869594840061</v>
      </c>
      <c r="Q85">
        <v>0.40362878665243573</v>
      </c>
      <c r="R85">
        <v>0.40545993010667608</v>
      </c>
      <c r="S85">
        <v>0.39498584780294449</v>
      </c>
      <c r="T85">
        <v>0.38328983960833929</v>
      </c>
      <c r="U85">
        <v>0.39072521943336924</v>
      </c>
      <c r="V85">
        <v>0.39002560149565629</v>
      </c>
      <c r="W85">
        <v>0.40439644874030639</v>
      </c>
      <c r="X85">
        <v>0.42229011041165765</v>
      </c>
      <c r="Y85">
        <v>0.43805026920881884</v>
      </c>
      <c r="Z85">
        <v>0.4733466206804921</v>
      </c>
      <c r="AA85">
        <v>0.49258405116919568</v>
      </c>
      <c r="AB85">
        <v>0.47619742087393413</v>
      </c>
      <c r="AC85">
        <v>0.46163379655796322</v>
      </c>
      <c r="AD85">
        <v>0.42690321948154669</v>
      </c>
      <c r="AE85">
        <v>0.37760034578037599</v>
      </c>
      <c r="AF85">
        <v>0.33469994362012523</v>
      </c>
      <c r="AG85">
        <v>0.34608954806603354</v>
      </c>
      <c r="AH85">
        <v>0.40800211955053189</v>
      </c>
      <c r="AI85">
        <v>0.42756702335051172</v>
      </c>
      <c r="AJ85">
        <v>0.44223669254120324</v>
      </c>
      <c r="AK85">
        <v>0.44807116283935278</v>
      </c>
      <c r="AL85">
        <v>0.44487192482019466</v>
      </c>
      <c r="AM85">
        <v>0.41769548615788687</v>
      </c>
      <c r="AN85">
        <v>0.40000543226485191</v>
      </c>
      <c r="AO85">
        <v>0.38587468344062636</v>
      </c>
      <c r="AP85">
        <v>0.38156662493417415</v>
      </c>
      <c r="AQ85">
        <v>0.39286338559815576</v>
      </c>
      <c r="EA85" t="s">
        <v>204</v>
      </c>
      <c r="EB85">
        <v>0.19869855953596774</v>
      </c>
      <c r="EC85">
        <v>0.19614897962777778</v>
      </c>
      <c r="ED85">
        <v>0.1998483664759762</v>
      </c>
      <c r="EE85">
        <v>0.20221925494544649</v>
      </c>
      <c r="EF85">
        <v>0.1816050767784384</v>
      </c>
      <c r="EG85">
        <v>0.20790675007076015</v>
      </c>
      <c r="EH85">
        <v>0.22703862751901457</v>
      </c>
      <c r="EI85">
        <v>0.23101311442030589</v>
      </c>
      <c r="EJ85">
        <v>0.22140494970482397</v>
      </c>
      <c r="EK85">
        <v>0.20817606353871729</v>
      </c>
      <c r="EL85">
        <v>0.15557328427462264</v>
      </c>
      <c r="EM85">
        <v>0.1484095230677189</v>
      </c>
      <c r="EN85">
        <v>0.15296348009747501</v>
      </c>
      <c r="EO85">
        <v>0.16363824837682411</v>
      </c>
      <c r="EP85">
        <v>0.17056774286520596</v>
      </c>
      <c r="EQ85">
        <v>0.2053227199168087</v>
      </c>
      <c r="ER85">
        <v>0.22095232395490041</v>
      </c>
      <c r="ES85">
        <v>0.21099011973529985</v>
      </c>
      <c r="ET85">
        <v>0.19765662261199077</v>
      </c>
      <c r="EU85">
        <v>0.17815575941739359</v>
      </c>
      <c r="EV85">
        <v>0.1095461303769744</v>
      </c>
      <c r="EW85">
        <v>9.8577151669990815E-2</v>
      </c>
      <c r="EX85">
        <v>9.1716532298412506E-2</v>
      </c>
      <c r="EY85">
        <v>0.10324235269726038</v>
      </c>
      <c r="EZ85">
        <v>0.11957299772283925</v>
      </c>
      <c r="FA85">
        <v>0.13855492961270671</v>
      </c>
      <c r="FB85">
        <v>0.15005275191770256</v>
      </c>
      <c r="FC85">
        <v>0.1464030832025997</v>
      </c>
      <c r="FD85">
        <v>0.1355931619698611</v>
      </c>
      <c r="FE85">
        <v>0.12242005326015017</v>
      </c>
      <c r="FF85">
        <v>0.21895029821544779</v>
      </c>
      <c r="FG85">
        <v>0.21702423800424639</v>
      </c>
      <c r="FH85">
        <v>0.21950189792054001</v>
      </c>
      <c r="FI85">
        <v>0.22263414090119335</v>
      </c>
      <c r="FJ85">
        <v>0.21480598904208106</v>
      </c>
      <c r="FK85">
        <v>0.23503910409579873</v>
      </c>
      <c r="FL85">
        <v>0.23161984785721898</v>
      </c>
      <c r="FM85">
        <v>0.22539691060596115</v>
      </c>
      <c r="FN85">
        <v>0.22690080886762701</v>
      </c>
      <c r="FO85">
        <v>0.22796715565942391</v>
      </c>
      <c r="FQ85" t="s">
        <v>192</v>
      </c>
      <c r="FR85" t="s">
        <v>127</v>
      </c>
      <c r="FS85" t="s">
        <v>128</v>
      </c>
      <c r="FT85">
        <v>0.5996592775441757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4DE52-E009-4940-9A35-7DF61560C075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region=FRA")</f>
        <v>~TFM_DINS-AT: region=FRA</v>
      </c>
      <c r="H9" t="str">
        <f>IF(A11="x","DeActivated","~TFM_DINS-AT: region=FRA")</f>
        <v>~TFM_DINS-AT: region=FRA</v>
      </c>
      <c r="L9" t="str">
        <f>IF(A11="x","DeActivated","~TFM_DINS-AT: region=FRA")</f>
        <v>~TFM_DINS-AT: region=FRA</v>
      </c>
      <c r="P9" t="str">
        <f>IF(A11="x","DeActivated","~TFM_INS-AT: region=FRA")</f>
        <v>~TFM_INS-AT: region=FRA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7.7509111445906775E-2</v>
      </c>
      <c r="P11">
        <v>2020</v>
      </c>
      <c r="Q11" t="s">
        <v>214</v>
      </c>
      <c r="R11">
        <v>0.31556666666666672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0.19506594879464645</v>
      </c>
      <c r="P12">
        <v>2020</v>
      </c>
      <c r="Q12" t="s">
        <v>216</v>
      </c>
      <c r="R12">
        <v>0.32903333333333334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0.12763821929191166</v>
      </c>
      <c r="P13">
        <v>2020</v>
      </c>
      <c r="Q13" t="s">
        <v>217</v>
      </c>
      <c r="R13">
        <v>0.24753333333333336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8.5237368940154434E-2</v>
      </c>
      <c r="P14">
        <v>2020</v>
      </c>
      <c r="Q14" t="s">
        <v>218</v>
      </c>
      <c r="R14">
        <v>0.21636666666666668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8.0188574822920744E-2</v>
      </c>
      <c r="P15">
        <v>2021</v>
      </c>
      <c r="Q15" t="s">
        <v>214</v>
      </c>
      <c r="R15">
        <v>0.33883333333333332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8.696356350781187E-2</v>
      </c>
      <c r="P16">
        <v>2021</v>
      </c>
      <c r="Q16" t="s">
        <v>216</v>
      </c>
      <c r="R16">
        <v>0.27746666666666664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9.1411414083072629E-2</v>
      </c>
      <c r="P17">
        <v>2021</v>
      </c>
      <c r="Q17" t="s">
        <v>217</v>
      </c>
      <c r="R17">
        <v>0.27649999999999997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7.761469352397854E-2</v>
      </c>
      <c r="P18">
        <v>2021</v>
      </c>
      <c r="Q18" t="s">
        <v>218</v>
      </c>
      <c r="R18">
        <v>0.17016666666666666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8.4306639035991671E-2</v>
      </c>
      <c r="P19">
        <v>2022</v>
      </c>
      <c r="Q19" t="s">
        <v>214</v>
      </c>
      <c r="R19">
        <v>0.25390000000000001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9.4434894032719541E-2</v>
      </c>
      <c r="P20">
        <v>2022</v>
      </c>
      <c r="Q20" t="s">
        <v>216</v>
      </c>
      <c r="R20">
        <v>0.23780000000000001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9.0769515606278439E-2</v>
      </c>
      <c r="P21">
        <v>2022</v>
      </c>
      <c r="Q21" t="s">
        <v>217</v>
      </c>
      <c r="R21">
        <v>0.1689333333333333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0.16736947230256183</v>
      </c>
      <c r="P22">
        <v>2022</v>
      </c>
      <c r="Q22" t="s">
        <v>218</v>
      </c>
      <c r="R22">
        <v>0.15003333333333332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0.13819187415917367</v>
      </c>
      <c r="P23">
        <v>2025</v>
      </c>
      <c r="Q23" t="s">
        <v>214</v>
      </c>
      <c r="R23">
        <v>0.35630000000000001</v>
      </c>
      <c r="S23" t="s">
        <v>215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0.12046396829578199</v>
      </c>
      <c r="P24">
        <v>2025</v>
      </c>
      <c r="Q24" t="s">
        <v>216</v>
      </c>
      <c r="R24">
        <v>0.31669999999999998</v>
      </c>
      <c r="S24" t="s">
        <v>215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0.12568636711316383</v>
      </c>
      <c r="P25">
        <v>2025</v>
      </c>
      <c r="Q25" t="s">
        <v>217</v>
      </c>
      <c r="R25">
        <v>0.27449999999999997</v>
      </c>
      <c r="S25" t="s">
        <v>215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0.13380449872242783</v>
      </c>
      <c r="P26">
        <v>2025</v>
      </c>
      <c r="Q26" t="s">
        <v>218</v>
      </c>
      <c r="R26">
        <v>0.18769999999999998</v>
      </c>
      <c r="S26" t="s">
        <v>215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0.13789640763175792</v>
      </c>
      <c r="P27">
        <v>2026</v>
      </c>
      <c r="Q27" t="s">
        <v>214</v>
      </c>
      <c r="R27">
        <v>0.3128333333333333</v>
      </c>
      <c r="S27" t="s">
        <v>215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0.13549448859418955</v>
      </c>
      <c r="P28">
        <v>2026</v>
      </c>
      <c r="Q28" t="s">
        <v>216</v>
      </c>
      <c r="R28">
        <v>0.34046666666666664</v>
      </c>
      <c r="S28" t="s">
        <v>215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0.14018441597150844</v>
      </c>
      <c r="P29">
        <v>2026</v>
      </c>
      <c r="Q29" t="s">
        <v>217</v>
      </c>
      <c r="R29">
        <v>0.24056666666666668</v>
      </c>
      <c r="S29" t="s">
        <v>215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0.13569579757255434</v>
      </c>
      <c r="P30">
        <v>2026</v>
      </c>
      <c r="Q30" t="s">
        <v>218</v>
      </c>
      <c r="R30">
        <v>0.16066666666666665</v>
      </c>
      <c r="S30" t="s">
        <v>215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0.20825439063307116</v>
      </c>
      <c r="P31">
        <v>2027</v>
      </c>
      <c r="Q31" t="s">
        <v>214</v>
      </c>
      <c r="R31">
        <v>0.29896666666666666</v>
      </c>
      <c r="S31" t="s">
        <v>215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0.14832591026463104</v>
      </c>
      <c r="P32">
        <v>2027</v>
      </c>
      <c r="Q32" t="s">
        <v>216</v>
      </c>
      <c r="R32">
        <v>0.30760000000000004</v>
      </c>
      <c r="S32" t="s">
        <v>215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0.12836471540329097</v>
      </c>
      <c r="P33">
        <v>2027</v>
      </c>
      <c r="Q33" t="s">
        <v>217</v>
      </c>
      <c r="R33">
        <v>0.2568333333333333</v>
      </c>
      <c r="S33" t="s">
        <v>215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9.4466829930754947E-2</v>
      </c>
      <c r="P34">
        <v>2027</v>
      </c>
      <c r="Q34" t="s">
        <v>218</v>
      </c>
      <c r="R34">
        <v>0.20886666666666667</v>
      </c>
      <c r="S34" t="s">
        <v>215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9.1916088160540088E-2</v>
      </c>
      <c r="P35">
        <v>2028</v>
      </c>
      <c r="Q35" t="s">
        <v>214</v>
      </c>
      <c r="R35">
        <v>0.36136666666666667</v>
      </c>
      <c r="S35" t="s">
        <v>215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9.5008754171791221E-2</v>
      </c>
      <c r="P36">
        <v>2028</v>
      </c>
      <c r="Q36" t="s">
        <v>216</v>
      </c>
      <c r="R36">
        <v>0.33499999999999996</v>
      </c>
      <c r="S36" t="s">
        <v>215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8.4868138974627527E-2</v>
      </c>
      <c r="P37">
        <v>2028</v>
      </c>
      <c r="Q37" t="s">
        <v>217</v>
      </c>
      <c r="R37">
        <v>0.25179999999999997</v>
      </c>
      <c r="S37" t="s">
        <v>215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7.7818624805887637E-2</v>
      </c>
      <c r="P38">
        <v>2028</v>
      </c>
      <c r="Q38" t="s">
        <v>218</v>
      </c>
      <c r="R38">
        <v>0.18053333333333332</v>
      </c>
      <c r="S38" t="s">
        <v>215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8.8780610350526645E-2</v>
      </c>
      <c r="P39">
        <v>2029</v>
      </c>
      <c r="Q39" t="s">
        <v>214</v>
      </c>
      <c r="R39">
        <v>0.31396666666666667</v>
      </c>
      <c r="S39" t="s">
        <v>215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0.10656832264461902</v>
      </c>
      <c r="P40">
        <v>2029</v>
      </c>
      <c r="Q40" t="s">
        <v>216</v>
      </c>
      <c r="R40">
        <v>0.29609999999999997</v>
      </c>
      <c r="S40" t="s">
        <v>215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0.12399933172603239</v>
      </c>
      <c r="P41">
        <v>2029</v>
      </c>
      <c r="Q41" t="s">
        <v>217</v>
      </c>
      <c r="R41">
        <v>0.2525</v>
      </c>
      <c r="S41" t="s">
        <v>215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0.20044930623401735</v>
      </c>
      <c r="P42">
        <v>2029</v>
      </c>
      <c r="Q42" t="s">
        <v>218</v>
      </c>
      <c r="R42">
        <v>0.2074</v>
      </c>
      <c r="S42" t="s">
        <v>215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0.21262842800423454</v>
      </c>
      <c r="P43">
        <v>2030</v>
      </c>
      <c r="Q43" t="s">
        <v>214</v>
      </c>
      <c r="R43">
        <v>0.40020000000000006</v>
      </c>
      <c r="S43" t="s">
        <v>215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0.15929378909391501</v>
      </c>
      <c r="P44">
        <v>2030</v>
      </c>
      <c r="Q44" t="s">
        <v>216</v>
      </c>
      <c r="R44">
        <v>0.43460000000000004</v>
      </c>
      <c r="S44" t="s">
        <v>215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0.15546149587118108</v>
      </c>
      <c r="P45">
        <v>2030</v>
      </c>
      <c r="Q45" t="s">
        <v>217</v>
      </c>
      <c r="R45">
        <v>0.33766666666666662</v>
      </c>
      <c r="S45" t="s">
        <v>215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0.15349801491058335</v>
      </c>
      <c r="P46">
        <v>2030</v>
      </c>
      <c r="Q46" t="s">
        <v>218</v>
      </c>
      <c r="R46">
        <v>0.22719999999999999</v>
      </c>
      <c r="S46" t="s">
        <v>215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0.16614518601086803</v>
      </c>
      <c r="P47">
        <v>2031</v>
      </c>
      <c r="Q47" t="s">
        <v>214</v>
      </c>
      <c r="R47">
        <v>0.3785</v>
      </c>
      <c r="S47" t="s">
        <v>215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0.17057848355291849</v>
      </c>
      <c r="P48">
        <v>2031</v>
      </c>
      <c r="Q48" t="s">
        <v>216</v>
      </c>
      <c r="R48">
        <v>0.3995333333333333</v>
      </c>
      <c r="S48" t="s">
        <v>215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0.17547777691064081</v>
      </c>
      <c r="P49">
        <v>2031</v>
      </c>
      <c r="Q49" t="s">
        <v>217</v>
      </c>
      <c r="R49">
        <v>0.26496666666666663</v>
      </c>
      <c r="S49" t="s">
        <v>215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0.14783687325988271</v>
      </c>
      <c r="P50">
        <v>2031</v>
      </c>
      <c r="Q50" t="s">
        <v>218</v>
      </c>
      <c r="R50">
        <v>0.24793333333333334</v>
      </c>
      <c r="S50" t="s">
        <v>215</v>
      </c>
    </row>
    <row r="51" spans="3:19" x14ac:dyDescent="0.45">
      <c r="H51" t="s">
        <v>219</v>
      </c>
      <c r="I51" t="s">
        <v>5</v>
      </c>
      <c r="P51">
        <v>2032</v>
      </c>
      <c r="Q51" t="s">
        <v>214</v>
      </c>
      <c r="R51">
        <v>0.40076666666666672</v>
      </c>
      <c r="S51" t="s">
        <v>215</v>
      </c>
    </row>
    <row r="52" spans="3:19" x14ac:dyDescent="0.45">
      <c r="H52" t="s">
        <v>219</v>
      </c>
      <c r="I52" t="s">
        <v>9</v>
      </c>
      <c r="P52">
        <v>2032</v>
      </c>
      <c r="Q52" t="s">
        <v>216</v>
      </c>
      <c r="R52">
        <v>0.40506666666666663</v>
      </c>
      <c r="S52" t="s">
        <v>215</v>
      </c>
    </row>
    <row r="53" spans="3:19" x14ac:dyDescent="0.45">
      <c r="H53" t="s">
        <v>219</v>
      </c>
      <c r="I53" t="s">
        <v>10</v>
      </c>
      <c r="P53">
        <v>2032</v>
      </c>
      <c r="Q53" t="s">
        <v>217</v>
      </c>
      <c r="R53">
        <v>0.28516666666666662</v>
      </c>
      <c r="S53" t="s">
        <v>215</v>
      </c>
    </row>
    <row r="54" spans="3:19" x14ac:dyDescent="0.45">
      <c r="H54" t="s">
        <v>219</v>
      </c>
      <c r="I54" t="s">
        <v>11</v>
      </c>
      <c r="P54">
        <v>2032</v>
      </c>
      <c r="Q54" t="s">
        <v>218</v>
      </c>
      <c r="R54">
        <v>0.25796666666666668</v>
      </c>
      <c r="S54" t="s">
        <v>215</v>
      </c>
    </row>
    <row r="55" spans="3:19" x14ac:dyDescent="0.45">
      <c r="H55" t="s">
        <v>219</v>
      </c>
      <c r="I55" t="s">
        <v>12</v>
      </c>
      <c r="P55">
        <v>2033</v>
      </c>
      <c r="Q55" t="s">
        <v>214</v>
      </c>
      <c r="R55">
        <v>0.38273333333333337</v>
      </c>
      <c r="S55" t="s">
        <v>215</v>
      </c>
    </row>
    <row r="56" spans="3:19" x14ac:dyDescent="0.45">
      <c r="H56" t="s">
        <v>219</v>
      </c>
      <c r="I56" t="s">
        <v>13</v>
      </c>
      <c r="P56">
        <v>2033</v>
      </c>
      <c r="Q56" t="s">
        <v>216</v>
      </c>
      <c r="R56">
        <v>0.35946666666666666</v>
      </c>
      <c r="S56" t="s">
        <v>215</v>
      </c>
    </row>
    <row r="57" spans="3:19" x14ac:dyDescent="0.45">
      <c r="H57" t="s">
        <v>219</v>
      </c>
      <c r="I57" t="s">
        <v>14</v>
      </c>
      <c r="P57">
        <v>2033</v>
      </c>
      <c r="Q57" t="s">
        <v>217</v>
      </c>
      <c r="R57">
        <v>0.30006666666666665</v>
      </c>
      <c r="S57" t="s">
        <v>215</v>
      </c>
    </row>
    <row r="58" spans="3:19" x14ac:dyDescent="0.45">
      <c r="H58" t="s">
        <v>219</v>
      </c>
      <c r="I58" t="s">
        <v>15</v>
      </c>
      <c r="P58">
        <v>2033</v>
      </c>
      <c r="Q58" t="s">
        <v>218</v>
      </c>
      <c r="R58">
        <v>0.26123333333333337</v>
      </c>
      <c r="S58" t="s">
        <v>215</v>
      </c>
    </row>
    <row r="59" spans="3:19" x14ac:dyDescent="0.45">
      <c r="H59" t="s">
        <v>219</v>
      </c>
      <c r="I59" t="s">
        <v>16</v>
      </c>
      <c r="P59">
        <v>2034</v>
      </c>
      <c r="Q59" t="s">
        <v>214</v>
      </c>
      <c r="R59">
        <v>0.30883333333333329</v>
      </c>
      <c r="S59" t="s">
        <v>215</v>
      </c>
    </row>
    <row r="60" spans="3:19" x14ac:dyDescent="0.45">
      <c r="H60" t="s">
        <v>219</v>
      </c>
      <c r="I60" t="s">
        <v>17</v>
      </c>
      <c r="P60">
        <v>2034</v>
      </c>
      <c r="Q60" t="s">
        <v>216</v>
      </c>
      <c r="R60">
        <v>0.31906666666666667</v>
      </c>
      <c r="S60" t="s">
        <v>215</v>
      </c>
    </row>
    <row r="61" spans="3:19" x14ac:dyDescent="0.45">
      <c r="H61" t="s">
        <v>219</v>
      </c>
      <c r="I61" t="s">
        <v>18</v>
      </c>
      <c r="P61">
        <v>2034</v>
      </c>
      <c r="Q61" t="s">
        <v>217</v>
      </c>
      <c r="R61">
        <v>0.25673333333333331</v>
      </c>
      <c r="S61" t="s">
        <v>215</v>
      </c>
    </row>
    <row r="62" spans="3:19" x14ac:dyDescent="0.45">
      <c r="H62" t="s">
        <v>219</v>
      </c>
      <c r="I62" t="s">
        <v>19</v>
      </c>
      <c r="P62">
        <v>2034</v>
      </c>
      <c r="Q62" t="s">
        <v>218</v>
      </c>
      <c r="R62">
        <v>0.16586666666666669</v>
      </c>
      <c r="S62" t="s">
        <v>215</v>
      </c>
    </row>
    <row r="63" spans="3:19" x14ac:dyDescent="0.45">
      <c r="H63" t="s">
        <v>219</v>
      </c>
      <c r="I63" t="s">
        <v>20</v>
      </c>
      <c r="P63">
        <v>2035</v>
      </c>
      <c r="Q63" t="s">
        <v>214</v>
      </c>
      <c r="R63">
        <v>0.28826666666666667</v>
      </c>
      <c r="S63" t="s">
        <v>215</v>
      </c>
    </row>
    <row r="64" spans="3:19" x14ac:dyDescent="0.45">
      <c r="H64" t="s">
        <v>219</v>
      </c>
      <c r="I64" t="s">
        <v>21</v>
      </c>
      <c r="P64">
        <v>2035</v>
      </c>
      <c r="Q64" t="s">
        <v>216</v>
      </c>
      <c r="R64">
        <v>0.34420000000000001</v>
      </c>
      <c r="S64" t="s">
        <v>215</v>
      </c>
    </row>
    <row r="65" spans="8:19" x14ac:dyDescent="0.45">
      <c r="H65" t="s">
        <v>219</v>
      </c>
      <c r="I65" t="s">
        <v>22</v>
      </c>
      <c r="P65">
        <v>2035</v>
      </c>
      <c r="Q65" t="s">
        <v>217</v>
      </c>
      <c r="R65">
        <v>0.26356666666666667</v>
      </c>
      <c r="S65" t="s">
        <v>215</v>
      </c>
    </row>
    <row r="66" spans="8:19" x14ac:dyDescent="0.45">
      <c r="H66" t="s">
        <v>219</v>
      </c>
      <c r="I66" t="s">
        <v>23</v>
      </c>
      <c r="P66">
        <v>2035</v>
      </c>
      <c r="Q66" t="s">
        <v>218</v>
      </c>
      <c r="R66">
        <v>0.18273333333333333</v>
      </c>
      <c r="S66" t="s">
        <v>215</v>
      </c>
    </row>
    <row r="67" spans="8:19" x14ac:dyDescent="0.45">
      <c r="H67" t="s">
        <v>219</v>
      </c>
      <c r="I67" t="s">
        <v>24</v>
      </c>
      <c r="P67">
        <v>2036</v>
      </c>
      <c r="Q67" t="s">
        <v>214</v>
      </c>
      <c r="R67">
        <v>0.32783333333333337</v>
      </c>
      <c r="S67" t="s">
        <v>215</v>
      </c>
    </row>
    <row r="68" spans="8:19" x14ac:dyDescent="0.45">
      <c r="H68" t="s">
        <v>219</v>
      </c>
      <c r="I68" t="s">
        <v>25</v>
      </c>
      <c r="P68">
        <v>2036</v>
      </c>
      <c r="Q68" t="s">
        <v>216</v>
      </c>
      <c r="R68">
        <v>0.33213333333333334</v>
      </c>
      <c r="S68" t="s">
        <v>215</v>
      </c>
    </row>
    <row r="69" spans="8:19" x14ac:dyDescent="0.45">
      <c r="H69" t="s">
        <v>219</v>
      </c>
      <c r="I69" t="s">
        <v>26</v>
      </c>
      <c r="P69">
        <v>2036</v>
      </c>
      <c r="Q69" t="s">
        <v>217</v>
      </c>
      <c r="R69">
        <v>0.27400000000000002</v>
      </c>
      <c r="S69" t="s">
        <v>215</v>
      </c>
    </row>
    <row r="70" spans="8:19" x14ac:dyDescent="0.45">
      <c r="H70" t="s">
        <v>219</v>
      </c>
      <c r="I70" t="s">
        <v>27</v>
      </c>
      <c r="P70">
        <v>2036</v>
      </c>
      <c r="Q70" t="s">
        <v>218</v>
      </c>
      <c r="R70">
        <v>0.20603333333333332</v>
      </c>
      <c r="S70" t="s">
        <v>215</v>
      </c>
    </row>
    <row r="71" spans="8:19" x14ac:dyDescent="0.45">
      <c r="H71" t="s">
        <v>219</v>
      </c>
      <c r="I71" t="s">
        <v>28</v>
      </c>
      <c r="P71">
        <v>2037</v>
      </c>
      <c r="Q71" t="s">
        <v>214</v>
      </c>
      <c r="R71">
        <v>0.35856666666666664</v>
      </c>
      <c r="S71" t="s">
        <v>215</v>
      </c>
    </row>
    <row r="72" spans="8:19" x14ac:dyDescent="0.45">
      <c r="H72" t="s">
        <v>219</v>
      </c>
      <c r="I72" t="s">
        <v>29</v>
      </c>
      <c r="P72">
        <v>2037</v>
      </c>
      <c r="Q72" t="s">
        <v>216</v>
      </c>
      <c r="R72">
        <v>0.38126666666666664</v>
      </c>
      <c r="S72" t="s">
        <v>215</v>
      </c>
    </row>
    <row r="73" spans="8:19" x14ac:dyDescent="0.45">
      <c r="H73" t="s">
        <v>219</v>
      </c>
      <c r="I73" t="s">
        <v>30</v>
      </c>
      <c r="P73">
        <v>2037</v>
      </c>
      <c r="Q73" t="s">
        <v>217</v>
      </c>
      <c r="R73">
        <v>0.29020000000000001</v>
      </c>
      <c r="S73" t="s">
        <v>215</v>
      </c>
    </row>
    <row r="74" spans="8:19" x14ac:dyDescent="0.45">
      <c r="H74" t="s">
        <v>219</v>
      </c>
      <c r="I74" t="s">
        <v>31</v>
      </c>
      <c r="P74">
        <v>2037</v>
      </c>
      <c r="Q74" t="s">
        <v>218</v>
      </c>
      <c r="R74">
        <v>0.22293333333333334</v>
      </c>
      <c r="S74" t="s">
        <v>215</v>
      </c>
    </row>
    <row r="75" spans="8:19" x14ac:dyDescent="0.45">
      <c r="H75" t="s">
        <v>219</v>
      </c>
      <c r="I75" t="s">
        <v>32</v>
      </c>
      <c r="P75">
        <v>2038</v>
      </c>
      <c r="Q75" t="s">
        <v>214</v>
      </c>
      <c r="R75">
        <v>0.29706666666666665</v>
      </c>
      <c r="S75" t="s">
        <v>215</v>
      </c>
    </row>
    <row r="76" spans="8:19" x14ac:dyDescent="0.45">
      <c r="H76" t="s">
        <v>219</v>
      </c>
      <c r="I76" t="s">
        <v>33</v>
      </c>
      <c r="P76">
        <v>2038</v>
      </c>
      <c r="Q76" t="s">
        <v>216</v>
      </c>
      <c r="R76">
        <v>0.32346666666666668</v>
      </c>
      <c r="S76" t="s">
        <v>215</v>
      </c>
    </row>
    <row r="77" spans="8:19" x14ac:dyDescent="0.45">
      <c r="H77" t="s">
        <v>219</v>
      </c>
      <c r="I77" t="s">
        <v>34</v>
      </c>
      <c r="P77">
        <v>2038</v>
      </c>
      <c r="Q77" t="s">
        <v>217</v>
      </c>
      <c r="R77">
        <v>0.26406666666666667</v>
      </c>
      <c r="S77" t="s">
        <v>215</v>
      </c>
    </row>
    <row r="78" spans="8:19" x14ac:dyDescent="0.45">
      <c r="H78" t="s">
        <v>219</v>
      </c>
      <c r="I78" t="s">
        <v>35</v>
      </c>
      <c r="P78">
        <v>2038</v>
      </c>
      <c r="Q78" t="s">
        <v>218</v>
      </c>
      <c r="R78">
        <v>0.17863333333333334</v>
      </c>
      <c r="S78" t="s">
        <v>215</v>
      </c>
    </row>
    <row r="79" spans="8:19" x14ac:dyDescent="0.45">
      <c r="H79" t="s">
        <v>219</v>
      </c>
      <c r="I79" t="s">
        <v>36</v>
      </c>
      <c r="P79">
        <v>2039</v>
      </c>
      <c r="Q79" t="s">
        <v>214</v>
      </c>
      <c r="R79">
        <v>0.34643333333333332</v>
      </c>
      <c r="S79" t="s">
        <v>215</v>
      </c>
    </row>
    <row r="80" spans="8:19" x14ac:dyDescent="0.45">
      <c r="H80" t="s">
        <v>219</v>
      </c>
      <c r="I80" t="s">
        <v>37</v>
      </c>
      <c r="P80">
        <v>2039</v>
      </c>
      <c r="Q80" t="s">
        <v>216</v>
      </c>
      <c r="R80">
        <v>0.35590000000000005</v>
      </c>
      <c r="S80" t="s">
        <v>215</v>
      </c>
    </row>
    <row r="81" spans="8:19" x14ac:dyDescent="0.45">
      <c r="H81" t="s">
        <v>219</v>
      </c>
      <c r="I81" t="s">
        <v>38</v>
      </c>
      <c r="P81">
        <v>2039</v>
      </c>
      <c r="Q81" t="s">
        <v>217</v>
      </c>
      <c r="R81">
        <v>0.3062333333333333</v>
      </c>
      <c r="S81" t="s">
        <v>215</v>
      </c>
    </row>
    <row r="82" spans="8:19" x14ac:dyDescent="0.45">
      <c r="H82" t="s">
        <v>219</v>
      </c>
      <c r="I82" t="s">
        <v>39</v>
      </c>
      <c r="P82">
        <v>2039</v>
      </c>
      <c r="Q82" t="s">
        <v>218</v>
      </c>
      <c r="R82">
        <v>0.23700000000000002</v>
      </c>
      <c r="S82" t="s">
        <v>215</v>
      </c>
    </row>
    <row r="83" spans="8:19" x14ac:dyDescent="0.45">
      <c r="H83" t="s">
        <v>219</v>
      </c>
      <c r="I83" t="s">
        <v>40</v>
      </c>
      <c r="P83">
        <v>2040</v>
      </c>
      <c r="Q83" t="s">
        <v>214</v>
      </c>
      <c r="R83">
        <v>0.31719999999999998</v>
      </c>
      <c r="S83" t="s">
        <v>215</v>
      </c>
    </row>
    <row r="84" spans="8:19" x14ac:dyDescent="0.45">
      <c r="H84" t="s">
        <v>219</v>
      </c>
      <c r="I84" t="s">
        <v>41</v>
      </c>
      <c r="P84">
        <v>2040</v>
      </c>
      <c r="Q84" t="s">
        <v>216</v>
      </c>
      <c r="R84">
        <v>0.33019999999999999</v>
      </c>
      <c r="S84" t="s">
        <v>215</v>
      </c>
    </row>
    <row r="85" spans="8:19" x14ac:dyDescent="0.45">
      <c r="H85" t="s">
        <v>219</v>
      </c>
      <c r="I85" t="s">
        <v>42</v>
      </c>
      <c r="P85">
        <v>2040</v>
      </c>
      <c r="Q85" t="s">
        <v>217</v>
      </c>
      <c r="R85">
        <v>0.25463333333333332</v>
      </c>
      <c r="S85" t="s">
        <v>215</v>
      </c>
    </row>
    <row r="86" spans="8:19" x14ac:dyDescent="0.45">
      <c r="H86" t="s">
        <v>219</v>
      </c>
      <c r="I86" t="s">
        <v>43</v>
      </c>
      <c r="P86">
        <v>2040</v>
      </c>
      <c r="Q86" t="s">
        <v>218</v>
      </c>
      <c r="R86">
        <v>0.1825</v>
      </c>
      <c r="S86" t="s">
        <v>215</v>
      </c>
    </row>
    <row r="87" spans="8:19" x14ac:dyDescent="0.45">
      <c r="H87" t="s">
        <v>219</v>
      </c>
      <c r="I87" t="s">
        <v>44</v>
      </c>
      <c r="P87">
        <v>2041</v>
      </c>
      <c r="Q87" t="s">
        <v>214</v>
      </c>
      <c r="R87">
        <v>0.31780000000000003</v>
      </c>
      <c r="S87" t="s">
        <v>215</v>
      </c>
    </row>
    <row r="88" spans="8:19" x14ac:dyDescent="0.45">
      <c r="H88" t="s">
        <v>219</v>
      </c>
      <c r="I88" t="s">
        <v>45</v>
      </c>
      <c r="P88">
        <v>2041</v>
      </c>
      <c r="Q88" t="s">
        <v>216</v>
      </c>
      <c r="R88">
        <v>0.30666666666666664</v>
      </c>
      <c r="S88" t="s">
        <v>215</v>
      </c>
    </row>
    <row r="89" spans="8:19" x14ac:dyDescent="0.45">
      <c r="H89" t="s">
        <v>219</v>
      </c>
      <c r="I89" t="s">
        <v>46</v>
      </c>
      <c r="P89">
        <v>2041</v>
      </c>
      <c r="Q89" t="s">
        <v>217</v>
      </c>
      <c r="R89">
        <v>0.30033333333333334</v>
      </c>
      <c r="S89" t="s">
        <v>215</v>
      </c>
    </row>
    <row r="90" spans="8:19" x14ac:dyDescent="0.45">
      <c r="H90" t="s">
        <v>219</v>
      </c>
      <c r="I90" t="s">
        <v>47</v>
      </c>
      <c r="P90">
        <v>2041</v>
      </c>
      <c r="Q90" t="s">
        <v>218</v>
      </c>
      <c r="R90">
        <v>0.21653333333333333</v>
      </c>
      <c r="S90" t="s">
        <v>215</v>
      </c>
    </row>
    <row r="91" spans="8:19" x14ac:dyDescent="0.45">
      <c r="P91">
        <v>2042</v>
      </c>
      <c r="Q91" t="s">
        <v>214</v>
      </c>
      <c r="R91">
        <v>0.27576666666666666</v>
      </c>
      <c r="S91" t="s">
        <v>215</v>
      </c>
    </row>
    <row r="92" spans="8:19" x14ac:dyDescent="0.45">
      <c r="P92">
        <v>2042</v>
      </c>
      <c r="Q92" t="s">
        <v>216</v>
      </c>
      <c r="R92">
        <v>0.31213333333333332</v>
      </c>
      <c r="S92" t="s">
        <v>215</v>
      </c>
    </row>
    <row r="93" spans="8:19" x14ac:dyDescent="0.45">
      <c r="P93">
        <v>2042</v>
      </c>
      <c r="Q93" t="s">
        <v>217</v>
      </c>
      <c r="R93">
        <v>0.24060000000000001</v>
      </c>
      <c r="S93" t="s">
        <v>215</v>
      </c>
    </row>
    <row r="94" spans="8:19" x14ac:dyDescent="0.45">
      <c r="P94">
        <v>2042</v>
      </c>
      <c r="Q94" t="s">
        <v>218</v>
      </c>
      <c r="R94">
        <v>0.23813333333333334</v>
      </c>
      <c r="S94" t="s">
        <v>215</v>
      </c>
    </row>
    <row r="95" spans="8:19" x14ac:dyDescent="0.45">
      <c r="P95">
        <v>2043</v>
      </c>
      <c r="Q95" t="s">
        <v>214</v>
      </c>
      <c r="R95">
        <v>0.35223333333333334</v>
      </c>
      <c r="S95" t="s">
        <v>215</v>
      </c>
    </row>
    <row r="96" spans="8:19" x14ac:dyDescent="0.45">
      <c r="P96">
        <v>2043</v>
      </c>
      <c r="Q96" t="s">
        <v>216</v>
      </c>
      <c r="R96">
        <v>0.37496666666666667</v>
      </c>
      <c r="S96" t="s">
        <v>215</v>
      </c>
    </row>
    <row r="97" spans="16:19" x14ac:dyDescent="0.45">
      <c r="P97">
        <v>2043</v>
      </c>
      <c r="Q97" t="s">
        <v>217</v>
      </c>
      <c r="R97">
        <v>0.28616666666666668</v>
      </c>
      <c r="S97" t="s">
        <v>215</v>
      </c>
    </row>
    <row r="98" spans="16:19" x14ac:dyDescent="0.45">
      <c r="P98">
        <v>2043</v>
      </c>
      <c r="Q98" t="s">
        <v>218</v>
      </c>
      <c r="R98">
        <v>0.25463333333333332</v>
      </c>
      <c r="S98" t="s">
        <v>215</v>
      </c>
    </row>
    <row r="99" spans="16:19" x14ac:dyDescent="0.45">
      <c r="P99">
        <v>2044</v>
      </c>
      <c r="Q99" t="s">
        <v>214</v>
      </c>
      <c r="R99">
        <v>0.40529999999999999</v>
      </c>
      <c r="S99" t="s">
        <v>215</v>
      </c>
    </row>
    <row r="100" spans="16:19" x14ac:dyDescent="0.45">
      <c r="P100">
        <v>2044</v>
      </c>
      <c r="Q100" t="s">
        <v>216</v>
      </c>
      <c r="R100">
        <v>0.37543333333333334</v>
      </c>
      <c r="S100" t="s">
        <v>215</v>
      </c>
    </row>
    <row r="101" spans="16:19" x14ac:dyDescent="0.45">
      <c r="P101">
        <v>2044</v>
      </c>
      <c r="Q101" t="s">
        <v>217</v>
      </c>
      <c r="R101">
        <v>0.29993333333333333</v>
      </c>
      <c r="S101" t="s">
        <v>215</v>
      </c>
    </row>
    <row r="102" spans="16:19" x14ac:dyDescent="0.45">
      <c r="P102">
        <v>2044</v>
      </c>
      <c r="Q102" t="s">
        <v>218</v>
      </c>
      <c r="R102">
        <v>0.27083333333333331</v>
      </c>
      <c r="S102" t="s">
        <v>215</v>
      </c>
    </row>
    <row r="103" spans="16:19" x14ac:dyDescent="0.45">
      <c r="P103">
        <v>2045</v>
      </c>
      <c r="Q103" t="s">
        <v>214</v>
      </c>
      <c r="R103">
        <v>0.35923333333333335</v>
      </c>
      <c r="S103" t="s">
        <v>215</v>
      </c>
    </row>
    <row r="104" spans="16:19" x14ac:dyDescent="0.45">
      <c r="P104">
        <v>2045</v>
      </c>
      <c r="Q104" t="s">
        <v>216</v>
      </c>
      <c r="R104">
        <v>0.37640000000000001</v>
      </c>
      <c r="S104" t="s">
        <v>215</v>
      </c>
    </row>
    <row r="105" spans="16:19" x14ac:dyDescent="0.45">
      <c r="P105">
        <v>2045</v>
      </c>
      <c r="Q105" t="s">
        <v>217</v>
      </c>
      <c r="R105">
        <v>0.32596666666666668</v>
      </c>
      <c r="S105" t="s">
        <v>215</v>
      </c>
    </row>
    <row r="106" spans="16:19" x14ac:dyDescent="0.45">
      <c r="P106">
        <v>2045</v>
      </c>
      <c r="Q106" t="s">
        <v>218</v>
      </c>
      <c r="R106">
        <v>0.21630000000000002</v>
      </c>
      <c r="S106" t="s">
        <v>215</v>
      </c>
    </row>
    <row r="107" spans="16:19" x14ac:dyDescent="0.45">
      <c r="P107">
        <v>2046</v>
      </c>
      <c r="Q107" t="s">
        <v>214</v>
      </c>
      <c r="R107">
        <v>0.35283333333333333</v>
      </c>
      <c r="S107" t="s">
        <v>215</v>
      </c>
    </row>
    <row r="108" spans="16:19" x14ac:dyDescent="0.45">
      <c r="P108">
        <v>2046</v>
      </c>
      <c r="Q108" t="s">
        <v>216</v>
      </c>
      <c r="R108">
        <v>0.34016666666666667</v>
      </c>
      <c r="S108" t="s">
        <v>215</v>
      </c>
    </row>
    <row r="109" spans="16:19" x14ac:dyDescent="0.45">
      <c r="P109">
        <v>2046</v>
      </c>
      <c r="Q109" t="s">
        <v>217</v>
      </c>
      <c r="R109">
        <v>0.31669999999999998</v>
      </c>
      <c r="S109" t="s">
        <v>215</v>
      </c>
    </row>
    <row r="110" spans="16:19" x14ac:dyDescent="0.45">
      <c r="P110">
        <v>2046</v>
      </c>
      <c r="Q110" t="s">
        <v>218</v>
      </c>
      <c r="R110">
        <v>0.19386666666666666</v>
      </c>
      <c r="S110" t="s">
        <v>215</v>
      </c>
    </row>
    <row r="111" spans="16:19" x14ac:dyDescent="0.45">
      <c r="P111">
        <v>2047</v>
      </c>
      <c r="Q111" t="s">
        <v>214</v>
      </c>
      <c r="R111">
        <v>0.33966666666666662</v>
      </c>
      <c r="S111" t="s">
        <v>215</v>
      </c>
    </row>
    <row r="112" spans="16:19" x14ac:dyDescent="0.45">
      <c r="P112">
        <v>2047</v>
      </c>
      <c r="Q112" t="s">
        <v>216</v>
      </c>
      <c r="R112">
        <v>0.3701666666666667</v>
      </c>
      <c r="S112" t="s">
        <v>215</v>
      </c>
    </row>
    <row r="113" spans="16:19" x14ac:dyDescent="0.45">
      <c r="P113">
        <v>2047</v>
      </c>
      <c r="Q113" t="s">
        <v>217</v>
      </c>
      <c r="R113">
        <v>0.27589999999999998</v>
      </c>
      <c r="S113" t="s">
        <v>215</v>
      </c>
    </row>
    <row r="114" spans="16:19" x14ac:dyDescent="0.45">
      <c r="P114">
        <v>2047</v>
      </c>
      <c r="Q114" t="s">
        <v>218</v>
      </c>
      <c r="R114">
        <v>0.18079999999999999</v>
      </c>
      <c r="S114" t="s">
        <v>215</v>
      </c>
    </row>
    <row r="115" spans="16:19" x14ac:dyDescent="0.45">
      <c r="P115">
        <v>2048</v>
      </c>
      <c r="Q115" t="s">
        <v>214</v>
      </c>
      <c r="R115">
        <v>0.36149999999999999</v>
      </c>
      <c r="S115" t="s">
        <v>215</v>
      </c>
    </row>
    <row r="116" spans="16:19" x14ac:dyDescent="0.45">
      <c r="P116">
        <v>2048</v>
      </c>
      <c r="Q116" t="s">
        <v>216</v>
      </c>
      <c r="R116">
        <v>0.28676666666666667</v>
      </c>
      <c r="S116" t="s">
        <v>215</v>
      </c>
    </row>
    <row r="117" spans="16:19" x14ac:dyDescent="0.45">
      <c r="P117">
        <v>2048</v>
      </c>
      <c r="Q117" t="s">
        <v>217</v>
      </c>
      <c r="R117">
        <v>0.27316666666666667</v>
      </c>
      <c r="S117" t="s">
        <v>215</v>
      </c>
    </row>
    <row r="118" spans="16:19" x14ac:dyDescent="0.45">
      <c r="P118">
        <v>2048</v>
      </c>
      <c r="Q118" t="s">
        <v>218</v>
      </c>
      <c r="R118">
        <v>0.2099</v>
      </c>
      <c r="S118" t="s">
        <v>215</v>
      </c>
    </row>
    <row r="119" spans="16:19" x14ac:dyDescent="0.45">
      <c r="P119">
        <v>2049</v>
      </c>
      <c r="Q119" t="s">
        <v>214</v>
      </c>
      <c r="R119">
        <v>0.33296666666666663</v>
      </c>
      <c r="S119" t="s">
        <v>215</v>
      </c>
    </row>
    <row r="120" spans="16:19" x14ac:dyDescent="0.45">
      <c r="P120">
        <v>2049</v>
      </c>
      <c r="Q120" t="s">
        <v>216</v>
      </c>
      <c r="R120">
        <v>0.27546666666666669</v>
      </c>
      <c r="S120" t="s">
        <v>215</v>
      </c>
    </row>
    <row r="121" spans="16:19" x14ac:dyDescent="0.45">
      <c r="P121">
        <v>2049</v>
      </c>
      <c r="Q121" t="s">
        <v>217</v>
      </c>
      <c r="R121">
        <v>0.25456666666666666</v>
      </c>
      <c r="S121" t="s">
        <v>215</v>
      </c>
    </row>
    <row r="122" spans="16:19" x14ac:dyDescent="0.45">
      <c r="P122">
        <v>2049</v>
      </c>
      <c r="Q122" t="s">
        <v>218</v>
      </c>
      <c r="R122">
        <v>0.20530000000000001</v>
      </c>
      <c r="S122" t="s">
        <v>215</v>
      </c>
    </row>
    <row r="123" spans="16:19" x14ac:dyDescent="0.45">
      <c r="P123">
        <v>2050</v>
      </c>
      <c r="Q123" t="s">
        <v>214</v>
      </c>
      <c r="R123">
        <v>0.32200000000000001</v>
      </c>
      <c r="S123" t="s">
        <v>215</v>
      </c>
    </row>
    <row r="124" spans="16:19" x14ac:dyDescent="0.45">
      <c r="P124">
        <v>2050</v>
      </c>
      <c r="Q124" t="s">
        <v>216</v>
      </c>
      <c r="R124">
        <v>0.33969999999999995</v>
      </c>
      <c r="S124" t="s">
        <v>215</v>
      </c>
    </row>
    <row r="125" spans="16:19" x14ac:dyDescent="0.45">
      <c r="P125">
        <v>2050</v>
      </c>
      <c r="Q125" t="s">
        <v>217</v>
      </c>
      <c r="R125">
        <v>0.2649333333333333</v>
      </c>
      <c r="S125" t="s">
        <v>215</v>
      </c>
    </row>
    <row r="126" spans="16:19" x14ac:dyDescent="0.45">
      <c r="P126">
        <v>2050</v>
      </c>
      <c r="Q126" t="s">
        <v>218</v>
      </c>
      <c r="R126">
        <v>0.2044</v>
      </c>
      <c r="S126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427D-BB85-48EC-8F3B-639D366D98F9}">
  <dimension ref="B9:O1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region=GBR")</f>
        <v>~TFM_DINS-AT: region=GBR</v>
      </c>
      <c r="G9" t="str">
        <f>IF(A11="x","DeActivated","~TFM_DINS-AT: region=GBR")</f>
        <v>~TFM_DINS-AT: region=GBR</v>
      </c>
      <c r="L9" t="str">
        <f>IF(A11="x","DeActivated","~TFM_DINS-AT: region=GBR")</f>
        <v>~TFM_DINS-AT: region=GBR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220</v>
      </c>
      <c r="C11" t="s">
        <v>5</v>
      </c>
      <c r="D11">
        <v>0</v>
      </c>
      <c r="E11" t="s">
        <v>6</v>
      </c>
      <c r="G11" t="s">
        <v>221</v>
      </c>
      <c r="H11" t="s">
        <v>5</v>
      </c>
      <c r="I11">
        <v>6.2604032901921458E-2</v>
      </c>
      <c r="J11" t="s">
        <v>6</v>
      </c>
      <c r="L11" t="s">
        <v>222</v>
      </c>
      <c r="M11" t="s">
        <v>5</v>
      </c>
      <c r="N11">
        <v>5.8497144653741791E-2</v>
      </c>
      <c r="O11" t="s">
        <v>6</v>
      </c>
    </row>
    <row r="12" spans="2:15" x14ac:dyDescent="0.45">
      <c r="B12" t="s">
        <v>220</v>
      </c>
      <c r="C12" t="s">
        <v>9</v>
      </c>
      <c r="D12">
        <v>0</v>
      </c>
      <c r="E12" t="s">
        <v>6</v>
      </c>
      <c r="G12" t="s">
        <v>221</v>
      </c>
      <c r="H12" t="s">
        <v>9</v>
      </c>
      <c r="I12">
        <v>2.4525278856960122E-2</v>
      </c>
      <c r="J12" t="s">
        <v>6</v>
      </c>
      <c r="L12" t="s">
        <v>222</v>
      </c>
      <c r="M12" t="s">
        <v>9</v>
      </c>
      <c r="N12">
        <v>2.3603848164909836E-2</v>
      </c>
      <c r="O12" t="s">
        <v>6</v>
      </c>
    </row>
    <row r="13" spans="2:15" x14ac:dyDescent="0.45">
      <c r="B13" t="s">
        <v>220</v>
      </c>
      <c r="C13" t="s">
        <v>10</v>
      </c>
      <c r="D13">
        <v>1.9014844620307846E-4</v>
      </c>
      <c r="E13" t="s">
        <v>6</v>
      </c>
      <c r="G13" t="s">
        <v>221</v>
      </c>
      <c r="H13" t="s">
        <v>10</v>
      </c>
      <c r="I13">
        <v>2.4688592858586947E-2</v>
      </c>
      <c r="J13" t="s">
        <v>6</v>
      </c>
      <c r="L13" t="s">
        <v>222</v>
      </c>
      <c r="M13" t="s">
        <v>10</v>
      </c>
      <c r="N13">
        <v>2.3890322847753623E-2</v>
      </c>
      <c r="O13" t="s">
        <v>6</v>
      </c>
    </row>
    <row r="14" spans="2:15" x14ac:dyDescent="0.45">
      <c r="B14" t="s">
        <v>220</v>
      </c>
      <c r="C14" t="s">
        <v>11</v>
      </c>
      <c r="D14">
        <v>1.4062573312104067E-2</v>
      </c>
      <c r="E14" t="s">
        <v>6</v>
      </c>
      <c r="G14" t="s">
        <v>221</v>
      </c>
      <c r="H14" t="s">
        <v>11</v>
      </c>
      <c r="I14">
        <v>2.4165252381526094E-2</v>
      </c>
      <c r="J14" t="s">
        <v>6</v>
      </c>
      <c r="L14" t="s">
        <v>222</v>
      </c>
      <c r="M14" t="s">
        <v>11</v>
      </c>
      <c r="N14">
        <v>2.3515238168320678E-2</v>
      </c>
      <c r="O14" t="s">
        <v>6</v>
      </c>
    </row>
    <row r="15" spans="2:15" x14ac:dyDescent="0.45">
      <c r="B15" t="s">
        <v>220</v>
      </c>
      <c r="C15" t="s">
        <v>12</v>
      </c>
      <c r="D15">
        <v>3.7697299516911142E-2</v>
      </c>
      <c r="E15" t="s">
        <v>6</v>
      </c>
      <c r="G15" t="s">
        <v>221</v>
      </c>
      <c r="H15" t="s">
        <v>12</v>
      </c>
      <c r="I15">
        <v>2.3779764329432743E-2</v>
      </c>
      <c r="J15" t="s">
        <v>6</v>
      </c>
      <c r="L15" t="s">
        <v>222</v>
      </c>
      <c r="M15" t="s">
        <v>12</v>
      </c>
      <c r="N15">
        <v>2.3209371476285875E-2</v>
      </c>
      <c r="O15" t="s">
        <v>6</v>
      </c>
    </row>
    <row r="16" spans="2:15" x14ac:dyDescent="0.45">
      <c r="B16" t="s">
        <v>220</v>
      </c>
      <c r="C16" t="s">
        <v>13</v>
      </c>
      <c r="D16">
        <v>4.0725575813858515E-2</v>
      </c>
      <c r="E16" t="s">
        <v>6</v>
      </c>
      <c r="G16" t="s">
        <v>221</v>
      </c>
      <c r="H16" t="s">
        <v>13</v>
      </c>
      <c r="I16">
        <v>2.3866135820177575E-2</v>
      </c>
      <c r="J16" t="s">
        <v>6</v>
      </c>
      <c r="L16" t="s">
        <v>222</v>
      </c>
      <c r="M16" t="s">
        <v>13</v>
      </c>
      <c r="N16">
        <v>2.304547859369566E-2</v>
      </c>
      <c r="O16" t="s">
        <v>6</v>
      </c>
    </row>
    <row r="17" spans="2:15" x14ac:dyDescent="0.45">
      <c r="B17" t="s">
        <v>220</v>
      </c>
      <c r="C17" t="s">
        <v>14</v>
      </c>
      <c r="D17">
        <v>2.3353714530575543E-2</v>
      </c>
      <c r="E17" t="s">
        <v>6</v>
      </c>
      <c r="G17" t="s">
        <v>221</v>
      </c>
      <c r="H17" t="s">
        <v>14</v>
      </c>
      <c r="I17">
        <v>2.3821445079289096E-2</v>
      </c>
      <c r="J17" t="s">
        <v>6</v>
      </c>
      <c r="L17" t="s">
        <v>222</v>
      </c>
      <c r="M17" t="s">
        <v>14</v>
      </c>
      <c r="N17">
        <v>2.3030967512586233E-2</v>
      </c>
      <c r="O17" t="s">
        <v>6</v>
      </c>
    </row>
    <row r="18" spans="2:15" x14ac:dyDescent="0.45">
      <c r="B18" t="s">
        <v>220</v>
      </c>
      <c r="C18" t="s">
        <v>15</v>
      </c>
      <c r="D18">
        <v>2.9355558598085914E-3</v>
      </c>
      <c r="E18" t="s">
        <v>6</v>
      </c>
      <c r="G18" t="s">
        <v>221</v>
      </c>
      <c r="H18" t="s">
        <v>15</v>
      </c>
      <c r="I18">
        <v>2.4421242888298458E-2</v>
      </c>
      <c r="J18" t="s">
        <v>6</v>
      </c>
      <c r="L18" t="s">
        <v>222</v>
      </c>
      <c r="M18" t="s">
        <v>15</v>
      </c>
      <c r="N18">
        <v>2.328371606035776E-2</v>
      </c>
      <c r="O18" t="s">
        <v>6</v>
      </c>
    </row>
    <row r="19" spans="2:15" x14ac:dyDescent="0.45">
      <c r="B19" t="s">
        <v>220</v>
      </c>
      <c r="C19" t="s">
        <v>16</v>
      </c>
      <c r="D19">
        <v>0</v>
      </c>
      <c r="E19" t="s">
        <v>6</v>
      </c>
      <c r="G19" t="s">
        <v>221</v>
      </c>
      <c r="H19" t="s">
        <v>16</v>
      </c>
      <c r="I19">
        <v>2.5282672348294826E-2</v>
      </c>
      <c r="J19" t="s">
        <v>6</v>
      </c>
      <c r="L19" t="s">
        <v>222</v>
      </c>
      <c r="M19" t="s">
        <v>16</v>
      </c>
      <c r="N19">
        <v>2.33776405868775E-2</v>
      </c>
      <c r="O19" t="s">
        <v>6</v>
      </c>
    </row>
    <row r="20" spans="2:15" x14ac:dyDescent="0.45">
      <c r="B20" t="s">
        <v>220</v>
      </c>
      <c r="C20" t="s">
        <v>17</v>
      </c>
      <c r="D20">
        <v>0</v>
      </c>
      <c r="E20" t="s">
        <v>6</v>
      </c>
      <c r="G20" t="s">
        <v>221</v>
      </c>
      <c r="H20" t="s">
        <v>17</v>
      </c>
      <c r="I20">
        <v>3.7939983225468113E-2</v>
      </c>
      <c r="J20" t="s">
        <v>6</v>
      </c>
      <c r="L20" t="s">
        <v>222</v>
      </c>
      <c r="M20" t="s">
        <v>17</v>
      </c>
      <c r="N20">
        <v>3.4690161023793964E-2</v>
      </c>
      <c r="O20" t="s">
        <v>6</v>
      </c>
    </row>
    <row r="21" spans="2:15" x14ac:dyDescent="0.45">
      <c r="B21" t="s">
        <v>220</v>
      </c>
      <c r="C21" t="s">
        <v>18</v>
      </c>
      <c r="D21">
        <v>0</v>
      </c>
      <c r="E21" t="s">
        <v>6</v>
      </c>
      <c r="G21" t="s">
        <v>221</v>
      </c>
      <c r="H21" t="s">
        <v>18</v>
      </c>
      <c r="I21">
        <v>5.5565697222443901E-2</v>
      </c>
      <c r="J21" t="s">
        <v>6</v>
      </c>
      <c r="L21" t="s">
        <v>222</v>
      </c>
      <c r="M21" t="s">
        <v>18</v>
      </c>
      <c r="N21">
        <v>5.6559663755855027E-2</v>
      </c>
      <c r="O21" t="s">
        <v>6</v>
      </c>
    </row>
    <row r="22" spans="2:15" x14ac:dyDescent="0.45">
      <c r="B22" t="s">
        <v>220</v>
      </c>
      <c r="C22" t="s">
        <v>19</v>
      </c>
      <c r="D22">
        <v>7.3069543998174327E-4</v>
      </c>
      <c r="E22" t="s">
        <v>6</v>
      </c>
      <c r="G22" t="s">
        <v>221</v>
      </c>
      <c r="H22" t="s">
        <v>19</v>
      </c>
      <c r="I22">
        <v>2.2341462439553473E-2</v>
      </c>
      <c r="J22" t="s">
        <v>6</v>
      </c>
      <c r="L22" t="s">
        <v>222</v>
      </c>
      <c r="M22" t="s">
        <v>19</v>
      </c>
      <c r="N22">
        <v>2.2145709224798835E-2</v>
      </c>
      <c r="O22" t="s">
        <v>6</v>
      </c>
    </row>
    <row r="23" spans="2:15" x14ac:dyDescent="0.45">
      <c r="B23" t="s">
        <v>220</v>
      </c>
      <c r="C23" t="s">
        <v>20</v>
      </c>
      <c r="D23">
        <v>1.7087490776494383E-2</v>
      </c>
      <c r="E23" t="s">
        <v>6</v>
      </c>
      <c r="G23" t="s">
        <v>221</v>
      </c>
      <c r="H23" t="s">
        <v>20</v>
      </c>
      <c r="I23">
        <v>2.3039854117524461E-2</v>
      </c>
      <c r="J23" t="s">
        <v>6</v>
      </c>
      <c r="L23" t="s">
        <v>222</v>
      </c>
      <c r="M23" t="s">
        <v>20</v>
      </c>
      <c r="N23">
        <v>2.1775246688502857E-2</v>
      </c>
      <c r="O23" t="s">
        <v>6</v>
      </c>
    </row>
    <row r="24" spans="2:15" x14ac:dyDescent="0.45">
      <c r="B24" t="s">
        <v>220</v>
      </c>
      <c r="C24" t="s">
        <v>21</v>
      </c>
      <c r="D24">
        <v>5.5965549334364095E-2</v>
      </c>
      <c r="E24" t="s">
        <v>6</v>
      </c>
      <c r="G24" t="s">
        <v>221</v>
      </c>
      <c r="H24" t="s">
        <v>21</v>
      </c>
      <c r="I24">
        <v>2.2977353548355957E-2</v>
      </c>
      <c r="J24" t="s">
        <v>6</v>
      </c>
      <c r="L24" t="s">
        <v>222</v>
      </c>
      <c r="M24" t="s">
        <v>21</v>
      </c>
      <c r="N24">
        <v>2.1093087726581548E-2</v>
      </c>
      <c r="O24" t="s">
        <v>6</v>
      </c>
    </row>
    <row r="25" spans="2:15" x14ac:dyDescent="0.45">
      <c r="B25" t="s">
        <v>220</v>
      </c>
      <c r="C25" t="s">
        <v>22</v>
      </c>
      <c r="D25">
        <v>8.020132366117326E-2</v>
      </c>
      <c r="E25" t="s">
        <v>6</v>
      </c>
      <c r="G25" t="s">
        <v>221</v>
      </c>
      <c r="H25" t="s">
        <v>22</v>
      </c>
      <c r="I25">
        <v>2.2584737502481848E-2</v>
      </c>
      <c r="J25" t="s">
        <v>6</v>
      </c>
      <c r="L25" t="s">
        <v>222</v>
      </c>
      <c r="M25" t="s">
        <v>22</v>
      </c>
      <c r="N25">
        <v>2.0872185097333993E-2</v>
      </c>
      <c r="O25" t="s">
        <v>6</v>
      </c>
    </row>
    <row r="26" spans="2:15" x14ac:dyDescent="0.45">
      <c r="B26" t="s">
        <v>220</v>
      </c>
      <c r="C26" t="s">
        <v>23</v>
      </c>
      <c r="D26">
        <v>8.2371357632790562E-2</v>
      </c>
      <c r="E26" t="s">
        <v>6</v>
      </c>
      <c r="G26" t="s">
        <v>221</v>
      </c>
      <c r="H26" t="s">
        <v>23</v>
      </c>
      <c r="I26">
        <v>2.2598838250472417E-2</v>
      </c>
      <c r="J26" t="s">
        <v>6</v>
      </c>
      <c r="L26" t="s">
        <v>222</v>
      </c>
      <c r="M26" t="s">
        <v>23</v>
      </c>
      <c r="N26">
        <v>2.1289539029199164E-2</v>
      </c>
      <c r="O26" t="s">
        <v>6</v>
      </c>
    </row>
    <row r="27" spans="2:15" x14ac:dyDescent="0.45">
      <c r="B27" t="s">
        <v>220</v>
      </c>
      <c r="C27" t="s">
        <v>24</v>
      </c>
      <c r="D27">
        <v>6.408621478171575E-2</v>
      </c>
      <c r="E27" t="s">
        <v>6</v>
      </c>
      <c r="G27" t="s">
        <v>221</v>
      </c>
      <c r="H27" t="s">
        <v>24</v>
      </c>
      <c r="I27">
        <v>2.2546571310547284E-2</v>
      </c>
      <c r="J27" t="s">
        <v>6</v>
      </c>
      <c r="L27" t="s">
        <v>222</v>
      </c>
      <c r="M27" t="s">
        <v>24</v>
      </c>
      <c r="N27">
        <v>2.210135160880055E-2</v>
      </c>
      <c r="O27" t="s">
        <v>6</v>
      </c>
    </row>
    <row r="28" spans="2:15" x14ac:dyDescent="0.45">
      <c r="B28" t="s">
        <v>220</v>
      </c>
      <c r="C28" t="s">
        <v>25</v>
      </c>
      <c r="D28">
        <v>2.8851371827274024E-2</v>
      </c>
      <c r="E28" t="s">
        <v>6</v>
      </c>
      <c r="G28" t="s">
        <v>221</v>
      </c>
      <c r="H28" t="s">
        <v>25</v>
      </c>
      <c r="I28">
        <v>2.2126159398607858E-2</v>
      </c>
      <c r="J28" t="s">
        <v>6</v>
      </c>
      <c r="L28" t="s">
        <v>222</v>
      </c>
      <c r="M28" t="s">
        <v>25</v>
      </c>
      <c r="N28">
        <v>2.2917163012915048E-2</v>
      </c>
      <c r="O28" t="s">
        <v>6</v>
      </c>
    </row>
    <row r="29" spans="2:15" x14ac:dyDescent="0.45">
      <c r="B29" t="s">
        <v>220</v>
      </c>
      <c r="C29" t="s">
        <v>26</v>
      </c>
      <c r="D29">
        <v>1.6418345936310744E-3</v>
      </c>
      <c r="E29" t="s">
        <v>6</v>
      </c>
      <c r="G29" t="s">
        <v>221</v>
      </c>
      <c r="H29" t="s">
        <v>26</v>
      </c>
      <c r="I29">
        <v>2.2724959015116349E-2</v>
      </c>
      <c r="J29" t="s">
        <v>6</v>
      </c>
      <c r="L29" t="s">
        <v>222</v>
      </c>
      <c r="M29" t="s">
        <v>26</v>
      </c>
      <c r="N29">
        <v>2.3315714115269507E-2</v>
      </c>
      <c r="O29" t="s">
        <v>6</v>
      </c>
    </row>
    <row r="30" spans="2:15" x14ac:dyDescent="0.45">
      <c r="B30" t="s">
        <v>220</v>
      </c>
      <c r="C30" t="s">
        <v>27</v>
      </c>
      <c r="D30">
        <v>0</v>
      </c>
      <c r="E30" t="s">
        <v>6</v>
      </c>
      <c r="G30" t="s">
        <v>221</v>
      </c>
      <c r="H30" t="s">
        <v>27</v>
      </c>
      <c r="I30">
        <v>3.4579392293680608E-2</v>
      </c>
      <c r="J30" t="s">
        <v>6</v>
      </c>
      <c r="L30" t="s">
        <v>222</v>
      </c>
      <c r="M30" t="s">
        <v>27</v>
      </c>
      <c r="N30">
        <v>3.3941719198576983E-2</v>
      </c>
      <c r="O30" t="s">
        <v>6</v>
      </c>
    </row>
    <row r="31" spans="2:15" x14ac:dyDescent="0.45">
      <c r="B31" t="s">
        <v>220</v>
      </c>
      <c r="C31" t="s">
        <v>28</v>
      </c>
      <c r="D31">
        <v>0</v>
      </c>
      <c r="E31" t="s">
        <v>6</v>
      </c>
      <c r="G31" t="s">
        <v>221</v>
      </c>
      <c r="H31" t="s">
        <v>28</v>
      </c>
      <c r="I31">
        <v>3.4441937177998372E-2</v>
      </c>
      <c r="J31" t="s">
        <v>6</v>
      </c>
      <c r="L31" t="s">
        <v>222</v>
      </c>
      <c r="M31" t="s">
        <v>28</v>
      </c>
      <c r="N31">
        <v>4.1957344460737095E-2</v>
      </c>
      <c r="O31" t="s">
        <v>6</v>
      </c>
    </row>
    <row r="32" spans="2:15" x14ac:dyDescent="0.45">
      <c r="B32" t="s">
        <v>220</v>
      </c>
      <c r="C32" t="s">
        <v>29</v>
      </c>
      <c r="D32">
        <v>1.8248205081650962E-3</v>
      </c>
      <c r="E32" t="s">
        <v>6</v>
      </c>
      <c r="G32" t="s">
        <v>221</v>
      </c>
      <c r="H32" t="s">
        <v>29</v>
      </c>
      <c r="I32">
        <v>1.303363602254801E-2</v>
      </c>
      <c r="J32" t="s">
        <v>6</v>
      </c>
      <c r="L32" t="s">
        <v>222</v>
      </c>
      <c r="M32" t="s">
        <v>29</v>
      </c>
      <c r="N32">
        <v>1.6354075370158674E-2</v>
      </c>
      <c r="O32" t="s">
        <v>6</v>
      </c>
    </row>
    <row r="33" spans="2:15" x14ac:dyDescent="0.45">
      <c r="B33" t="s">
        <v>220</v>
      </c>
      <c r="C33" t="s">
        <v>30</v>
      </c>
      <c r="D33">
        <v>2.2548208450170516E-2</v>
      </c>
      <c r="E33" t="s">
        <v>6</v>
      </c>
      <c r="G33" t="s">
        <v>221</v>
      </c>
      <c r="H33" t="s">
        <v>30</v>
      </c>
      <c r="I33">
        <v>1.3141537631076249E-2</v>
      </c>
      <c r="J33" t="s">
        <v>6</v>
      </c>
      <c r="L33" t="s">
        <v>222</v>
      </c>
      <c r="M33" t="s">
        <v>30</v>
      </c>
      <c r="N33">
        <v>1.6179136433477292E-2</v>
      </c>
      <c r="O33" t="s">
        <v>6</v>
      </c>
    </row>
    <row r="34" spans="2:15" x14ac:dyDescent="0.45">
      <c r="B34" t="s">
        <v>220</v>
      </c>
      <c r="C34" t="s">
        <v>31</v>
      </c>
      <c r="D34">
        <v>6.0372453498730418E-2</v>
      </c>
      <c r="E34" t="s">
        <v>6</v>
      </c>
      <c r="G34" t="s">
        <v>221</v>
      </c>
      <c r="H34" t="s">
        <v>31</v>
      </c>
      <c r="I34">
        <v>1.2606213390675055E-2</v>
      </c>
      <c r="J34" t="s">
        <v>6</v>
      </c>
      <c r="L34" t="s">
        <v>222</v>
      </c>
      <c r="M34" t="s">
        <v>31</v>
      </c>
      <c r="N34">
        <v>1.5377325402768927E-2</v>
      </c>
      <c r="O34" t="s">
        <v>6</v>
      </c>
    </row>
    <row r="35" spans="2:15" x14ac:dyDescent="0.45">
      <c r="B35" t="s">
        <v>220</v>
      </c>
      <c r="C35" t="s">
        <v>32</v>
      </c>
      <c r="D35">
        <v>8.6903953907470022E-2</v>
      </c>
      <c r="E35" t="s">
        <v>6</v>
      </c>
      <c r="G35" t="s">
        <v>221</v>
      </c>
      <c r="H35" t="s">
        <v>32</v>
      </c>
      <c r="I35">
        <v>1.2574250786946248E-2</v>
      </c>
      <c r="J35" t="s">
        <v>6</v>
      </c>
      <c r="L35" t="s">
        <v>222</v>
      </c>
      <c r="M35" t="s">
        <v>32</v>
      </c>
      <c r="N35">
        <v>1.5012741199727061E-2</v>
      </c>
      <c r="O35" t="s">
        <v>6</v>
      </c>
    </row>
    <row r="36" spans="2:15" x14ac:dyDescent="0.45">
      <c r="B36" t="s">
        <v>220</v>
      </c>
      <c r="C36" t="s">
        <v>33</v>
      </c>
      <c r="D36">
        <v>8.9010427298742298E-2</v>
      </c>
      <c r="E36" t="s">
        <v>6</v>
      </c>
      <c r="G36" t="s">
        <v>221</v>
      </c>
      <c r="H36" t="s">
        <v>33</v>
      </c>
      <c r="I36">
        <v>1.3578515012733033E-2</v>
      </c>
      <c r="J36" t="s">
        <v>6</v>
      </c>
      <c r="L36" t="s">
        <v>222</v>
      </c>
      <c r="M36" t="s">
        <v>33</v>
      </c>
      <c r="N36">
        <v>1.5703845511468792E-2</v>
      </c>
      <c r="O36" t="s">
        <v>6</v>
      </c>
    </row>
    <row r="37" spans="2:15" x14ac:dyDescent="0.45">
      <c r="B37" t="s">
        <v>220</v>
      </c>
      <c r="C37" t="s">
        <v>34</v>
      </c>
      <c r="D37">
        <v>7.2085576656734748E-2</v>
      </c>
      <c r="E37" t="s">
        <v>6</v>
      </c>
      <c r="G37" t="s">
        <v>221</v>
      </c>
      <c r="H37" t="s">
        <v>34</v>
      </c>
      <c r="I37">
        <v>1.4110264235337431E-2</v>
      </c>
      <c r="J37" t="s">
        <v>6</v>
      </c>
      <c r="L37" t="s">
        <v>222</v>
      </c>
      <c r="M37" t="s">
        <v>34</v>
      </c>
      <c r="N37">
        <v>1.665866674594297E-2</v>
      </c>
      <c r="O37" t="s">
        <v>6</v>
      </c>
    </row>
    <row r="38" spans="2:15" x14ac:dyDescent="0.45">
      <c r="B38" t="s">
        <v>220</v>
      </c>
      <c r="C38" t="s">
        <v>35</v>
      </c>
      <c r="D38">
        <v>3.6681885288883213E-2</v>
      </c>
      <c r="E38" t="s">
        <v>6</v>
      </c>
      <c r="G38" t="s">
        <v>221</v>
      </c>
      <c r="H38" t="s">
        <v>35</v>
      </c>
      <c r="I38">
        <v>1.4559750561247425E-2</v>
      </c>
      <c r="J38" t="s">
        <v>6</v>
      </c>
      <c r="L38" t="s">
        <v>222</v>
      </c>
      <c r="M38" t="s">
        <v>35</v>
      </c>
      <c r="N38">
        <v>1.7377354144522697E-2</v>
      </c>
      <c r="O38" t="s">
        <v>6</v>
      </c>
    </row>
    <row r="39" spans="2:15" x14ac:dyDescent="0.45">
      <c r="B39" t="s">
        <v>220</v>
      </c>
      <c r="C39" t="s">
        <v>36</v>
      </c>
      <c r="D39">
        <v>4.7882144873544188E-3</v>
      </c>
      <c r="E39" t="s">
        <v>6</v>
      </c>
      <c r="G39" t="s">
        <v>221</v>
      </c>
      <c r="H39" t="s">
        <v>36</v>
      </c>
      <c r="I39">
        <v>1.4701304481375403E-2</v>
      </c>
      <c r="J39" t="s">
        <v>6</v>
      </c>
      <c r="L39" t="s">
        <v>222</v>
      </c>
      <c r="M39" t="s">
        <v>36</v>
      </c>
      <c r="N39">
        <v>1.7667379454297211E-2</v>
      </c>
      <c r="O39" t="s">
        <v>6</v>
      </c>
    </row>
    <row r="40" spans="2:15" x14ac:dyDescent="0.45">
      <c r="B40" t="s">
        <v>220</v>
      </c>
      <c r="C40" t="s">
        <v>37</v>
      </c>
      <c r="D40">
        <v>3.4659526249256834E-6</v>
      </c>
      <c r="E40" t="s">
        <v>6</v>
      </c>
      <c r="G40" t="s">
        <v>221</v>
      </c>
      <c r="H40" t="s">
        <v>37</v>
      </c>
      <c r="I40">
        <v>2.2051957887834789E-2</v>
      </c>
      <c r="J40" t="s">
        <v>6</v>
      </c>
      <c r="L40" t="s">
        <v>222</v>
      </c>
      <c r="M40" t="s">
        <v>37</v>
      </c>
      <c r="N40">
        <v>2.5732993387288749E-2</v>
      </c>
      <c r="O40" t="s">
        <v>6</v>
      </c>
    </row>
    <row r="41" spans="2:15" x14ac:dyDescent="0.45">
      <c r="B41" t="s">
        <v>220</v>
      </c>
      <c r="C41" t="s">
        <v>38</v>
      </c>
      <c r="D41">
        <v>0</v>
      </c>
      <c r="E41" t="s">
        <v>6</v>
      </c>
      <c r="G41" t="s">
        <v>221</v>
      </c>
      <c r="H41" t="s">
        <v>38</v>
      </c>
      <c r="I41">
        <v>5.6459288873808314E-2</v>
      </c>
      <c r="J41" t="s">
        <v>6</v>
      </c>
      <c r="L41" t="s">
        <v>222</v>
      </c>
      <c r="M41" t="s">
        <v>38</v>
      </c>
      <c r="N41">
        <v>5.268890139004799E-2</v>
      </c>
      <c r="O41" t="s">
        <v>6</v>
      </c>
    </row>
    <row r="42" spans="2:15" x14ac:dyDescent="0.45">
      <c r="B42" t="s">
        <v>220</v>
      </c>
      <c r="C42" t="s">
        <v>39</v>
      </c>
      <c r="D42">
        <v>0</v>
      </c>
      <c r="E42" t="s">
        <v>6</v>
      </c>
      <c r="G42" t="s">
        <v>221</v>
      </c>
      <c r="H42" t="s">
        <v>39</v>
      </c>
      <c r="I42">
        <v>2.1974089199956078E-2</v>
      </c>
      <c r="J42" t="s">
        <v>6</v>
      </c>
      <c r="L42" t="s">
        <v>222</v>
      </c>
      <c r="M42" t="s">
        <v>39</v>
      </c>
      <c r="N42">
        <v>2.0499258393170711E-2</v>
      </c>
      <c r="O42" t="s">
        <v>6</v>
      </c>
    </row>
    <row r="43" spans="2:15" x14ac:dyDescent="0.45">
      <c r="B43" t="s">
        <v>220</v>
      </c>
      <c r="C43" t="s">
        <v>40</v>
      </c>
      <c r="D43">
        <v>3.8890418954868073E-3</v>
      </c>
      <c r="E43" t="s">
        <v>6</v>
      </c>
      <c r="G43" t="s">
        <v>221</v>
      </c>
      <c r="H43" t="s">
        <v>40</v>
      </c>
      <c r="I43">
        <v>2.1972829001795466E-2</v>
      </c>
      <c r="J43" t="s">
        <v>6</v>
      </c>
      <c r="L43" t="s">
        <v>222</v>
      </c>
      <c r="M43" t="s">
        <v>40</v>
      </c>
      <c r="N43">
        <v>2.0879130951798042E-2</v>
      </c>
      <c r="O43" t="s">
        <v>6</v>
      </c>
    </row>
    <row r="44" spans="2:15" x14ac:dyDescent="0.45">
      <c r="B44" t="s">
        <v>220</v>
      </c>
      <c r="C44" t="s">
        <v>41</v>
      </c>
      <c r="D44">
        <v>2.7506659021396446E-2</v>
      </c>
      <c r="E44" t="s">
        <v>6</v>
      </c>
      <c r="G44" t="s">
        <v>221</v>
      </c>
      <c r="H44" t="s">
        <v>41</v>
      </c>
      <c r="I44">
        <v>2.2044575375263623E-2</v>
      </c>
      <c r="J44" t="s">
        <v>6</v>
      </c>
      <c r="L44" t="s">
        <v>222</v>
      </c>
      <c r="M44" t="s">
        <v>41</v>
      </c>
      <c r="N44">
        <v>2.0928582349969783E-2</v>
      </c>
      <c r="O44" t="s">
        <v>6</v>
      </c>
    </row>
    <row r="45" spans="2:15" x14ac:dyDescent="0.45">
      <c r="B45" t="s">
        <v>220</v>
      </c>
      <c r="C45" t="s">
        <v>42</v>
      </c>
      <c r="D45">
        <v>5.1320860792211355E-2</v>
      </c>
      <c r="E45" t="s">
        <v>6</v>
      </c>
      <c r="G45" t="s">
        <v>221</v>
      </c>
      <c r="H45" t="s">
        <v>42</v>
      </c>
      <c r="I45">
        <v>2.2186139429923171E-2</v>
      </c>
      <c r="J45" t="s">
        <v>6</v>
      </c>
      <c r="L45" t="s">
        <v>222</v>
      </c>
      <c r="M45" t="s">
        <v>42</v>
      </c>
      <c r="N45">
        <v>2.0478850014431546E-2</v>
      </c>
      <c r="O45" t="s">
        <v>6</v>
      </c>
    </row>
    <row r="46" spans="2:15" x14ac:dyDescent="0.45">
      <c r="B46" t="s">
        <v>220</v>
      </c>
      <c r="C46" t="s">
        <v>43</v>
      </c>
      <c r="D46">
        <v>5.374663728877687E-2</v>
      </c>
      <c r="E46" t="s">
        <v>6</v>
      </c>
      <c r="G46" t="s">
        <v>221</v>
      </c>
      <c r="H46" t="s">
        <v>43</v>
      </c>
      <c r="I46">
        <v>2.1989311321453511E-2</v>
      </c>
      <c r="J46" t="s">
        <v>6</v>
      </c>
      <c r="L46" t="s">
        <v>222</v>
      </c>
      <c r="M46" t="s">
        <v>43</v>
      </c>
      <c r="N46">
        <v>2.1010437030078211E-2</v>
      </c>
      <c r="O46" t="s">
        <v>6</v>
      </c>
    </row>
    <row r="47" spans="2:15" x14ac:dyDescent="0.45">
      <c r="B47" t="s">
        <v>220</v>
      </c>
      <c r="C47" t="s">
        <v>44</v>
      </c>
      <c r="D47">
        <v>3.2768314476156149E-2</v>
      </c>
      <c r="E47" t="s">
        <v>6</v>
      </c>
      <c r="G47" t="s">
        <v>221</v>
      </c>
      <c r="H47" t="s">
        <v>44</v>
      </c>
      <c r="I47">
        <v>2.2040346045457546E-2</v>
      </c>
      <c r="J47" t="s">
        <v>6</v>
      </c>
      <c r="L47" t="s">
        <v>222</v>
      </c>
      <c r="M47" t="s">
        <v>44</v>
      </c>
      <c r="N47">
        <v>2.200423549675648E-2</v>
      </c>
      <c r="O47" t="s">
        <v>6</v>
      </c>
    </row>
    <row r="48" spans="2:15" x14ac:dyDescent="0.45">
      <c r="B48" t="s">
        <v>220</v>
      </c>
      <c r="C48" t="s">
        <v>45</v>
      </c>
      <c r="D48">
        <v>6.6121487813652997E-3</v>
      </c>
      <c r="E48" t="s">
        <v>6</v>
      </c>
      <c r="G48" t="s">
        <v>221</v>
      </c>
      <c r="H48" t="s">
        <v>45</v>
      </c>
      <c r="I48">
        <v>2.2332777899438206E-2</v>
      </c>
      <c r="J48" t="s">
        <v>6</v>
      </c>
      <c r="L48" t="s">
        <v>222</v>
      </c>
      <c r="M48" t="s">
        <v>45</v>
      </c>
      <c r="N48">
        <v>2.2558098774215746E-2</v>
      </c>
      <c r="O48" t="s">
        <v>6</v>
      </c>
    </row>
    <row r="49" spans="2:15" x14ac:dyDescent="0.45">
      <c r="B49" t="s">
        <v>220</v>
      </c>
      <c r="C49" t="s">
        <v>46</v>
      </c>
      <c r="D49">
        <v>3.6626168844436091E-5</v>
      </c>
      <c r="E49" t="s">
        <v>6</v>
      </c>
      <c r="G49" t="s">
        <v>221</v>
      </c>
      <c r="H49" t="s">
        <v>46</v>
      </c>
      <c r="I49">
        <v>2.2990038348494172E-2</v>
      </c>
      <c r="J49" t="s">
        <v>6</v>
      </c>
      <c r="L49" t="s">
        <v>222</v>
      </c>
      <c r="M49" t="s">
        <v>46</v>
      </c>
      <c r="N49">
        <v>2.2255055800988466E-2</v>
      </c>
      <c r="O49" t="s">
        <v>6</v>
      </c>
    </row>
    <row r="50" spans="2:15" x14ac:dyDescent="0.45">
      <c r="B50" t="s">
        <v>220</v>
      </c>
      <c r="C50" t="s">
        <v>47</v>
      </c>
      <c r="D50">
        <v>0</v>
      </c>
      <c r="E50" t="s">
        <v>6</v>
      </c>
      <c r="G50" t="s">
        <v>221</v>
      </c>
      <c r="H50" t="s">
        <v>47</v>
      </c>
      <c r="I50">
        <v>3.503181152789852E-2</v>
      </c>
      <c r="J50" t="s">
        <v>6</v>
      </c>
      <c r="L50" t="s">
        <v>222</v>
      </c>
      <c r="M50" t="s">
        <v>47</v>
      </c>
      <c r="N50">
        <v>3.2521319141996699E-2</v>
      </c>
      <c r="O50" t="s">
        <v>6</v>
      </c>
    </row>
    <row r="51" spans="2:15" x14ac:dyDescent="0.45">
      <c r="B51" t="s">
        <v>223</v>
      </c>
      <c r="C51" t="s">
        <v>5</v>
      </c>
      <c r="D51">
        <v>0</v>
      </c>
      <c r="E51" t="s">
        <v>6</v>
      </c>
      <c r="G51" t="s">
        <v>224</v>
      </c>
      <c r="H51" t="s">
        <v>5</v>
      </c>
      <c r="I51">
        <v>6.5425672270805577E-2</v>
      </c>
      <c r="J51" t="s">
        <v>6</v>
      </c>
      <c r="L51" t="s">
        <v>225</v>
      </c>
      <c r="M51" t="s">
        <v>5</v>
      </c>
      <c r="N51">
        <v>5.7445853996483873E-2</v>
      </c>
      <c r="O51" t="s">
        <v>6</v>
      </c>
    </row>
    <row r="52" spans="2:15" x14ac:dyDescent="0.45">
      <c r="B52" t="s">
        <v>223</v>
      </c>
      <c r="C52" t="s">
        <v>9</v>
      </c>
      <c r="D52">
        <v>0</v>
      </c>
      <c r="E52" t="s">
        <v>6</v>
      </c>
      <c r="G52" t="s">
        <v>224</v>
      </c>
      <c r="H52" t="s">
        <v>9</v>
      </c>
      <c r="I52">
        <v>2.5375850799092221E-2</v>
      </c>
      <c r="J52" t="s">
        <v>6</v>
      </c>
      <c r="L52" t="s">
        <v>225</v>
      </c>
      <c r="M52" t="s">
        <v>9</v>
      </c>
      <c r="N52">
        <v>2.3127739903444054E-2</v>
      </c>
      <c r="O52" t="s">
        <v>6</v>
      </c>
    </row>
    <row r="53" spans="2:15" x14ac:dyDescent="0.45">
      <c r="B53" t="s">
        <v>223</v>
      </c>
      <c r="C53" t="s">
        <v>10</v>
      </c>
      <c r="D53">
        <v>2.8688347540494505E-4</v>
      </c>
      <c r="E53" t="s">
        <v>6</v>
      </c>
      <c r="G53" t="s">
        <v>224</v>
      </c>
      <c r="H53" t="s">
        <v>10</v>
      </c>
      <c r="I53">
        <v>2.5638353531143548E-2</v>
      </c>
      <c r="J53" t="s">
        <v>6</v>
      </c>
      <c r="L53" t="s">
        <v>225</v>
      </c>
      <c r="M53" t="s">
        <v>10</v>
      </c>
      <c r="N53">
        <v>2.3175377068120805E-2</v>
      </c>
      <c r="O53" t="s">
        <v>6</v>
      </c>
    </row>
    <row r="54" spans="2:15" x14ac:dyDescent="0.45">
      <c r="B54" t="s">
        <v>223</v>
      </c>
      <c r="C54" t="s">
        <v>11</v>
      </c>
      <c r="D54">
        <v>1.6310761991886687E-2</v>
      </c>
      <c r="E54" t="s">
        <v>6</v>
      </c>
      <c r="G54" t="s">
        <v>224</v>
      </c>
      <c r="H54" t="s">
        <v>11</v>
      </c>
      <c r="I54">
        <v>2.509110136374141E-2</v>
      </c>
      <c r="J54" t="s">
        <v>6</v>
      </c>
      <c r="L54" t="s">
        <v>225</v>
      </c>
      <c r="M54" t="s">
        <v>11</v>
      </c>
      <c r="N54">
        <v>2.3191562295404214E-2</v>
      </c>
      <c r="O54" t="s">
        <v>6</v>
      </c>
    </row>
    <row r="55" spans="2:15" x14ac:dyDescent="0.45">
      <c r="B55" t="s">
        <v>223</v>
      </c>
      <c r="C55" t="s">
        <v>12</v>
      </c>
      <c r="D55">
        <v>4.1203875917359967E-2</v>
      </c>
      <c r="E55" t="s">
        <v>6</v>
      </c>
      <c r="G55" t="s">
        <v>224</v>
      </c>
      <c r="H55" t="s">
        <v>12</v>
      </c>
      <c r="I55">
        <v>2.5436495818873354E-2</v>
      </c>
      <c r="J55" t="s">
        <v>6</v>
      </c>
      <c r="L55" t="s">
        <v>225</v>
      </c>
      <c r="M55" t="s">
        <v>12</v>
      </c>
      <c r="N55">
        <v>2.2712392860390181E-2</v>
      </c>
      <c r="O55" t="s">
        <v>6</v>
      </c>
    </row>
    <row r="56" spans="2:15" x14ac:dyDescent="0.45">
      <c r="B56" t="s">
        <v>223</v>
      </c>
      <c r="C56" t="s">
        <v>13</v>
      </c>
      <c r="D56">
        <v>4.3463271995114822E-2</v>
      </c>
      <c r="E56" t="s">
        <v>6</v>
      </c>
      <c r="G56" t="s">
        <v>224</v>
      </c>
      <c r="H56" t="s">
        <v>13</v>
      </c>
      <c r="I56">
        <v>2.5551269037790699E-2</v>
      </c>
      <c r="J56" t="s">
        <v>6</v>
      </c>
      <c r="L56" t="s">
        <v>225</v>
      </c>
      <c r="M56" t="s">
        <v>13</v>
      </c>
      <c r="N56">
        <v>2.2554890106526081E-2</v>
      </c>
      <c r="O56" t="s">
        <v>6</v>
      </c>
    </row>
    <row r="57" spans="2:15" x14ac:dyDescent="0.45">
      <c r="B57" t="s">
        <v>223</v>
      </c>
      <c r="C57" t="s">
        <v>14</v>
      </c>
      <c r="D57">
        <v>2.4282458099681034E-2</v>
      </c>
      <c r="E57" t="s">
        <v>6</v>
      </c>
      <c r="G57" t="s">
        <v>224</v>
      </c>
      <c r="H57" t="s">
        <v>14</v>
      </c>
      <c r="I57">
        <v>2.5138599383280072E-2</v>
      </c>
      <c r="J57" t="s">
        <v>6</v>
      </c>
      <c r="L57" t="s">
        <v>225</v>
      </c>
      <c r="M57" t="s">
        <v>14</v>
      </c>
      <c r="N57">
        <v>2.2499441801625993E-2</v>
      </c>
      <c r="O57" t="s">
        <v>6</v>
      </c>
    </row>
    <row r="58" spans="2:15" x14ac:dyDescent="0.45">
      <c r="B58" t="s">
        <v>223</v>
      </c>
      <c r="C58" t="s">
        <v>15</v>
      </c>
      <c r="D58">
        <v>2.6942106427237634E-3</v>
      </c>
      <c r="E58" t="s">
        <v>6</v>
      </c>
      <c r="G58" t="s">
        <v>224</v>
      </c>
      <c r="H58" t="s">
        <v>15</v>
      </c>
      <c r="I58">
        <v>2.5566760142849896E-2</v>
      </c>
      <c r="J58" t="s">
        <v>6</v>
      </c>
      <c r="L58" t="s">
        <v>225</v>
      </c>
      <c r="M58" t="s">
        <v>15</v>
      </c>
      <c r="N58">
        <v>2.3083409856291148E-2</v>
      </c>
      <c r="O58" t="s">
        <v>6</v>
      </c>
    </row>
    <row r="59" spans="2:15" x14ac:dyDescent="0.45">
      <c r="B59" t="s">
        <v>223</v>
      </c>
      <c r="C59" t="s">
        <v>16</v>
      </c>
      <c r="D59">
        <v>0</v>
      </c>
      <c r="E59" t="s">
        <v>6</v>
      </c>
      <c r="G59" t="s">
        <v>224</v>
      </c>
      <c r="H59" t="s">
        <v>16</v>
      </c>
      <c r="I59">
        <v>2.6355030170820554E-2</v>
      </c>
      <c r="J59" t="s">
        <v>6</v>
      </c>
      <c r="L59" t="s">
        <v>225</v>
      </c>
      <c r="M59" t="s">
        <v>16</v>
      </c>
      <c r="N59">
        <v>2.3936369877531425E-2</v>
      </c>
      <c r="O59" t="s">
        <v>6</v>
      </c>
    </row>
    <row r="60" spans="2:15" x14ac:dyDescent="0.45">
      <c r="B60" t="s">
        <v>223</v>
      </c>
      <c r="C60" t="s">
        <v>17</v>
      </c>
      <c r="D60">
        <v>0</v>
      </c>
      <c r="E60" t="s">
        <v>6</v>
      </c>
      <c r="G60" t="s">
        <v>224</v>
      </c>
      <c r="H60" t="s">
        <v>17</v>
      </c>
      <c r="I60">
        <v>3.9640884975737575E-2</v>
      </c>
      <c r="J60" t="s">
        <v>6</v>
      </c>
      <c r="L60" t="s">
        <v>225</v>
      </c>
      <c r="M60" t="s">
        <v>17</v>
      </c>
      <c r="N60">
        <v>3.5819475635791714E-2</v>
      </c>
      <c r="O60" t="s">
        <v>6</v>
      </c>
    </row>
    <row r="61" spans="2:15" x14ac:dyDescent="0.45">
      <c r="B61" t="s">
        <v>223</v>
      </c>
      <c r="C61" t="s">
        <v>18</v>
      </c>
      <c r="D61">
        <v>0</v>
      </c>
      <c r="E61" t="s">
        <v>6</v>
      </c>
      <c r="G61" t="s">
        <v>224</v>
      </c>
      <c r="H61" t="s">
        <v>18</v>
      </c>
      <c r="I61">
        <v>5.4324919052172668E-2</v>
      </c>
      <c r="J61" t="s">
        <v>6</v>
      </c>
      <c r="L61" t="s">
        <v>225</v>
      </c>
      <c r="M61" t="s">
        <v>18</v>
      </c>
      <c r="N61">
        <v>5.486903114545446E-2</v>
      </c>
      <c r="O61" t="s">
        <v>6</v>
      </c>
    </row>
    <row r="62" spans="2:15" x14ac:dyDescent="0.45">
      <c r="B62" t="s">
        <v>223</v>
      </c>
      <c r="C62" t="s">
        <v>19</v>
      </c>
      <c r="D62">
        <v>6.4025429395315537E-4</v>
      </c>
      <c r="E62" t="s">
        <v>6</v>
      </c>
      <c r="G62" t="s">
        <v>224</v>
      </c>
      <c r="H62" t="s">
        <v>19</v>
      </c>
      <c r="I62">
        <v>2.2052005491315196E-2</v>
      </c>
      <c r="J62" t="s">
        <v>6</v>
      </c>
      <c r="L62" t="s">
        <v>225</v>
      </c>
      <c r="M62" t="s">
        <v>19</v>
      </c>
      <c r="N62">
        <v>2.1822861020583419E-2</v>
      </c>
      <c r="O62" t="s">
        <v>6</v>
      </c>
    </row>
    <row r="63" spans="2:15" x14ac:dyDescent="0.45">
      <c r="B63" t="s">
        <v>223</v>
      </c>
      <c r="C63" t="s">
        <v>20</v>
      </c>
      <c r="D63">
        <v>1.6394563967163264E-2</v>
      </c>
      <c r="E63" t="s">
        <v>6</v>
      </c>
      <c r="G63" t="s">
        <v>224</v>
      </c>
      <c r="H63" t="s">
        <v>20</v>
      </c>
      <c r="I63">
        <v>2.3099829140955139E-2</v>
      </c>
      <c r="J63" t="s">
        <v>6</v>
      </c>
      <c r="L63" t="s">
        <v>225</v>
      </c>
      <c r="M63" t="s">
        <v>20</v>
      </c>
      <c r="N63">
        <v>2.1338856656696298E-2</v>
      </c>
      <c r="O63" t="s">
        <v>6</v>
      </c>
    </row>
    <row r="64" spans="2:15" x14ac:dyDescent="0.45">
      <c r="B64" t="s">
        <v>223</v>
      </c>
      <c r="C64" t="s">
        <v>21</v>
      </c>
      <c r="D64">
        <v>5.4128544440818563E-2</v>
      </c>
      <c r="E64" t="s">
        <v>6</v>
      </c>
      <c r="G64" t="s">
        <v>224</v>
      </c>
      <c r="H64" t="s">
        <v>21</v>
      </c>
      <c r="I64">
        <v>2.406573320633313E-2</v>
      </c>
      <c r="J64" t="s">
        <v>6</v>
      </c>
      <c r="L64" t="s">
        <v>225</v>
      </c>
      <c r="M64" t="s">
        <v>21</v>
      </c>
      <c r="N64">
        <v>1.9747970804814333E-2</v>
      </c>
      <c r="O64" t="s">
        <v>6</v>
      </c>
    </row>
    <row r="65" spans="2:15" x14ac:dyDescent="0.45">
      <c r="B65" t="s">
        <v>223</v>
      </c>
      <c r="C65" t="s">
        <v>22</v>
      </c>
      <c r="D65">
        <v>7.6536703993922067E-2</v>
      </c>
      <c r="E65" t="s">
        <v>6</v>
      </c>
      <c r="G65" t="s">
        <v>224</v>
      </c>
      <c r="H65" t="s">
        <v>22</v>
      </c>
      <c r="I65">
        <v>2.3544672946747149E-2</v>
      </c>
      <c r="J65" t="s">
        <v>6</v>
      </c>
      <c r="L65" t="s">
        <v>225</v>
      </c>
      <c r="M65" t="s">
        <v>22</v>
      </c>
      <c r="N65">
        <v>1.8540190837548987E-2</v>
      </c>
      <c r="O65" t="s">
        <v>6</v>
      </c>
    </row>
    <row r="66" spans="2:15" x14ac:dyDescent="0.45">
      <c r="B66" t="s">
        <v>223</v>
      </c>
      <c r="C66" t="s">
        <v>23</v>
      </c>
      <c r="D66">
        <v>7.7327191069735346E-2</v>
      </c>
      <c r="E66" t="s">
        <v>6</v>
      </c>
      <c r="G66" t="s">
        <v>224</v>
      </c>
      <c r="H66" t="s">
        <v>23</v>
      </c>
      <c r="I66">
        <v>2.3133883125639364E-2</v>
      </c>
      <c r="J66" t="s">
        <v>6</v>
      </c>
      <c r="L66" t="s">
        <v>225</v>
      </c>
      <c r="M66" t="s">
        <v>23</v>
      </c>
      <c r="N66">
        <v>1.8626896109998809E-2</v>
      </c>
      <c r="O66" t="s">
        <v>6</v>
      </c>
    </row>
    <row r="67" spans="2:15" x14ac:dyDescent="0.45">
      <c r="B67" t="s">
        <v>223</v>
      </c>
      <c r="C67" t="s">
        <v>24</v>
      </c>
      <c r="D67">
        <v>5.844085182010271E-2</v>
      </c>
      <c r="E67" t="s">
        <v>6</v>
      </c>
      <c r="G67" t="s">
        <v>224</v>
      </c>
      <c r="H67" t="s">
        <v>24</v>
      </c>
      <c r="I67">
        <v>2.3068496483633582E-2</v>
      </c>
      <c r="J67" t="s">
        <v>6</v>
      </c>
      <c r="L67" t="s">
        <v>225</v>
      </c>
      <c r="M67" t="s">
        <v>24</v>
      </c>
      <c r="N67">
        <v>1.9831162695855421E-2</v>
      </c>
      <c r="O67" t="s">
        <v>6</v>
      </c>
    </row>
    <row r="68" spans="2:15" x14ac:dyDescent="0.45">
      <c r="B68" t="s">
        <v>223</v>
      </c>
      <c r="C68" t="s">
        <v>25</v>
      </c>
      <c r="D68">
        <v>2.5436874856695657E-2</v>
      </c>
      <c r="E68" t="s">
        <v>6</v>
      </c>
      <c r="G68" t="s">
        <v>224</v>
      </c>
      <c r="H68" t="s">
        <v>25</v>
      </c>
      <c r="I68">
        <v>2.2043166618066715E-2</v>
      </c>
      <c r="J68" t="s">
        <v>6</v>
      </c>
      <c r="L68" t="s">
        <v>225</v>
      </c>
      <c r="M68" t="s">
        <v>25</v>
      </c>
      <c r="N68">
        <v>2.1214233296631867E-2</v>
      </c>
      <c r="O68" t="s">
        <v>6</v>
      </c>
    </row>
    <row r="69" spans="2:15" x14ac:dyDescent="0.45">
      <c r="B69" t="s">
        <v>223</v>
      </c>
      <c r="C69" t="s">
        <v>26</v>
      </c>
      <c r="D69">
        <v>1.37792067857422E-3</v>
      </c>
      <c r="E69" t="s">
        <v>6</v>
      </c>
      <c r="G69" t="s">
        <v>224</v>
      </c>
      <c r="H69" t="s">
        <v>26</v>
      </c>
      <c r="I69">
        <v>2.1681057785473818E-2</v>
      </c>
      <c r="J69" t="s">
        <v>6</v>
      </c>
      <c r="L69" t="s">
        <v>225</v>
      </c>
      <c r="M69" t="s">
        <v>26</v>
      </c>
      <c r="N69">
        <v>2.2041407326784113E-2</v>
      </c>
      <c r="O69" t="s">
        <v>6</v>
      </c>
    </row>
    <row r="70" spans="2:15" x14ac:dyDescent="0.45">
      <c r="B70" t="s">
        <v>223</v>
      </c>
      <c r="C70" t="s">
        <v>27</v>
      </c>
      <c r="D70">
        <v>0</v>
      </c>
      <c r="E70" t="s">
        <v>6</v>
      </c>
      <c r="G70" t="s">
        <v>224</v>
      </c>
      <c r="H70" t="s">
        <v>27</v>
      </c>
      <c r="I70">
        <v>3.238232413750583E-2</v>
      </c>
      <c r="J70" t="s">
        <v>6</v>
      </c>
      <c r="L70" t="s">
        <v>225</v>
      </c>
      <c r="M70" t="s">
        <v>27</v>
      </c>
      <c r="N70">
        <v>3.3124682814753226E-2</v>
      </c>
      <c r="O70" t="s">
        <v>6</v>
      </c>
    </row>
    <row r="71" spans="2:15" x14ac:dyDescent="0.45">
      <c r="B71" t="s">
        <v>223</v>
      </c>
      <c r="C71" t="s">
        <v>28</v>
      </c>
      <c r="D71">
        <v>0</v>
      </c>
      <c r="E71" t="s">
        <v>6</v>
      </c>
      <c r="G71" t="s">
        <v>224</v>
      </c>
      <c r="H71" t="s">
        <v>28</v>
      </c>
      <c r="I71">
        <v>3.5240697528921498E-2</v>
      </c>
      <c r="J71" t="s">
        <v>6</v>
      </c>
      <c r="L71" t="s">
        <v>225</v>
      </c>
      <c r="M71" t="s">
        <v>28</v>
      </c>
      <c r="N71">
        <v>4.4762620390195962E-2</v>
      </c>
      <c r="O71" t="s">
        <v>6</v>
      </c>
    </row>
    <row r="72" spans="2:15" x14ac:dyDescent="0.45">
      <c r="B72" t="s">
        <v>223</v>
      </c>
      <c r="C72" t="s">
        <v>29</v>
      </c>
      <c r="D72">
        <v>1.4988262724736092E-3</v>
      </c>
      <c r="E72" t="s">
        <v>6</v>
      </c>
      <c r="G72" t="s">
        <v>224</v>
      </c>
      <c r="H72" t="s">
        <v>29</v>
      </c>
      <c r="I72">
        <v>1.2975442036517128E-2</v>
      </c>
      <c r="J72" t="s">
        <v>6</v>
      </c>
      <c r="L72" t="s">
        <v>225</v>
      </c>
      <c r="M72" t="s">
        <v>29</v>
      </c>
      <c r="N72">
        <v>1.6393797449692705E-2</v>
      </c>
      <c r="O72" t="s">
        <v>6</v>
      </c>
    </row>
    <row r="73" spans="2:15" x14ac:dyDescent="0.45">
      <c r="B73" t="s">
        <v>223</v>
      </c>
      <c r="C73" t="s">
        <v>30</v>
      </c>
      <c r="D73">
        <v>2.1298366326200354E-2</v>
      </c>
      <c r="E73" t="s">
        <v>6</v>
      </c>
      <c r="G73" t="s">
        <v>224</v>
      </c>
      <c r="H73" t="s">
        <v>30</v>
      </c>
      <c r="I73">
        <v>1.3179245033336067E-2</v>
      </c>
      <c r="J73" t="s">
        <v>6</v>
      </c>
      <c r="L73" t="s">
        <v>225</v>
      </c>
      <c r="M73" t="s">
        <v>30</v>
      </c>
      <c r="N73">
        <v>1.6614456153742525E-2</v>
      </c>
      <c r="O73" t="s">
        <v>6</v>
      </c>
    </row>
    <row r="74" spans="2:15" x14ac:dyDescent="0.45">
      <c r="B74" t="s">
        <v>223</v>
      </c>
      <c r="C74" t="s">
        <v>31</v>
      </c>
      <c r="D74">
        <v>6.0149713917335729E-2</v>
      </c>
      <c r="E74" t="s">
        <v>6</v>
      </c>
      <c r="G74" t="s">
        <v>224</v>
      </c>
      <c r="H74" t="s">
        <v>31</v>
      </c>
      <c r="I74">
        <v>1.2757468435599027E-2</v>
      </c>
      <c r="J74" t="s">
        <v>6</v>
      </c>
      <c r="L74" t="s">
        <v>225</v>
      </c>
      <c r="M74" t="s">
        <v>31</v>
      </c>
      <c r="N74">
        <v>1.5774969876399914E-2</v>
      </c>
      <c r="O74" t="s">
        <v>6</v>
      </c>
    </row>
    <row r="75" spans="2:15" x14ac:dyDescent="0.45">
      <c r="B75" t="s">
        <v>223</v>
      </c>
      <c r="C75" t="s">
        <v>32</v>
      </c>
      <c r="D75">
        <v>8.5996354593316879E-2</v>
      </c>
      <c r="E75" t="s">
        <v>6</v>
      </c>
      <c r="G75" t="s">
        <v>224</v>
      </c>
      <c r="H75" t="s">
        <v>32</v>
      </c>
      <c r="I75">
        <v>1.2941736111411714E-2</v>
      </c>
      <c r="J75" t="s">
        <v>6</v>
      </c>
      <c r="L75" t="s">
        <v>225</v>
      </c>
      <c r="M75" t="s">
        <v>32</v>
      </c>
      <c r="N75">
        <v>1.5431755188669329E-2</v>
      </c>
      <c r="O75" t="s">
        <v>6</v>
      </c>
    </row>
    <row r="76" spans="2:15" x14ac:dyDescent="0.45">
      <c r="B76" t="s">
        <v>223</v>
      </c>
      <c r="C76" t="s">
        <v>33</v>
      </c>
      <c r="D76">
        <v>9.0869194380400628E-2</v>
      </c>
      <c r="E76" t="s">
        <v>6</v>
      </c>
      <c r="G76" t="s">
        <v>224</v>
      </c>
      <c r="H76" t="s">
        <v>33</v>
      </c>
      <c r="I76">
        <v>1.415015289471442E-2</v>
      </c>
      <c r="J76" t="s">
        <v>6</v>
      </c>
      <c r="L76" t="s">
        <v>225</v>
      </c>
      <c r="M76" t="s">
        <v>33</v>
      </c>
      <c r="N76">
        <v>1.6621653432062605E-2</v>
      </c>
      <c r="O76" t="s">
        <v>6</v>
      </c>
    </row>
    <row r="77" spans="2:15" x14ac:dyDescent="0.45">
      <c r="B77" t="s">
        <v>223</v>
      </c>
      <c r="C77" t="s">
        <v>34</v>
      </c>
      <c r="D77">
        <v>7.2799918900159605E-2</v>
      </c>
      <c r="E77" t="s">
        <v>6</v>
      </c>
      <c r="G77" t="s">
        <v>224</v>
      </c>
      <c r="H77" t="s">
        <v>34</v>
      </c>
      <c r="I77">
        <v>1.5473235124088342E-2</v>
      </c>
      <c r="J77" t="s">
        <v>6</v>
      </c>
      <c r="L77" t="s">
        <v>225</v>
      </c>
      <c r="M77" t="s">
        <v>34</v>
      </c>
      <c r="N77">
        <v>1.8088877100933407E-2</v>
      </c>
      <c r="O77" t="s">
        <v>6</v>
      </c>
    </row>
    <row r="78" spans="2:15" x14ac:dyDescent="0.45">
      <c r="B78" t="s">
        <v>223</v>
      </c>
      <c r="C78" t="s">
        <v>35</v>
      </c>
      <c r="D78">
        <v>3.5757714619873641E-2</v>
      </c>
      <c r="E78" t="s">
        <v>6</v>
      </c>
      <c r="G78" t="s">
        <v>224</v>
      </c>
      <c r="H78" t="s">
        <v>35</v>
      </c>
      <c r="I78">
        <v>1.5946273832327402E-2</v>
      </c>
      <c r="J78" t="s">
        <v>6</v>
      </c>
      <c r="L78" t="s">
        <v>225</v>
      </c>
      <c r="M78" t="s">
        <v>35</v>
      </c>
      <c r="N78">
        <v>1.9283537066099678E-2</v>
      </c>
      <c r="O78" t="s">
        <v>6</v>
      </c>
    </row>
    <row r="79" spans="2:15" x14ac:dyDescent="0.45">
      <c r="B79" t="s">
        <v>223</v>
      </c>
      <c r="C79" t="s">
        <v>36</v>
      </c>
      <c r="D79">
        <v>4.1303128162849109E-3</v>
      </c>
      <c r="E79" t="s">
        <v>6</v>
      </c>
      <c r="G79" t="s">
        <v>224</v>
      </c>
      <c r="H79" t="s">
        <v>36</v>
      </c>
      <c r="I79">
        <v>1.4897662125774662E-2</v>
      </c>
      <c r="J79" t="s">
        <v>6</v>
      </c>
      <c r="L79" t="s">
        <v>225</v>
      </c>
      <c r="M79" t="s">
        <v>36</v>
      </c>
      <c r="N79">
        <v>2.0084053992616792E-2</v>
      </c>
      <c r="O79" t="s">
        <v>6</v>
      </c>
    </row>
    <row r="80" spans="2:15" x14ac:dyDescent="0.45">
      <c r="B80" t="s">
        <v>223</v>
      </c>
      <c r="C80" t="s">
        <v>37</v>
      </c>
      <c r="D80">
        <v>0</v>
      </c>
      <c r="E80" t="s">
        <v>6</v>
      </c>
      <c r="G80" t="s">
        <v>224</v>
      </c>
      <c r="H80" t="s">
        <v>37</v>
      </c>
      <c r="I80">
        <v>2.183137284934895E-2</v>
      </c>
      <c r="J80" t="s">
        <v>6</v>
      </c>
      <c r="L80" t="s">
        <v>225</v>
      </c>
      <c r="M80" t="s">
        <v>37</v>
      </c>
      <c r="N80">
        <v>3.0410272667072451E-2</v>
      </c>
      <c r="O80" t="s">
        <v>6</v>
      </c>
    </row>
    <row r="81" spans="2:15" x14ac:dyDescent="0.45">
      <c r="B81" t="s">
        <v>223</v>
      </c>
      <c r="C81" t="s">
        <v>38</v>
      </c>
      <c r="D81">
        <v>0</v>
      </c>
      <c r="E81" t="s">
        <v>6</v>
      </c>
      <c r="G81" t="s">
        <v>224</v>
      </c>
      <c r="H81" t="s">
        <v>38</v>
      </c>
      <c r="I81">
        <v>5.0525204245849949E-2</v>
      </c>
      <c r="J81" t="s">
        <v>6</v>
      </c>
      <c r="L81" t="s">
        <v>225</v>
      </c>
      <c r="M81" t="s">
        <v>38</v>
      </c>
      <c r="N81">
        <v>5.228456301644642E-2</v>
      </c>
      <c r="O81" t="s">
        <v>6</v>
      </c>
    </row>
    <row r="82" spans="2:15" x14ac:dyDescent="0.45">
      <c r="B82" t="s">
        <v>223</v>
      </c>
      <c r="C82" t="s">
        <v>39</v>
      </c>
      <c r="D82">
        <v>0</v>
      </c>
      <c r="E82" t="s">
        <v>6</v>
      </c>
      <c r="G82" t="s">
        <v>224</v>
      </c>
      <c r="H82" t="s">
        <v>39</v>
      </c>
      <c r="I82">
        <v>2.0128208689288135E-2</v>
      </c>
      <c r="J82" t="s">
        <v>6</v>
      </c>
      <c r="L82" t="s">
        <v>225</v>
      </c>
      <c r="M82" t="s">
        <v>39</v>
      </c>
      <c r="N82">
        <v>2.0206090750198247E-2</v>
      </c>
      <c r="O82" t="s">
        <v>6</v>
      </c>
    </row>
    <row r="83" spans="2:15" x14ac:dyDescent="0.45">
      <c r="B83" t="s">
        <v>223</v>
      </c>
      <c r="C83" t="s">
        <v>40</v>
      </c>
      <c r="D83">
        <v>4.3515860681548144E-3</v>
      </c>
      <c r="E83" t="s">
        <v>6</v>
      </c>
      <c r="G83" t="s">
        <v>224</v>
      </c>
      <c r="H83" t="s">
        <v>40</v>
      </c>
      <c r="I83">
        <v>2.0673137810484358E-2</v>
      </c>
      <c r="J83" t="s">
        <v>6</v>
      </c>
      <c r="L83" t="s">
        <v>225</v>
      </c>
      <c r="M83" t="s">
        <v>40</v>
      </c>
      <c r="N83">
        <v>2.0547460947861418E-2</v>
      </c>
      <c r="O83" t="s">
        <v>6</v>
      </c>
    </row>
    <row r="84" spans="2:15" x14ac:dyDescent="0.45">
      <c r="B84" t="s">
        <v>223</v>
      </c>
      <c r="C84" t="s">
        <v>41</v>
      </c>
      <c r="D84">
        <v>3.0798981803799606E-2</v>
      </c>
      <c r="E84" t="s">
        <v>6</v>
      </c>
      <c r="G84" t="s">
        <v>224</v>
      </c>
      <c r="H84" t="s">
        <v>41</v>
      </c>
      <c r="I84">
        <v>2.1423449641796894E-2</v>
      </c>
      <c r="J84" t="s">
        <v>6</v>
      </c>
      <c r="L84" t="s">
        <v>225</v>
      </c>
      <c r="M84" t="s">
        <v>41</v>
      </c>
      <c r="N84">
        <v>2.1510869245346939E-2</v>
      </c>
      <c r="O84" t="s">
        <v>6</v>
      </c>
    </row>
    <row r="85" spans="2:15" x14ac:dyDescent="0.45">
      <c r="B85" t="s">
        <v>223</v>
      </c>
      <c r="C85" t="s">
        <v>42</v>
      </c>
      <c r="D85">
        <v>5.4281857673904893E-2</v>
      </c>
      <c r="E85" t="s">
        <v>6</v>
      </c>
      <c r="G85" t="s">
        <v>224</v>
      </c>
      <c r="H85" t="s">
        <v>42</v>
      </c>
      <c r="I85">
        <v>2.1873340915457912E-2</v>
      </c>
      <c r="J85" t="s">
        <v>6</v>
      </c>
      <c r="L85" t="s">
        <v>225</v>
      </c>
      <c r="M85" t="s">
        <v>42</v>
      </c>
      <c r="N85">
        <v>2.1324610006973947E-2</v>
      </c>
      <c r="O85" t="s">
        <v>6</v>
      </c>
    </row>
    <row r="86" spans="2:15" x14ac:dyDescent="0.45">
      <c r="B86" t="s">
        <v>223</v>
      </c>
      <c r="C86" t="s">
        <v>43</v>
      </c>
      <c r="D86">
        <v>5.6646103285696414E-2</v>
      </c>
      <c r="E86" t="s">
        <v>6</v>
      </c>
      <c r="G86" t="s">
        <v>224</v>
      </c>
      <c r="H86" t="s">
        <v>43</v>
      </c>
      <c r="I86">
        <v>2.1945008935769433E-2</v>
      </c>
      <c r="J86" t="s">
        <v>6</v>
      </c>
      <c r="L86" t="s">
        <v>225</v>
      </c>
      <c r="M86" t="s">
        <v>43</v>
      </c>
      <c r="N86">
        <v>2.123592338780585E-2</v>
      </c>
      <c r="O86" t="s">
        <v>6</v>
      </c>
    </row>
    <row r="87" spans="2:15" x14ac:dyDescent="0.45">
      <c r="B87" t="s">
        <v>223</v>
      </c>
      <c r="C87" t="s">
        <v>44</v>
      </c>
      <c r="D87">
        <v>3.5372092241221322E-2</v>
      </c>
      <c r="E87" t="s">
        <v>6</v>
      </c>
      <c r="G87" t="s">
        <v>224</v>
      </c>
      <c r="H87" t="s">
        <v>44</v>
      </c>
      <c r="I87">
        <v>2.2112234273128875E-2</v>
      </c>
      <c r="J87" t="s">
        <v>6</v>
      </c>
      <c r="L87" t="s">
        <v>225</v>
      </c>
      <c r="M87" t="s">
        <v>44</v>
      </c>
      <c r="N87">
        <v>2.1815387544357766E-2</v>
      </c>
      <c r="O87" t="s">
        <v>6</v>
      </c>
    </row>
    <row r="88" spans="2:15" x14ac:dyDescent="0.45">
      <c r="B88" t="s">
        <v>223</v>
      </c>
      <c r="C88" t="s">
        <v>45</v>
      </c>
      <c r="D88">
        <v>7.4899247354234151E-3</v>
      </c>
      <c r="E88" t="s">
        <v>6</v>
      </c>
      <c r="G88" t="s">
        <v>224</v>
      </c>
      <c r="H88" t="s">
        <v>45</v>
      </c>
      <c r="I88">
        <v>2.1695141283298587E-2</v>
      </c>
      <c r="J88" t="s">
        <v>6</v>
      </c>
      <c r="L88" t="s">
        <v>225</v>
      </c>
      <c r="M88" t="s">
        <v>45</v>
      </c>
      <c r="N88">
        <v>2.2787064796661528E-2</v>
      </c>
      <c r="O88" t="s">
        <v>6</v>
      </c>
    </row>
    <row r="89" spans="2:15" x14ac:dyDescent="0.45">
      <c r="B89" t="s">
        <v>223</v>
      </c>
      <c r="C89" t="s">
        <v>46</v>
      </c>
      <c r="D89">
        <v>3.4685122618899183E-5</v>
      </c>
      <c r="E89" t="s">
        <v>6</v>
      </c>
      <c r="G89" t="s">
        <v>224</v>
      </c>
      <c r="H89" t="s">
        <v>46</v>
      </c>
      <c r="I89">
        <v>2.0834044454938368E-2</v>
      </c>
      <c r="J89" t="s">
        <v>6</v>
      </c>
      <c r="L89" t="s">
        <v>225</v>
      </c>
      <c r="M89" t="s">
        <v>46</v>
      </c>
      <c r="N89">
        <v>2.2823545860938398E-2</v>
      </c>
      <c r="O89" t="s">
        <v>6</v>
      </c>
    </row>
    <row r="90" spans="2:15" x14ac:dyDescent="0.45">
      <c r="B90" t="s">
        <v>223</v>
      </c>
      <c r="C90" t="s">
        <v>47</v>
      </c>
      <c r="D90">
        <v>0</v>
      </c>
      <c r="E90" t="s">
        <v>6</v>
      </c>
      <c r="G90" t="s">
        <v>224</v>
      </c>
      <c r="H90" t="s">
        <v>47</v>
      </c>
      <c r="I90">
        <v>3.078083829597178E-2</v>
      </c>
      <c r="J90" t="s">
        <v>6</v>
      </c>
      <c r="L90" t="s">
        <v>225</v>
      </c>
      <c r="M90" t="s">
        <v>47</v>
      </c>
      <c r="N90">
        <v>3.3294685015193642E-2</v>
      </c>
      <c r="O90" t="s">
        <v>6</v>
      </c>
    </row>
    <row r="91" spans="2:15" x14ac:dyDescent="0.45">
      <c r="B91" t="s">
        <v>226</v>
      </c>
      <c r="C91" t="s">
        <v>5</v>
      </c>
      <c r="D91">
        <v>0</v>
      </c>
      <c r="E91" t="s">
        <v>6</v>
      </c>
      <c r="G91" t="s">
        <v>227</v>
      </c>
      <c r="H91" t="s">
        <v>5</v>
      </c>
      <c r="I91">
        <v>6.4579218190393181E-2</v>
      </c>
      <c r="J91" t="s">
        <v>6</v>
      </c>
      <c r="L91" t="s">
        <v>228</v>
      </c>
      <c r="M91" t="s">
        <v>5</v>
      </c>
      <c r="N91">
        <v>5.9664134703771736E-2</v>
      </c>
      <c r="O91" t="s">
        <v>6</v>
      </c>
    </row>
    <row r="92" spans="2:15" x14ac:dyDescent="0.45">
      <c r="B92" t="s">
        <v>226</v>
      </c>
      <c r="C92" t="s">
        <v>9</v>
      </c>
      <c r="D92">
        <v>0</v>
      </c>
      <c r="E92" t="s">
        <v>6</v>
      </c>
      <c r="G92" t="s">
        <v>227</v>
      </c>
      <c r="H92" t="s">
        <v>9</v>
      </c>
      <c r="I92">
        <v>2.527542013282276E-2</v>
      </c>
      <c r="J92" t="s">
        <v>6</v>
      </c>
      <c r="L92" t="s">
        <v>228</v>
      </c>
      <c r="M92" t="s">
        <v>9</v>
      </c>
      <c r="N92">
        <v>2.4023924138487793E-2</v>
      </c>
      <c r="O92" t="s">
        <v>6</v>
      </c>
    </row>
    <row r="93" spans="2:15" x14ac:dyDescent="0.45">
      <c r="B93" t="s">
        <v>226</v>
      </c>
      <c r="C93" t="s">
        <v>10</v>
      </c>
      <c r="D93">
        <v>2.6126101304995347E-4</v>
      </c>
      <c r="E93" t="s">
        <v>6</v>
      </c>
      <c r="G93" t="s">
        <v>227</v>
      </c>
      <c r="H93" t="s">
        <v>10</v>
      </c>
      <c r="I93">
        <v>2.5094476405659569E-2</v>
      </c>
      <c r="J93" t="s">
        <v>6</v>
      </c>
      <c r="L93" t="s">
        <v>228</v>
      </c>
      <c r="M93" t="s">
        <v>10</v>
      </c>
      <c r="N93">
        <v>2.4146194370306896E-2</v>
      </c>
      <c r="O93" t="s">
        <v>6</v>
      </c>
    </row>
    <row r="94" spans="2:15" x14ac:dyDescent="0.45">
      <c r="B94" t="s">
        <v>226</v>
      </c>
      <c r="C94" t="s">
        <v>11</v>
      </c>
      <c r="D94">
        <v>1.4840966911764251E-2</v>
      </c>
      <c r="E94" t="s">
        <v>6</v>
      </c>
      <c r="G94" t="s">
        <v>227</v>
      </c>
      <c r="H94" t="s">
        <v>11</v>
      </c>
      <c r="I94">
        <v>2.4302418086241399E-2</v>
      </c>
      <c r="J94" t="s">
        <v>6</v>
      </c>
      <c r="L94" t="s">
        <v>228</v>
      </c>
      <c r="M94" t="s">
        <v>11</v>
      </c>
      <c r="N94">
        <v>2.3377692033645956E-2</v>
      </c>
      <c r="O94" t="s">
        <v>6</v>
      </c>
    </row>
    <row r="95" spans="2:15" x14ac:dyDescent="0.45">
      <c r="B95" t="s">
        <v>226</v>
      </c>
      <c r="C95" t="s">
        <v>12</v>
      </c>
      <c r="D95">
        <v>3.9222675824127674E-2</v>
      </c>
      <c r="E95" t="s">
        <v>6</v>
      </c>
      <c r="G95" t="s">
        <v>227</v>
      </c>
      <c r="H95" t="s">
        <v>12</v>
      </c>
      <c r="I95">
        <v>2.4467024988913965E-2</v>
      </c>
      <c r="J95" t="s">
        <v>6</v>
      </c>
      <c r="L95" t="s">
        <v>228</v>
      </c>
      <c r="M95" t="s">
        <v>12</v>
      </c>
      <c r="N95">
        <v>2.2760090231242713E-2</v>
      </c>
      <c r="O95" t="s">
        <v>6</v>
      </c>
    </row>
    <row r="96" spans="2:15" x14ac:dyDescent="0.45">
      <c r="B96" t="s">
        <v>226</v>
      </c>
      <c r="C96" t="s">
        <v>13</v>
      </c>
      <c r="D96">
        <v>4.2683022178097697E-2</v>
      </c>
      <c r="E96" t="s">
        <v>6</v>
      </c>
      <c r="G96" t="s">
        <v>227</v>
      </c>
      <c r="H96" t="s">
        <v>13</v>
      </c>
      <c r="I96">
        <v>2.4660855047516639E-2</v>
      </c>
      <c r="J96" t="s">
        <v>6</v>
      </c>
      <c r="L96" t="s">
        <v>228</v>
      </c>
      <c r="M96" t="s">
        <v>13</v>
      </c>
      <c r="N96">
        <v>2.2694474334310967E-2</v>
      </c>
      <c r="O96" t="s">
        <v>6</v>
      </c>
    </row>
    <row r="97" spans="2:15" x14ac:dyDescent="0.45">
      <c r="B97" t="s">
        <v>226</v>
      </c>
      <c r="C97" t="s">
        <v>14</v>
      </c>
      <c r="D97">
        <v>2.460152707256897E-2</v>
      </c>
      <c r="E97" t="s">
        <v>6</v>
      </c>
      <c r="G97" t="s">
        <v>227</v>
      </c>
      <c r="H97" t="s">
        <v>14</v>
      </c>
      <c r="I97">
        <v>2.4723182177481255E-2</v>
      </c>
      <c r="J97" t="s">
        <v>6</v>
      </c>
      <c r="L97" t="s">
        <v>228</v>
      </c>
      <c r="M97" t="s">
        <v>14</v>
      </c>
      <c r="N97">
        <v>2.3108244729828652E-2</v>
      </c>
      <c r="O97" t="s">
        <v>6</v>
      </c>
    </row>
    <row r="98" spans="2:15" x14ac:dyDescent="0.45">
      <c r="B98" t="s">
        <v>226</v>
      </c>
      <c r="C98" t="s">
        <v>15</v>
      </c>
      <c r="D98">
        <v>2.8304512193032495E-3</v>
      </c>
      <c r="E98" t="s">
        <v>6</v>
      </c>
      <c r="G98" t="s">
        <v>227</v>
      </c>
      <c r="H98" t="s">
        <v>15</v>
      </c>
      <c r="I98">
        <v>2.5480842837107484E-2</v>
      </c>
      <c r="J98" t="s">
        <v>6</v>
      </c>
      <c r="L98" t="s">
        <v>228</v>
      </c>
      <c r="M98" t="s">
        <v>15</v>
      </c>
      <c r="N98">
        <v>2.4025147623973502E-2</v>
      </c>
      <c r="O98" t="s">
        <v>6</v>
      </c>
    </row>
    <row r="99" spans="2:15" x14ac:dyDescent="0.45">
      <c r="B99" t="s">
        <v>226</v>
      </c>
      <c r="C99" t="s">
        <v>16</v>
      </c>
      <c r="D99">
        <v>0</v>
      </c>
      <c r="E99" t="s">
        <v>6</v>
      </c>
      <c r="G99" t="s">
        <v>227</v>
      </c>
      <c r="H99" t="s">
        <v>16</v>
      </c>
      <c r="I99">
        <v>2.6455927414115739E-2</v>
      </c>
      <c r="J99" t="s">
        <v>6</v>
      </c>
      <c r="L99" t="s">
        <v>228</v>
      </c>
      <c r="M99" t="s">
        <v>16</v>
      </c>
      <c r="N99">
        <v>2.444324427853236E-2</v>
      </c>
      <c r="O99" t="s">
        <v>6</v>
      </c>
    </row>
    <row r="100" spans="2:15" x14ac:dyDescent="0.45">
      <c r="B100" t="s">
        <v>226</v>
      </c>
      <c r="C100" t="s">
        <v>17</v>
      </c>
      <c r="D100">
        <v>0</v>
      </c>
      <c r="E100" t="s">
        <v>6</v>
      </c>
      <c r="G100" t="s">
        <v>227</v>
      </c>
      <c r="H100" t="s">
        <v>17</v>
      </c>
      <c r="I100">
        <v>3.9646411064101737E-2</v>
      </c>
      <c r="J100" t="s">
        <v>6</v>
      </c>
      <c r="L100" t="s">
        <v>228</v>
      </c>
      <c r="M100" t="s">
        <v>17</v>
      </c>
      <c r="N100">
        <v>3.6584593161779401E-2</v>
      </c>
      <c r="O100" t="s">
        <v>6</v>
      </c>
    </row>
    <row r="101" spans="2:15" x14ac:dyDescent="0.45">
      <c r="B101" t="s">
        <v>226</v>
      </c>
      <c r="C101" t="s">
        <v>18</v>
      </c>
      <c r="D101">
        <v>0</v>
      </c>
      <c r="E101" t="s">
        <v>6</v>
      </c>
      <c r="G101" t="s">
        <v>227</v>
      </c>
      <c r="H101" t="s">
        <v>18</v>
      </c>
      <c r="I101">
        <v>5.2330190516164173E-2</v>
      </c>
      <c r="J101" t="s">
        <v>6</v>
      </c>
      <c r="L101" t="s">
        <v>228</v>
      </c>
      <c r="M101" t="s">
        <v>18</v>
      </c>
      <c r="N101">
        <v>5.3511389586200449E-2</v>
      </c>
      <c r="O101" t="s">
        <v>6</v>
      </c>
    </row>
    <row r="102" spans="2:15" x14ac:dyDescent="0.45">
      <c r="B102" t="s">
        <v>226</v>
      </c>
      <c r="C102" t="s">
        <v>19</v>
      </c>
      <c r="D102">
        <v>7.1705042113233679E-4</v>
      </c>
      <c r="E102" t="s">
        <v>6</v>
      </c>
      <c r="G102" t="s">
        <v>227</v>
      </c>
      <c r="H102" t="s">
        <v>19</v>
      </c>
      <c r="I102">
        <v>2.0999973528690565E-2</v>
      </c>
      <c r="J102" t="s">
        <v>6</v>
      </c>
      <c r="L102" t="s">
        <v>228</v>
      </c>
      <c r="M102" t="s">
        <v>19</v>
      </c>
      <c r="N102">
        <v>2.1742810342724458E-2</v>
      </c>
      <c r="O102" t="s">
        <v>6</v>
      </c>
    </row>
    <row r="103" spans="2:15" x14ac:dyDescent="0.45">
      <c r="B103" t="s">
        <v>226</v>
      </c>
      <c r="C103" t="s">
        <v>20</v>
      </c>
      <c r="D103">
        <v>1.7249153874536887E-2</v>
      </c>
      <c r="E103" t="s">
        <v>6</v>
      </c>
      <c r="G103" t="s">
        <v>227</v>
      </c>
      <c r="H103" t="s">
        <v>20</v>
      </c>
      <c r="I103">
        <v>2.1559316269638019E-2</v>
      </c>
      <c r="J103" t="s">
        <v>6</v>
      </c>
      <c r="L103" t="s">
        <v>228</v>
      </c>
      <c r="M103" t="s">
        <v>20</v>
      </c>
      <c r="N103">
        <v>2.1731855586968989E-2</v>
      </c>
      <c r="O103" t="s">
        <v>6</v>
      </c>
    </row>
    <row r="104" spans="2:15" x14ac:dyDescent="0.45">
      <c r="B104" t="s">
        <v>226</v>
      </c>
      <c r="C104" t="s">
        <v>21</v>
      </c>
      <c r="D104">
        <v>5.5764877355978841E-2</v>
      </c>
      <c r="E104" t="s">
        <v>6</v>
      </c>
      <c r="G104" t="s">
        <v>227</v>
      </c>
      <c r="H104" t="s">
        <v>21</v>
      </c>
      <c r="I104">
        <v>2.2857554474325022E-2</v>
      </c>
      <c r="J104" t="s">
        <v>6</v>
      </c>
      <c r="L104" t="s">
        <v>228</v>
      </c>
      <c r="M104" t="s">
        <v>21</v>
      </c>
      <c r="N104">
        <v>2.1215713896667363E-2</v>
      </c>
      <c r="O104" t="s">
        <v>6</v>
      </c>
    </row>
    <row r="105" spans="2:15" x14ac:dyDescent="0.45">
      <c r="B105" t="s">
        <v>226</v>
      </c>
      <c r="C105" t="s">
        <v>22</v>
      </c>
      <c r="D105">
        <v>7.9740404383786143E-2</v>
      </c>
      <c r="E105" t="s">
        <v>6</v>
      </c>
      <c r="G105" t="s">
        <v>227</v>
      </c>
      <c r="H105" t="s">
        <v>22</v>
      </c>
      <c r="I105">
        <v>2.3624460865831368E-2</v>
      </c>
      <c r="J105" t="s">
        <v>6</v>
      </c>
      <c r="L105" t="s">
        <v>228</v>
      </c>
      <c r="M105" t="s">
        <v>22</v>
      </c>
      <c r="N105">
        <v>2.1044357363584055E-2</v>
      </c>
      <c r="O105" t="s">
        <v>6</v>
      </c>
    </row>
    <row r="106" spans="2:15" x14ac:dyDescent="0.45">
      <c r="B106" t="s">
        <v>226</v>
      </c>
      <c r="C106" t="s">
        <v>23</v>
      </c>
      <c r="D106">
        <v>7.9795611006317518E-2</v>
      </c>
      <c r="E106" t="s">
        <v>6</v>
      </c>
      <c r="G106" t="s">
        <v>227</v>
      </c>
      <c r="H106" t="s">
        <v>23</v>
      </c>
      <c r="I106">
        <v>2.3676199505737024E-2</v>
      </c>
      <c r="J106" t="s">
        <v>6</v>
      </c>
      <c r="L106" t="s">
        <v>228</v>
      </c>
      <c r="M106" t="s">
        <v>23</v>
      </c>
      <c r="N106">
        <v>2.1631989328531231E-2</v>
      </c>
      <c r="O106" t="s">
        <v>6</v>
      </c>
    </row>
    <row r="107" spans="2:15" x14ac:dyDescent="0.45">
      <c r="B107" t="s">
        <v>226</v>
      </c>
      <c r="C107" t="s">
        <v>24</v>
      </c>
      <c r="D107">
        <v>6.229464035144705E-2</v>
      </c>
      <c r="E107" t="s">
        <v>6</v>
      </c>
      <c r="G107" t="s">
        <v>227</v>
      </c>
      <c r="H107" t="s">
        <v>24</v>
      </c>
      <c r="I107">
        <v>2.3659309568555515E-2</v>
      </c>
      <c r="J107" t="s">
        <v>6</v>
      </c>
      <c r="L107" t="s">
        <v>228</v>
      </c>
      <c r="M107" t="s">
        <v>24</v>
      </c>
      <c r="N107">
        <v>2.2173220476162221E-2</v>
      </c>
      <c r="O107" t="s">
        <v>6</v>
      </c>
    </row>
    <row r="108" spans="2:15" x14ac:dyDescent="0.45">
      <c r="B108" t="s">
        <v>226</v>
      </c>
      <c r="C108" t="s">
        <v>25</v>
      </c>
      <c r="D108">
        <v>2.7236849996733536E-2</v>
      </c>
      <c r="E108" t="s">
        <v>6</v>
      </c>
      <c r="G108" t="s">
        <v>227</v>
      </c>
      <c r="H108" t="s">
        <v>25</v>
      </c>
      <c r="I108">
        <v>2.2276480708912572E-2</v>
      </c>
      <c r="J108" t="s">
        <v>6</v>
      </c>
      <c r="L108" t="s">
        <v>228</v>
      </c>
      <c r="M108" t="s">
        <v>25</v>
      </c>
      <c r="N108">
        <v>2.2387959001636103E-2</v>
      </c>
      <c r="O108" t="s">
        <v>6</v>
      </c>
    </row>
    <row r="109" spans="2:15" x14ac:dyDescent="0.45">
      <c r="B109" t="s">
        <v>226</v>
      </c>
      <c r="C109" t="s">
        <v>26</v>
      </c>
      <c r="D109">
        <v>1.4936267248123662E-3</v>
      </c>
      <c r="E109" t="s">
        <v>6</v>
      </c>
      <c r="G109" t="s">
        <v>227</v>
      </c>
      <c r="H109" t="s">
        <v>26</v>
      </c>
      <c r="I109">
        <v>2.1850187242826797E-2</v>
      </c>
      <c r="J109" t="s">
        <v>6</v>
      </c>
      <c r="L109" t="s">
        <v>228</v>
      </c>
      <c r="M109" t="s">
        <v>26</v>
      </c>
      <c r="N109">
        <v>2.256421124721282E-2</v>
      </c>
      <c r="O109" t="s">
        <v>6</v>
      </c>
    </row>
    <row r="110" spans="2:15" x14ac:dyDescent="0.45">
      <c r="B110" t="s">
        <v>226</v>
      </c>
      <c r="C110" t="s">
        <v>27</v>
      </c>
      <c r="D110">
        <v>0</v>
      </c>
      <c r="E110" t="s">
        <v>6</v>
      </c>
      <c r="G110" t="s">
        <v>227</v>
      </c>
      <c r="H110" t="s">
        <v>27</v>
      </c>
      <c r="I110">
        <v>3.1762314389261463E-2</v>
      </c>
      <c r="J110" t="s">
        <v>6</v>
      </c>
      <c r="L110" t="s">
        <v>228</v>
      </c>
      <c r="M110" t="s">
        <v>27</v>
      </c>
      <c r="N110">
        <v>3.3219650694815153E-2</v>
      </c>
      <c r="O110" t="s">
        <v>6</v>
      </c>
    </row>
    <row r="111" spans="2:15" x14ac:dyDescent="0.45">
      <c r="B111" t="s">
        <v>226</v>
      </c>
      <c r="C111" t="s">
        <v>28</v>
      </c>
      <c r="D111">
        <v>0</v>
      </c>
      <c r="E111" t="s">
        <v>6</v>
      </c>
      <c r="G111" t="s">
        <v>227</v>
      </c>
      <c r="H111" t="s">
        <v>28</v>
      </c>
      <c r="I111">
        <v>3.2264134977634661E-2</v>
      </c>
      <c r="J111" t="s">
        <v>6</v>
      </c>
      <c r="L111" t="s">
        <v>228</v>
      </c>
      <c r="M111" t="s">
        <v>28</v>
      </c>
      <c r="N111">
        <v>4.0276454649981634E-2</v>
      </c>
      <c r="O111" t="s">
        <v>6</v>
      </c>
    </row>
    <row r="112" spans="2:15" x14ac:dyDescent="0.45">
      <c r="B112" t="s">
        <v>226</v>
      </c>
      <c r="C112" t="s">
        <v>29</v>
      </c>
      <c r="D112">
        <v>1.6967628872079843E-3</v>
      </c>
      <c r="E112" t="s">
        <v>6</v>
      </c>
      <c r="G112" t="s">
        <v>227</v>
      </c>
      <c r="H112" t="s">
        <v>29</v>
      </c>
      <c r="I112">
        <v>1.1686545476450953E-2</v>
      </c>
      <c r="J112" t="s">
        <v>6</v>
      </c>
      <c r="L112" t="s">
        <v>228</v>
      </c>
      <c r="M112" t="s">
        <v>29</v>
      </c>
      <c r="N112">
        <v>1.5322679246133109E-2</v>
      </c>
      <c r="O112" t="s">
        <v>6</v>
      </c>
    </row>
    <row r="113" spans="2:15" x14ac:dyDescent="0.45">
      <c r="B113" t="s">
        <v>226</v>
      </c>
      <c r="C113" t="s">
        <v>30</v>
      </c>
      <c r="D113">
        <v>2.2542735973509042E-2</v>
      </c>
      <c r="E113" t="s">
        <v>6</v>
      </c>
      <c r="G113" t="s">
        <v>227</v>
      </c>
      <c r="H113" t="s">
        <v>30</v>
      </c>
      <c r="I113">
        <v>1.197578847662688E-2</v>
      </c>
      <c r="J113" t="s">
        <v>6</v>
      </c>
      <c r="L113" t="s">
        <v>228</v>
      </c>
      <c r="M113" t="s">
        <v>30</v>
      </c>
      <c r="N113">
        <v>1.4982249078605693E-2</v>
      </c>
      <c r="O113" t="s">
        <v>6</v>
      </c>
    </row>
    <row r="114" spans="2:15" x14ac:dyDescent="0.45">
      <c r="B114" t="s">
        <v>226</v>
      </c>
      <c r="C114" t="s">
        <v>31</v>
      </c>
      <c r="D114">
        <v>6.005569747757649E-2</v>
      </c>
      <c r="E114" t="s">
        <v>6</v>
      </c>
      <c r="G114" t="s">
        <v>227</v>
      </c>
      <c r="H114" t="s">
        <v>31</v>
      </c>
      <c r="I114">
        <v>1.2396288216448604E-2</v>
      </c>
      <c r="J114" t="s">
        <v>6</v>
      </c>
      <c r="L114" t="s">
        <v>228</v>
      </c>
      <c r="M114" t="s">
        <v>31</v>
      </c>
      <c r="N114">
        <v>1.4243604378651999E-2</v>
      </c>
      <c r="O114" t="s">
        <v>6</v>
      </c>
    </row>
    <row r="115" spans="2:15" x14ac:dyDescent="0.45">
      <c r="B115" t="s">
        <v>226</v>
      </c>
      <c r="C115" t="s">
        <v>32</v>
      </c>
      <c r="D115">
        <v>8.4236801600718045E-2</v>
      </c>
      <c r="E115" t="s">
        <v>6</v>
      </c>
      <c r="G115" t="s">
        <v>227</v>
      </c>
      <c r="H115" t="s">
        <v>32</v>
      </c>
      <c r="I115">
        <v>1.3270297213444813E-2</v>
      </c>
      <c r="J115" t="s">
        <v>6</v>
      </c>
      <c r="L115" t="s">
        <v>228</v>
      </c>
      <c r="M115" t="s">
        <v>32</v>
      </c>
      <c r="N115">
        <v>1.4248895376044455E-2</v>
      </c>
      <c r="O115" t="s">
        <v>6</v>
      </c>
    </row>
    <row r="116" spans="2:15" x14ac:dyDescent="0.45">
      <c r="B116" t="s">
        <v>226</v>
      </c>
      <c r="C116" t="s">
        <v>33</v>
      </c>
      <c r="D116">
        <v>8.7530877409068855E-2</v>
      </c>
      <c r="E116" t="s">
        <v>6</v>
      </c>
      <c r="G116" t="s">
        <v>227</v>
      </c>
      <c r="H116" t="s">
        <v>33</v>
      </c>
      <c r="I116">
        <v>1.4319423674430534E-2</v>
      </c>
      <c r="J116" t="s">
        <v>6</v>
      </c>
      <c r="L116" t="s">
        <v>228</v>
      </c>
      <c r="M116" t="s">
        <v>33</v>
      </c>
      <c r="N116">
        <v>1.5330237915375175E-2</v>
      </c>
      <c r="O116" t="s">
        <v>6</v>
      </c>
    </row>
    <row r="117" spans="2:15" x14ac:dyDescent="0.45">
      <c r="B117" t="s">
        <v>226</v>
      </c>
      <c r="C117" t="s">
        <v>34</v>
      </c>
      <c r="D117">
        <v>7.1660647439356059E-2</v>
      </c>
      <c r="E117" t="s">
        <v>6</v>
      </c>
      <c r="G117" t="s">
        <v>227</v>
      </c>
      <c r="H117" t="s">
        <v>34</v>
      </c>
      <c r="I117">
        <v>1.4561759431218742E-2</v>
      </c>
      <c r="J117" t="s">
        <v>6</v>
      </c>
      <c r="L117" t="s">
        <v>228</v>
      </c>
      <c r="M117" t="s">
        <v>34</v>
      </c>
      <c r="N117">
        <v>1.6152716182799759E-2</v>
      </c>
      <c r="O117" t="s">
        <v>6</v>
      </c>
    </row>
    <row r="118" spans="2:15" x14ac:dyDescent="0.45">
      <c r="B118" t="s">
        <v>226</v>
      </c>
      <c r="C118" t="s">
        <v>35</v>
      </c>
      <c r="D118">
        <v>3.6122138426684096E-2</v>
      </c>
      <c r="E118" t="s">
        <v>6</v>
      </c>
      <c r="G118" t="s">
        <v>227</v>
      </c>
      <c r="H118" t="s">
        <v>35</v>
      </c>
      <c r="I118">
        <v>1.3760174398837392E-2</v>
      </c>
      <c r="J118" t="s">
        <v>6</v>
      </c>
      <c r="L118" t="s">
        <v>228</v>
      </c>
      <c r="M118" t="s">
        <v>35</v>
      </c>
      <c r="N118">
        <v>1.6419458238010987E-2</v>
      </c>
      <c r="O118" t="s">
        <v>6</v>
      </c>
    </row>
    <row r="119" spans="2:15" x14ac:dyDescent="0.45">
      <c r="B119" t="s">
        <v>226</v>
      </c>
      <c r="C119" t="s">
        <v>36</v>
      </c>
      <c r="D119">
        <v>4.3938125540647693E-3</v>
      </c>
      <c r="E119" t="s">
        <v>6</v>
      </c>
      <c r="G119" t="s">
        <v>227</v>
      </c>
      <c r="H119" t="s">
        <v>36</v>
      </c>
      <c r="I119">
        <v>1.3613016480229454E-2</v>
      </c>
      <c r="J119" t="s">
        <v>6</v>
      </c>
      <c r="L119" t="s">
        <v>228</v>
      </c>
      <c r="M119" t="s">
        <v>36</v>
      </c>
      <c r="N119">
        <v>1.6910124679361302E-2</v>
      </c>
      <c r="O119" t="s">
        <v>6</v>
      </c>
    </row>
    <row r="120" spans="2:15" x14ac:dyDescent="0.45">
      <c r="B120" t="s">
        <v>226</v>
      </c>
      <c r="C120" t="s">
        <v>37</v>
      </c>
      <c r="D120">
        <v>6.5329143792838249E-8</v>
      </c>
      <c r="E120" t="s">
        <v>6</v>
      </c>
      <c r="G120" t="s">
        <v>227</v>
      </c>
      <c r="H120" t="s">
        <v>37</v>
      </c>
      <c r="I120">
        <v>2.0179336823584838E-2</v>
      </c>
      <c r="J120" t="s">
        <v>6</v>
      </c>
      <c r="L120" t="s">
        <v>228</v>
      </c>
      <c r="M120" t="s">
        <v>37</v>
      </c>
      <c r="N120">
        <v>2.5884591284949771E-2</v>
      </c>
      <c r="O120" t="s">
        <v>6</v>
      </c>
    </row>
    <row r="121" spans="2:15" x14ac:dyDescent="0.45">
      <c r="B121" t="s">
        <v>226</v>
      </c>
      <c r="C121" t="s">
        <v>38</v>
      </c>
      <c r="D121">
        <v>0</v>
      </c>
      <c r="E121" t="s">
        <v>6</v>
      </c>
      <c r="G121" t="s">
        <v>227</v>
      </c>
      <c r="H121" t="s">
        <v>38</v>
      </c>
      <c r="I121">
        <v>5.7692790487230167E-2</v>
      </c>
      <c r="J121" t="s">
        <v>6</v>
      </c>
      <c r="L121" t="s">
        <v>228</v>
      </c>
      <c r="M121" t="s">
        <v>38</v>
      </c>
      <c r="N121">
        <v>5.4439395439132759E-2</v>
      </c>
      <c r="O121" t="s">
        <v>6</v>
      </c>
    </row>
    <row r="122" spans="2:15" x14ac:dyDescent="0.45">
      <c r="B122" t="s">
        <v>226</v>
      </c>
      <c r="C122" t="s">
        <v>39</v>
      </c>
      <c r="D122">
        <v>0</v>
      </c>
      <c r="E122" t="s">
        <v>6</v>
      </c>
      <c r="G122" t="s">
        <v>227</v>
      </c>
      <c r="H122" t="s">
        <v>39</v>
      </c>
      <c r="I122">
        <v>2.2037283514263876E-2</v>
      </c>
      <c r="J122" t="s">
        <v>6</v>
      </c>
      <c r="L122" t="s">
        <v>228</v>
      </c>
      <c r="M122" t="s">
        <v>39</v>
      </c>
      <c r="N122">
        <v>2.1663956366654268E-2</v>
      </c>
      <c r="O122" t="s">
        <v>6</v>
      </c>
    </row>
    <row r="123" spans="2:15" x14ac:dyDescent="0.45">
      <c r="B123" t="s">
        <v>226</v>
      </c>
      <c r="C123" t="s">
        <v>40</v>
      </c>
      <c r="D123">
        <v>4.1456247140148018E-3</v>
      </c>
      <c r="E123" t="s">
        <v>6</v>
      </c>
      <c r="G123" t="s">
        <v>227</v>
      </c>
      <c r="H123" t="s">
        <v>40</v>
      </c>
      <c r="I123">
        <v>2.189924648933431E-2</v>
      </c>
      <c r="J123" t="s">
        <v>6</v>
      </c>
      <c r="L123" t="s">
        <v>228</v>
      </c>
      <c r="M123" t="s">
        <v>40</v>
      </c>
      <c r="N123">
        <v>2.1529039768495396E-2</v>
      </c>
      <c r="O123" t="s">
        <v>6</v>
      </c>
    </row>
    <row r="124" spans="2:15" x14ac:dyDescent="0.45">
      <c r="B124" t="s">
        <v>226</v>
      </c>
      <c r="C124" t="s">
        <v>41</v>
      </c>
      <c r="D124">
        <v>2.9081573216005428E-2</v>
      </c>
      <c r="E124" t="s">
        <v>6</v>
      </c>
      <c r="G124" t="s">
        <v>227</v>
      </c>
      <c r="H124" t="s">
        <v>41</v>
      </c>
      <c r="I124">
        <v>2.1688822320370338E-2</v>
      </c>
      <c r="J124" t="s">
        <v>6</v>
      </c>
      <c r="L124" t="s">
        <v>228</v>
      </c>
      <c r="M124" t="s">
        <v>41</v>
      </c>
      <c r="N124">
        <v>2.1061798057557868E-2</v>
      </c>
      <c r="O124" t="s">
        <v>6</v>
      </c>
    </row>
    <row r="125" spans="2:15" x14ac:dyDescent="0.45">
      <c r="B125" t="s">
        <v>226</v>
      </c>
      <c r="C125" t="s">
        <v>42</v>
      </c>
      <c r="D125">
        <v>5.2866154824423056E-2</v>
      </c>
      <c r="E125" t="s">
        <v>6</v>
      </c>
      <c r="G125" t="s">
        <v>227</v>
      </c>
      <c r="H125" t="s">
        <v>42</v>
      </c>
      <c r="I125">
        <v>2.2032288166676847E-2</v>
      </c>
      <c r="J125" t="s">
        <v>6</v>
      </c>
      <c r="L125" t="s">
        <v>228</v>
      </c>
      <c r="M125" t="s">
        <v>42</v>
      </c>
      <c r="N125">
        <v>2.1292358231322042E-2</v>
      </c>
      <c r="O125" t="s">
        <v>6</v>
      </c>
    </row>
    <row r="126" spans="2:15" x14ac:dyDescent="0.45">
      <c r="B126" t="s">
        <v>226</v>
      </c>
      <c r="C126" t="s">
        <v>43</v>
      </c>
      <c r="D126">
        <v>5.5680712721812006E-2</v>
      </c>
      <c r="E126" t="s">
        <v>6</v>
      </c>
      <c r="G126" t="s">
        <v>227</v>
      </c>
      <c r="H126" t="s">
        <v>43</v>
      </c>
      <c r="I126">
        <v>2.2681160351958544E-2</v>
      </c>
      <c r="J126" t="s">
        <v>6</v>
      </c>
      <c r="L126" t="s">
        <v>228</v>
      </c>
      <c r="M126" t="s">
        <v>43</v>
      </c>
      <c r="N126">
        <v>2.202720985226907E-2</v>
      </c>
      <c r="O126" t="s">
        <v>6</v>
      </c>
    </row>
    <row r="127" spans="2:15" x14ac:dyDescent="0.45">
      <c r="B127" t="s">
        <v>226</v>
      </c>
      <c r="C127" t="s">
        <v>44</v>
      </c>
      <c r="D127">
        <v>3.4257053866914848E-2</v>
      </c>
      <c r="E127" t="s">
        <v>6</v>
      </c>
      <c r="G127" t="s">
        <v>227</v>
      </c>
      <c r="H127" t="s">
        <v>44</v>
      </c>
      <c r="I127">
        <v>2.2890370125682926E-2</v>
      </c>
      <c r="J127" t="s">
        <v>6</v>
      </c>
      <c r="L127" t="s">
        <v>228</v>
      </c>
      <c r="M127" t="s">
        <v>44</v>
      </c>
      <c r="N127">
        <v>2.2046967617766523E-2</v>
      </c>
      <c r="O127" t="s">
        <v>6</v>
      </c>
    </row>
    <row r="128" spans="2:15" x14ac:dyDescent="0.45">
      <c r="B128" t="s">
        <v>226</v>
      </c>
      <c r="C128" t="s">
        <v>45</v>
      </c>
      <c r="D128">
        <v>6.9586181356813565E-3</v>
      </c>
      <c r="E128" t="s">
        <v>6</v>
      </c>
      <c r="G128" t="s">
        <v>227</v>
      </c>
      <c r="H128" t="s">
        <v>45</v>
      </c>
      <c r="I128">
        <v>2.3117638414396482E-2</v>
      </c>
      <c r="J128" t="s">
        <v>6</v>
      </c>
      <c r="L128" t="s">
        <v>228</v>
      </c>
      <c r="M128" t="s">
        <v>45</v>
      </c>
      <c r="N128">
        <v>2.2661554117294539E-2</v>
      </c>
      <c r="O128" t="s">
        <v>6</v>
      </c>
    </row>
    <row r="129" spans="2:15" x14ac:dyDescent="0.45">
      <c r="B129" t="s">
        <v>226</v>
      </c>
      <c r="C129" t="s">
        <v>46</v>
      </c>
      <c r="D129">
        <v>3.8605090162437345E-5</v>
      </c>
      <c r="E129" t="s">
        <v>6</v>
      </c>
      <c r="G129" t="s">
        <v>227</v>
      </c>
      <c r="H129" t="s">
        <v>46</v>
      </c>
      <c r="I129">
        <v>2.3421111008083945E-2</v>
      </c>
      <c r="J129" t="s">
        <v>6</v>
      </c>
      <c r="L129" t="s">
        <v>228</v>
      </c>
      <c r="M129" t="s">
        <v>46</v>
      </c>
      <c r="N129">
        <v>2.3423821453468139E-2</v>
      </c>
      <c r="O129" t="s">
        <v>6</v>
      </c>
    </row>
    <row r="130" spans="2:15" x14ac:dyDescent="0.45">
      <c r="B130" t="s">
        <v>226</v>
      </c>
      <c r="C130" t="s">
        <v>47</v>
      </c>
      <c r="D130">
        <v>0</v>
      </c>
      <c r="E130" t="s">
        <v>6</v>
      </c>
      <c r="G130" t="s">
        <v>227</v>
      </c>
      <c r="H130" t="s">
        <v>47</v>
      </c>
      <c r="I130">
        <v>3.5230760538798561E-2</v>
      </c>
      <c r="J130" t="s">
        <v>6</v>
      </c>
      <c r="L130" t="s">
        <v>228</v>
      </c>
      <c r="M130" t="s">
        <v>47</v>
      </c>
      <c r="N130">
        <v>3.403199093574158E-2</v>
      </c>
      <c r="O130" t="s">
        <v>6</v>
      </c>
    </row>
    <row r="131" spans="2:15" x14ac:dyDescent="0.45">
      <c r="B131" t="s">
        <v>229</v>
      </c>
      <c r="C131" t="s">
        <v>5</v>
      </c>
      <c r="D131">
        <v>0</v>
      </c>
      <c r="E131" t="s">
        <v>6</v>
      </c>
      <c r="G131" t="s">
        <v>230</v>
      </c>
      <c r="H131" t="s">
        <v>5</v>
      </c>
      <c r="I131">
        <v>6.4572404921793752E-2</v>
      </c>
      <c r="J131" t="s">
        <v>6</v>
      </c>
      <c r="L131" t="s">
        <v>231</v>
      </c>
      <c r="M131" t="s">
        <v>5</v>
      </c>
      <c r="N131">
        <v>5.9485736521772976E-2</v>
      </c>
      <c r="O131" t="s">
        <v>6</v>
      </c>
    </row>
    <row r="132" spans="2:15" x14ac:dyDescent="0.45">
      <c r="B132" t="s">
        <v>229</v>
      </c>
      <c r="C132" t="s">
        <v>9</v>
      </c>
      <c r="D132">
        <v>0</v>
      </c>
      <c r="E132" t="s">
        <v>6</v>
      </c>
      <c r="G132" t="s">
        <v>230</v>
      </c>
      <c r="H132" t="s">
        <v>9</v>
      </c>
      <c r="I132">
        <v>2.4784183433068298E-2</v>
      </c>
      <c r="J132" t="s">
        <v>6</v>
      </c>
      <c r="L132" t="s">
        <v>231</v>
      </c>
      <c r="M132" t="s">
        <v>9</v>
      </c>
      <c r="N132">
        <v>2.3933815923189716E-2</v>
      </c>
      <c r="O132" t="s">
        <v>6</v>
      </c>
    </row>
    <row r="133" spans="2:15" x14ac:dyDescent="0.45">
      <c r="B133" t="s">
        <v>229</v>
      </c>
      <c r="C133" t="s">
        <v>10</v>
      </c>
      <c r="D133">
        <v>3.0025038041668931E-4</v>
      </c>
      <c r="E133" t="s">
        <v>6</v>
      </c>
      <c r="G133" t="s">
        <v>230</v>
      </c>
      <c r="H133" t="s">
        <v>10</v>
      </c>
      <c r="I133">
        <v>2.5174811451590565E-2</v>
      </c>
      <c r="J133" t="s">
        <v>6</v>
      </c>
      <c r="L133" t="s">
        <v>231</v>
      </c>
      <c r="M133" t="s">
        <v>10</v>
      </c>
      <c r="N133">
        <v>2.4103711334210375E-2</v>
      </c>
      <c r="O133" t="s">
        <v>6</v>
      </c>
    </row>
    <row r="134" spans="2:15" x14ac:dyDescent="0.45">
      <c r="B134" t="s">
        <v>229</v>
      </c>
      <c r="C134" t="s">
        <v>11</v>
      </c>
      <c r="D134">
        <v>1.6707673649483942E-2</v>
      </c>
      <c r="E134" t="s">
        <v>6</v>
      </c>
      <c r="G134" t="s">
        <v>230</v>
      </c>
      <c r="H134" t="s">
        <v>11</v>
      </c>
      <c r="I134">
        <v>2.4559011896740739E-2</v>
      </c>
      <c r="J134" t="s">
        <v>6</v>
      </c>
      <c r="L134" t="s">
        <v>231</v>
      </c>
      <c r="M134" t="s">
        <v>11</v>
      </c>
      <c r="N134">
        <v>2.3899815932054414E-2</v>
      </c>
      <c r="O134" t="s">
        <v>6</v>
      </c>
    </row>
    <row r="135" spans="2:15" x14ac:dyDescent="0.45">
      <c r="B135" t="s">
        <v>229</v>
      </c>
      <c r="C135" t="s">
        <v>12</v>
      </c>
      <c r="D135">
        <v>4.4823775509513067E-2</v>
      </c>
      <c r="E135" t="s">
        <v>6</v>
      </c>
      <c r="G135" t="s">
        <v>230</v>
      </c>
      <c r="H135" t="s">
        <v>12</v>
      </c>
      <c r="I135">
        <v>2.4430340470590447E-2</v>
      </c>
      <c r="J135" t="s">
        <v>6</v>
      </c>
      <c r="L135" t="s">
        <v>231</v>
      </c>
      <c r="M135" t="s">
        <v>12</v>
      </c>
      <c r="N135">
        <v>2.3700012228222409E-2</v>
      </c>
      <c r="O135" t="s">
        <v>6</v>
      </c>
    </row>
    <row r="136" spans="2:15" x14ac:dyDescent="0.45">
      <c r="B136" t="s">
        <v>229</v>
      </c>
      <c r="C136" t="s">
        <v>13</v>
      </c>
      <c r="D136">
        <v>4.3849154403246542E-2</v>
      </c>
      <c r="E136" t="s">
        <v>6</v>
      </c>
      <c r="G136" t="s">
        <v>230</v>
      </c>
      <c r="H136" t="s">
        <v>13</v>
      </c>
      <c r="I136">
        <v>2.4610845529457824E-2</v>
      </c>
      <c r="J136" t="s">
        <v>6</v>
      </c>
      <c r="L136" t="s">
        <v>231</v>
      </c>
      <c r="M136" t="s">
        <v>13</v>
      </c>
      <c r="N136">
        <v>2.3789433321788511E-2</v>
      </c>
      <c r="O136" t="s">
        <v>6</v>
      </c>
    </row>
    <row r="137" spans="2:15" x14ac:dyDescent="0.45">
      <c r="B137" t="s">
        <v>229</v>
      </c>
      <c r="C137" t="s">
        <v>14</v>
      </c>
      <c r="D137">
        <v>2.1008351170339484E-2</v>
      </c>
      <c r="E137" t="s">
        <v>6</v>
      </c>
      <c r="G137" t="s">
        <v>230</v>
      </c>
      <c r="H137" t="s">
        <v>14</v>
      </c>
      <c r="I137">
        <v>2.4696196788217977E-2</v>
      </c>
      <c r="J137" t="s">
        <v>6</v>
      </c>
      <c r="L137" t="s">
        <v>231</v>
      </c>
      <c r="M137" t="s">
        <v>14</v>
      </c>
      <c r="N137">
        <v>2.3974271694055693E-2</v>
      </c>
      <c r="O137" t="s">
        <v>6</v>
      </c>
    </row>
    <row r="138" spans="2:15" x14ac:dyDescent="0.45">
      <c r="B138" t="s">
        <v>229</v>
      </c>
      <c r="C138" t="s">
        <v>15</v>
      </c>
      <c r="D138">
        <v>1.9896394103277697E-3</v>
      </c>
      <c r="E138" t="s">
        <v>6</v>
      </c>
      <c r="G138" t="s">
        <v>230</v>
      </c>
      <c r="H138" t="s">
        <v>15</v>
      </c>
      <c r="I138">
        <v>2.5146145549882558E-2</v>
      </c>
      <c r="J138" t="s">
        <v>6</v>
      </c>
      <c r="L138" t="s">
        <v>231</v>
      </c>
      <c r="M138" t="s">
        <v>15</v>
      </c>
      <c r="N138">
        <v>2.4056331663434401E-2</v>
      </c>
      <c r="O138" t="s">
        <v>6</v>
      </c>
    </row>
    <row r="139" spans="2:15" x14ac:dyDescent="0.45">
      <c r="B139" t="s">
        <v>229</v>
      </c>
      <c r="C139" t="s">
        <v>16</v>
      </c>
      <c r="D139">
        <v>0</v>
      </c>
      <c r="E139" t="s">
        <v>6</v>
      </c>
      <c r="G139" t="s">
        <v>230</v>
      </c>
      <c r="H139" t="s">
        <v>16</v>
      </c>
      <c r="I139">
        <v>2.6357634272777222E-2</v>
      </c>
      <c r="J139" t="s">
        <v>6</v>
      </c>
      <c r="L139" t="s">
        <v>231</v>
      </c>
      <c r="M139" t="s">
        <v>16</v>
      </c>
      <c r="N139">
        <v>2.3800879399015425E-2</v>
      </c>
      <c r="O139" t="s">
        <v>6</v>
      </c>
    </row>
    <row r="140" spans="2:15" x14ac:dyDescent="0.45">
      <c r="B140" t="s">
        <v>229</v>
      </c>
      <c r="C140" t="s">
        <v>17</v>
      </c>
      <c r="D140">
        <v>0</v>
      </c>
      <c r="E140" t="s">
        <v>6</v>
      </c>
      <c r="G140" t="s">
        <v>230</v>
      </c>
      <c r="H140" t="s">
        <v>17</v>
      </c>
      <c r="I140">
        <v>4.008462543272398E-2</v>
      </c>
      <c r="J140" t="s">
        <v>6</v>
      </c>
      <c r="L140" t="s">
        <v>231</v>
      </c>
      <c r="M140" t="s">
        <v>17</v>
      </c>
      <c r="N140">
        <v>3.5495033691948397E-2</v>
      </c>
      <c r="O140" t="s">
        <v>6</v>
      </c>
    </row>
    <row r="141" spans="2:15" x14ac:dyDescent="0.45">
      <c r="B141" t="s">
        <v>229</v>
      </c>
      <c r="C141" t="s">
        <v>18</v>
      </c>
      <c r="D141">
        <v>0</v>
      </c>
      <c r="E141" t="s">
        <v>6</v>
      </c>
      <c r="G141" t="s">
        <v>230</v>
      </c>
      <c r="H141" t="s">
        <v>18</v>
      </c>
      <c r="I141">
        <v>5.261893725559047E-2</v>
      </c>
      <c r="J141" t="s">
        <v>6</v>
      </c>
      <c r="L141" t="s">
        <v>231</v>
      </c>
      <c r="M141" t="s">
        <v>18</v>
      </c>
      <c r="N141">
        <v>5.8908547550283158E-2</v>
      </c>
      <c r="O141" t="s">
        <v>6</v>
      </c>
    </row>
    <row r="142" spans="2:15" x14ac:dyDescent="0.45">
      <c r="B142" t="s">
        <v>229</v>
      </c>
      <c r="C142" t="s">
        <v>19</v>
      </c>
      <c r="D142">
        <v>1.1148844281132742E-3</v>
      </c>
      <c r="E142" t="s">
        <v>6</v>
      </c>
      <c r="G142" t="s">
        <v>230</v>
      </c>
      <c r="H142" t="s">
        <v>19</v>
      </c>
      <c r="I142">
        <v>2.0976643916801246E-2</v>
      </c>
      <c r="J142" t="s">
        <v>6</v>
      </c>
      <c r="L142" t="s">
        <v>231</v>
      </c>
      <c r="M142" t="s">
        <v>19</v>
      </c>
      <c r="N142">
        <v>2.3184841520731816E-2</v>
      </c>
      <c r="O142" t="s">
        <v>6</v>
      </c>
    </row>
    <row r="143" spans="2:15" x14ac:dyDescent="0.45">
      <c r="B143" t="s">
        <v>229</v>
      </c>
      <c r="C143" t="s">
        <v>20</v>
      </c>
      <c r="D143">
        <v>2.0350004250827808E-2</v>
      </c>
      <c r="E143" t="s">
        <v>6</v>
      </c>
      <c r="G143" t="s">
        <v>230</v>
      </c>
      <c r="H143" t="s">
        <v>20</v>
      </c>
      <c r="I143">
        <v>2.1969592781629719E-2</v>
      </c>
      <c r="J143" t="s">
        <v>6</v>
      </c>
      <c r="L143" t="s">
        <v>231</v>
      </c>
      <c r="M143" t="s">
        <v>20</v>
      </c>
      <c r="N143">
        <v>2.2700538631180597E-2</v>
      </c>
      <c r="O143" t="s">
        <v>6</v>
      </c>
    </row>
    <row r="144" spans="2:15" x14ac:dyDescent="0.45">
      <c r="B144" t="s">
        <v>229</v>
      </c>
      <c r="C144" t="s">
        <v>21</v>
      </c>
      <c r="D144">
        <v>5.8377556679299315E-2</v>
      </c>
      <c r="E144" t="s">
        <v>6</v>
      </c>
      <c r="G144" t="s">
        <v>230</v>
      </c>
      <c r="H144" t="s">
        <v>21</v>
      </c>
      <c r="I144">
        <v>2.3264583958274312E-2</v>
      </c>
      <c r="J144" t="s">
        <v>6</v>
      </c>
      <c r="L144" t="s">
        <v>231</v>
      </c>
      <c r="M144" t="s">
        <v>21</v>
      </c>
      <c r="N144">
        <v>2.2266701104348842E-2</v>
      </c>
      <c r="O144" t="s">
        <v>6</v>
      </c>
    </row>
    <row r="145" spans="2:15" x14ac:dyDescent="0.45">
      <c r="B145" t="s">
        <v>229</v>
      </c>
      <c r="C145" t="s">
        <v>22</v>
      </c>
      <c r="D145">
        <v>7.8757020341254633E-2</v>
      </c>
      <c r="E145" t="s">
        <v>6</v>
      </c>
      <c r="G145" t="s">
        <v>230</v>
      </c>
      <c r="H145" t="s">
        <v>22</v>
      </c>
      <c r="I145">
        <v>2.4252599497572958E-2</v>
      </c>
      <c r="J145" t="s">
        <v>6</v>
      </c>
      <c r="L145" t="s">
        <v>231</v>
      </c>
      <c r="M145" t="s">
        <v>22</v>
      </c>
      <c r="N145">
        <v>2.2241940273956578E-2</v>
      </c>
      <c r="O145" t="s">
        <v>6</v>
      </c>
    </row>
    <row r="146" spans="2:15" x14ac:dyDescent="0.45">
      <c r="B146" t="s">
        <v>229</v>
      </c>
      <c r="C146" t="s">
        <v>23</v>
      </c>
      <c r="D146">
        <v>7.5906423216485067E-2</v>
      </c>
      <c r="E146" t="s">
        <v>6</v>
      </c>
      <c r="G146" t="s">
        <v>230</v>
      </c>
      <c r="H146" t="s">
        <v>23</v>
      </c>
      <c r="I146">
        <v>2.4827963850926619E-2</v>
      </c>
      <c r="J146" t="s">
        <v>6</v>
      </c>
      <c r="L146" t="s">
        <v>231</v>
      </c>
      <c r="M146" t="s">
        <v>23</v>
      </c>
      <c r="N146">
        <v>2.2805371347522158E-2</v>
      </c>
      <c r="O146" t="s">
        <v>6</v>
      </c>
    </row>
    <row r="147" spans="2:15" x14ac:dyDescent="0.45">
      <c r="B147" t="s">
        <v>229</v>
      </c>
      <c r="C147" t="s">
        <v>24</v>
      </c>
      <c r="D147">
        <v>5.7347257697597812E-2</v>
      </c>
      <c r="E147" t="s">
        <v>6</v>
      </c>
      <c r="G147" t="s">
        <v>230</v>
      </c>
      <c r="H147" t="s">
        <v>24</v>
      </c>
      <c r="I147">
        <v>2.4524084134155397E-2</v>
      </c>
      <c r="J147" t="s">
        <v>6</v>
      </c>
      <c r="L147" t="s">
        <v>231</v>
      </c>
      <c r="M147" t="s">
        <v>24</v>
      </c>
      <c r="N147">
        <v>2.347688593867962E-2</v>
      </c>
      <c r="O147" t="s">
        <v>6</v>
      </c>
    </row>
    <row r="148" spans="2:15" x14ac:dyDescent="0.45">
      <c r="B148" t="s">
        <v>229</v>
      </c>
      <c r="C148" t="s">
        <v>25</v>
      </c>
      <c r="D148">
        <v>2.2802239836875966E-2</v>
      </c>
      <c r="E148" t="s">
        <v>6</v>
      </c>
      <c r="G148" t="s">
        <v>230</v>
      </c>
      <c r="H148" t="s">
        <v>25</v>
      </c>
      <c r="I148">
        <v>2.3059175424880271E-2</v>
      </c>
      <c r="J148" t="s">
        <v>6</v>
      </c>
      <c r="L148" t="s">
        <v>231</v>
      </c>
      <c r="M148" t="s">
        <v>25</v>
      </c>
      <c r="N148">
        <v>2.4001630140586934E-2</v>
      </c>
      <c r="O148" t="s">
        <v>6</v>
      </c>
    </row>
    <row r="149" spans="2:15" x14ac:dyDescent="0.45">
      <c r="B149" t="s">
        <v>229</v>
      </c>
      <c r="C149" t="s">
        <v>26</v>
      </c>
      <c r="D149">
        <v>1.2757887854309518E-3</v>
      </c>
      <c r="E149" t="s">
        <v>6</v>
      </c>
      <c r="G149" t="s">
        <v>230</v>
      </c>
      <c r="H149" t="s">
        <v>26</v>
      </c>
      <c r="I149">
        <v>2.2928325346872412E-2</v>
      </c>
      <c r="J149" t="s">
        <v>6</v>
      </c>
      <c r="L149" t="s">
        <v>231</v>
      </c>
      <c r="M149" t="s">
        <v>26</v>
      </c>
      <c r="N149">
        <v>2.4171150103514744E-2</v>
      </c>
      <c r="O149" t="s">
        <v>6</v>
      </c>
    </row>
    <row r="150" spans="2:15" x14ac:dyDescent="0.45">
      <c r="B150" t="s">
        <v>229</v>
      </c>
      <c r="C150" t="s">
        <v>27</v>
      </c>
      <c r="D150">
        <v>0</v>
      </c>
      <c r="E150" t="s">
        <v>6</v>
      </c>
      <c r="G150" t="s">
        <v>230</v>
      </c>
      <c r="H150" t="s">
        <v>27</v>
      </c>
      <c r="I150">
        <v>3.3263499384384748E-2</v>
      </c>
      <c r="J150" t="s">
        <v>6</v>
      </c>
      <c r="L150" t="s">
        <v>231</v>
      </c>
      <c r="M150" t="s">
        <v>27</v>
      </c>
      <c r="N150">
        <v>3.4972117621406951E-2</v>
      </c>
      <c r="O150" t="s">
        <v>6</v>
      </c>
    </row>
    <row r="151" spans="2:15" x14ac:dyDescent="0.45">
      <c r="B151" t="s">
        <v>229</v>
      </c>
      <c r="C151" t="s">
        <v>28</v>
      </c>
      <c r="D151">
        <v>0</v>
      </c>
      <c r="E151" t="s">
        <v>6</v>
      </c>
      <c r="G151" t="s">
        <v>230</v>
      </c>
      <c r="H151" t="s">
        <v>28</v>
      </c>
      <c r="I151">
        <v>3.2385231480418684E-2</v>
      </c>
      <c r="J151" t="s">
        <v>6</v>
      </c>
      <c r="L151" t="s">
        <v>231</v>
      </c>
      <c r="M151" t="s">
        <v>28</v>
      </c>
      <c r="N151">
        <v>4.1673357613375692E-2</v>
      </c>
      <c r="O151" t="s">
        <v>6</v>
      </c>
    </row>
    <row r="152" spans="2:15" x14ac:dyDescent="0.45">
      <c r="B152" t="s">
        <v>229</v>
      </c>
      <c r="C152" t="s">
        <v>29</v>
      </c>
      <c r="D152">
        <v>2.7157664759001466E-3</v>
      </c>
      <c r="E152" t="s">
        <v>6</v>
      </c>
      <c r="G152" t="s">
        <v>230</v>
      </c>
      <c r="H152" t="s">
        <v>29</v>
      </c>
      <c r="I152">
        <v>1.1818529798790658E-2</v>
      </c>
      <c r="J152" t="s">
        <v>6</v>
      </c>
      <c r="L152" t="s">
        <v>231</v>
      </c>
      <c r="M152" t="s">
        <v>29</v>
      </c>
      <c r="N152">
        <v>1.6162791433622748E-2</v>
      </c>
      <c r="O152" t="s">
        <v>6</v>
      </c>
    </row>
    <row r="153" spans="2:15" x14ac:dyDescent="0.45">
      <c r="B153" t="s">
        <v>229</v>
      </c>
      <c r="C153" t="s">
        <v>30</v>
      </c>
      <c r="D153">
        <v>2.6873594974777832E-2</v>
      </c>
      <c r="E153" t="s">
        <v>6</v>
      </c>
      <c r="G153" t="s">
        <v>230</v>
      </c>
      <c r="H153" t="s">
        <v>30</v>
      </c>
      <c r="I153">
        <v>1.261788508372077E-2</v>
      </c>
      <c r="J153" t="s">
        <v>6</v>
      </c>
      <c r="L153" t="s">
        <v>231</v>
      </c>
      <c r="M153" t="s">
        <v>30</v>
      </c>
      <c r="N153">
        <v>1.5775148715812051E-2</v>
      </c>
      <c r="O153" t="s">
        <v>6</v>
      </c>
    </row>
    <row r="154" spans="2:15" x14ac:dyDescent="0.45">
      <c r="B154" t="s">
        <v>229</v>
      </c>
      <c r="C154" t="s">
        <v>31</v>
      </c>
      <c r="D154">
        <v>6.5950713446597004E-2</v>
      </c>
      <c r="E154" t="s">
        <v>6</v>
      </c>
      <c r="G154" t="s">
        <v>230</v>
      </c>
      <c r="H154" t="s">
        <v>31</v>
      </c>
      <c r="I154">
        <v>1.2810683216618211E-2</v>
      </c>
      <c r="J154" t="s">
        <v>6</v>
      </c>
      <c r="L154" t="s">
        <v>231</v>
      </c>
      <c r="M154" t="s">
        <v>31</v>
      </c>
      <c r="N154">
        <v>1.5455808283502003E-2</v>
      </c>
      <c r="O154" t="s">
        <v>6</v>
      </c>
    </row>
    <row r="155" spans="2:15" x14ac:dyDescent="0.45">
      <c r="B155" t="s">
        <v>229</v>
      </c>
      <c r="C155" t="s">
        <v>32</v>
      </c>
      <c r="D155">
        <v>8.5895420363075528E-2</v>
      </c>
      <c r="E155" t="s">
        <v>6</v>
      </c>
      <c r="G155" t="s">
        <v>230</v>
      </c>
      <c r="H155" t="s">
        <v>32</v>
      </c>
      <c r="I155">
        <v>1.3419773594051334E-2</v>
      </c>
      <c r="J155" t="s">
        <v>6</v>
      </c>
      <c r="L155" t="s">
        <v>231</v>
      </c>
      <c r="M155" t="s">
        <v>32</v>
      </c>
      <c r="N155">
        <v>1.5149691934201829E-2</v>
      </c>
      <c r="O155" t="s">
        <v>6</v>
      </c>
    </row>
    <row r="156" spans="2:15" x14ac:dyDescent="0.45">
      <c r="B156" t="s">
        <v>229</v>
      </c>
      <c r="C156" t="s">
        <v>33</v>
      </c>
      <c r="D156">
        <v>8.5018124686637775E-2</v>
      </c>
      <c r="E156" t="s">
        <v>6</v>
      </c>
      <c r="G156" t="s">
        <v>230</v>
      </c>
      <c r="H156" t="s">
        <v>33</v>
      </c>
      <c r="I156">
        <v>1.4204652931349681E-2</v>
      </c>
      <c r="J156" t="s">
        <v>6</v>
      </c>
      <c r="L156" t="s">
        <v>231</v>
      </c>
      <c r="M156" t="s">
        <v>33</v>
      </c>
      <c r="N156">
        <v>1.5969810362320806E-2</v>
      </c>
      <c r="O156" t="s">
        <v>6</v>
      </c>
    </row>
    <row r="157" spans="2:15" x14ac:dyDescent="0.45">
      <c r="B157" t="s">
        <v>229</v>
      </c>
      <c r="C157" t="s">
        <v>34</v>
      </c>
      <c r="D157">
        <v>6.4659495614507304E-2</v>
      </c>
      <c r="E157" t="s">
        <v>6</v>
      </c>
      <c r="G157" t="s">
        <v>230</v>
      </c>
      <c r="H157" t="s">
        <v>34</v>
      </c>
      <c r="I157">
        <v>1.4196856183697584E-2</v>
      </c>
      <c r="J157" t="s">
        <v>6</v>
      </c>
      <c r="L157" t="s">
        <v>231</v>
      </c>
      <c r="M157" t="s">
        <v>34</v>
      </c>
      <c r="N157">
        <v>1.7199585135958088E-2</v>
      </c>
      <c r="O157" t="s">
        <v>6</v>
      </c>
    </row>
    <row r="158" spans="2:15" x14ac:dyDescent="0.45">
      <c r="B158" t="s">
        <v>229</v>
      </c>
      <c r="C158" t="s">
        <v>35</v>
      </c>
      <c r="D158">
        <v>3.180964162802484E-2</v>
      </c>
      <c r="E158" t="s">
        <v>6</v>
      </c>
      <c r="G158" t="s">
        <v>230</v>
      </c>
      <c r="H158" t="s">
        <v>35</v>
      </c>
      <c r="I158">
        <v>1.3592679168865088E-2</v>
      </c>
      <c r="J158" t="s">
        <v>6</v>
      </c>
      <c r="L158" t="s">
        <v>231</v>
      </c>
      <c r="M158" t="s">
        <v>35</v>
      </c>
      <c r="N158">
        <v>1.786678490098503E-2</v>
      </c>
      <c r="O158" t="s">
        <v>6</v>
      </c>
    </row>
    <row r="159" spans="2:15" x14ac:dyDescent="0.45">
      <c r="B159" t="s">
        <v>229</v>
      </c>
      <c r="C159" t="s">
        <v>36</v>
      </c>
      <c r="D159">
        <v>3.8960053859766674E-3</v>
      </c>
      <c r="E159" t="s">
        <v>6</v>
      </c>
      <c r="G159" t="s">
        <v>230</v>
      </c>
      <c r="H159" t="s">
        <v>36</v>
      </c>
      <c r="I159">
        <v>1.3381415679408964E-2</v>
      </c>
      <c r="J159" t="s">
        <v>6</v>
      </c>
      <c r="L159" t="s">
        <v>231</v>
      </c>
      <c r="M159" t="s">
        <v>36</v>
      </c>
      <c r="N159">
        <v>1.7419517832948844E-2</v>
      </c>
      <c r="O159" t="s">
        <v>6</v>
      </c>
    </row>
    <row r="160" spans="2:15" x14ac:dyDescent="0.45">
      <c r="B160" t="s">
        <v>229</v>
      </c>
      <c r="C160" t="s">
        <v>37</v>
      </c>
      <c r="D160">
        <v>1.3522077087833768E-8</v>
      </c>
      <c r="E160" t="s">
        <v>6</v>
      </c>
      <c r="G160" t="s">
        <v>230</v>
      </c>
      <c r="H160" t="s">
        <v>37</v>
      </c>
      <c r="I160">
        <v>2.055304223373541E-2</v>
      </c>
      <c r="J160" t="s">
        <v>6</v>
      </c>
      <c r="L160" t="s">
        <v>231</v>
      </c>
      <c r="M160" t="s">
        <v>37</v>
      </c>
      <c r="N160">
        <v>2.4915836106437932E-2</v>
      </c>
      <c r="O160" t="s">
        <v>6</v>
      </c>
    </row>
    <row r="161" spans="2:15" x14ac:dyDescent="0.45">
      <c r="B161" t="s">
        <v>229</v>
      </c>
      <c r="C161" t="s">
        <v>38</v>
      </c>
      <c r="D161">
        <v>0</v>
      </c>
      <c r="E161" t="s">
        <v>6</v>
      </c>
      <c r="G161" t="s">
        <v>230</v>
      </c>
      <c r="H161" t="s">
        <v>38</v>
      </c>
      <c r="I161">
        <v>5.5692157117646822E-2</v>
      </c>
      <c r="J161" t="s">
        <v>6</v>
      </c>
      <c r="L161" t="s">
        <v>231</v>
      </c>
      <c r="M161" t="s">
        <v>38</v>
      </c>
      <c r="N161">
        <v>4.9111473457085178E-2</v>
      </c>
      <c r="O161" t="s">
        <v>6</v>
      </c>
    </row>
    <row r="162" spans="2:15" x14ac:dyDescent="0.45">
      <c r="B162" t="s">
        <v>229</v>
      </c>
      <c r="C162" t="s">
        <v>39</v>
      </c>
      <c r="D162">
        <v>4.5881386714127807E-6</v>
      </c>
      <c r="E162" t="s">
        <v>6</v>
      </c>
      <c r="G162" t="s">
        <v>230</v>
      </c>
      <c r="H162" t="s">
        <v>39</v>
      </c>
      <c r="I162">
        <v>2.1084503686809732E-2</v>
      </c>
      <c r="J162" t="s">
        <v>6</v>
      </c>
      <c r="L162" t="s">
        <v>231</v>
      </c>
      <c r="M162" t="s">
        <v>39</v>
      </c>
      <c r="N162">
        <v>1.9444795422970951E-2</v>
      </c>
      <c r="O162" t="s">
        <v>6</v>
      </c>
    </row>
    <row r="163" spans="2:15" x14ac:dyDescent="0.45">
      <c r="B163" t="s">
        <v>229</v>
      </c>
      <c r="C163" t="s">
        <v>40</v>
      </c>
      <c r="D163">
        <v>6.1323077403628232E-3</v>
      </c>
      <c r="E163" t="s">
        <v>6</v>
      </c>
      <c r="G163" t="s">
        <v>230</v>
      </c>
      <c r="H163" t="s">
        <v>40</v>
      </c>
      <c r="I163">
        <v>2.1134311606430776E-2</v>
      </c>
      <c r="J163" t="s">
        <v>6</v>
      </c>
      <c r="L163" t="s">
        <v>231</v>
      </c>
      <c r="M163" t="s">
        <v>40</v>
      </c>
      <c r="N163">
        <v>1.9497215814876945E-2</v>
      </c>
      <c r="O163" t="s">
        <v>6</v>
      </c>
    </row>
    <row r="164" spans="2:15" x14ac:dyDescent="0.45">
      <c r="B164" t="s">
        <v>229</v>
      </c>
      <c r="C164" t="s">
        <v>41</v>
      </c>
      <c r="D164">
        <v>3.4130943546328278E-2</v>
      </c>
      <c r="E164" t="s">
        <v>6</v>
      </c>
      <c r="G164" t="s">
        <v>230</v>
      </c>
      <c r="H164" t="s">
        <v>41</v>
      </c>
      <c r="I164">
        <v>2.1118221575112884E-2</v>
      </c>
      <c r="J164" t="s">
        <v>6</v>
      </c>
      <c r="L164" t="s">
        <v>231</v>
      </c>
      <c r="M164" t="s">
        <v>41</v>
      </c>
      <c r="N164">
        <v>1.9305140597933826E-2</v>
      </c>
      <c r="O164" t="s">
        <v>6</v>
      </c>
    </row>
    <row r="165" spans="2:15" x14ac:dyDescent="0.45">
      <c r="B165" t="s">
        <v>229</v>
      </c>
      <c r="C165" t="s">
        <v>42</v>
      </c>
      <c r="D165">
        <v>5.6096120206756112E-2</v>
      </c>
      <c r="E165" t="s">
        <v>6</v>
      </c>
      <c r="G165" t="s">
        <v>230</v>
      </c>
      <c r="H165" t="s">
        <v>42</v>
      </c>
      <c r="I165">
        <v>2.1649155939069326E-2</v>
      </c>
      <c r="J165" t="s">
        <v>6</v>
      </c>
      <c r="L165" t="s">
        <v>231</v>
      </c>
      <c r="M165" t="s">
        <v>42</v>
      </c>
      <c r="N165">
        <v>1.9282706930719706E-2</v>
      </c>
      <c r="O165" t="s">
        <v>6</v>
      </c>
    </row>
    <row r="166" spans="2:15" x14ac:dyDescent="0.45">
      <c r="B166" t="s">
        <v>229</v>
      </c>
      <c r="C166" t="s">
        <v>43</v>
      </c>
      <c r="D166">
        <v>5.4605513515795567E-2</v>
      </c>
      <c r="E166" t="s">
        <v>6</v>
      </c>
      <c r="G166" t="s">
        <v>230</v>
      </c>
      <c r="H166" t="s">
        <v>43</v>
      </c>
      <c r="I166">
        <v>2.239360006488322E-2</v>
      </c>
      <c r="J166" t="s">
        <v>6</v>
      </c>
      <c r="L166" t="s">
        <v>231</v>
      </c>
      <c r="M166" t="s">
        <v>43</v>
      </c>
      <c r="N166">
        <v>1.9225295799254565E-2</v>
      </c>
      <c r="O166" t="s">
        <v>6</v>
      </c>
    </row>
    <row r="167" spans="2:15" x14ac:dyDescent="0.45">
      <c r="B167" t="s">
        <v>229</v>
      </c>
      <c r="C167" t="s">
        <v>44</v>
      </c>
      <c r="D167">
        <v>3.2218588211436257E-2</v>
      </c>
      <c r="E167" t="s">
        <v>6</v>
      </c>
      <c r="G167" t="s">
        <v>230</v>
      </c>
      <c r="H167" t="s">
        <v>44</v>
      </c>
      <c r="I167">
        <v>2.2526903907155307E-2</v>
      </c>
      <c r="J167" t="s">
        <v>6</v>
      </c>
      <c r="L167" t="s">
        <v>231</v>
      </c>
      <c r="M167" t="s">
        <v>44</v>
      </c>
      <c r="N167">
        <v>1.994645553694752E-2</v>
      </c>
      <c r="O167" t="s">
        <v>6</v>
      </c>
    </row>
    <row r="168" spans="2:15" x14ac:dyDescent="0.45">
      <c r="B168" t="s">
        <v>229</v>
      </c>
      <c r="C168" t="s">
        <v>45</v>
      </c>
      <c r="D168">
        <v>5.3682399675392877E-3</v>
      </c>
      <c r="E168" t="s">
        <v>6</v>
      </c>
      <c r="G168" t="s">
        <v>230</v>
      </c>
      <c r="H168" t="s">
        <v>45</v>
      </c>
      <c r="I168">
        <v>2.2559707341256778E-2</v>
      </c>
      <c r="J168" t="s">
        <v>6</v>
      </c>
      <c r="L168" t="s">
        <v>231</v>
      </c>
      <c r="M168" t="s">
        <v>45</v>
      </c>
      <c r="N168">
        <v>2.0558761512447739E-2</v>
      </c>
      <c r="O168" t="s">
        <v>6</v>
      </c>
    </row>
    <row r="169" spans="2:15" x14ac:dyDescent="0.45">
      <c r="B169" t="s">
        <v>229</v>
      </c>
      <c r="C169" t="s">
        <v>46</v>
      </c>
      <c r="D169">
        <v>1.4902816323112852E-5</v>
      </c>
      <c r="E169" t="s">
        <v>6</v>
      </c>
      <c r="G169" t="s">
        <v>230</v>
      </c>
      <c r="H169" t="s">
        <v>46</v>
      </c>
      <c r="I169">
        <v>2.2748270999607099E-2</v>
      </c>
      <c r="J169" t="s">
        <v>6</v>
      </c>
      <c r="L169" t="s">
        <v>231</v>
      </c>
      <c r="M169" t="s">
        <v>46</v>
      </c>
      <c r="N169">
        <v>2.0796812358636806E-2</v>
      </c>
      <c r="O169" t="s">
        <v>6</v>
      </c>
    </row>
    <row r="170" spans="2:15" x14ac:dyDescent="0.45">
      <c r="B170" t="s">
        <v>229</v>
      </c>
      <c r="C170" t="s">
        <v>47</v>
      </c>
      <c r="D170">
        <v>0</v>
      </c>
      <c r="E170" t="s">
        <v>6</v>
      </c>
      <c r="G170" t="s">
        <v>230</v>
      </c>
      <c r="H170" t="s">
        <v>47</v>
      </c>
      <c r="I170">
        <v>3.4010813093437404E-2</v>
      </c>
      <c r="J170" t="s">
        <v>6</v>
      </c>
      <c r="L170" t="s">
        <v>231</v>
      </c>
      <c r="M170" t="s">
        <v>47</v>
      </c>
      <c r="N170">
        <v>3.0274244308057943E-2</v>
      </c>
      <c r="O170" t="s">
        <v>6</v>
      </c>
    </row>
    <row r="171" spans="2:15" x14ac:dyDescent="0.45">
      <c r="B171" t="s">
        <v>232</v>
      </c>
      <c r="C171" t="s">
        <v>5</v>
      </c>
      <c r="D171">
        <v>0</v>
      </c>
      <c r="E171" t="s">
        <v>6</v>
      </c>
      <c r="G171" t="s">
        <v>233</v>
      </c>
      <c r="H171" t="s">
        <v>5</v>
      </c>
      <c r="I171">
        <v>6.6608096888896365E-2</v>
      </c>
      <c r="J171" t="s">
        <v>6</v>
      </c>
      <c r="L171" t="s">
        <v>234</v>
      </c>
      <c r="M171" t="s">
        <v>5</v>
      </c>
      <c r="N171">
        <v>6.0117785800657651E-2</v>
      </c>
      <c r="O171" t="s">
        <v>6</v>
      </c>
    </row>
    <row r="172" spans="2:15" x14ac:dyDescent="0.45">
      <c r="B172" t="s">
        <v>232</v>
      </c>
      <c r="C172" t="s">
        <v>9</v>
      </c>
      <c r="D172">
        <v>0</v>
      </c>
      <c r="E172" t="s">
        <v>6</v>
      </c>
      <c r="G172" t="s">
        <v>233</v>
      </c>
      <c r="H172" t="s">
        <v>9</v>
      </c>
      <c r="I172">
        <v>2.5139064167476907E-2</v>
      </c>
      <c r="J172" t="s">
        <v>6</v>
      </c>
      <c r="L172" t="s">
        <v>234</v>
      </c>
      <c r="M172" t="s">
        <v>9</v>
      </c>
      <c r="N172">
        <v>2.4199563413232525E-2</v>
      </c>
      <c r="O172" t="s">
        <v>6</v>
      </c>
    </row>
    <row r="173" spans="2:15" x14ac:dyDescent="0.45">
      <c r="B173" t="s">
        <v>232</v>
      </c>
      <c r="C173" t="s">
        <v>10</v>
      </c>
      <c r="D173">
        <v>3.7879917981618395E-4</v>
      </c>
      <c r="E173" t="s">
        <v>6</v>
      </c>
      <c r="G173" t="s">
        <v>233</v>
      </c>
      <c r="H173" t="s">
        <v>10</v>
      </c>
      <c r="I173">
        <v>2.5681953789198818E-2</v>
      </c>
      <c r="J173" t="s">
        <v>6</v>
      </c>
      <c r="L173" t="s">
        <v>234</v>
      </c>
      <c r="M173" t="s">
        <v>10</v>
      </c>
      <c r="N173">
        <v>2.4149827892934232E-2</v>
      </c>
      <c r="O173" t="s">
        <v>6</v>
      </c>
    </row>
    <row r="174" spans="2:15" x14ac:dyDescent="0.45">
      <c r="B174" t="s">
        <v>232</v>
      </c>
      <c r="C174" t="s">
        <v>11</v>
      </c>
      <c r="D174">
        <v>1.832162371433357E-2</v>
      </c>
      <c r="E174" t="s">
        <v>6</v>
      </c>
      <c r="G174" t="s">
        <v>233</v>
      </c>
      <c r="H174" t="s">
        <v>11</v>
      </c>
      <c r="I174">
        <v>2.5406296291149124E-2</v>
      </c>
      <c r="J174" t="s">
        <v>6</v>
      </c>
      <c r="L174" t="s">
        <v>234</v>
      </c>
      <c r="M174" t="s">
        <v>11</v>
      </c>
      <c r="N174">
        <v>2.4184229218411801E-2</v>
      </c>
      <c r="O174" t="s">
        <v>6</v>
      </c>
    </row>
    <row r="175" spans="2:15" x14ac:dyDescent="0.45">
      <c r="B175" t="s">
        <v>232</v>
      </c>
      <c r="C175" t="s">
        <v>12</v>
      </c>
      <c r="D175">
        <v>4.335567308255904E-2</v>
      </c>
      <c r="E175" t="s">
        <v>6</v>
      </c>
      <c r="G175" t="s">
        <v>233</v>
      </c>
      <c r="H175" t="s">
        <v>12</v>
      </c>
      <c r="I175">
        <v>2.6275555498214372E-2</v>
      </c>
      <c r="J175" t="s">
        <v>6</v>
      </c>
      <c r="L175" t="s">
        <v>234</v>
      </c>
      <c r="M175" t="s">
        <v>12</v>
      </c>
      <c r="N175">
        <v>2.4517262351688468E-2</v>
      </c>
      <c r="O175" t="s">
        <v>6</v>
      </c>
    </row>
    <row r="176" spans="2:15" x14ac:dyDescent="0.45">
      <c r="B176" t="s">
        <v>232</v>
      </c>
      <c r="C176" t="s">
        <v>13</v>
      </c>
      <c r="D176">
        <v>4.3125967810699169E-2</v>
      </c>
      <c r="E176" t="s">
        <v>6</v>
      </c>
      <c r="G176" t="s">
        <v>233</v>
      </c>
      <c r="H176" t="s">
        <v>13</v>
      </c>
      <c r="I176">
        <v>2.6808449828017344E-2</v>
      </c>
      <c r="J176" t="s">
        <v>6</v>
      </c>
      <c r="L176" t="s">
        <v>234</v>
      </c>
      <c r="M176" t="s">
        <v>13</v>
      </c>
      <c r="N176">
        <v>2.478790429178368E-2</v>
      </c>
      <c r="O176" t="s">
        <v>6</v>
      </c>
    </row>
    <row r="177" spans="2:15" x14ac:dyDescent="0.45">
      <c r="B177" t="s">
        <v>232</v>
      </c>
      <c r="C177" t="s">
        <v>14</v>
      </c>
      <c r="D177">
        <v>1.9407802266677425E-2</v>
      </c>
      <c r="E177" t="s">
        <v>6</v>
      </c>
      <c r="G177" t="s">
        <v>233</v>
      </c>
      <c r="H177" t="s">
        <v>14</v>
      </c>
      <c r="I177">
        <v>2.6412024076878995E-2</v>
      </c>
      <c r="J177" t="s">
        <v>6</v>
      </c>
      <c r="L177" t="s">
        <v>234</v>
      </c>
      <c r="M177" t="s">
        <v>14</v>
      </c>
      <c r="N177">
        <v>2.5032576985440563E-2</v>
      </c>
      <c r="O177" t="s">
        <v>6</v>
      </c>
    </row>
    <row r="178" spans="2:15" x14ac:dyDescent="0.45">
      <c r="B178" t="s">
        <v>232</v>
      </c>
      <c r="C178" t="s">
        <v>15</v>
      </c>
      <c r="D178">
        <v>1.2743584578641105E-3</v>
      </c>
      <c r="E178" t="s">
        <v>6</v>
      </c>
      <c r="G178" t="s">
        <v>233</v>
      </c>
      <c r="H178" t="s">
        <v>15</v>
      </c>
      <c r="I178">
        <v>2.6162627832039206E-2</v>
      </c>
      <c r="J178" t="s">
        <v>6</v>
      </c>
      <c r="L178" t="s">
        <v>234</v>
      </c>
      <c r="M178" t="s">
        <v>15</v>
      </c>
      <c r="N178">
        <v>2.4951015262435351E-2</v>
      </c>
      <c r="O178" t="s">
        <v>6</v>
      </c>
    </row>
    <row r="179" spans="2:15" x14ac:dyDescent="0.45">
      <c r="B179" t="s">
        <v>232</v>
      </c>
      <c r="C179" t="s">
        <v>16</v>
      </c>
      <c r="D179">
        <v>0</v>
      </c>
      <c r="E179" t="s">
        <v>6</v>
      </c>
      <c r="G179" t="s">
        <v>233</v>
      </c>
      <c r="H179" t="s">
        <v>16</v>
      </c>
      <c r="I179">
        <v>2.7046323804994953E-2</v>
      </c>
      <c r="J179" t="s">
        <v>6</v>
      </c>
      <c r="L179" t="s">
        <v>234</v>
      </c>
      <c r="M179" t="s">
        <v>16</v>
      </c>
      <c r="N179">
        <v>2.4769427424696653E-2</v>
      </c>
      <c r="O179" t="s">
        <v>6</v>
      </c>
    </row>
    <row r="180" spans="2:15" x14ac:dyDescent="0.45">
      <c r="B180" t="s">
        <v>232</v>
      </c>
      <c r="C180" t="s">
        <v>17</v>
      </c>
      <c r="D180">
        <v>0</v>
      </c>
      <c r="E180" t="s">
        <v>6</v>
      </c>
      <c r="G180" t="s">
        <v>233</v>
      </c>
      <c r="H180" t="s">
        <v>17</v>
      </c>
      <c r="I180">
        <v>4.061666543247152E-2</v>
      </c>
      <c r="J180" t="s">
        <v>6</v>
      </c>
      <c r="L180" t="s">
        <v>234</v>
      </c>
      <c r="M180" t="s">
        <v>17</v>
      </c>
      <c r="N180">
        <v>3.655169976029643E-2</v>
      </c>
      <c r="O180" t="s">
        <v>6</v>
      </c>
    </row>
    <row r="181" spans="2:15" x14ac:dyDescent="0.45">
      <c r="B181" t="s">
        <v>232</v>
      </c>
      <c r="C181" t="s">
        <v>18</v>
      </c>
      <c r="D181">
        <v>0</v>
      </c>
      <c r="E181" t="s">
        <v>6</v>
      </c>
      <c r="G181" t="s">
        <v>233</v>
      </c>
      <c r="H181" t="s">
        <v>18</v>
      </c>
      <c r="I181">
        <v>5.2290766052331294E-2</v>
      </c>
      <c r="J181" t="s">
        <v>6</v>
      </c>
      <c r="L181" t="s">
        <v>234</v>
      </c>
      <c r="M181" t="s">
        <v>18</v>
      </c>
      <c r="N181">
        <v>6.1034291208224366E-2</v>
      </c>
      <c r="O181" t="s">
        <v>6</v>
      </c>
    </row>
    <row r="182" spans="2:15" x14ac:dyDescent="0.45">
      <c r="B182" t="s">
        <v>232</v>
      </c>
      <c r="C182" t="s">
        <v>19</v>
      </c>
      <c r="D182">
        <v>1.2676604359167566E-3</v>
      </c>
      <c r="E182" t="s">
        <v>6</v>
      </c>
      <c r="G182" t="s">
        <v>233</v>
      </c>
      <c r="H182" t="s">
        <v>19</v>
      </c>
      <c r="I182">
        <v>2.0961302444956371E-2</v>
      </c>
      <c r="J182" t="s">
        <v>6</v>
      </c>
      <c r="L182" t="s">
        <v>234</v>
      </c>
      <c r="M182" t="s">
        <v>19</v>
      </c>
      <c r="N182">
        <v>2.4182478800874777E-2</v>
      </c>
      <c r="O182" t="s">
        <v>6</v>
      </c>
    </row>
    <row r="183" spans="2:15" x14ac:dyDescent="0.45">
      <c r="B183" t="s">
        <v>232</v>
      </c>
      <c r="C183" t="s">
        <v>20</v>
      </c>
      <c r="D183">
        <v>2.1664102891246022E-2</v>
      </c>
      <c r="E183" t="s">
        <v>6</v>
      </c>
      <c r="G183" t="s">
        <v>233</v>
      </c>
      <c r="H183" t="s">
        <v>20</v>
      </c>
      <c r="I183">
        <v>2.2565132737898067E-2</v>
      </c>
      <c r="J183" t="s">
        <v>6</v>
      </c>
      <c r="L183" t="s">
        <v>234</v>
      </c>
      <c r="M183" t="s">
        <v>20</v>
      </c>
      <c r="N183">
        <v>2.3925014076496477E-2</v>
      </c>
      <c r="O183" t="s">
        <v>6</v>
      </c>
    </row>
    <row r="184" spans="2:15" x14ac:dyDescent="0.45">
      <c r="B184" t="s">
        <v>232</v>
      </c>
      <c r="C184" t="s">
        <v>21</v>
      </c>
      <c r="D184">
        <v>5.8113833496492379E-2</v>
      </c>
      <c r="E184" t="s">
        <v>6</v>
      </c>
      <c r="G184" t="s">
        <v>233</v>
      </c>
      <c r="H184" t="s">
        <v>21</v>
      </c>
      <c r="I184">
        <v>2.4355601708077563E-2</v>
      </c>
      <c r="J184" t="s">
        <v>6</v>
      </c>
      <c r="L184" t="s">
        <v>234</v>
      </c>
      <c r="M184" t="s">
        <v>21</v>
      </c>
      <c r="N184">
        <v>2.3337547003292457E-2</v>
      </c>
      <c r="O184" t="s">
        <v>6</v>
      </c>
    </row>
    <row r="185" spans="2:15" x14ac:dyDescent="0.45">
      <c r="B185" t="s">
        <v>232</v>
      </c>
      <c r="C185" t="s">
        <v>22</v>
      </c>
      <c r="D185">
        <v>8.1019881105819036E-2</v>
      </c>
      <c r="E185" t="s">
        <v>6</v>
      </c>
      <c r="G185" t="s">
        <v>233</v>
      </c>
      <c r="H185" t="s">
        <v>22</v>
      </c>
      <c r="I185">
        <v>2.5235426204346913E-2</v>
      </c>
      <c r="J185" t="s">
        <v>6</v>
      </c>
      <c r="L185" t="s">
        <v>234</v>
      </c>
      <c r="M185" t="s">
        <v>22</v>
      </c>
      <c r="N185">
        <v>2.3070738345838428E-2</v>
      </c>
      <c r="O185" t="s">
        <v>6</v>
      </c>
    </row>
    <row r="186" spans="2:15" x14ac:dyDescent="0.45">
      <c r="B186" t="s">
        <v>232</v>
      </c>
      <c r="C186" t="s">
        <v>23</v>
      </c>
      <c r="D186">
        <v>8.1111192236229701E-2</v>
      </c>
      <c r="E186" t="s">
        <v>6</v>
      </c>
      <c r="G186" t="s">
        <v>233</v>
      </c>
      <c r="H186" t="s">
        <v>23</v>
      </c>
      <c r="I186">
        <v>2.5771257814367777E-2</v>
      </c>
      <c r="J186" t="s">
        <v>6</v>
      </c>
      <c r="L186" t="s">
        <v>234</v>
      </c>
      <c r="M186" t="s">
        <v>23</v>
      </c>
      <c r="N186">
        <v>2.3001680026830132E-2</v>
      </c>
      <c r="O186" t="s">
        <v>6</v>
      </c>
    </row>
    <row r="187" spans="2:15" x14ac:dyDescent="0.45">
      <c r="B187" t="s">
        <v>232</v>
      </c>
      <c r="C187" t="s">
        <v>24</v>
      </c>
      <c r="D187">
        <v>5.7131136242432025E-2</v>
      </c>
      <c r="E187" t="s">
        <v>6</v>
      </c>
      <c r="G187" t="s">
        <v>233</v>
      </c>
      <c r="H187" t="s">
        <v>24</v>
      </c>
      <c r="I187">
        <v>2.5290968250934825E-2</v>
      </c>
      <c r="J187" t="s">
        <v>6</v>
      </c>
      <c r="L187" t="s">
        <v>234</v>
      </c>
      <c r="M187" t="s">
        <v>24</v>
      </c>
      <c r="N187">
        <v>2.3050356462618556E-2</v>
      </c>
      <c r="O187" t="s">
        <v>6</v>
      </c>
    </row>
    <row r="188" spans="2:15" x14ac:dyDescent="0.45">
      <c r="B188" t="s">
        <v>232</v>
      </c>
      <c r="C188" t="s">
        <v>25</v>
      </c>
      <c r="D188">
        <v>2.0097392447516627E-2</v>
      </c>
      <c r="E188" t="s">
        <v>6</v>
      </c>
      <c r="G188" t="s">
        <v>233</v>
      </c>
      <c r="H188" t="s">
        <v>25</v>
      </c>
      <c r="I188">
        <v>2.3216889233307444E-2</v>
      </c>
      <c r="J188" t="s">
        <v>6</v>
      </c>
      <c r="L188" t="s">
        <v>234</v>
      </c>
      <c r="M188" t="s">
        <v>25</v>
      </c>
      <c r="N188">
        <v>2.3377466182167204E-2</v>
      </c>
      <c r="O188" t="s">
        <v>6</v>
      </c>
    </row>
    <row r="189" spans="2:15" x14ac:dyDescent="0.45">
      <c r="B189" t="s">
        <v>232</v>
      </c>
      <c r="C189" t="s">
        <v>26</v>
      </c>
      <c r="D189">
        <v>9.1390125863527363E-4</v>
      </c>
      <c r="E189" t="s">
        <v>6</v>
      </c>
      <c r="G189" t="s">
        <v>233</v>
      </c>
      <c r="H189" t="s">
        <v>26</v>
      </c>
      <c r="I189">
        <v>2.2490113453610596E-2</v>
      </c>
      <c r="J189" t="s">
        <v>6</v>
      </c>
      <c r="L189" t="s">
        <v>234</v>
      </c>
      <c r="M189" t="s">
        <v>26</v>
      </c>
      <c r="N189">
        <v>2.3911305294465363E-2</v>
      </c>
      <c r="O189" t="s">
        <v>6</v>
      </c>
    </row>
    <row r="190" spans="2:15" x14ac:dyDescent="0.45">
      <c r="B190" t="s">
        <v>232</v>
      </c>
      <c r="C190" t="s">
        <v>27</v>
      </c>
      <c r="D190">
        <v>0</v>
      </c>
      <c r="E190" t="s">
        <v>6</v>
      </c>
      <c r="G190" t="s">
        <v>233</v>
      </c>
      <c r="H190" t="s">
        <v>27</v>
      </c>
      <c r="I190">
        <v>3.2841316607145836E-2</v>
      </c>
      <c r="J190" t="s">
        <v>6</v>
      </c>
      <c r="L190" t="s">
        <v>234</v>
      </c>
      <c r="M190" t="s">
        <v>27</v>
      </c>
      <c r="N190">
        <v>3.5827019846462402E-2</v>
      </c>
      <c r="O190" t="s">
        <v>6</v>
      </c>
    </row>
    <row r="191" spans="2:15" x14ac:dyDescent="0.45">
      <c r="B191" t="s">
        <v>232</v>
      </c>
      <c r="C191" t="s">
        <v>28</v>
      </c>
      <c r="D191">
        <v>0</v>
      </c>
      <c r="E191" t="s">
        <v>6</v>
      </c>
      <c r="G191" t="s">
        <v>233</v>
      </c>
      <c r="H191" t="s">
        <v>28</v>
      </c>
      <c r="I191">
        <v>3.0247757343282097E-2</v>
      </c>
      <c r="J191" t="s">
        <v>6</v>
      </c>
      <c r="L191" t="s">
        <v>234</v>
      </c>
      <c r="M191" t="s">
        <v>28</v>
      </c>
      <c r="N191">
        <v>4.0552458458362542E-2</v>
      </c>
      <c r="O191" t="s">
        <v>6</v>
      </c>
    </row>
    <row r="192" spans="2:15" x14ac:dyDescent="0.45">
      <c r="B192" t="s">
        <v>232</v>
      </c>
      <c r="C192" t="s">
        <v>29</v>
      </c>
      <c r="D192">
        <v>2.8432539331916694E-3</v>
      </c>
      <c r="E192" t="s">
        <v>6</v>
      </c>
      <c r="G192" t="s">
        <v>233</v>
      </c>
      <c r="H192" t="s">
        <v>29</v>
      </c>
      <c r="I192">
        <v>1.1135188888751611E-2</v>
      </c>
      <c r="J192" t="s">
        <v>6</v>
      </c>
      <c r="L192" t="s">
        <v>234</v>
      </c>
      <c r="M192" t="s">
        <v>29</v>
      </c>
      <c r="N192">
        <v>1.5802644146204685E-2</v>
      </c>
      <c r="O192" t="s">
        <v>6</v>
      </c>
    </row>
    <row r="193" spans="2:15" x14ac:dyDescent="0.45">
      <c r="B193" t="s">
        <v>232</v>
      </c>
      <c r="C193" t="s">
        <v>30</v>
      </c>
      <c r="D193">
        <v>2.74802738161E-2</v>
      </c>
      <c r="E193" t="s">
        <v>6</v>
      </c>
      <c r="G193" t="s">
        <v>233</v>
      </c>
      <c r="H193" t="s">
        <v>30</v>
      </c>
      <c r="I193">
        <v>1.2419985858486417E-2</v>
      </c>
      <c r="J193" t="s">
        <v>6</v>
      </c>
      <c r="L193" t="s">
        <v>234</v>
      </c>
      <c r="M193" t="s">
        <v>30</v>
      </c>
      <c r="N193">
        <v>1.5544779302323567E-2</v>
      </c>
      <c r="O193" t="s">
        <v>6</v>
      </c>
    </row>
    <row r="194" spans="2:15" x14ac:dyDescent="0.45">
      <c r="B194" t="s">
        <v>232</v>
      </c>
      <c r="C194" t="s">
        <v>31</v>
      </c>
      <c r="D194">
        <v>6.5181994719109321E-2</v>
      </c>
      <c r="E194" t="s">
        <v>6</v>
      </c>
      <c r="G194" t="s">
        <v>233</v>
      </c>
      <c r="H194" t="s">
        <v>31</v>
      </c>
      <c r="I194">
        <v>1.2649706673440571E-2</v>
      </c>
      <c r="J194" t="s">
        <v>6</v>
      </c>
      <c r="L194" t="s">
        <v>234</v>
      </c>
      <c r="M194" t="s">
        <v>31</v>
      </c>
      <c r="N194">
        <v>1.4579159365290384E-2</v>
      </c>
      <c r="O194" t="s">
        <v>6</v>
      </c>
    </row>
    <row r="195" spans="2:15" x14ac:dyDescent="0.45">
      <c r="B195" t="s">
        <v>232</v>
      </c>
      <c r="C195" t="s">
        <v>32</v>
      </c>
      <c r="D195">
        <v>8.6898511858123945E-2</v>
      </c>
      <c r="E195" t="s">
        <v>6</v>
      </c>
      <c r="G195" t="s">
        <v>233</v>
      </c>
      <c r="H195" t="s">
        <v>32</v>
      </c>
      <c r="I195">
        <v>1.3457210887179103E-2</v>
      </c>
      <c r="J195" t="s">
        <v>6</v>
      </c>
      <c r="L195" t="s">
        <v>234</v>
      </c>
      <c r="M195" t="s">
        <v>32</v>
      </c>
      <c r="N195">
        <v>1.4322658151687158E-2</v>
      </c>
      <c r="O195" t="s">
        <v>6</v>
      </c>
    </row>
    <row r="196" spans="2:15" x14ac:dyDescent="0.45">
      <c r="B196" t="s">
        <v>232</v>
      </c>
      <c r="C196" t="s">
        <v>33</v>
      </c>
      <c r="D196">
        <v>8.4891539234654673E-2</v>
      </c>
      <c r="E196" t="s">
        <v>6</v>
      </c>
      <c r="G196" t="s">
        <v>233</v>
      </c>
      <c r="H196" t="s">
        <v>33</v>
      </c>
      <c r="I196">
        <v>1.4611328286545995E-2</v>
      </c>
      <c r="J196" t="s">
        <v>6</v>
      </c>
      <c r="L196" t="s">
        <v>234</v>
      </c>
      <c r="M196" t="s">
        <v>33</v>
      </c>
      <c r="N196">
        <v>1.4941152122544439E-2</v>
      </c>
      <c r="O196" t="s">
        <v>6</v>
      </c>
    </row>
    <row r="197" spans="2:15" x14ac:dyDescent="0.45">
      <c r="B197" t="s">
        <v>232</v>
      </c>
      <c r="C197" t="s">
        <v>34</v>
      </c>
      <c r="D197">
        <v>6.2732692780431601E-2</v>
      </c>
      <c r="E197" t="s">
        <v>6</v>
      </c>
      <c r="G197" t="s">
        <v>233</v>
      </c>
      <c r="H197" t="s">
        <v>34</v>
      </c>
      <c r="I197">
        <v>1.5266387320276362E-2</v>
      </c>
      <c r="J197" t="s">
        <v>6</v>
      </c>
      <c r="L197" t="s">
        <v>234</v>
      </c>
      <c r="M197" t="s">
        <v>34</v>
      </c>
      <c r="N197">
        <v>1.6013439149098013E-2</v>
      </c>
      <c r="O197" t="s">
        <v>6</v>
      </c>
    </row>
    <row r="198" spans="2:15" x14ac:dyDescent="0.45">
      <c r="B198" t="s">
        <v>232</v>
      </c>
      <c r="C198" t="s">
        <v>35</v>
      </c>
      <c r="D198">
        <v>2.7967978872205545E-2</v>
      </c>
      <c r="E198" t="s">
        <v>6</v>
      </c>
      <c r="G198" t="s">
        <v>233</v>
      </c>
      <c r="H198" t="s">
        <v>35</v>
      </c>
      <c r="I198">
        <v>1.5340518611810251E-2</v>
      </c>
      <c r="J198" t="s">
        <v>6</v>
      </c>
      <c r="L198" t="s">
        <v>234</v>
      </c>
      <c r="M198" t="s">
        <v>35</v>
      </c>
      <c r="N198">
        <v>1.6572105578097802E-2</v>
      </c>
      <c r="O198" t="s">
        <v>6</v>
      </c>
    </row>
    <row r="199" spans="2:15" x14ac:dyDescent="0.45">
      <c r="B199" t="s">
        <v>232</v>
      </c>
      <c r="C199" t="s">
        <v>36</v>
      </c>
      <c r="D199">
        <v>2.9537254402874466E-3</v>
      </c>
      <c r="E199" t="s">
        <v>6</v>
      </c>
      <c r="G199" t="s">
        <v>233</v>
      </c>
      <c r="H199" t="s">
        <v>36</v>
      </c>
      <c r="I199">
        <v>1.4156064462787072E-2</v>
      </c>
      <c r="J199" t="s">
        <v>6</v>
      </c>
      <c r="L199" t="s">
        <v>234</v>
      </c>
      <c r="M199" t="s">
        <v>36</v>
      </c>
      <c r="N199">
        <v>1.6315520805508958E-2</v>
      </c>
      <c r="O199" t="s">
        <v>6</v>
      </c>
    </row>
    <row r="200" spans="2:15" x14ac:dyDescent="0.45">
      <c r="B200" t="s">
        <v>232</v>
      </c>
      <c r="C200" t="s">
        <v>37</v>
      </c>
      <c r="D200">
        <v>0</v>
      </c>
      <c r="E200" t="s">
        <v>6</v>
      </c>
      <c r="G200" t="s">
        <v>233</v>
      </c>
      <c r="H200" t="s">
        <v>37</v>
      </c>
      <c r="I200">
        <v>2.029341561816312E-2</v>
      </c>
      <c r="J200" t="s">
        <v>6</v>
      </c>
      <c r="L200" t="s">
        <v>234</v>
      </c>
      <c r="M200" t="s">
        <v>37</v>
      </c>
      <c r="N200">
        <v>2.3799408946442401E-2</v>
      </c>
      <c r="O200" t="s">
        <v>6</v>
      </c>
    </row>
    <row r="201" spans="2:15" x14ac:dyDescent="0.45">
      <c r="B201" t="s">
        <v>232</v>
      </c>
      <c r="C201" t="s">
        <v>38</v>
      </c>
      <c r="D201">
        <v>0</v>
      </c>
      <c r="E201" t="s">
        <v>6</v>
      </c>
      <c r="G201" t="s">
        <v>233</v>
      </c>
      <c r="H201" t="s">
        <v>38</v>
      </c>
      <c r="I201">
        <v>4.9083013316141226E-2</v>
      </c>
      <c r="J201" t="s">
        <v>6</v>
      </c>
      <c r="L201" t="s">
        <v>234</v>
      </c>
      <c r="M201" t="s">
        <v>38</v>
      </c>
      <c r="N201">
        <v>4.7886500919277042E-2</v>
      </c>
      <c r="O201" t="s">
        <v>6</v>
      </c>
    </row>
    <row r="202" spans="2:15" x14ac:dyDescent="0.45">
      <c r="B202" t="s">
        <v>232</v>
      </c>
      <c r="C202" t="s">
        <v>39</v>
      </c>
      <c r="D202">
        <v>1.3625249892923456E-5</v>
      </c>
      <c r="E202" t="s">
        <v>6</v>
      </c>
      <c r="G202" t="s">
        <v>233</v>
      </c>
      <c r="H202" t="s">
        <v>39</v>
      </c>
      <c r="I202">
        <v>1.8844454108756983E-2</v>
      </c>
      <c r="J202" t="s">
        <v>6</v>
      </c>
      <c r="L202" t="s">
        <v>234</v>
      </c>
      <c r="M202" t="s">
        <v>39</v>
      </c>
      <c r="N202">
        <v>1.9336622040132354E-2</v>
      </c>
      <c r="O202" t="s">
        <v>6</v>
      </c>
    </row>
    <row r="203" spans="2:15" x14ac:dyDescent="0.45">
      <c r="B203" t="s">
        <v>232</v>
      </c>
      <c r="C203" t="s">
        <v>40</v>
      </c>
      <c r="D203">
        <v>8.0762340781081049E-3</v>
      </c>
      <c r="E203" t="s">
        <v>6</v>
      </c>
      <c r="G203" t="s">
        <v>233</v>
      </c>
      <c r="H203" t="s">
        <v>40</v>
      </c>
      <c r="I203">
        <v>1.9617416605697397E-2</v>
      </c>
      <c r="J203" t="s">
        <v>6</v>
      </c>
      <c r="L203" t="s">
        <v>234</v>
      </c>
      <c r="M203" t="s">
        <v>40</v>
      </c>
      <c r="N203">
        <v>1.9305350932253565E-2</v>
      </c>
      <c r="O203" t="s">
        <v>6</v>
      </c>
    </row>
    <row r="204" spans="2:15" x14ac:dyDescent="0.45">
      <c r="B204" t="s">
        <v>232</v>
      </c>
      <c r="C204" t="s">
        <v>41</v>
      </c>
      <c r="D204">
        <v>3.8295217704861322E-2</v>
      </c>
      <c r="E204" t="s">
        <v>6</v>
      </c>
      <c r="G204" t="s">
        <v>233</v>
      </c>
      <c r="H204" t="s">
        <v>41</v>
      </c>
      <c r="I204">
        <v>2.0757502416597802E-2</v>
      </c>
      <c r="J204" t="s">
        <v>6</v>
      </c>
      <c r="L204" t="s">
        <v>234</v>
      </c>
      <c r="M204" t="s">
        <v>41</v>
      </c>
      <c r="N204">
        <v>1.9357229455525832E-2</v>
      </c>
      <c r="O204" t="s">
        <v>6</v>
      </c>
    </row>
    <row r="205" spans="2:15" x14ac:dyDescent="0.45">
      <c r="B205" t="s">
        <v>232</v>
      </c>
      <c r="C205" t="s">
        <v>42</v>
      </c>
      <c r="D205">
        <v>5.7716873587015383E-2</v>
      </c>
      <c r="E205" t="s">
        <v>6</v>
      </c>
      <c r="G205" t="s">
        <v>233</v>
      </c>
      <c r="H205" t="s">
        <v>42</v>
      </c>
      <c r="I205">
        <v>2.1806340559383477E-2</v>
      </c>
      <c r="J205" t="s">
        <v>6</v>
      </c>
      <c r="L205" t="s">
        <v>234</v>
      </c>
      <c r="M205" t="s">
        <v>42</v>
      </c>
      <c r="N205">
        <v>1.945743405274435E-2</v>
      </c>
      <c r="O205" t="s">
        <v>6</v>
      </c>
    </row>
    <row r="206" spans="2:15" x14ac:dyDescent="0.45">
      <c r="B206" t="s">
        <v>232</v>
      </c>
      <c r="C206" t="s">
        <v>43</v>
      </c>
      <c r="D206">
        <v>5.3588567375036908E-2</v>
      </c>
      <c r="E206" t="s">
        <v>6</v>
      </c>
      <c r="G206" t="s">
        <v>233</v>
      </c>
      <c r="H206" t="s">
        <v>43</v>
      </c>
      <c r="I206">
        <v>2.2762895330402291E-2</v>
      </c>
      <c r="J206" t="s">
        <v>6</v>
      </c>
      <c r="L206" t="s">
        <v>234</v>
      </c>
      <c r="M206" t="s">
        <v>43</v>
      </c>
      <c r="N206">
        <v>1.9809660397757462E-2</v>
      </c>
      <c r="O206" t="s">
        <v>6</v>
      </c>
    </row>
    <row r="207" spans="2:15" x14ac:dyDescent="0.45">
      <c r="B207" t="s">
        <v>232</v>
      </c>
      <c r="C207" t="s">
        <v>44</v>
      </c>
      <c r="D207">
        <v>2.9776198852443089E-2</v>
      </c>
      <c r="E207" t="s">
        <v>6</v>
      </c>
      <c r="G207" t="s">
        <v>233</v>
      </c>
      <c r="H207" t="s">
        <v>44</v>
      </c>
      <c r="I207">
        <v>2.2876184953907881E-2</v>
      </c>
      <c r="J207" t="s">
        <v>6</v>
      </c>
      <c r="L207" t="s">
        <v>234</v>
      </c>
      <c r="M207" t="s">
        <v>44</v>
      </c>
      <c r="N207">
        <v>2.0181395050374373E-2</v>
      </c>
      <c r="O207" t="s">
        <v>6</v>
      </c>
    </row>
    <row r="208" spans="2:15" x14ac:dyDescent="0.45">
      <c r="B208" t="s">
        <v>232</v>
      </c>
      <c r="C208" t="s">
        <v>45</v>
      </c>
      <c r="D208">
        <v>4.396169400245749E-3</v>
      </c>
      <c r="E208" t="s">
        <v>6</v>
      </c>
      <c r="G208" t="s">
        <v>233</v>
      </c>
      <c r="H208" t="s">
        <v>45</v>
      </c>
      <c r="I208">
        <v>2.1864048840609863E-2</v>
      </c>
      <c r="J208" t="s">
        <v>6</v>
      </c>
      <c r="L208" t="s">
        <v>234</v>
      </c>
      <c r="M208" t="s">
        <v>45</v>
      </c>
      <c r="N208">
        <v>2.0006511304576799E-2</v>
      </c>
      <c r="O208" t="s">
        <v>6</v>
      </c>
    </row>
    <row r="209" spans="2:15" x14ac:dyDescent="0.45">
      <c r="B209" t="s">
        <v>232</v>
      </c>
      <c r="C209" t="s">
        <v>46</v>
      </c>
      <c r="D209">
        <v>3.8184720535316513E-6</v>
      </c>
      <c r="E209" t="s">
        <v>6</v>
      </c>
      <c r="G209" t="s">
        <v>233</v>
      </c>
      <c r="H209" t="s">
        <v>46</v>
      </c>
      <c r="I209">
        <v>2.1182357151113343E-2</v>
      </c>
      <c r="J209" t="s">
        <v>6</v>
      </c>
      <c r="L209" t="s">
        <v>234</v>
      </c>
      <c r="M209" t="s">
        <v>46</v>
      </c>
      <c r="N209">
        <v>1.9579524650860373E-2</v>
      </c>
      <c r="O209" t="s">
        <v>6</v>
      </c>
    </row>
    <row r="210" spans="2:15" x14ac:dyDescent="0.45">
      <c r="B210" t="s">
        <v>232</v>
      </c>
      <c r="C210" t="s">
        <v>47</v>
      </c>
      <c r="D210">
        <v>0</v>
      </c>
      <c r="E210" t="s">
        <v>6</v>
      </c>
      <c r="G210" t="s">
        <v>233</v>
      </c>
      <c r="H210" t="s">
        <v>47</v>
      </c>
      <c r="I210">
        <v>3.0452390650355363E-2</v>
      </c>
      <c r="J210" t="s">
        <v>6</v>
      </c>
      <c r="L210" t="s">
        <v>234</v>
      </c>
      <c r="M210" t="s">
        <v>47</v>
      </c>
      <c r="N210">
        <v>2.8657255522091037E-2</v>
      </c>
      <c r="O210" t="s">
        <v>6</v>
      </c>
    </row>
    <row r="211" spans="2:15" x14ac:dyDescent="0.45">
      <c r="B211" t="s">
        <v>235</v>
      </c>
      <c r="C211" t="s">
        <v>5</v>
      </c>
      <c r="D211">
        <v>0</v>
      </c>
      <c r="E211" t="s">
        <v>6</v>
      </c>
      <c r="G211" t="s">
        <v>236</v>
      </c>
      <c r="H211" t="s">
        <v>5</v>
      </c>
      <c r="I211">
        <v>6.2716423363088303E-2</v>
      </c>
      <c r="J211" t="s">
        <v>6</v>
      </c>
      <c r="L211" t="s">
        <v>237</v>
      </c>
      <c r="M211" t="s">
        <v>5</v>
      </c>
      <c r="N211">
        <v>6.200799079367611E-2</v>
      </c>
      <c r="O211" t="s">
        <v>6</v>
      </c>
    </row>
    <row r="212" spans="2:15" x14ac:dyDescent="0.45">
      <c r="B212" t="s">
        <v>235</v>
      </c>
      <c r="C212" t="s">
        <v>9</v>
      </c>
      <c r="D212">
        <v>0</v>
      </c>
      <c r="E212" t="s">
        <v>6</v>
      </c>
      <c r="G212" t="s">
        <v>236</v>
      </c>
      <c r="H212" t="s">
        <v>9</v>
      </c>
      <c r="I212">
        <v>2.4702746744703751E-2</v>
      </c>
      <c r="J212" t="s">
        <v>6</v>
      </c>
      <c r="L212" t="s">
        <v>237</v>
      </c>
      <c r="M212" t="s">
        <v>9</v>
      </c>
      <c r="N212">
        <v>2.4344109420045348E-2</v>
      </c>
      <c r="O212" t="s">
        <v>6</v>
      </c>
    </row>
    <row r="213" spans="2:15" x14ac:dyDescent="0.45">
      <c r="B213" t="s">
        <v>235</v>
      </c>
      <c r="C213" t="s">
        <v>10</v>
      </c>
      <c r="D213">
        <v>5.2818788113314068E-4</v>
      </c>
      <c r="E213" t="s">
        <v>6</v>
      </c>
      <c r="G213" t="s">
        <v>236</v>
      </c>
      <c r="H213" t="s">
        <v>10</v>
      </c>
      <c r="I213">
        <v>2.4896933421172638E-2</v>
      </c>
      <c r="J213" t="s">
        <v>6</v>
      </c>
      <c r="L213" t="s">
        <v>237</v>
      </c>
      <c r="M213" t="s">
        <v>10</v>
      </c>
      <c r="N213">
        <v>2.4322348155377333E-2</v>
      </c>
      <c r="O213" t="s">
        <v>6</v>
      </c>
    </row>
    <row r="214" spans="2:15" x14ac:dyDescent="0.45">
      <c r="B214" t="s">
        <v>235</v>
      </c>
      <c r="C214" t="s">
        <v>11</v>
      </c>
      <c r="D214">
        <v>1.9634277415856122E-2</v>
      </c>
      <c r="E214" t="s">
        <v>6</v>
      </c>
      <c r="G214" t="s">
        <v>236</v>
      </c>
      <c r="H214" t="s">
        <v>11</v>
      </c>
      <c r="I214">
        <v>2.3872569579001773E-2</v>
      </c>
      <c r="J214" t="s">
        <v>6</v>
      </c>
      <c r="L214" t="s">
        <v>237</v>
      </c>
      <c r="M214" t="s">
        <v>11</v>
      </c>
      <c r="N214">
        <v>2.3762864687224147E-2</v>
      </c>
      <c r="O214" t="s">
        <v>6</v>
      </c>
    </row>
    <row r="215" spans="2:15" x14ac:dyDescent="0.45">
      <c r="B215" t="s">
        <v>235</v>
      </c>
      <c r="C215" t="s">
        <v>12</v>
      </c>
      <c r="D215">
        <v>4.0942208632106937E-2</v>
      </c>
      <c r="E215" t="s">
        <v>6</v>
      </c>
      <c r="G215" t="s">
        <v>236</v>
      </c>
      <c r="H215" t="s">
        <v>12</v>
      </c>
      <c r="I215">
        <v>2.3920800432440402E-2</v>
      </c>
      <c r="J215" t="s">
        <v>6</v>
      </c>
      <c r="L215" t="s">
        <v>237</v>
      </c>
      <c r="M215" t="s">
        <v>12</v>
      </c>
      <c r="N215">
        <v>2.4048715046433987E-2</v>
      </c>
      <c r="O215" t="s">
        <v>6</v>
      </c>
    </row>
    <row r="216" spans="2:15" x14ac:dyDescent="0.45">
      <c r="B216" t="s">
        <v>235</v>
      </c>
      <c r="C216" t="s">
        <v>13</v>
      </c>
      <c r="D216">
        <v>4.090975176675276E-2</v>
      </c>
      <c r="E216" t="s">
        <v>6</v>
      </c>
      <c r="G216" t="s">
        <v>236</v>
      </c>
      <c r="H216" t="s">
        <v>13</v>
      </c>
      <c r="I216">
        <v>2.4441508666917362E-2</v>
      </c>
      <c r="J216" t="s">
        <v>6</v>
      </c>
      <c r="L216" t="s">
        <v>237</v>
      </c>
      <c r="M216" t="s">
        <v>13</v>
      </c>
      <c r="N216">
        <v>2.3972711243997143E-2</v>
      </c>
      <c r="O216" t="s">
        <v>6</v>
      </c>
    </row>
    <row r="217" spans="2:15" x14ac:dyDescent="0.45">
      <c r="B217" t="s">
        <v>235</v>
      </c>
      <c r="C217" t="s">
        <v>14</v>
      </c>
      <c r="D217">
        <v>2.1157171088309619E-2</v>
      </c>
      <c r="E217" t="s">
        <v>6</v>
      </c>
      <c r="G217" t="s">
        <v>236</v>
      </c>
      <c r="H217" t="s">
        <v>14</v>
      </c>
      <c r="I217">
        <v>2.4197101204173538E-2</v>
      </c>
      <c r="J217" t="s">
        <v>6</v>
      </c>
      <c r="L217" t="s">
        <v>237</v>
      </c>
      <c r="M217" t="s">
        <v>14</v>
      </c>
      <c r="N217">
        <v>2.4099892574182883E-2</v>
      </c>
      <c r="O217" t="s">
        <v>6</v>
      </c>
    </row>
    <row r="218" spans="2:15" x14ac:dyDescent="0.45">
      <c r="B218" t="s">
        <v>235</v>
      </c>
      <c r="C218" t="s">
        <v>15</v>
      </c>
      <c r="D218">
        <v>1.7157956804388541E-3</v>
      </c>
      <c r="E218" t="s">
        <v>6</v>
      </c>
      <c r="G218" t="s">
        <v>236</v>
      </c>
      <c r="H218" t="s">
        <v>15</v>
      </c>
      <c r="I218">
        <v>2.4723778613016053E-2</v>
      </c>
      <c r="J218" t="s">
        <v>6</v>
      </c>
      <c r="L218" t="s">
        <v>237</v>
      </c>
      <c r="M218" t="s">
        <v>15</v>
      </c>
      <c r="N218">
        <v>2.4477015918466544E-2</v>
      </c>
      <c r="O218" t="s">
        <v>6</v>
      </c>
    </row>
    <row r="219" spans="2:15" x14ac:dyDescent="0.45">
      <c r="B219" t="s">
        <v>235</v>
      </c>
      <c r="C219" t="s">
        <v>16</v>
      </c>
      <c r="D219">
        <v>0</v>
      </c>
      <c r="E219" t="s">
        <v>6</v>
      </c>
      <c r="G219" t="s">
        <v>236</v>
      </c>
      <c r="H219" t="s">
        <v>16</v>
      </c>
      <c r="I219">
        <v>2.516848011129218E-2</v>
      </c>
      <c r="J219" t="s">
        <v>6</v>
      </c>
      <c r="L219" t="s">
        <v>237</v>
      </c>
      <c r="M219" t="s">
        <v>16</v>
      </c>
      <c r="N219">
        <v>2.4475707764977043E-2</v>
      </c>
      <c r="O219" t="s">
        <v>6</v>
      </c>
    </row>
    <row r="220" spans="2:15" x14ac:dyDescent="0.45">
      <c r="B220" t="s">
        <v>235</v>
      </c>
      <c r="C220" t="s">
        <v>17</v>
      </c>
      <c r="D220">
        <v>0</v>
      </c>
      <c r="E220" t="s">
        <v>6</v>
      </c>
      <c r="G220" t="s">
        <v>236</v>
      </c>
      <c r="H220" t="s">
        <v>17</v>
      </c>
      <c r="I220">
        <v>3.7671374065401816E-2</v>
      </c>
      <c r="J220" t="s">
        <v>6</v>
      </c>
      <c r="L220" t="s">
        <v>237</v>
      </c>
      <c r="M220" t="s">
        <v>17</v>
      </c>
      <c r="N220">
        <v>3.6942789553038924E-2</v>
      </c>
      <c r="O220" t="s">
        <v>6</v>
      </c>
    </row>
    <row r="221" spans="2:15" x14ac:dyDescent="0.45">
      <c r="B221" t="s">
        <v>235</v>
      </c>
      <c r="C221" t="s">
        <v>18</v>
      </c>
      <c r="D221">
        <v>0</v>
      </c>
      <c r="E221" t="s">
        <v>6</v>
      </c>
      <c r="G221" t="s">
        <v>236</v>
      </c>
      <c r="H221" t="s">
        <v>18</v>
      </c>
      <c r="I221">
        <v>5.527338110857398E-2</v>
      </c>
      <c r="J221" t="s">
        <v>6</v>
      </c>
      <c r="L221" t="s">
        <v>237</v>
      </c>
      <c r="M221" t="s">
        <v>18</v>
      </c>
      <c r="N221">
        <v>5.6974294095060864E-2</v>
      </c>
      <c r="O221" t="s">
        <v>6</v>
      </c>
    </row>
    <row r="222" spans="2:15" x14ac:dyDescent="0.45">
      <c r="B222" t="s">
        <v>235</v>
      </c>
      <c r="C222" t="s">
        <v>19</v>
      </c>
      <c r="D222">
        <v>1.0742485248007917E-3</v>
      </c>
      <c r="E222" t="s">
        <v>6</v>
      </c>
      <c r="G222" t="s">
        <v>236</v>
      </c>
      <c r="H222" t="s">
        <v>19</v>
      </c>
      <c r="I222">
        <v>2.1880016807491548E-2</v>
      </c>
      <c r="J222" t="s">
        <v>6</v>
      </c>
      <c r="L222" t="s">
        <v>237</v>
      </c>
      <c r="M222" t="s">
        <v>19</v>
      </c>
      <c r="N222">
        <v>2.3107329089114084E-2</v>
      </c>
      <c r="O222" t="s">
        <v>6</v>
      </c>
    </row>
    <row r="223" spans="2:15" x14ac:dyDescent="0.45">
      <c r="B223" t="s">
        <v>235</v>
      </c>
      <c r="C223" t="s">
        <v>20</v>
      </c>
      <c r="D223">
        <v>2.0965108270936981E-2</v>
      </c>
      <c r="E223" t="s">
        <v>6</v>
      </c>
      <c r="G223" t="s">
        <v>236</v>
      </c>
      <c r="H223" t="s">
        <v>20</v>
      </c>
      <c r="I223">
        <v>2.2635559354444862E-2</v>
      </c>
      <c r="J223" t="s">
        <v>6</v>
      </c>
      <c r="L223" t="s">
        <v>237</v>
      </c>
      <c r="M223" t="s">
        <v>20</v>
      </c>
      <c r="N223">
        <v>2.3484825761868118E-2</v>
      </c>
      <c r="O223" t="s">
        <v>6</v>
      </c>
    </row>
    <row r="224" spans="2:15" x14ac:dyDescent="0.45">
      <c r="B224" t="s">
        <v>235</v>
      </c>
      <c r="C224" t="s">
        <v>21</v>
      </c>
      <c r="D224">
        <v>5.7755594294701756E-2</v>
      </c>
      <c r="E224" t="s">
        <v>6</v>
      </c>
      <c r="G224" t="s">
        <v>236</v>
      </c>
      <c r="H224" t="s">
        <v>21</v>
      </c>
      <c r="I224">
        <v>2.3167436732303023E-2</v>
      </c>
      <c r="J224" t="s">
        <v>6</v>
      </c>
      <c r="L224" t="s">
        <v>237</v>
      </c>
      <c r="M224" t="s">
        <v>21</v>
      </c>
      <c r="N224">
        <v>2.3571975624126943E-2</v>
      </c>
      <c r="O224" t="s">
        <v>6</v>
      </c>
    </row>
    <row r="225" spans="2:15" x14ac:dyDescent="0.45">
      <c r="B225" t="s">
        <v>235</v>
      </c>
      <c r="C225" t="s">
        <v>22</v>
      </c>
      <c r="D225">
        <v>7.7606907370341968E-2</v>
      </c>
      <c r="E225" t="s">
        <v>6</v>
      </c>
      <c r="G225" t="s">
        <v>236</v>
      </c>
      <c r="H225" t="s">
        <v>22</v>
      </c>
      <c r="I225">
        <v>2.311492636381967E-2</v>
      </c>
      <c r="J225" t="s">
        <v>6</v>
      </c>
      <c r="L225" t="s">
        <v>237</v>
      </c>
      <c r="M225" t="s">
        <v>22</v>
      </c>
      <c r="N225">
        <v>2.285747971173752E-2</v>
      </c>
      <c r="O225" t="s">
        <v>6</v>
      </c>
    </row>
    <row r="226" spans="2:15" x14ac:dyDescent="0.45">
      <c r="B226" t="s">
        <v>235</v>
      </c>
      <c r="C226" t="s">
        <v>23</v>
      </c>
      <c r="D226">
        <v>7.4305108239707193E-2</v>
      </c>
      <c r="E226" t="s">
        <v>6</v>
      </c>
      <c r="G226" t="s">
        <v>236</v>
      </c>
      <c r="H226" t="s">
        <v>23</v>
      </c>
      <c r="I226">
        <v>2.3834736035805607E-2</v>
      </c>
      <c r="J226" t="s">
        <v>6</v>
      </c>
      <c r="L226" t="s">
        <v>237</v>
      </c>
      <c r="M226" t="s">
        <v>23</v>
      </c>
      <c r="N226">
        <v>2.2789701787003944E-2</v>
      </c>
      <c r="O226" t="s">
        <v>6</v>
      </c>
    </row>
    <row r="227" spans="2:15" x14ac:dyDescent="0.45">
      <c r="B227" t="s">
        <v>235</v>
      </c>
      <c r="C227" t="s">
        <v>24</v>
      </c>
      <c r="D227">
        <v>5.4531732708472225E-2</v>
      </c>
      <c r="E227" t="s">
        <v>6</v>
      </c>
      <c r="G227" t="s">
        <v>236</v>
      </c>
      <c r="H227" t="s">
        <v>24</v>
      </c>
      <c r="I227">
        <v>2.447247162141104E-2</v>
      </c>
      <c r="J227" t="s">
        <v>6</v>
      </c>
      <c r="L227" t="s">
        <v>237</v>
      </c>
      <c r="M227" t="s">
        <v>24</v>
      </c>
      <c r="N227">
        <v>2.302188440737974E-2</v>
      </c>
      <c r="O227" t="s">
        <v>6</v>
      </c>
    </row>
    <row r="228" spans="2:15" x14ac:dyDescent="0.45">
      <c r="B228" t="s">
        <v>235</v>
      </c>
      <c r="C228" t="s">
        <v>25</v>
      </c>
      <c r="D228">
        <v>2.0459043897138658E-2</v>
      </c>
      <c r="E228" t="s">
        <v>6</v>
      </c>
      <c r="G228" t="s">
        <v>236</v>
      </c>
      <c r="H228" t="s">
        <v>25</v>
      </c>
      <c r="I228">
        <v>2.4159809378186153E-2</v>
      </c>
      <c r="J228" t="s">
        <v>6</v>
      </c>
      <c r="L228" t="s">
        <v>237</v>
      </c>
      <c r="M228" t="s">
        <v>25</v>
      </c>
      <c r="N228">
        <v>2.2980206357424232E-2</v>
      </c>
      <c r="O228" t="s">
        <v>6</v>
      </c>
    </row>
    <row r="229" spans="2:15" x14ac:dyDescent="0.45">
      <c r="B229" t="s">
        <v>235</v>
      </c>
      <c r="C229" t="s">
        <v>26</v>
      </c>
      <c r="D229">
        <v>9.1195898029346883E-4</v>
      </c>
      <c r="E229" t="s">
        <v>6</v>
      </c>
      <c r="G229" t="s">
        <v>236</v>
      </c>
      <c r="H229" t="s">
        <v>26</v>
      </c>
      <c r="I229">
        <v>2.34893947985888E-2</v>
      </c>
      <c r="J229" t="s">
        <v>6</v>
      </c>
      <c r="L229" t="s">
        <v>237</v>
      </c>
      <c r="M229" t="s">
        <v>26</v>
      </c>
      <c r="N229">
        <v>2.287168863570755E-2</v>
      </c>
      <c r="O229" t="s">
        <v>6</v>
      </c>
    </row>
    <row r="230" spans="2:15" x14ac:dyDescent="0.45">
      <c r="B230" t="s">
        <v>235</v>
      </c>
      <c r="C230" t="s">
        <v>27</v>
      </c>
      <c r="D230">
        <v>0</v>
      </c>
      <c r="E230" t="s">
        <v>6</v>
      </c>
      <c r="G230" t="s">
        <v>236</v>
      </c>
      <c r="H230" t="s">
        <v>27</v>
      </c>
      <c r="I230">
        <v>3.3258841098792576E-2</v>
      </c>
      <c r="J230" t="s">
        <v>6</v>
      </c>
      <c r="L230" t="s">
        <v>237</v>
      </c>
      <c r="M230" t="s">
        <v>27</v>
      </c>
      <c r="N230">
        <v>3.3140798734750884E-2</v>
      </c>
      <c r="O230" t="s">
        <v>6</v>
      </c>
    </row>
    <row r="231" spans="2:15" x14ac:dyDescent="0.45">
      <c r="B231" t="s">
        <v>235</v>
      </c>
      <c r="C231" t="s">
        <v>28</v>
      </c>
      <c r="D231">
        <v>0</v>
      </c>
      <c r="E231" t="s">
        <v>6</v>
      </c>
      <c r="G231" t="s">
        <v>236</v>
      </c>
      <c r="H231" t="s">
        <v>28</v>
      </c>
      <c r="I231">
        <v>3.8228044466196098E-2</v>
      </c>
      <c r="J231" t="s">
        <v>6</v>
      </c>
      <c r="L231" t="s">
        <v>237</v>
      </c>
      <c r="M231" t="s">
        <v>28</v>
      </c>
      <c r="N231">
        <v>3.9837063858473888E-2</v>
      </c>
      <c r="O231" t="s">
        <v>6</v>
      </c>
    </row>
    <row r="232" spans="2:15" x14ac:dyDescent="0.45">
      <c r="B232" t="s">
        <v>235</v>
      </c>
      <c r="C232" t="s">
        <v>29</v>
      </c>
      <c r="D232">
        <v>2.5405918420801578E-3</v>
      </c>
      <c r="E232" t="s">
        <v>6</v>
      </c>
      <c r="G232" t="s">
        <v>236</v>
      </c>
      <c r="H232" t="s">
        <v>29</v>
      </c>
      <c r="I232">
        <v>1.409211737161737E-2</v>
      </c>
      <c r="J232" t="s">
        <v>6</v>
      </c>
      <c r="L232" t="s">
        <v>237</v>
      </c>
      <c r="M232" t="s">
        <v>29</v>
      </c>
      <c r="N232">
        <v>1.4587452557363099E-2</v>
      </c>
      <c r="O232" t="s">
        <v>6</v>
      </c>
    </row>
    <row r="233" spans="2:15" x14ac:dyDescent="0.45">
      <c r="B233" t="s">
        <v>235</v>
      </c>
      <c r="C233" t="s">
        <v>30</v>
      </c>
      <c r="D233">
        <v>2.7463614898666725E-2</v>
      </c>
      <c r="E233" t="s">
        <v>6</v>
      </c>
      <c r="G233" t="s">
        <v>236</v>
      </c>
      <c r="H233" t="s">
        <v>30</v>
      </c>
      <c r="I233">
        <v>1.3870536003798412E-2</v>
      </c>
      <c r="J233" t="s">
        <v>6</v>
      </c>
      <c r="L233" t="s">
        <v>237</v>
      </c>
      <c r="M233" t="s">
        <v>30</v>
      </c>
      <c r="N233">
        <v>1.4202539415081481E-2</v>
      </c>
      <c r="O233" t="s">
        <v>6</v>
      </c>
    </row>
    <row r="234" spans="2:15" x14ac:dyDescent="0.45">
      <c r="B234" t="s">
        <v>235</v>
      </c>
      <c r="C234" t="s">
        <v>31</v>
      </c>
      <c r="D234">
        <v>6.7142005090253504E-2</v>
      </c>
      <c r="E234" t="s">
        <v>6</v>
      </c>
      <c r="G234" t="s">
        <v>236</v>
      </c>
      <c r="H234" t="s">
        <v>31</v>
      </c>
      <c r="I234">
        <v>1.3471273482672798E-2</v>
      </c>
      <c r="J234" t="s">
        <v>6</v>
      </c>
      <c r="L234" t="s">
        <v>237</v>
      </c>
      <c r="M234" t="s">
        <v>31</v>
      </c>
      <c r="N234">
        <v>1.3749164489743393E-2</v>
      </c>
      <c r="O234" t="s">
        <v>6</v>
      </c>
    </row>
    <row r="235" spans="2:15" x14ac:dyDescent="0.45">
      <c r="B235" t="s">
        <v>235</v>
      </c>
      <c r="C235" t="s">
        <v>32</v>
      </c>
      <c r="D235">
        <v>9.0247677862216449E-2</v>
      </c>
      <c r="E235" t="s">
        <v>6</v>
      </c>
      <c r="G235" t="s">
        <v>236</v>
      </c>
      <c r="H235" t="s">
        <v>32</v>
      </c>
      <c r="I235">
        <v>1.3542214813914349E-2</v>
      </c>
      <c r="J235" t="s">
        <v>6</v>
      </c>
      <c r="L235" t="s">
        <v>237</v>
      </c>
      <c r="M235" t="s">
        <v>32</v>
      </c>
      <c r="N235">
        <v>1.3696620953121576E-2</v>
      </c>
      <c r="O235" t="s">
        <v>6</v>
      </c>
    </row>
    <row r="236" spans="2:15" x14ac:dyDescent="0.45">
      <c r="B236" t="s">
        <v>235</v>
      </c>
      <c r="C236" t="s">
        <v>33</v>
      </c>
      <c r="D236">
        <v>8.7722166505667665E-2</v>
      </c>
      <c r="E236" t="s">
        <v>6</v>
      </c>
      <c r="G236" t="s">
        <v>236</v>
      </c>
      <c r="H236" t="s">
        <v>33</v>
      </c>
      <c r="I236">
        <v>1.4985823443535334E-2</v>
      </c>
      <c r="J236" t="s">
        <v>6</v>
      </c>
      <c r="L236" t="s">
        <v>237</v>
      </c>
      <c r="M236" t="s">
        <v>33</v>
      </c>
      <c r="N236">
        <v>1.5030423990077212E-2</v>
      </c>
      <c r="O236" t="s">
        <v>6</v>
      </c>
    </row>
    <row r="237" spans="2:15" x14ac:dyDescent="0.45">
      <c r="B237" t="s">
        <v>235</v>
      </c>
      <c r="C237" t="s">
        <v>34</v>
      </c>
      <c r="D237">
        <v>6.6769711384150318E-2</v>
      </c>
      <c r="E237" t="s">
        <v>6</v>
      </c>
      <c r="G237" t="s">
        <v>236</v>
      </c>
      <c r="H237" t="s">
        <v>34</v>
      </c>
      <c r="I237">
        <v>1.6245560248878556E-2</v>
      </c>
      <c r="J237" t="s">
        <v>6</v>
      </c>
      <c r="L237" t="s">
        <v>237</v>
      </c>
      <c r="M237" t="s">
        <v>34</v>
      </c>
      <c r="N237">
        <v>1.6026594807379672E-2</v>
      </c>
      <c r="O237" t="s">
        <v>6</v>
      </c>
    </row>
    <row r="238" spans="2:15" x14ac:dyDescent="0.45">
      <c r="B238" t="s">
        <v>235</v>
      </c>
      <c r="C238" t="s">
        <v>35</v>
      </c>
      <c r="D238">
        <v>3.0933586579167449E-2</v>
      </c>
      <c r="E238" t="s">
        <v>6</v>
      </c>
      <c r="G238" t="s">
        <v>236</v>
      </c>
      <c r="H238" t="s">
        <v>35</v>
      </c>
      <c r="I238">
        <v>1.651100469850059E-2</v>
      </c>
      <c r="J238" t="s">
        <v>6</v>
      </c>
      <c r="L238" t="s">
        <v>237</v>
      </c>
      <c r="M238" t="s">
        <v>35</v>
      </c>
      <c r="N238">
        <v>1.6645268036142129E-2</v>
      </c>
      <c r="O238" t="s">
        <v>6</v>
      </c>
    </row>
    <row r="239" spans="2:15" x14ac:dyDescent="0.45">
      <c r="B239" t="s">
        <v>235</v>
      </c>
      <c r="C239" t="s">
        <v>36</v>
      </c>
      <c r="D239">
        <v>2.8703945709992154E-3</v>
      </c>
      <c r="E239" t="s">
        <v>6</v>
      </c>
      <c r="G239" t="s">
        <v>236</v>
      </c>
      <c r="H239" t="s">
        <v>36</v>
      </c>
      <c r="I239">
        <v>1.5821521893192445E-2</v>
      </c>
      <c r="J239" t="s">
        <v>6</v>
      </c>
      <c r="L239" t="s">
        <v>237</v>
      </c>
      <c r="M239" t="s">
        <v>36</v>
      </c>
      <c r="N239">
        <v>1.6559331764051357E-2</v>
      </c>
      <c r="O239" t="s">
        <v>6</v>
      </c>
    </row>
    <row r="240" spans="2:15" x14ac:dyDescent="0.45">
      <c r="B240" t="s">
        <v>235</v>
      </c>
      <c r="C240" t="s">
        <v>37</v>
      </c>
      <c r="D240">
        <v>0</v>
      </c>
      <c r="E240" t="s">
        <v>6</v>
      </c>
      <c r="G240" t="s">
        <v>236</v>
      </c>
      <c r="H240" t="s">
        <v>37</v>
      </c>
      <c r="I240">
        <v>2.2882249429594766E-2</v>
      </c>
      <c r="J240" t="s">
        <v>6</v>
      </c>
      <c r="L240" t="s">
        <v>237</v>
      </c>
      <c r="M240" t="s">
        <v>37</v>
      </c>
      <c r="N240">
        <v>2.441198280600455E-2</v>
      </c>
      <c r="O240" t="s">
        <v>6</v>
      </c>
    </row>
    <row r="241" spans="2:15" x14ac:dyDescent="0.45">
      <c r="B241" t="s">
        <v>235</v>
      </c>
      <c r="C241" t="s">
        <v>38</v>
      </c>
      <c r="D241">
        <v>0</v>
      </c>
      <c r="E241" t="s">
        <v>6</v>
      </c>
      <c r="G241" t="s">
        <v>236</v>
      </c>
      <c r="H241" t="s">
        <v>38</v>
      </c>
      <c r="I241">
        <v>4.9994991589573518E-2</v>
      </c>
      <c r="J241" t="s">
        <v>6</v>
      </c>
      <c r="L241" t="s">
        <v>237</v>
      </c>
      <c r="M241" t="s">
        <v>38</v>
      </c>
      <c r="N241">
        <v>5.0120075370162602E-2</v>
      </c>
      <c r="O241" t="s">
        <v>6</v>
      </c>
    </row>
    <row r="242" spans="2:15" x14ac:dyDescent="0.45">
      <c r="B242" t="s">
        <v>235</v>
      </c>
      <c r="C242" t="s">
        <v>39</v>
      </c>
      <c r="D242">
        <v>7.6851161297737441E-6</v>
      </c>
      <c r="E242" t="s">
        <v>6</v>
      </c>
      <c r="G242" t="s">
        <v>236</v>
      </c>
      <c r="H242" t="s">
        <v>39</v>
      </c>
      <c r="I242">
        <v>1.9596676540978266E-2</v>
      </c>
      <c r="J242" t="s">
        <v>6</v>
      </c>
      <c r="L242" t="s">
        <v>237</v>
      </c>
      <c r="M242" t="s">
        <v>39</v>
      </c>
      <c r="N242">
        <v>2.0136539321004447E-2</v>
      </c>
      <c r="O242" t="s">
        <v>6</v>
      </c>
    </row>
    <row r="243" spans="2:15" x14ac:dyDescent="0.45">
      <c r="B243" t="s">
        <v>235</v>
      </c>
      <c r="C243" t="s">
        <v>40</v>
      </c>
      <c r="D243">
        <v>8.0145484871744898E-3</v>
      </c>
      <c r="E243" t="s">
        <v>6</v>
      </c>
      <c r="G243" t="s">
        <v>236</v>
      </c>
      <c r="H243" t="s">
        <v>40</v>
      </c>
      <c r="I243">
        <v>1.994636105895722E-2</v>
      </c>
      <c r="J243" t="s">
        <v>6</v>
      </c>
      <c r="L243" t="s">
        <v>237</v>
      </c>
      <c r="M243" t="s">
        <v>40</v>
      </c>
      <c r="N243">
        <v>2.0285849965410239E-2</v>
      </c>
      <c r="O243" t="s">
        <v>6</v>
      </c>
    </row>
    <row r="244" spans="2:15" x14ac:dyDescent="0.45">
      <c r="B244" t="s">
        <v>235</v>
      </c>
      <c r="C244" t="s">
        <v>41</v>
      </c>
      <c r="D244">
        <v>3.8088130130304577E-2</v>
      </c>
      <c r="E244" t="s">
        <v>6</v>
      </c>
      <c r="G244" t="s">
        <v>236</v>
      </c>
      <c r="H244" t="s">
        <v>41</v>
      </c>
      <c r="I244">
        <v>2.0072214279858253E-2</v>
      </c>
      <c r="J244" t="s">
        <v>6</v>
      </c>
      <c r="L244" t="s">
        <v>237</v>
      </c>
      <c r="M244" t="s">
        <v>41</v>
      </c>
      <c r="N244">
        <v>2.028196515042462E-2</v>
      </c>
      <c r="O244" t="s">
        <v>6</v>
      </c>
    </row>
    <row r="245" spans="2:15" x14ac:dyDescent="0.45">
      <c r="B245" t="s">
        <v>235</v>
      </c>
      <c r="C245" t="s">
        <v>42</v>
      </c>
      <c r="D245">
        <v>5.7218786463233057E-2</v>
      </c>
      <c r="E245" t="s">
        <v>6</v>
      </c>
      <c r="G245" t="s">
        <v>236</v>
      </c>
      <c r="H245" t="s">
        <v>42</v>
      </c>
      <c r="I245">
        <v>2.073409012606774E-2</v>
      </c>
      <c r="J245" t="s">
        <v>6</v>
      </c>
      <c r="L245" t="s">
        <v>237</v>
      </c>
      <c r="M245" t="s">
        <v>42</v>
      </c>
      <c r="N245">
        <v>2.053495755099102E-2</v>
      </c>
      <c r="O245" t="s">
        <v>6</v>
      </c>
    </row>
    <row r="246" spans="2:15" x14ac:dyDescent="0.45">
      <c r="B246" t="s">
        <v>235</v>
      </c>
      <c r="C246" t="s">
        <v>43</v>
      </c>
      <c r="D246">
        <v>5.2910426812859818E-2</v>
      </c>
      <c r="E246" t="s">
        <v>6</v>
      </c>
      <c r="G246" t="s">
        <v>236</v>
      </c>
      <c r="H246" t="s">
        <v>43</v>
      </c>
      <c r="I246">
        <v>2.2090849699121035E-2</v>
      </c>
      <c r="J246" t="s">
        <v>6</v>
      </c>
      <c r="L246" t="s">
        <v>237</v>
      </c>
      <c r="M246" t="s">
        <v>43</v>
      </c>
      <c r="N246">
        <v>2.0982056288634955E-2</v>
      </c>
      <c r="O246" t="s">
        <v>6</v>
      </c>
    </row>
    <row r="247" spans="2:15" x14ac:dyDescent="0.45">
      <c r="B247" t="s">
        <v>235</v>
      </c>
      <c r="C247" t="s">
        <v>44</v>
      </c>
      <c r="D247">
        <v>3.0484853058217444E-2</v>
      </c>
      <c r="E247" t="s">
        <v>6</v>
      </c>
      <c r="G247" t="s">
        <v>236</v>
      </c>
      <c r="H247" t="s">
        <v>44</v>
      </c>
      <c r="I247">
        <v>2.241871982208397E-2</v>
      </c>
      <c r="J247" t="s">
        <v>6</v>
      </c>
      <c r="L247" t="s">
        <v>237</v>
      </c>
      <c r="M247" t="s">
        <v>44</v>
      </c>
      <c r="N247">
        <v>2.159691916195678E-2</v>
      </c>
      <c r="O247" t="s">
        <v>6</v>
      </c>
    </row>
    <row r="248" spans="2:15" x14ac:dyDescent="0.45">
      <c r="B248" t="s">
        <v>235</v>
      </c>
      <c r="C248" t="s">
        <v>45</v>
      </c>
      <c r="D248">
        <v>5.0846455150620187E-3</v>
      </c>
      <c r="E248" t="s">
        <v>6</v>
      </c>
      <c r="G248" t="s">
        <v>236</v>
      </c>
      <c r="H248" t="s">
        <v>45</v>
      </c>
      <c r="I248">
        <v>2.2258141995423454E-2</v>
      </c>
      <c r="J248" t="s">
        <v>6</v>
      </c>
      <c r="L248" t="s">
        <v>237</v>
      </c>
      <c r="M248" t="s">
        <v>45</v>
      </c>
      <c r="N248">
        <v>2.1955691312224076E-2</v>
      </c>
      <c r="O248" t="s">
        <v>6</v>
      </c>
    </row>
    <row r="249" spans="2:15" x14ac:dyDescent="0.45">
      <c r="B249" t="s">
        <v>235</v>
      </c>
      <c r="C249" t="s">
        <v>46</v>
      </c>
      <c r="D249">
        <v>4.0809328252103904E-6</v>
      </c>
      <c r="E249" t="s">
        <v>6</v>
      </c>
      <c r="G249" t="s">
        <v>236</v>
      </c>
      <c r="H249" t="s">
        <v>46</v>
      </c>
      <c r="I249">
        <v>2.1493273121153605E-2</v>
      </c>
      <c r="J249" t="s">
        <v>6</v>
      </c>
      <c r="L249" t="s">
        <v>237</v>
      </c>
      <c r="M249" t="s">
        <v>46</v>
      </c>
      <c r="N249">
        <v>2.1275973431949438E-2</v>
      </c>
      <c r="O249" t="s">
        <v>6</v>
      </c>
    </row>
    <row r="250" spans="2:15" x14ac:dyDescent="0.45">
      <c r="B250" t="s">
        <v>235</v>
      </c>
      <c r="C250" t="s">
        <v>47</v>
      </c>
      <c r="D250">
        <v>0</v>
      </c>
      <c r="E250" t="s">
        <v>6</v>
      </c>
      <c r="G250" t="s">
        <v>236</v>
      </c>
      <c r="H250" t="s">
        <v>47</v>
      </c>
      <c r="I250">
        <v>3.014604641425668E-2</v>
      </c>
      <c r="J250" t="s">
        <v>6</v>
      </c>
      <c r="L250" t="s">
        <v>237</v>
      </c>
      <c r="M250" t="s">
        <v>47</v>
      </c>
      <c r="N250">
        <v>3.0829200408209655E-2</v>
      </c>
      <c r="O250" t="s">
        <v>6</v>
      </c>
    </row>
    <row r="251" spans="2:15" x14ac:dyDescent="0.45">
      <c r="B251" t="s">
        <v>238</v>
      </c>
      <c r="C251" t="s">
        <v>5</v>
      </c>
      <c r="D251">
        <v>0</v>
      </c>
      <c r="E251" t="s">
        <v>6</v>
      </c>
      <c r="G251" t="s">
        <v>239</v>
      </c>
      <c r="H251" t="s">
        <v>5</v>
      </c>
      <c r="I251">
        <v>6.3312656741366075E-2</v>
      </c>
      <c r="J251" t="s">
        <v>6</v>
      </c>
      <c r="L251" t="s">
        <v>240</v>
      </c>
      <c r="M251" t="s">
        <v>5</v>
      </c>
      <c r="N251">
        <v>6.3633109715245925E-2</v>
      </c>
      <c r="O251" t="s">
        <v>6</v>
      </c>
    </row>
    <row r="252" spans="2:15" x14ac:dyDescent="0.45">
      <c r="B252" t="s">
        <v>238</v>
      </c>
      <c r="C252" t="s">
        <v>9</v>
      </c>
      <c r="D252">
        <v>0</v>
      </c>
      <c r="E252" t="s">
        <v>6</v>
      </c>
      <c r="G252" t="s">
        <v>239</v>
      </c>
      <c r="H252" t="s">
        <v>9</v>
      </c>
      <c r="I252">
        <v>2.4626715493652324E-2</v>
      </c>
      <c r="J252" t="s">
        <v>6</v>
      </c>
      <c r="L252" t="s">
        <v>240</v>
      </c>
      <c r="M252" t="s">
        <v>9</v>
      </c>
      <c r="N252">
        <v>2.4960067938118089E-2</v>
      </c>
      <c r="O252" t="s">
        <v>6</v>
      </c>
    </row>
    <row r="253" spans="2:15" x14ac:dyDescent="0.45">
      <c r="B253" t="s">
        <v>238</v>
      </c>
      <c r="C253" t="s">
        <v>10</v>
      </c>
      <c r="D253">
        <v>4.1003064548095084E-4</v>
      </c>
      <c r="E253" t="s">
        <v>6</v>
      </c>
      <c r="G253" t="s">
        <v>239</v>
      </c>
      <c r="H253" t="s">
        <v>10</v>
      </c>
      <c r="I253">
        <v>2.4878826226558935E-2</v>
      </c>
      <c r="J253" t="s">
        <v>6</v>
      </c>
      <c r="L253" t="s">
        <v>240</v>
      </c>
      <c r="M253" t="s">
        <v>10</v>
      </c>
      <c r="N253">
        <v>2.4973613301887805E-2</v>
      </c>
      <c r="O253" t="s">
        <v>6</v>
      </c>
    </row>
    <row r="254" spans="2:15" x14ac:dyDescent="0.45">
      <c r="B254" t="s">
        <v>238</v>
      </c>
      <c r="C254" t="s">
        <v>11</v>
      </c>
      <c r="D254">
        <v>1.7785584800975935E-2</v>
      </c>
      <c r="E254" t="s">
        <v>6</v>
      </c>
      <c r="G254" t="s">
        <v>239</v>
      </c>
      <c r="H254" t="s">
        <v>11</v>
      </c>
      <c r="I254">
        <v>2.3735635226502357E-2</v>
      </c>
      <c r="J254" t="s">
        <v>6</v>
      </c>
      <c r="L254" t="s">
        <v>240</v>
      </c>
      <c r="M254" t="s">
        <v>11</v>
      </c>
      <c r="N254">
        <v>2.4477179363906462E-2</v>
      </c>
      <c r="O254" t="s">
        <v>6</v>
      </c>
    </row>
    <row r="255" spans="2:15" x14ac:dyDescent="0.45">
      <c r="B255" t="s">
        <v>238</v>
      </c>
      <c r="C255" t="s">
        <v>12</v>
      </c>
      <c r="D255">
        <v>4.3090541270596021E-2</v>
      </c>
      <c r="E255" t="s">
        <v>6</v>
      </c>
      <c r="G255" t="s">
        <v>239</v>
      </c>
      <c r="H255" t="s">
        <v>12</v>
      </c>
      <c r="I255">
        <v>2.3443202977123285E-2</v>
      </c>
      <c r="J255" t="s">
        <v>6</v>
      </c>
      <c r="L255" t="s">
        <v>240</v>
      </c>
      <c r="M255" t="s">
        <v>12</v>
      </c>
      <c r="N255">
        <v>2.4456825345201053E-2</v>
      </c>
      <c r="O255" t="s">
        <v>6</v>
      </c>
    </row>
    <row r="256" spans="2:15" x14ac:dyDescent="0.45">
      <c r="B256" t="s">
        <v>238</v>
      </c>
      <c r="C256" t="s">
        <v>13</v>
      </c>
      <c r="D256">
        <v>4.326956455097717E-2</v>
      </c>
      <c r="E256" t="s">
        <v>6</v>
      </c>
      <c r="G256" t="s">
        <v>239</v>
      </c>
      <c r="H256" t="s">
        <v>13</v>
      </c>
      <c r="I256">
        <v>2.4330685600201685E-2</v>
      </c>
      <c r="J256" t="s">
        <v>6</v>
      </c>
      <c r="L256" t="s">
        <v>240</v>
      </c>
      <c r="M256" t="s">
        <v>13</v>
      </c>
      <c r="N256">
        <v>2.4367165295052166E-2</v>
      </c>
      <c r="O256" t="s">
        <v>6</v>
      </c>
    </row>
    <row r="257" spans="2:15" x14ac:dyDescent="0.45">
      <c r="B257" t="s">
        <v>238</v>
      </c>
      <c r="C257" t="s">
        <v>14</v>
      </c>
      <c r="D257">
        <v>2.2814299113927405E-2</v>
      </c>
      <c r="E257" t="s">
        <v>6</v>
      </c>
      <c r="G257" t="s">
        <v>239</v>
      </c>
      <c r="H257" t="s">
        <v>14</v>
      </c>
      <c r="I257">
        <v>2.4256490345331078E-2</v>
      </c>
      <c r="J257" t="s">
        <v>6</v>
      </c>
      <c r="L257" t="s">
        <v>240</v>
      </c>
      <c r="M257" t="s">
        <v>14</v>
      </c>
      <c r="N257">
        <v>2.4484200350183057E-2</v>
      </c>
      <c r="O257" t="s">
        <v>6</v>
      </c>
    </row>
    <row r="258" spans="2:15" x14ac:dyDescent="0.45">
      <c r="B258" t="s">
        <v>238</v>
      </c>
      <c r="C258" t="s">
        <v>15</v>
      </c>
      <c r="D258">
        <v>2.3020163352070956E-3</v>
      </c>
      <c r="E258" t="s">
        <v>6</v>
      </c>
      <c r="G258" t="s">
        <v>239</v>
      </c>
      <c r="H258" t="s">
        <v>15</v>
      </c>
      <c r="I258">
        <v>2.4599707777296944E-2</v>
      </c>
      <c r="J258" t="s">
        <v>6</v>
      </c>
      <c r="L258" t="s">
        <v>240</v>
      </c>
      <c r="M258" t="s">
        <v>15</v>
      </c>
      <c r="N258">
        <v>2.5210603020583058E-2</v>
      </c>
      <c r="O258" t="s">
        <v>6</v>
      </c>
    </row>
    <row r="259" spans="2:15" x14ac:dyDescent="0.45">
      <c r="B259" t="s">
        <v>238</v>
      </c>
      <c r="C259" t="s">
        <v>16</v>
      </c>
      <c r="D259">
        <v>0</v>
      </c>
      <c r="E259" t="s">
        <v>6</v>
      </c>
      <c r="G259" t="s">
        <v>239</v>
      </c>
      <c r="H259" t="s">
        <v>16</v>
      </c>
      <c r="I259">
        <v>2.5484111538319094E-2</v>
      </c>
      <c r="J259" t="s">
        <v>6</v>
      </c>
      <c r="L259" t="s">
        <v>240</v>
      </c>
      <c r="M259" t="s">
        <v>16</v>
      </c>
      <c r="N259">
        <v>2.5712961225115041E-2</v>
      </c>
      <c r="O259" t="s">
        <v>6</v>
      </c>
    </row>
    <row r="260" spans="2:15" x14ac:dyDescent="0.45">
      <c r="B260" t="s">
        <v>238</v>
      </c>
      <c r="C260" t="s">
        <v>17</v>
      </c>
      <c r="D260">
        <v>0</v>
      </c>
      <c r="E260" t="s">
        <v>6</v>
      </c>
      <c r="G260" t="s">
        <v>239</v>
      </c>
      <c r="H260" t="s">
        <v>17</v>
      </c>
      <c r="I260">
        <v>3.7997483786900939E-2</v>
      </c>
      <c r="J260" t="s">
        <v>6</v>
      </c>
      <c r="L260" t="s">
        <v>240</v>
      </c>
      <c r="M260" t="s">
        <v>17</v>
      </c>
      <c r="N260">
        <v>3.8894730067386821E-2</v>
      </c>
      <c r="O260" t="s">
        <v>6</v>
      </c>
    </row>
    <row r="261" spans="2:15" x14ac:dyDescent="0.45">
      <c r="B261" t="s">
        <v>238</v>
      </c>
      <c r="C261" t="s">
        <v>18</v>
      </c>
      <c r="D261">
        <v>0</v>
      </c>
      <c r="E261" t="s">
        <v>6</v>
      </c>
      <c r="G261" t="s">
        <v>239</v>
      </c>
      <c r="H261" t="s">
        <v>18</v>
      </c>
      <c r="I261">
        <v>5.5140971750534479E-2</v>
      </c>
      <c r="J261" t="s">
        <v>6</v>
      </c>
      <c r="L261" t="s">
        <v>240</v>
      </c>
      <c r="M261" t="s">
        <v>18</v>
      </c>
      <c r="N261">
        <v>5.6011118122427393E-2</v>
      </c>
      <c r="O261" t="s">
        <v>6</v>
      </c>
    </row>
    <row r="262" spans="2:15" x14ac:dyDescent="0.45">
      <c r="B262" t="s">
        <v>238</v>
      </c>
      <c r="C262" t="s">
        <v>19</v>
      </c>
      <c r="D262">
        <v>8.2338027514498792E-4</v>
      </c>
      <c r="E262" t="s">
        <v>6</v>
      </c>
      <c r="G262" t="s">
        <v>239</v>
      </c>
      <c r="H262" t="s">
        <v>19</v>
      </c>
      <c r="I262">
        <v>2.1166325353096257E-2</v>
      </c>
      <c r="J262" t="s">
        <v>6</v>
      </c>
      <c r="L262" t="s">
        <v>240</v>
      </c>
      <c r="M262" t="s">
        <v>19</v>
      </c>
      <c r="N262">
        <v>2.2915022159074698E-2</v>
      </c>
      <c r="O262" t="s">
        <v>6</v>
      </c>
    </row>
    <row r="263" spans="2:15" x14ac:dyDescent="0.45">
      <c r="B263" t="s">
        <v>238</v>
      </c>
      <c r="C263" t="s">
        <v>20</v>
      </c>
      <c r="D263">
        <v>1.9401293283633551E-2</v>
      </c>
      <c r="E263" t="s">
        <v>6</v>
      </c>
      <c r="G263" t="s">
        <v>239</v>
      </c>
      <c r="H263" t="s">
        <v>20</v>
      </c>
      <c r="I263">
        <v>2.1658316671388764E-2</v>
      </c>
      <c r="J263" t="s">
        <v>6</v>
      </c>
      <c r="L263" t="s">
        <v>240</v>
      </c>
      <c r="M263" t="s">
        <v>20</v>
      </c>
      <c r="N263">
        <v>2.3691421742356483E-2</v>
      </c>
      <c r="O263" t="s">
        <v>6</v>
      </c>
    </row>
    <row r="264" spans="2:15" x14ac:dyDescent="0.45">
      <c r="B264" t="s">
        <v>238</v>
      </c>
      <c r="C264" t="s">
        <v>21</v>
      </c>
      <c r="D264">
        <v>5.688745130742693E-2</v>
      </c>
      <c r="E264" t="s">
        <v>6</v>
      </c>
      <c r="G264" t="s">
        <v>239</v>
      </c>
      <c r="H264" t="s">
        <v>21</v>
      </c>
      <c r="I264">
        <v>2.2101629596203334E-2</v>
      </c>
      <c r="J264" t="s">
        <v>6</v>
      </c>
      <c r="L264" t="s">
        <v>240</v>
      </c>
      <c r="M264" t="s">
        <v>21</v>
      </c>
      <c r="N264">
        <v>2.3323371139396552E-2</v>
      </c>
      <c r="O264" t="s">
        <v>6</v>
      </c>
    </row>
    <row r="265" spans="2:15" x14ac:dyDescent="0.45">
      <c r="B265" t="s">
        <v>238</v>
      </c>
      <c r="C265" t="s">
        <v>22</v>
      </c>
      <c r="D265">
        <v>7.4013176761045962E-2</v>
      </c>
      <c r="E265" t="s">
        <v>6</v>
      </c>
      <c r="G265" t="s">
        <v>239</v>
      </c>
      <c r="H265" t="s">
        <v>22</v>
      </c>
      <c r="I265">
        <v>2.2251305181670046E-2</v>
      </c>
      <c r="J265" t="s">
        <v>6</v>
      </c>
      <c r="L265" t="s">
        <v>240</v>
      </c>
      <c r="M265" t="s">
        <v>22</v>
      </c>
      <c r="N265">
        <v>2.1867729066316254E-2</v>
      </c>
      <c r="O265" t="s">
        <v>6</v>
      </c>
    </row>
    <row r="266" spans="2:15" x14ac:dyDescent="0.45">
      <c r="B266" t="s">
        <v>238</v>
      </c>
      <c r="C266" t="s">
        <v>23</v>
      </c>
      <c r="D266">
        <v>7.3077267872367069E-2</v>
      </c>
      <c r="E266" t="s">
        <v>6</v>
      </c>
      <c r="G266" t="s">
        <v>239</v>
      </c>
      <c r="H266" t="s">
        <v>23</v>
      </c>
      <c r="I266">
        <v>2.3219729722102858E-2</v>
      </c>
      <c r="J266" t="s">
        <v>6</v>
      </c>
      <c r="L266" t="s">
        <v>240</v>
      </c>
      <c r="M266" t="s">
        <v>23</v>
      </c>
      <c r="N266">
        <v>2.111140537411671E-2</v>
      </c>
      <c r="O266" t="s">
        <v>6</v>
      </c>
    </row>
    <row r="267" spans="2:15" x14ac:dyDescent="0.45">
      <c r="B267" t="s">
        <v>238</v>
      </c>
      <c r="C267" t="s">
        <v>24</v>
      </c>
      <c r="D267">
        <v>5.4589140715896538E-2</v>
      </c>
      <c r="E267" t="s">
        <v>6</v>
      </c>
      <c r="G267" t="s">
        <v>239</v>
      </c>
      <c r="H267" t="s">
        <v>24</v>
      </c>
      <c r="I267">
        <v>2.4107030173939416E-2</v>
      </c>
      <c r="J267" t="s">
        <v>6</v>
      </c>
      <c r="L267" t="s">
        <v>240</v>
      </c>
      <c r="M267" t="s">
        <v>24</v>
      </c>
      <c r="N267">
        <v>2.0907084624590629E-2</v>
      </c>
      <c r="O267" t="s">
        <v>6</v>
      </c>
    </row>
    <row r="268" spans="2:15" x14ac:dyDescent="0.45">
      <c r="B268" t="s">
        <v>238</v>
      </c>
      <c r="C268" t="s">
        <v>25</v>
      </c>
      <c r="D268">
        <v>2.2352733487180466E-2</v>
      </c>
      <c r="E268" t="s">
        <v>6</v>
      </c>
      <c r="G268" t="s">
        <v>239</v>
      </c>
      <c r="H268" t="s">
        <v>25</v>
      </c>
      <c r="I268">
        <v>2.3299324640051546E-2</v>
      </c>
      <c r="J268" t="s">
        <v>6</v>
      </c>
      <c r="L268" t="s">
        <v>240</v>
      </c>
      <c r="M268" t="s">
        <v>25</v>
      </c>
      <c r="N268">
        <v>2.1012539030106109E-2</v>
      </c>
      <c r="O268" t="s">
        <v>6</v>
      </c>
    </row>
    <row r="269" spans="2:15" x14ac:dyDescent="0.45">
      <c r="B269" t="s">
        <v>238</v>
      </c>
      <c r="C269" t="s">
        <v>26</v>
      </c>
      <c r="D269">
        <v>1.1587511977365062E-3</v>
      </c>
      <c r="E269" t="s">
        <v>6</v>
      </c>
      <c r="G269" t="s">
        <v>239</v>
      </c>
      <c r="H269" t="s">
        <v>26</v>
      </c>
      <c r="I269">
        <v>2.3213775975351139E-2</v>
      </c>
      <c r="J269" t="s">
        <v>6</v>
      </c>
      <c r="L269" t="s">
        <v>240</v>
      </c>
      <c r="M269" t="s">
        <v>26</v>
      </c>
      <c r="N269">
        <v>2.1581093707779584E-2</v>
      </c>
      <c r="O269" t="s">
        <v>6</v>
      </c>
    </row>
    <row r="270" spans="2:15" x14ac:dyDescent="0.45">
      <c r="B270" t="s">
        <v>238</v>
      </c>
      <c r="C270" t="s">
        <v>27</v>
      </c>
      <c r="D270">
        <v>0</v>
      </c>
      <c r="E270" t="s">
        <v>6</v>
      </c>
      <c r="G270" t="s">
        <v>239</v>
      </c>
      <c r="H270" t="s">
        <v>27</v>
      </c>
      <c r="I270">
        <v>3.3619302903849388E-2</v>
      </c>
      <c r="J270" t="s">
        <v>6</v>
      </c>
      <c r="L270" t="s">
        <v>240</v>
      </c>
      <c r="M270" t="s">
        <v>27</v>
      </c>
      <c r="N270">
        <v>3.3532709631081528E-2</v>
      </c>
      <c r="O270" t="s">
        <v>6</v>
      </c>
    </row>
    <row r="271" spans="2:15" x14ac:dyDescent="0.45">
      <c r="B271" t="s">
        <v>238</v>
      </c>
      <c r="C271" t="s">
        <v>28</v>
      </c>
      <c r="D271">
        <v>0</v>
      </c>
      <c r="E271" t="s">
        <v>6</v>
      </c>
      <c r="G271" t="s">
        <v>239</v>
      </c>
      <c r="H271" t="s">
        <v>28</v>
      </c>
      <c r="I271">
        <v>3.8034858235802667E-2</v>
      </c>
      <c r="J271" t="s">
        <v>6</v>
      </c>
      <c r="L271" t="s">
        <v>240</v>
      </c>
      <c r="M271" t="s">
        <v>28</v>
      </c>
      <c r="N271">
        <v>3.5511429369208605E-2</v>
      </c>
      <c r="O271" t="s">
        <v>6</v>
      </c>
    </row>
    <row r="272" spans="2:15" x14ac:dyDescent="0.45">
      <c r="B272" t="s">
        <v>238</v>
      </c>
      <c r="C272" t="s">
        <v>29</v>
      </c>
      <c r="D272">
        <v>1.9642127498861271E-3</v>
      </c>
      <c r="E272" t="s">
        <v>6</v>
      </c>
      <c r="G272" t="s">
        <v>239</v>
      </c>
      <c r="H272" t="s">
        <v>29</v>
      </c>
      <c r="I272">
        <v>1.3906793041628779E-2</v>
      </c>
      <c r="J272" t="s">
        <v>6</v>
      </c>
      <c r="L272" t="s">
        <v>240</v>
      </c>
      <c r="M272" t="s">
        <v>29</v>
      </c>
      <c r="N272">
        <v>1.2992860208486801E-2</v>
      </c>
      <c r="O272" t="s">
        <v>6</v>
      </c>
    </row>
    <row r="273" spans="2:15" x14ac:dyDescent="0.45">
      <c r="B273" t="s">
        <v>238</v>
      </c>
      <c r="C273" t="s">
        <v>30</v>
      </c>
      <c r="D273">
        <v>2.5059832337963293E-2</v>
      </c>
      <c r="E273" t="s">
        <v>6</v>
      </c>
      <c r="G273" t="s">
        <v>239</v>
      </c>
      <c r="H273" t="s">
        <v>30</v>
      </c>
      <c r="I273">
        <v>1.389680723711967E-2</v>
      </c>
      <c r="J273" t="s">
        <v>6</v>
      </c>
      <c r="L273" t="s">
        <v>240</v>
      </c>
      <c r="M273" t="s">
        <v>30</v>
      </c>
      <c r="N273">
        <v>1.2897517408375598E-2</v>
      </c>
      <c r="O273" t="s">
        <v>6</v>
      </c>
    </row>
    <row r="274" spans="2:15" x14ac:dyDescent="0.45">
      <c r="B274" t="s">
        <v>238</v>
      </c>
      <c r="C274" t="s">
        <v>31</v>
      </c>
      <c r="D274">
        <v>6.5236105152316592E-2</v>
      </c>
      <c r="E274" t="s">
        <v>6</v>
      </c>
      <c r="G274" t="s">
        <v>239</v>
      </c>
      <c r="H274" t="s">
        <v>31</v>
      </c>
      <c r="I274">
        <v>1.3636218809175218E-2</v>
      </c>
      <c r="J274" t="s">
        <v>6</v>
      </c>
      <c r="L274" t="s">
        <v>240</v>
      </c>
      <c r="M274" t="s">
        <v>31</v>
      </c>
      <c r="N274">
        <v>1.2202584217895694E-2</v>
      </c>
      <c r="O274" t="s">
        <v>6</v>
      </c>
    </row>
    <row r="275" spans="2:15" x14ac:dyDescent="0.45">
      <c r="B275" t="s">
        <v>238</v>
      </c>
      <c r="C275" t="s">
        <v>32</v>
      </c>
      <c r="D275">
        <v>8.8479569117470666E-2</v>
      </c>
      <c r="E275" t="s">
        <v>6</v>
      </c>
      <c r="G275" t="s">
        <v>239</v>
      </c>
      <c r="H275" t="s">
        <v>32</v>
      </c>
      <c r="I275">
        <v>1.4033764748796492E-2</v>
      </c>
      <c r="J275" t="s">
        <v>6</v>
      </c>
      <c r="L275" t="s">
        <v>240</v>
      </c>
      <c r="M275" t="s">
        <v>32</v>
      </c>
      <c r="N275">
        <v>1.2596152175681467E-2</v>
      </c>
      <c r="O275" t="s">
        <v>6</v>
      </c>
    </row>
    <row r="276" spans="2:15" x14ac:dyDescent="0.45">
      <c r="B276" t="s">
        <v>238</v>
      </c>
      <c r="C276" t="s">
        <v>33</v>
      </c>
      <c r="D276">
        <v>8.8870555381691446E-2</v>
      </c>
      <c r="E276" t="s">
        <v>6</v>
      </c>
      <c r="G276" t="s">
        <v>239</v>
      </c>
      <c r="H276" t="s">
        <v>33</v>
      </c>
      <c r="I276">
        <v>1.5688745310913278E-2</v>
      </c>
      <c r="J276" t="s">
        <v>6</v>
      </c>
      <c r="L276" t="s">
        <v>240</v>
      </c>
      <c r="M276" t="s">
        <v>33</v>
      </c>
      <c r="N276">
        <v>1.4588140208791052E-2</v>
      </c>
      <c r="O276" t="s">
        <v>6</v>
      </c>
    </row>
    <row r="277" spans="2:15" x14ac:dyDescent="0.45">
      <c r="B277" t="s">
        <v>238</v>
      </c>
      <c r="C277" t="s">
        <v>34</v>
      </c>
      <c r="D277">
        <v>7.0349805996247697E-2</v>
      </c>
      <c r="E277" t="s">
        <v>6</v>
      </c>
      <c r="G277" t="s">
        <v>239</v>
      </c>
      <c r="H277" t="s">
        <v>34</v>
      </c>
      <c r="I277">
        <v>1.6967967998351E-2</v>
      </c>
      <c r="J277" t="s">
        <v>6</v>
      </c>
      <c r="L277" t="s">
        <v>240</v>
      </c>
      <c r="M277" t="s">
        <v>34</v>
      </c>
      <c r="N277">
        <v>1.6538214612444032E-2</v>
      </c>
      <c r="O277" t="s">
        <v>6</v>
      </c>
    </row>
    <row r="278" spans="2:15" x14ac:dyDescent="0.45">
      <c r="B278" t="s">
        <v>238</v>
      </c>
      <c r="C278" t="s">
        <v>35</v>
      </c>
      <c r="D278">
        <v>3.3695700064290859E-2</v>
      </c>
      <c r="E278" t="s">
        <v>6</v>
      </c>
      <c r="G278" t="s">
        <v>239</v>
      </c>
      <c r="H278" t="s">
        <v>35</v>
      </c>
      <c r="I278">
        <v>1.7003808265807406E-2</v>
      </c>
      <c r="J278" t="s">
        <v>6</v>
      </c>
      <c r="L278" t="s">
        <v>240</v>
      </c>
      <c r="M278" t="s">
        <v>35</v>
      </c>
      <c r="N278">
        <v>1.7607737707203721E-2</v>
      </c>
      <c r="O278" t="s">
        <v>6</v>
      </c>
    </row>
    <row r="279" spans="2:15" x14ac:dyDescent="0.45">
      <c r="B279" t="s">
        <v>238</v>
      </c>
      <c r="C279" t="s">
        <v>36</v>
      </c>
      <c r="D279">
        <v>3.6207200387493189E-3</v>
      </c>
      <c r="E279" t="s">
        <v>6</v>
      </c>
      <c r="G279" t="s">
        <v>239</v>
      </c>
      <c r="H279" t="s">
        <v>36</v>
      </c>
      <c r="I279">
        <v>1.6798646919526566E-2</v>
      </c>
      <c r="J279" t="s">
        <v>6</v>
      </c>
      <c r="L279" t="s">
        <v>240</v>
      </c>
      <c r="M279" t="s">
        <v>36</v>
      </c>
      <c r="N279">
        <v>1.7083446329548953E-2</v>
      </c>
      <c r="O279" t="s">
        <v>6</v>
      </c>
    </row>
    <row r="280" spans="2:15" x14ac:dyDescent="0.45">
      <c r="B280" t="s">
        <v>238</v>
      </c>
      <c r="C280" t="s">
        <v>37</v>
      </c>
      <c r="D280">
        <v>0</v>
      </c>
      <c r="E280" t="s">
        <v>6</v>
      </c>
      <c r="G280" t="s">
        <v>239</v>
      </c>
      <c r="H280" t="s">
        <v>37</v>
      </c>
      <c r="I280">
        <v>2.4169180524216644E-2</v>
      </c>
      <c r="J280" t="s">
        <v>6</v>
      </c>
      <c r="L280" t="s">
        <v>240</v>
      </c>
      <c r="M280" t="s">
        <v>37</v>
      </c>
      <c r="N280">
        <v>2.433021909038707E-2</v>
      </c>
      <c r="O280" t="s">
        <v>6</v>
      </c>
    </row>
    <row r="281" spans="2:15" x14ac:dyDescent="0.45">
      <c r="B281" t="s">
        <v>238</v>
      </c>
      <c r="C281" t="s">
        <v>38</v>
      </c>
      <c r="D281">
        <v>0</v>
      </c>
      <c r="E281" t="s">
        <v>6</v>
      </c>
      <c r="G281" t="s">
        <v>239</v>
      </c>
      <c r="H281" t="s">
        <v>38</v>
      </c>
      <c r="I281">
        <v>5.0675435117930927E-2</v>
      </c>
      <c r="J281" t="s">
        <v>6</v>
      </c>
      <c r="L281" t="s">
        <v>240</v>
      </c>
      <c r="M281" t="s">
        <v>38</v>
      </c>
      <c r="N281">
        <v>5.2641256710948818E-2</v>
      </c>
      <c r="O281" t="s">
        <v>6</v>
      </c>
    </row>
    <row r="282" spans="2:15" x14ac:dyDescent="0.45">
      <c r="B282" t="s">
        <v>238</v>
      </c>
      <c r="C282" t="s">
        <v>39</v>
      </c>
      <c r="D282">
        <v>7.5197835298890037E-7</v>
      </c>
      <c r="E282" t="s">
        <v>6</v>
      </c>
      <c r="G282" t="s">
        <v>239</v>
      </c>
      <c r="H282" t="s">
        <v>39</v>
      </c>
      <c r="I282">
        <v>1.9762341966675066E-2</v>
      </c>
      <c r="J282" t="s">
        <v>6</v>
      </c>
      <c r="L282" t="s">
        <v>240</v>
      </c>
      <c r="M282" t="s">
        <v>39</v>
      </c>
      <c r="N282">
        <v>2.1108574459152384E-2</v>
      </c>
      <c r="O282" t="s">
        <v>6</v>
      </c>
    </row>
    <row r="283" spans="2:15" x14ac:dyDescent="0.45">
      <c r="B283" t="s">
        <v>238</v>
      </c>
      <c r="C283" t="s">
        <v>40</v>
      </c>
      <c r="D283">
        <v>5.5376325209448816E-3</v>
      </c>
      <c r="E283" t="s">
        <v>6</v>
      </c>
      <c r="G283" t="s">
        <v>239</v>
      </c>
      <c r="H283" t="s">
        <v>40</v>
      </c>
      <c r="I283">
        <v>2.0078754947715483E-2</v>
      </c>
      <c r="J283" t="s">
        <v>6</v>
      </c>
      <c r="L283" t="s">
        <v>240</v>
      </c>
      <c r="M283" t="s">
        <v>40</v>
      </c>
      <c r="N283">
        <v>2.1530442374917341E-2</v>
      </c>
      <c r="O283" t="s">
        <v>6</v>
      </c>
    </row>
    <row r="284" spans="2:15" x14ac:dyDescent="0.45">
      <c r="B284" t="s">
        <v>238</v>
      </c>
      <c r="C284" t="s">
        <v>41</v>
      </c>
      <c r="D284">
        <v>3.4402741102586752E-2</v>
      </c>
      <c r="E284" t="s">
        <v>6</v>
      </c>
      <c r="G284" t="s">
        <v>239</v>
      </c>
      <c r="H284" t="s">
        <v>41</v>
      </c>
      <c r="I284">
        <v>1.96208665279601E-2</v>
      </c>
      <c r="J284" t="s">
        <v>6</v>
      </c>
      <c r="L284" t="s">
        <v>240</v>
      </c>
      <c r="M284" t="s">
        <v>41</v>
      </c>
      <c r="N284">
        <v>2.2028110945775947E-2</v>
      </c>
      <c r="O284" t="s">
        <v>6</v>
      </c>
    </row>
    <row r="285" spans="2:15" x14ac:dyDescent="0.45">
      <c r="B285" t="s">
        <v>238</v>
      </c>
      <c r="C285" t="s">
        <v>42</v>
      </c>
      <c r="D285">
        <v>5.5882665015607139E-2</v>
      </c>
      <c r="E285" t="s">
        <v>6</v>
      </c>
      <c r="G285" t="s">
        <v>239</v>
      </c>
      <c r="H285" t="s">
        <v>42</v>
      </c>
      <c r="I285">
        <v>2.0343941248697976E-2</v>
      </c>
      <c r="J285" t="s">
        <v>6</v>
      </c>
      <c r="L285" t="s">
        <v>240</v>
      </c>
      <c r="M285" t="s">
        <v>42</v>
      </c>
      <c r="N285">
        <v>2.1809218016044199E-2</v>
      </c>
      <c r="O285" t="s">
        <v>6</v>
      </c>
    </row>
    <row r="286" spans="2:15" x14ac:dyDescent="0.45">
      <c r="B286" t="s">
        <v>238</v>
      </c>
      <c r="C286" t="s">
        <v>43</v>
      </c>
      <c r="D286">
        <v>5.4370886203910604E-2</v>
      </c>
      <c r="E286" t="s">
        <v>6</v>
      </c>
      <c r="G286" t="s">
        <v>239</v>
      </c>
      <c r="H286" t="s">
        <v>43</v>
      </c>
      <c r="I286">
        <v>2.179084907961841E-2</v>
      </c>
      <c r="J286" t="s">
        <v>6</v>
      </c>
      <c r="L286" t="s">
        <v>240</v>
      </c>
      <c r="M286" t="s">
        <v>43</v>
      </c>
      <c r="N286">
        <v>2.1311666234801466E-2</v>
      </c>
      <c r="O286" t="s">
        <v>6</v>
      </c>
    </row>
    <row r="287" spans="2:15" x14ac:dyDescent="0.45">
      <c r="B287" t="s">
        <v>238</v>
      </c>
      <c r="C287" t="s">
        <v>44</v>
      </c>
      <c r="D287">
        <v>3.3791451245792636E-2</v>
      </c>
      <c r="E287" t="s">
        <v>6</v>
      </c>
      <c r="G287" t="s">
        <v>239</v>
      </c>
      <c r="H287" t="s">
        <v>44</v>
      </c>
      <c r="I287">
        <v>2.1959015353765932E-2</v>
      </c>
      <c r="J287" t="s">
        <v>6</v>
      </c>
      <c r="L287" t="s">
        <v>240</v>
      </c>
      <c r="M287" t="s">
        <v>44</v>
      </c>
      <c r="N287">
        <v>2.1080367093608169E-2</v>
      </c>
      <c r="O287" t="s">
        <v>6</v>
      </c>
    </row>
    <row r="288" spans="2:15" x14ac:dyDescent="0.45">
      <c r="B288" t="s">
        <v>238</v>
      </c>
      <c r="C288" t="s">
        <v>45</v>
      </c>
      <c r="D288">
        <v>6.7408596266947448E-3</v>
      </c>
      <c r="E288" t="s">
        <v>6</v>
      </c>
      <c r="G288" t="s">
        <v>239</v>
      </c>
      <c r="H288" t="s">
        <v>45</v>
      </c>
      <c r="I288">
        <v>2.2125296220367938E-2</v>
      </c>
      <c r="J288" t="s">
        <v>6</v>
      </c>
      <c r="L288" t="s">
        <v>240</v>
      </c>
      <c r="M288" t="s">
        <v>45</v>
      </c>
      <c r="N288">
        <v>2.1260359797837983E-2</v>
      </c>
      <c r="O288" t="s">
        <v>6</v>
      </c>
    </row>
    <row r="289" spans="2:15" x14ac:dyDescent="0.45">
      <c r="B289" t="s">
        <v>238</v>
      </c>
      <c r="C289" t="s">
        <v>46</v>
      </c>
      <c r="D289">
        <v>2.127984989880167E-5</v>
      </c>
      <c r="E289" t="s">
        <v>6</v>
      </c>
      <c r="G289" t="s">
        <v>239</v>
      </c>
      <c r="H289" t="s">
        <v>46</v>
      </c>
      <c r="I289">
        <v>2.1957411660798998E-2</v>
      </c>
      <c r="J289" t="s">
        <v>6</v>
      </c>
      <c r="L289" t="s">
        <v>240</v>
      </c>
      <c r="M289" t="s">
        <v>46</v>
      </c>
      <c r="N289">
        <v>2.146568314187388E-2</v>
      </c>
      <c r="O289" t="s">
        <v>6</v>
      </c>
    </row>
    <row r="290" spans="2:15" x14ac:dyDescent="0.45">
      <c r="B290" t="s">
        <v>238</v>
      </c>
      <c r="C290" t="s">
        <v>47</v>
      </c>
      <c r="D290">
        <v>0</v>
      </c>
      <c r="E290" t="s">
        <v>6</v>
      </c>
      <c r="G290" t="s">
        <v>239</v>
      </c>
      <c r="H290" t="s">
        <v>47</v>
      </c>
      <c r="I290">
        <v>3.1106069103687291E-2</v>
      </c>
      <c r="J290" t="s">
        <v>6</v>
      </c>
      <c r="L290" t="s">
        <v>240</v>
      </c>
      <c r="M290" t="s">
        <v>47</v>
      </c>
      <c r="N290">
        <v>3.2292069677092972E-2</v>
      </c>
      <c r="O290" t="s">
        <v>6</v>
      </c>
    </row>
    <row r="291" spans="2:15" x14ac:dyDescent="0.45">
      <c r="B291" t="s">
        <v>241</v>
      </c>
      <c r="C291" t="s">
        <v>5</v>
      </c>
      <c r="D291">
        <v>0</v>
      </c>
      <c r="E291" t="s">
        <v>6</v>
      </c>
      <c r="G291" t="s">
        <v>242</v>
      </c>
      <c r="H291" t="s">
        <v>5</v>
      </c>
      <c r="I291">
        <v>6.0311067569748904E-2</v>
      </c>
      <c r="J291" t="s">
        <v>6</v>
      </c>
      <c r="L291" t="s">
        <v>243</v>
      </c>
      <c r="M291" t="s">
        <v>5</v>
      </c>
      <c r="N291">
        <v>6.0554614303763257E-2</v>
      </c>
      <c r="O291" t="s">
        <v>6</v>
      </c>
    </row>
    <row r="292" spans="2:15" x14ac:dyDescent="0.45">
      <c r="B292" t="s">
        <v>241</v>
      </c>
      <c r="C292" t="s">
        <v>9</v>
      </c>
      <c r="D292">
        <v>0</v>
      </c>
      <c r="E292" t="s">
        <v>6</v>
      </c>
      <c r="G292" t="s">
        <v>242</v>
      </c>
      <c r="H292" t="s">
        <v>9</v>
      </c>
      <c r="I292">
        <v>2.3705349307292369E-2</v>
      </c>
      <c r="J292" t="s">
        <v>6</v>
      </c>
      <c r="L292" t="s">
        <v>243</v>
      </c>
      <c r="M292" t="s">
        <v>9</v>
      </c>
      <c r="N292">
        <v>2.3843357179526473E-2</v>
      </c>
      <c r="O292" t="s">
        <v>6</v>
      </c>
    </row>
    <row r="293" spans="2:15" x14ac:dyDescent="0.45">
      <c r="B293" t="s">
        <v>241</v>
      </c>
      <c r="C293" t="s">
        <v>10</v>
      </c>
      <c r="D293">
        <v>2.6453227944780284E-4</v>
      </c>
      <c r="E293" t="s">
        <v>6</v>
      </c>
      <c r="G293" t="s">
        <v>242</v>
      </c>
      <c r="H293" t="s">
        <v>10</v>
      </c>
      <c r="I293">
        <v>2.3436569588774339E-2</v>
      </c>
      <c r="J293" t="s">
        <v>6</v>
      </c>
      <c r="L293" t="s">
        <v>243</v>
      </c>
      <c r="M293" t="s">
        <v>10</v>
      </c>
      <c r="N293">
        <v>2.3902341218227249E-2</v>
      </c>
      <c r="O293" t="s">
        <v>6</v>
      </c>
    </row>
    <row r="294" spans="2:15" x14ac:dyDescent="0.45">
      <c r="B294" t="s">
        <v>241</v>
      </c>
      <c r="C294" t="s">
        <v>11</v>
      </c>
      <c r="D294">
        <v>1.6160505689117106E-2</v>
      </c>
      <c r="E294" t="s">
        <v>6</v>
      </c>
      <c r="G294" t="s">
        <v>242</v>
      </c>
      <c r="H294" t="s">
        <v>11</v>
      </c>
      <c r="I294">
        <v>2.2993072004564526E-2</v>
      </c>
      <c r="J294" t="s">
        <v>6</v>
      </c>
      <c r="L294" t="s">
        <v>243</v>
      </c>
      <c r="M294" t="s">
        <v>11</v>
      </c>
      <c r="N294">
        <v>2.3709255843269949E-2</v>
      </c>
      <c r="O294" t="s">
        <v>6</v>
      </c>
    </row>
    <row r="295" spans="2:15" x14ac:dyDescent="0.45">
      <c r="B295" t="s">
        <v>241</v>
      </c>
      <c r="C295" t="s">
        <v>12</v>
      </c>
      <c r="D295">
        <v>4.3232110388065147E-2</v>
      </c>
      <c r="E295" t="s">
        <v>6</v>
      </c>
      <c r="G295" t="s">
        <v>242</v>
      </c>
      <c r="H295" t="s">
        <v>12</v>
      </c>
      <c r="I295">
        <v>2.2491302177523851E-2</v>
      </c>
      <c r="J295" t="s">
        <v>6</v>
      </c>
      <c r="L295" t="s">
        <v>243</v>
      </c>
      <c r="M295" t="s">
        <v>12</v>
      </c>
      <c r="N295">
        <v>2.4076743822070909E-2</v>
      </c>
      <c r="O295" t="s">
        <v>6</v>
      </c>
    </row>
    <row r="296" spans="2:15" x14ac:dyDescent="0.45">
      <c r="B296" t="s">
        <v>241</v>
      </c>
      <c r="C296" t="s">
        <v>13</v>
      </c>
      <c r="D296">
        <v>4.3379249109955713E-2</v>
      </c>
      <c r="E296" t="s">
        <v>6</v>
      </c>
      <c r="G296" t="s">
        <v>242</v>
      </c>
      <c r="H296" t="s">
        <v>13</v>
      </c>
      <c r="I296">
        <v>2.2945679272933318E-2</v>
      </c>
      <c r="J296" t="s">
        <v>6</v>
      </c>
      <c r="L296" t="s">
        <v>243</v>
      </c>
      <c r="M296" t="s">
        <v>13</v>
      </c>
      <c r="N296">
        <v>2.4284314103600105E-2</v>
      </c>
      <c r="O296" t="s">
        <v>6</v>
      </c>
    </row>
    <row r="297" spans="2:15" x14ac:dyDescent="0.45">
      <c r="B297" t="s">
        <v>241</v>
      </c>
      <c r="C297" t="s">
        <v>14</v>
      </c>
      <c r="D297">
        <v>2.3803767833435761E-2</v>
      </c>
      <c r="E297" t="s">
        <v>6</v>
      </c>
      <c r="G297" t="s">
        <v>242</v>
      </c>
      <c r="H297" t="s">
        <v>14</v>
      </c>
      <c r="I297">
        <v>2.3148912991433943E-2</v>
      </c>
      <c r="J297" t="s">
        <v>6</v>
      </c>
      <c r="L297" t="s">
        <v>243</v>
      </c>
      <c r="M297" t="s">
        <v>14</v>
      </c>
      <c r="N297">
        <v>2.4627154234357646E-2</v>
      </c>
      <c r="O297" t="s">
        <v>6</v>
      </c>
    </row>
    <row r="298" spans="2:15" x14ac:dyDescent="0.45">
      <c r="B298" t="s">
        <v>241</v>
      </c>
      <c r="C298" t="s">
        <v>15</v>
      </c>
      <c r="D298">
        <v>2.519488926994671E-3</v>
      </c>
      <c r="E298" t="s">
        <v>6</v>
      </c>
      <c r="G298" t="s">
        <v>242</v>
      </c>
      <c r="H298" t="s">
        <v>15</v>
      </c>
      <c r="I298">
        <v>2.3695360848953524E-2</v>
      </c>
      <c r="J298" t="s">
        <v>6</v>
      </c>
      <c r="L298" t="s">
        <v>243</v>
      </c>
      <c r="M298" t="s">
        <v>15</v>
      </c>
      <c r="N298">
        <v>2.4697549642080267E-2</v>
      </c>
      <c r="O298" t="s">
        <v>6</v>
      </c>
    </row>
    <row r="299" spans="2:15" x14ac:dyDescent="0.45">
      <c r="B299" t="s">
        <v>241</v>
      </c>
      <c r="C299" t="s">
        <v>16</v>
      </c>
      <c r="D299">
        <v>0</v>
      </c>
      <c r="E299" t="s">
        <v>6</v>
      </c>
      <c r="G299" t="s">
        <v>242</v>
      </c>
      <c r="H299" t="s">
        <v>16</v>
      </c>
      <c r="I299">
        <v>2.4395692272470005E-2</v>
      </c>
      <c r="J299" t="s">
        <v>6</v>
      </c>
      <c r="L299" t="s">
        <v>243</v>
      </c>
      <c r="M299" t="s">
        <v>16</v>
      </c>
      <c r="N299">
        <v>2.4422762199405715E-2</v>
      </c>
      <c r="O299" t="s">
        <v>6</v>
      </c>
    </row>
    <row r="300" spans="2:15" x14ac:dyDescent="0.45">
      <c r="B300" t="s">
        <v>241</v>
      </c>
      <c r="C300" t="s">
        <v>17</v>
      </c>
      <c r="D300">
        <v>0</v>
      </c>
      <c r="E300" t="s">
        <v>6</v>
      </c>
      <c r="G300" t="s">
        <v>242</v>
      </c>
      <c r="H300" t="s">
        <v>17</v>
      </c>
      <c r="I300">
        <v>3.6588374334209715E-2</v>
      </c>
      <c r="J300" t="s">
        <v>6</v>
      </c>
      <c r="L300" t="s">
        <v>243</v>
      </c>
      <c r="M300" t="s">
        <v>17</v>
      </c>
      <c r="N300">
        <v>3.7017853934607312E-2</v>
      </c>
      <c r="O300" t="s">
        <v>6</v>
      </c>
    </row>
    <row r="301" spans="2:15" x14ac:dyDescent="0.45">
      <c r="B301" t="s">
        <v>241</v>
      </c>
      <c r="C301" t="s">
        <v>18</v>
      </c>
      <c r="D301">
        <v>0</v>
      </c>
      <c r="E301" t="s">
        <v>6</v>
      </c>
      <c r="G301" t="s">
        <v>242</v>
      </c>
      <c r="H301" t="s">
        <v>18</v>
      </c>
      <c r="I301">
        <v>5.4278065116674969E-2</v>
      </c>
      <c r="J301" t="s">
        <v>6</v>
      </c>
      <c r="L301" t="s">
        <v>243</v>
      </c>
      <c r="M301" t="s">
        <v>18</v>
      </c>
      <c r="N301">
        <v>5.8583441834395011E-2</v>
      </c>
      <c r="O301" t="s">
        <v>6</v>
      </c>
    </row>
    <row r="302" spans="2:15" x14ac:dyDescent="0.45">
      <c r="B302" t="s">
        <v>241</v>
      </c>
      <c r="C302" t="s">
        <v>19</v>
      </c>
      <c r="D302">
        <v>9.4876926294677668E-4</v>
      </c>
      <c r="E302" t="s">
        <v>6</v>
      </c>
      <c r="G302" t="s">
        <v>242</v>
      </c>
      <c r="H302" t="s">
        <v>19</v>
      </c>
      <c r="I302">
        <v>2.1458196710357983E-2</v>
      </c>
      <c r="J302" t="s">
        <v>6</v>
      </c>
      <c r="L302" t="s">
        <v>243</v>
      </c>
      <c r="M302" t="s">
        <v>19</v>
      </c>
      <c r="N302">
        <v>2.4034043097296696E-2</v>
      </c>
      <c r="O302" t="s">
        <v>6</v>
      </c>
    </row>
    <row r="303" spans="2:15" x14ac:dyDescent="0.45">
      <c r="B303" t="s">
        <v>241</v>
      </c>
      <c r="C303" t="s">
        <v>20</v>
      </c>
      <c r="D303">
        <v>2.0492128639071055E-2</v>
      </c>
      <c r="E303" t="s">
        <v>6</v>
      </c>
      <c r="G303" t="s">
        <v>242</v>
      </c>
      <c r="H303" t="s">
        <v>20</v>
      </c>
      <c r="I303">
        <v>2.1506192530934207E-2</v>
      </c>
      <c r="J303" t="s">
        <v>6</v>
      </c>
      <c r="L303" t="s">
        <v>243</v>
      </c>
      <c r="M303" t="s">
        <v>20</v>
      </c>
      <c r="N303">
        <v>2.4211413669231484E-2</v>
      </c>
      <c r="O303" t="s">
        <v>6</v>
      </c>
    </row>
    <row r="304" spans="2:15" x14ac:dyDescent="0.45">
      <c r="B304" t="s">
        <v>241</v>
      </c>
      <c r="C304" t="s">
        <v>21</v>
      </c>
      <c r="D304">
        <v>5.8933461374769298E-2</v>
      </c>
      <c r="E304" t="s">
        <v>6</v>
      </c>
      <c r="G304" t="s">
        <v>242</v>
      </c>
      <c r="H304" t="s">
        <v>21</v>
      </c>
      <c r="I304">
        <v>2.0359000976942813E-2</v>
      </c>
      <c r="J304" t="s">
        <v>6</v>
      </c>
      <c r="L304" t="s">
        <v>243</v>
      </c>
      <c r="M304" t="s">
        <v>21</v>
      </c>
      <c r="N304">
        <v>2.36426466255838E-2</v>
      </c>
      <c r="O304" t="s">
        <v>6</v>
      </c>
    </row>
    <row r="305" spans="2:15" x14ac:dyDescent="0.45">
      <c r="B305" t="s">
        <v>241</v>
      </c>
      <c r="C305" t="s">
        <v>22</v>
      </c>
      <c r="D305">
        <v>7.6257540802717128E-2</v>
      </c>
      <c r="E305" t="s">
        <v>6</v>
      </c>
      <c r="G305" t="s">
        <v>242</v>
      </c>
      <c r="H305" t="s">
        <v>22</v>
      </c>
      <c r="I305">
        <v>1.9684608370132747E-2</v>
      </c>
      <c r="J305" t="s">
        <v>6</v>
      </c>
      <c r="L305" t="s">
        <v>243</v>
      </c>
      <c r="M305" t="s">
        <v>22</v>
      </c>
      <c r="N305">
        <v>2.2536917248620548E-2</v>
      </c>
      <c r="O305" t="s">
        <v>6</v>
      </c>
    </row>
    <row r="306" spans="2:15" x14ac:dyDescent="0.45">
      <c r="B306" t="s">
        <v>241</v>
      </c>
      <c r="C306" t="s">
        <v>23</v>
      </c>
      <c r="D306">
        <v>7.6538084116642396E-2</v>
      </c>
      <c r="E306" t="s">
        <v>6</v>
      </c>
      <c r="G306" t="s">
        <v>242</v>
      </c>
      <c r="H306" t="s">
        <v>23</v>
      </c>
      <c r="I306">
        <v>2.0542348342835675E-2</v>
      </c>
      <c r="J306" t="s">
        <v>6</v>
      </c>
      <c r="L306" t="s">
        <v>243</v>
      </c>
      <c r="M306" t="s">
        <v>23</v>
      </c>
      <c r="N306">
        <v>2.1859414194238931E-2</v>
      </c>
      <c r="O306" t="s">
        <v>6</v>
      </c>
    </row>
    <row r="307" spans="2:15" x14ac:dyDescent="0.45">
      <c r="B307" t="s">
        <v>241</v>
      </c>
      <c r="C307" t="s">
        <v>24</v>
      </c>
      <c r="D307">
        <v>5.8431285866198779E-2</v>
      </c>
      <c r="E307" t="s">
        <v>6</v>
      </c>
      <c r="G307" t="s">
        <v>242</v>
      </c>
      <c r="H307" t="s">
        <v>24</v>
      </c>
      <c r="I307">
        <v>2.1275816161315329E-2</v>
      </c>
      <c r="J307" t="s">
        <v>6</v>
      </c>
      <c r="L307" t="s">
        <v>243</v>
      </c>
      <c r="M307" t="s">
        <v>24</v>
      </c>
      <c r="N307">
        <v>2.1704387358463043E-2</v>
      </c>
      <c r="O307" t="s">
        <v>6</v>
      </c>
    </row>
    <row r="308" spans="2:15" x14ac:dyDescent="0.45">
      <c r="B308" t="s">
        <v>241</v>
      </c>
      <c r="C308" t="s">
        <v>25</v>
      </c>
      <c r="D308">
        <v>2.4713075841413596E-2</v>
      </c>
      <c r="E308" t="s">
        <v>6</v>
      </c>
      <c r="G308" t="s">
        <v>242</v>
      </c>
      <c r="H308" t="s">
        <v>25</v>
      </c>
      <c r="I308">
        <v>2.1247489756083801E-2</v>
      </c>
      <c r="J308" t="s">
        <v>6</v>
      </c>
      <c r="L308" t="s">
        <v>243</v>
      </c>
      <c r="M308" t="s">
        <v>25</v>
      </c>
      <c r="N308">
        <v>2.1762349801386121E-2</v>
      </c>
      <c r="O308" t="s">
        <v>6</v>
      </c>
    </row>
    <row r="309" spans="2:15" x14ac:dyDescent="0.45">
      <c r="B309" t="s">
        <v>241</v>
      </c>
      <c r="C309" t="s">
        <v>26</v>
      </c>
      <c r="D309">
        <v>1.3949631650875798E-3</v>
      </c>
      <c r="E309" t="s">
        <v>6</v>
      </c>
      <c r="G309" t="s">
        <v>242</v>
      </c>
      <c r="H309" t="s">
        <v>26</v>
      </c>
      <c r="I309">
        <v>2.2139038136778061E-2</v>
      </c>
      <c r="J309" t="s">
        <v>6</v>
      </c>
      <c r="L309" t="s">
        <v>243</v>
      </c>
      <c r="M309" t="s">
        <v>26</v>
      </c>
      <c r="N309">
        <v>2.2133672477010369E-2</v>
      </c>
      <c r="O309" t="s">
        <v>6</v>
      </c>
    </row>
    <row r="310" spans="2:15" x14ac:dyDescent="0.45">
      <c r="B310" t="s">
        <v>241</v>
      </c>
      <c r="C310" t="s">
        <v>27</v>
      </c>
      <c r="D310">
        <v>0</v>
      </c>
      <c r="E310" t="s">
        <v>6</v>
      </c>
      <c r="G310" t="s">
        <v>242</v>
      </c>
      <c r="H310" t="s">
        <v>27</v>
      </c>
      <c r="I310">
        <v>3.3229607324634695E-2</v>
      </c>
      <c r="J310" t="s">
        <v>6</v>
      </c>
      <c r="L310" t="s">
        <v>243</v>
      </c>
      <c r="M310" t="s">
        <v>27</v>
      </c>
      <c r="N310">
        <v>3.369045811591756E-2</v>
      </c>
      <c r="O310" t="s">
        <v>6</v>
      </c>
    </row>
    <row r="311" spans="2:15" x14ac:dyDescent="0.45">
      <c r="B311" t="s">
        <v>241</v>
      </c>
      <c r="C311" t="s">
        <v>28</v>
      </c>
      <c r="D311">
        <v>0</v>
      </c>
      <c r="E311" t="s">
        <v>6</v>
      </c>
      <c r="G311" t="s">
        <v>242</v>
      </c>
      <c r="H311" t="s">
        <v>28</v>
      </c>
      <c r="I311">
        <v>4.3050162592523936E-2</v>
      </c>
      <c r="J311" t="s">
        <v>6</v>
      </c>
      <c r="L311" t="s">
        <v>243</v>
      </c>
      <c r="M311" t="s">
        <v>28</v>
      </c>
      <c r="N311">
        <v>3.9549389858803255E-2</v>
      </c>
      <c r="O311" t="s">
        <v>6</v>
      </c>
    </row>
    <row r="312" spans="2:15" x14ac:dyDescent="0.45">
      <c r="B312" t="s">
        <v>241</v>
      </c>
      <c r="C312" t="s">
        <v>29</v>
      </c>
      <c r="D312">
        <v>2.3531873178531809E-3</v>
      </c>
      <c r="E312" t="s">
        <v>6</v>
      </c>
      <c r="G312" t="s">
        <v>242</v>
      </c>
      <c r="H312" t="s">
        <v>29</v>
      </c>
      <c r="I312">
        <v>1.592590464013649E-2</v>
      </c>
      <c r="J312" t="s">
        <v>6</v>
      </c>
      <c r="L312" t="s">
        <v>243</v>
      </c>
      <c r="M312" t="s">
        <v>29</v>
      </c>
      <c r="N312">
        <v>1.4712204453261671E-2</v>
      </c>
      <c r="O312" t="s">
        <v>6</v>
      </c>
    </row>
    <row r="313" spans="2:15" x14ac:dyDescent="0.45">
      <c r="B313" t="s">
        <v>241</v>
      </c>
      <c r="C313" t="s">
        <v>30</v>
      </c>
      <c r="D313">
        <v>2.5997030496958371E-2</v>
      </c>
      <c r="E313" t="s">
        <v>6</v>
      </c>
      <c r="G313" t="s">
        <v>242</v>
      </c>
      <c r="H313" t="s">
        <v>30</v>
      </c>
      <c r="I313">
        <v>1.5469467576219984E-2</v>
      </c>
      <c r="J313" t="s">
        <v>6</v>
      </c>
      <c r="L313" t="s">
        <v>243</v>
      </c>
      <c r="M313" t="s">
        <v>30</v>
      </c>
      <c r="N313">
        <v>1.4581278263351354E-2</v>
      </c>
      <c r="O313" t="s">
        <v>6</v>
      </c>
    </row>
    <row r="314" spans="2:15" x14ac:dyDescent="0.45">
      <c r="B314" t="s">
        <v>241</v>
      </c>
      <c r="C314" t="s">
        <v>31</v>
      </c>
      <c r="D314">
        <v>6.4811913745635233E-2</v>
      </c>
      <c r="E314" t="s">
        <v>6</v>
      </c>
      <c r="G314" t="s">
        <v>242</v>
      </c>
      <c r="H314" t="s">
        <v>31</v>
      </c>
      <c r="I314">
        <v>1.4896658841105513E-2</v>
      </c>
      <c r="J314" t="s">
        <v>6</v>
      </c>
      <c r="L314" t="s">
        <v>243</v>
      </c>
      <c r="M314" t="s">
        <v>31</v>
      </c>
      <c r="N314">
        <v>1.4087279301873749E-2</v>
      </c>
      <c r="O314" t="s">
        <v>6</v>
      </c>
    </row>
    <row r="315" spans="2:15" x14ac:dyDescent="0.45">
      <c r="B315" t="s">
        <v>241</v>
      </c>
      <c r="C315" t="s">
        <v>32</v>
      </c>
      <c r="D315">
        <v>8.611619030029212E-2</v>
      </c>
      <c r="E315" t="s">
        <v>6</v>
      </c>
      <c r="G315" t="s">
        <v>242</v>
      </c>
      <c r="H315" t="s">
        <v>32</v>
      </c>
      <c r="I315">
        <v>1.5376832990460868E-2</v>
      </c>
      <c r="J315" t="s">
        <v>6</v>
      </c>
      <c r="L315" t="s">
        <v>243</v>
      </c>
      <c r="M315" t="s">
        <v>32</v>
      </c>
      <c r="N315">
        <v>1.4063051519986528E-2</v>
      </c>
      <c r="O315" t="s">
        <v>6</v>
      </c>
    </row>
    <row r="316" spans="2:15" x14ac:dyDescent="0.45">
      <c r="B316" t="s">
        <v>241</v>
      </c>
      <c r="C316" t="s">
        <v>33</v>
      </c>
      <c r="D316">
        <v>8.3659622611974807E-2</v>
      </c>
      <c r="E316" t="s">
        <v>6</v>
      </c>
      <c r="G316" t="s">
        <v>242</v>
      </c>
      <c r="H316" t="s">
        <v>33</v>
      </c>
      <c r="I316">
        <v>1.6742582461825389E-2</v>
      </c>
      <c r="J316" t="s">
        <v>6</v>
      </c>
      <c r="L316" t="s">
        <v>243</v>
      </c>
      <c r="M316" t="s">
        <v>33</v>
      </c>
      <c r="N316">
        <v>1.5274049933842552E-2</v>
      </c>
      <c r="O316" t="s">
        <v>6</v>
      </c>
    </row>
    <row r="317" spans="2:15" x14ac:dyDescent="0.45">
      <c r="B317" t="s">
        <v>241</v>
      </c>
      <c r="C317" t="s">
        <v>34</v>
      </c>
      <c r="D317">
        <v>6.5296900755539761E-2</v>
      </c>
      <c r="E317" t="s">
        <v>6</v>
      </c>
      <c r="G317" t="s">
        <v>242</v>
      </c>
      <c r="H317" t="s">
        <v>34</v>
      </c>
      <c r="I317">
        <v>1.7941629855876697E-2</v>
      </c>
      <c r="J317" t="s">
        <v>6</v>
      </c>
      <c r="L317" t="s">
        <v>243</v>
      </c>
      <c r="M317" t="s">
        <v>34</v>
      </c>
      <c r="N317">
        <v>1.6736702460760287E-2</v>
      </c>
      <c r="O317" t="s">
        <v>6</v>
      </c>
    </row>
    <row r="318" spans="2:15" x14ac:dyDescent="0.45">
      <c r="B318" t="s">
        <v>241</v>
      </c>
      <c r="C318" t="s">
        <v>35</v>
      </c>
      <c r="D318">
        <v>3.354949561285836E-2</v>
      </c>
      <c r="E318" t="s">
        <v>6</v>
      </c>
      <c r="G318" t="s">
        <v>242</v>
      </c>
      <c r="H318" t="s">
        <v>35</v>
      </c>
      <c r="I318">
        <v>1.7903162599542465E-2</v>
      </c>
      <c r="J318" t="s">
        <v>6</v>
      </c>
      <c r="L318" t="s">
        <v>243</v>
      </c>
      <c r="M318" t="s">
        <v>35</v>
      </c>
      <c r="N318">
        <v>1.7639109384617636E-2</v>
      </c>
      <c r="O318" t="s">
        <v>6</v>
      </c>
    </row>
    <row r="319" spans="2:15" x14ac:dyDescent="0.45">
      <c r="B319" t="s">
        <v>241</v>
      </c>
      <c r="C319" t="s">
        <v>36</v>
      </c>
      <c r="D319">
        <v>4.1386399763199862E-3</v>
      </c>
      <c r="E319" t="s">
        <v>6</v>
      </c>
      <c r="G319" t="s">
        <v>242</v>
      </c>
      <c r="H319" t="s">
        <v>36</v>
      </c>
      <c r="I319">
        <v>1.8149283581329747E-2</v>
      </c>
      <c r="J319" t="s">
        <v>6</v>
      </c>
      <c r="L319" t="s">
        <v>243</v>
      </c>
      <c r="M319" t="s">
        <v>36</v>
      </c>
      <c r="N319">
        <v>1.7799954087642341E-2</v>
      </c>
      <c r="O319" t="s">
        <v>6</v>
      </c>
    </row>
    <row r="320" spans="2:15" x14ac:dyDescent="0.45">
      <c r="B320" t="s">
        <v>241</v>
      </c>
      <c r="C320" t="s">
        <v>37</v>
      </c>
      <c r="D320">
        <v>0</v>
      </c>
      <c r="E320" t="s">
        <v>6</v>
      </c>
      <c r="G320" t="s">
        <v>242</v>
      </c>
      <c r="H320" t="s">
        <v>37</v>
      </c>
      <c r="I320">
        <v>2.7852939985030817E-2</v>
      </c>
      <c r="J320" t="s">
        <v>6</v>
      </c>
      <c r="L320" t="s">
        <v>243</v>
      </c>
      <c r="M320" t="s">
        <v>37</v>
      </c>
      <c r="N320">
        <v>2.5504353032543267E-2</v>
      </c>
      <c r="O320" t="s">
        <v>6</v>
      </c>
    </row>
    <row r="321" spans="2:15" x14ac:dyDescent="0.45">
      <c r="B321" t="s">
        <v>241</v>
      </c>
      <c r="C321" t="s">
        <v>38</v>
      </c>
      <c r="D321">
        <v>0</v>
      </c>
      <c r="E321" t="s">
        <v>6</v>
      </c>
      <c r="G321" t="s">
        <v>242</v>
      </c>
      <c r="H321" t="s">
        <v>38</v>
      </c>
      <c r="I321">
        <v>5.3136944984207159E-2</v>
      </c>
      <c r="J321" t="s">
        <v>6</v>
      </c>
      <c r="L321" t="s">
        <v>243</v>
      </c>
      <c r="M321" t="s">
        <v>38</v>
      </c>
      <c r="N321">
        <v>4.9065268158224963E-2</v>
      </c>
      <c r="O321" t="s">
        <v>6</v>
      </c>
    </row>
    <row r="322" spans="2:15" x14ac:dyDescent="0.45">
      <c r="B322" t="s">
        <v>241</v>
      </c>
      <c r="C322" t="s">
        <v>39</v>
      </c>
      <c r="D322">
        <v>0</v>
      </c>
      <c r="E322" t="s">
        <v>6</v>
      </c>
      <c r="G322" t="s">
        <v>242</v>
      </c>
      <c r="H322" t="s">
        <v>39</v>
      </c>
      <c r="I322">
        <v>2.0531762453585605E-2</v>
      </c>
      <c r="J322" t="s">
        <v>6</v>
      </c>
      <c r="L322" t="s">
        <v>243</v>
      </c>
      <c r="M322" t="s">
        <v>39</v>
      </c>
      <c r="N322">
        <v>2.0068721570572191E-2</v>
      </c>
      <c r="O322" t="s">
        <v>6</v>
      </c>
    </row>
    <row r="323" spans="2:15" x14ac:dyDescent="0.45">
      <c r="B323" t="s">
        <v>241</v>
      </c>
      <c r="C323" t="s">
        <v>40</v>
      </c>
      <c r="D323">
        <v>4.9213247401672577E-3</v>
      </c>
      <c r="E323" t="s">
        <v>6</v>
      </c>
      <c r="G323" t="s">
        <v>242</v>
      </c>
      <c r="H323" t="s">
        <v>40</v>
      </c>
      <c r="I323">
        <v>2.042873598240055E-2</v>
      </c>
      <c r="J323" t="s">
        <v>6</v>
      </c>
      <c r="L323" t="s">
        <v>243</v>
      </c>
      <c r="M323" t="s">
        <v>40</v>
      </c>
      <c r="N323">
        <v>2.0472761275763095E-2</v>
      </c>
      <c r="O323" t="s">
        <v>6</v>
      </c>
    </row>
    <row r="324" spans="2:15" x14ac:dyDescent="0.45">
      <c r="B324" t="s">
        <v>241</v>
      </c>
      <c r="C324" t="s">
        <v>41</v>
      </c>
      <c r="D324">
        <v>3.0796759927922746E-2</v>
      </c>
      <c r="E324" t="s">
        <v>6</v>
      </c>
      <c r="G324" t="s">
        <v>242</v>
      </c>
      <c r="H324" t="s">
        <v>41</v>
      </c>
      <c r="I324">
        <v>2.0495883631811838E-2</v>
      </c>
      <c r="J324" t="s">
        <v>6</v>
      </c>
      <c r="L324" t="s">
        <v>243</v>
      </c>
      <c r="M324" t="s">
        <v>41</v>
      </c>
      <c r="N324">
        <v>2.0803690570360651E-2</v>
      </c>
      <c r="O324" t="s">
        <v>6</v>
      </c>
    </row>
    <row r="325" spans="2:15" x14ac:dyDescent="0.45">
      <c r="B325" t="s">
        <v>241</v>
      </c>
      <c r="C325" t="s">
        <v>42</v>
      </c>
      <c r="D325">
        <v>5.437730565043012E-2</v>
      </c>
      <c r="E325" t="s">
        <v>6</v>
      </c>
      <c r="G325" t="s">
        <v>242</v>
      </c>
      <c r="H325" t="s">
        <v>42</v>
      </c>
      <c r="I325">
        <v>2.0741732602666083E-2</v>
      </c>
      <c r="J325" t="s">
        <v>6</v>
      </c>
      <c r="L325" t="s">
        <v>243</v>
      </c>
      <c r="M325" t="s">
        <v>42</v>
      </c>
      <c r="N325">
        <v>2.05559108956887E-2</v>
      </c>
      <c r="O325" t="s">
        <v>6</v>
      </c>
    </row>
    <row r="326" spans="2:15" x14ac:dyDescent="0.45">
      <c r="B326" t="s">
        <v>241</v>
      </c>
      <c r="C326" t="s">
        <v>43</v>
      </c>
      <c r="D326">
        <v>5.6600270380971131E-2</v>
      </c>
      <c r="E326" t="s">
        <v>6</v>
      </c>
      <c r="G326" t="s">
        <v>242</v>
      </c>
      <c r="H326" t="s">
        <v>43</v>
      </c>
      <c r="I326">
        <v>2.1266306640538659E-2</v>
      </c>
      <c r="J326" t="s">
        <v>6</v>
      </c>
      <c r="L326" t="s">
        <v>243</v>
      </c>
      <c r="M326" t="s">
        <v>43</v>
      </c>
      <c r="N326">
        <v>2.0634754137501307E-2</v>
      </c>
      <c r="O326" t="s">
        <v>6</v>
      </c>
    </row>
    <row r="327" spans="2:15" x14ac:dyDescent="0.45">
      <c r="B327" t="s">
        <v>241</v>
      </c>
      <c r="C327" t="s">
        <v>44</v>
      </c>
      <c r="D327">
        <v>3.3701652523322322E-2</v>
      </c>
      <c r="E327" t="s">
        <v>6</v>
      </c>
      <c r="G327" t="s">
        <v>242</v>
      </c>
      <c r="H327" t="s">
        <v>44</v>
      </c>
      <c r="I327">
        <v>2.1583198588985782E-2</v>
      </c>
      <c r="J327" t="s">
        <v>6</v>
      </c>
      <c r="L327" t="s">
        <v>243</v>
      </c>
      <c r="M327" t="s">
        <v>44</v>
      </c>
      <c r="N327">
        <v>2.0891187113695968E-2</v>
      </c>
      <c r="O327" t="s">
        <v>6</v>
      </c>
    </row>
    <row r="328" spans="2:15" x14ac:dyDescent="0.45">
      <c r="B328" t="s">
        <v>241</v>
      </c>
      <c r="C328" t="s">
        <v>45</v>
      </c>
      <c r="D328">
        <v>6.5865966762236961E-3</v>
      </c>
      <c r="E328" t="s">
        <v>6</v>
      </c>
      <c r="G328" t="s">
        <v>242</v>
      </c>
      <c r="H328" t="s">
        <v>45</v>
      </c>
      <c r="I328">
        <v>2.2430206186713649E-2</v>
      </c>
      <c r="J328" t="s">
        <v>6</v>
      </c>
      <c r="L328" t="s">
        <v>243</v>
      </c>
      <c r="M328" t="s">
        <v>45</v>
      </c>
      <c r="N328">
        <v>2.1293055103084317E-2</v>
      </c>
      <c r="O328" t="s">
        <v>6</v>
      </c>
    </row>
    <row r="329" spans="2:15" x14ac:dyDescent="0.45">
      <c r="B329" t="s">
        <v>241</v>
      </c>
      <c r="C329" t="s">
        <v>46</v>
      </c>
      <c r="D329">
        <v>2.4145987666091368E-5</v>
      </c>
      <c r="E329" t="s">
        <v>6</v>
      </c>
      <c r="G329" t="s">
        <v>242</v>
      </c>
      <c r="H329" t="s">
        <v>46</v>
      </c>
      <c r="I329">
        <v>2.2948583069833314E-2</v>
      </c>
      <c r="J329" t="s">
        <v>6</v>
      </c>
      <c r="L329" t="s">
        <v>243</v>
      </c>
      <c r="M329" t="s">
        <v>46</v>
      </c>
      <c r="N329">
        <v>2.0853080971829689E-2</v>
      </c>
      <c r="O329" t="s">
        <v>6</v>
      </c>
    </row>
    <row r="330" spans="2:15" x14ac:dyDescent="0.45">
      <c r="B330" t="s">
        <v>241</v>
      </c>
      <c r="C330" t="s">
        <v>47</v>
      </c>
      <c r="D330">
        <v>0</v>
      </c>
      <c r="E330" t="s">
        <v>6</v>
      </c>
      <c r="G330" t="s">
        <v>242</v>
      </c>
      <c r="H330" t="s">
        <v>47</v>
      </c>
      <c r="I330">
        <v>3.3696276940608734E-2</v>
      </c>
      <c r="J330" t="s">
        <v>6</v>
      </c>
      <c r="L330" t="s">
        <v>243</v>
      </c>
      <c r="M330" t="s">
        <v>47</v>
      </c>
      <c r="N330">
        <v>3.0119507003539821E-2</v>
      </c>
      <c r="O330" t="s">
        <v>6</v>
      </c>
    </row>
    <row r="331" spans="2:15" x14ac:dyDescent="0.45">
      <c r="B331" t="s">
        <v>244</v>
      </c>
      <c r="C331" t="s">
        <v>5</v>
      </c>
      <c r="D331">
        <v>0</v>
      </c>
      <c r="E331" t="s">
        <v>6</v>
      </c>
      <c r="G331" t="s">
        <v>245</v>
      </c>
      <c r="H331" t="s">
        <v>5</v>
      </c>
      <c r="I331">
        <v>6.3970202047095318E-2</v>
      </c>
      <c r="J331" t="s">
        <v>6</v>
      </c>
      <c r="L331" t="s">
        <v>246</v>
      </c>
      <c r="M331" t="s">
        <v>5</v>
      </c>
      <c r="N331">
        <v>6.8976430201591818E-2</v>
      </c>
      <c r="O331" t="s">
        <v>6</v>
      </c>
    </row>
    <row r="332" spans="2:15" x14ac:dyDescent="0.45">
      <c r="B332" t="s">
        <v>244</v>
      </c>
      <c r="C332" t="s">
        <v>9</v>
      </c>
      <c r="D332">
        <v>0</v>
      </c>
      <c r="E332" t="s">
        <v>6</v>
      </c>
      <c r="G332" t="s">
        <v>245</v>
      </c>
      <c r="H332" t="s">
        <v>9</v>
      </c>
      <c r="I332">
        <v>2.4696913340633668E-2</v>
      </c>
      <c r="J332" t="s">
        <v>6</v>
      </c>
      <c r="L332" t="s">
        <v>246</v>
      </c>
      <c r="M332" t="s">
        <v>9</v>
      </c>
      <c r="N332">
        <v>2.6862645915247046E-2</v>
      </c>
      <c r="O332" t="s">
        <v>6</v>
      </c>
    </row>
    <row r="333" spans="2:15" x14ac:dyDescent="0.45">
      <c r="B333" t="s">
        <v>244</v>
      </c>
      <c r="C333" t="s">
        <v>10</v>
      </c>
      <c r="D333">
        <v>4.2252607298543779E-4</v>
      </c>
      <c r="E333" t="s">
        <v>6</v>
      </c>
      <c r="G333" t="s">
        <v>245</v>
      </c>
      <c r="H333" t="s">
        <v>10</v>
      </c>
      <c r="I333">
        <v>2.471552429823053E-2</v>
      </c>
      <c r="J333" t="s">
        <v>6</v>
      </c>
      <c r="L333" t="s">
        <v>246</v>
      </c>
      <c r="M333" t="s">
        <v>10</v>
      </c>
      <c r="N333">
        <v>2.6271514328210215E-2</v>
      </c>
      <c r="O333" t="s">
        <v>6</v>
      </c>
    </row>
    <row r="334" spans="2:15" x14ac:dyDescent="0.45">
      <c r="B334" t="s">
        <v>244</v>
      </c>
      <c r="C334" t="s">
        <v>11</v>
      </c>
      <c r="D334">
        <v>1.8692003163448219E-2</v>
      </c>
      <c r="E334" t="s">
        <v>6</v>
      </c>
      <c r="G334" t="s">
        <v>245</v>
      </c>
      <c r="H334" t="s">
        <v>11</v>
      </c>
      <c r="I334">
        <v>2.354350112419425E-2</v>
      </c>
      <c r="J334" t="s">
        <v>6</v>
      </c>
      <c r="L334" t="s">
        <v>246</v>
      </c>
      <c r="M334" t="s">
        <v>11</v>
      </c>
      <c r="N334">
        <v>2.5524993979043203E-2</v>
      </c>
      <c r="O334" t="s">
        <v>6</v>
      </c>
    </row>
    <row r="335" spans="2:15" x14ac:dyDescent="0.45">
      <c r="B335" t="s">
        <v>244</v>
      </c>
      <c r="C335" t="s">
        <v>12</v>
      </c>
      <c r="D335">
        <v>4.4833286167504441E-2</v>
      </c>
      <c r="E335" t="s">
        <v>6</v>
      </c>
      <c r="G335" t="s">
        <v>245</v>
      </c>
      <c r="H335" t="s">
        <v>12</v>
      </c>
      <c r="I335">
        <v>2.3184635515428795E-2</v>
      </c>
      <c r="J335" t="s">
        <v>6</v>
      </c>
      <c r="L335" t="s">
        <v>246</v>
      </c>
      <c r="M335" t="s">
        <v>12</v>
      </c>
      <c r="N335">
        <v>2.5485927839066242E-2</v>
      </c>
      <c r="O335" t="s">
        <v>6</v>
      </c>
    </row>
    <row r="336" spans="2:15" x14ac:dyDescent="0.45">
      <c r="B336" t="s">
        <v>244</v>
      </c>
      <c r="C336" t="s">
        <v>13</v>
      </c>
      <c r="D336">
        <v>4.4157269966057414E-2</v>
      </c>
      <c r="E336" t="s">
        <v>6</v>
      </c>
      <c r="G336" t="s">
        <v>245</v>
      </c>
      <c r="H336" t="s">
        <v>13</v>
      </c>
      <c r="I336">
        <v>2.4120462310112386E-2</v>
      </c>
      <c r="J336" t="s">
        <v>6</v>
      </c>
      <c r="L336" t="s">
        <v>246</v>
      </c>
      <c r="M336" t="s">
        <v>13</v>
      </c>
      <c r="N336">
        <v>2.6582414305886724E-2</v>
      </c>
      <c r="O336" t="s">
        <v>6</v>
      </c>
    </row>
    <row r="337" spans="2:15" x14ac:dyDescent="0.45">
      <c r="B337" t="s">
        <v>244</v>
      </c>
      <c r="C337" t="s">
        <v>14</v>
      </c>
      <c r="D337">
        <v>2.2297375630647352E-2</v>
      </c>
      <c r="E337" t="s">
        <v>6</v>
      </c>
      <c r="G337" t="s">
        <v>245</v>
      </c>
      <c r="H337" t="s">
        <v>14</v>
      </c>
      <c r="I337">
        <v>2.4184534526016474E-2</v>
      </c>
      <c r="J337" t="s">
        <v>6</v>
      </c>
      <c r="L337" t="s">
        <v>246</v>
      </c>
      <c r="M337" t="s">
        <v>14</v>
      </c>
      <c r="N337">
        <v>2.6903622984667794E-2</v>
      </c>
      <c r="O337" t="s">
        <v>6</v>
      </c>
    </row>
    <row r="338" spans="2:15" x14ac:dyDescent="0.45">
      <c r="B338" t="s">
        <v>244</v>
      </c>
      <c r="C338" t="s">
        <v>15</v>
      </c>
      <c r="D338">
        <v>2.0635309862714552E-3</v>
      </c>
      <c r="E338" t="s">
        <v>6</v>
      </c>
      <c r="G338" t="s">
        <v>245</v>
      </c>
      <c r="H338" t="s">
        <v>15</v>
      </c>
      <c r="I338">
        <v>2.4977347760168824E-2</v>
      </c>
      <c r="J338" t="s">
        <v>6</v>
      </c>
      <c r="L338" t="s">
        <v>246</v>
      </c>
      <c r="M338" t="s">
        <v>15</v>
      </c>
      <c r="N338">
        <v>2.7147283673620657E-2</v>
      </c>
      <c r="O338" t="s">
        <v>6</v>
      </c>
    </row>
    <row r="339" spans="2:15" x14ac:dyDescent="0.45">
      <c r="B339" t="s">
        <v>244</v>
      </c>
      <c r="C339" t="s">
        <v>16</v>
      </c>
      <c r="D339">
        <v>0</v>
      </c>
      <c r="E339" t="s">
        <v>6</v>
      </c>
      <c r="G339" t="s">
        <v>245</v>
      </c>
      <c r="H339" t="s">
        <v>16</v>
      </c>
      <c r="I339">
        <v>2.5709298789195038E-2</v>
      </c>
      <c r="J339" t="s">
        <v>6</v>
      </c>
      <c r="L339" t="s">
        <v>246</v>
      </c>
      <c r="M339" t="s">
        <v>16</v>
      </c>
      <c r="N339">
        <v>2.7693454092413677E-2</v>
      </c>
      <c r="O339" t="s">
        <v>6</v>
      </c>
    </row>
    <row r="340" spans="2:15" x14ac:dyDescent="0.45">
      <c r="B340" t="s">
        <v>244</v>
      </c>
      <c r="C340" t="s">
        <v>17</v>
      </c>
      <c r="D340">
        <v>0</v>
      </c>
      <c r="E340" t="s">
        <v>6</v>
      </c>
      <c r="G340" t="s">
        <v>245</v>
      </c>
      <c r="H340" t="s">
        <v>17</v>
      </c>
      <c r="I340">
        <v>3.8643563633358705E-2</v>
      </c>
      <c r="J340" t="s">
        <v>6</v>
      </c>
      <c r="L340" t="s">
        <v>246</v>
      </c>
      <c r="M340" t="s">
        <v>17</v>
      </c>
      <c r="N340">
        <v>4.1897534108840208E-2</v>
      </c>
      <c r="O340" t="s">
        <v>6</v>
      </c>
    </row>
    <row r="341" spans="2:15" x14ac:dyDescent="0.45">
      <c r="B341" t="s">
        <v>244</v>
      </c>
      <c r="C341" t="s">
        <v>18</v>
      </c>
      <c r="D341">
        <v>0</v>
      </c>
      <c r="E341" t="s">
        <v>6</v>
      </c>
      <c r="G341" t="s">
        <v>245</v>
      </c>
      <c r="H341" t="s">
        <v>18</v>
      </c>
      <c r="I341">
        <v>5.4391297230947266E-2</v>
      </c>
      <c r="J341" t="s">
        <v>6</v>
      </c>
      <c r="L341" t="s">
        <v>246</v>
      </c>
      <c r="M341" t="s">
        <v>18</v>
      </c>
      <c r="N341">
        <v>4.7262826687912617E-2</v>
      </c>
      <c r="O341" t="s">
        <v>6</v>
      </c>
    </row>
    <row r="342" spans="2:15" x14ac:dyDescent="0.45">
      <c r="B342" t="s">
        <v>244</v>
      </c>
      <c r="C342" t="s">
        <v>19</v>
      </c>
      <c r="D342">
        <v>9.9861289683026268E-4</v>
      </c>
      <c r="E342" t="s">
        <v>6</v>
      </c>
      <c r="G342" t="s">
        <v>245</v>
      </c>
      <c r="H342" t="s">
        <v>19</v>
      </c>
      <c r="I342">
        <v>2.0972911347494849E-2</v>
      </c>
      <c r="J342" t="s">
        <v>6</v>
      </c>
      <c r="L342" t="s">
        <v>246</v>
      </c>
      <c r="M342" t="s">
        <v>19</v>
      </c>
      <c r="N342">
        <v>1.8016525365580724E-2</v>
      </c>
      <c r="O342" t="s">
        <v>6</v>
      </c>
    </row>
    <row r="343" spans="2:15" x14ac:dyDescent="0.45">
      <c r="B343" t="s">
        <v>244</v>
      </c>
      <c r="C343" t="s">
        <v>20</v>
      </c>
      <c r="D343">
        <v>2.1181384341331863E-2</v>
      </c>
      <c r="E343" t="s">
        <v>6</v>
      </c>
      <c r="G343" t="s">
        <v>245</v>
      </c>
      <c r="H343" t="s">
        <v>20</v>
      </c>
      <c r="I343">
        <v>2.1203730412344343E-2</v>
      </c>
      <c r="J343" t="s">
        <v>6</v>
      </c>
      <c r="L343" t="s">
        <v>246</v>
      </c>
      <c r="M343" t="s">
        <v>20</v>
      </c>
      <c r="N343">
        <v>1.8441404585369515E-2</v>
      </c>
      <c r="O343" t="s">
        <v>6</v>
      </c>
    </row>
    <row r="344" spans="2:15" x14ac:dyDescent="0.45">
      <c r="B344" t="s">
        <v>244</v>
      </c>
      <c r="C344" t="s">
        <v>21</v>
      </c>
      <c r="D344">
        <v>5.924497911377636E-2</v>
      </c>
      <c r="E344" t="s">
        <v>6</v>
      </c>
      <c r="G344" t="s">
        <v>245</v>
      </c>
      <c r="H344" t="s">
        <v>21</v>
      </c>
      <c r="I344">
        <v>2.137677456166695E-2</v>
      </c>
      <c r="J344" t="s">
        <v>6</v>
      </c>
      <c r="L344" t="s">
        <v>246</v>
      </c>
      <c r="M344" t="s">
        <v>21</v>
      </c>
      <c r="N344">
        <v>1.8944927233336718E-2</v>
      </c>
      <c r="O344" t="s">
        <v>6</v>
      </c>
    </row>
    <row r="345" spans="2:15" x14ac:dyDescent="0.45">
      <c r="B345" t="s">
        <v>244</v>
      </c>
      <c r="C345" t="s">
        <v>22</v>
      </c>
      <c r="D345">
        <v>7.766319065080303E-2</v>
      </c>
      <c r="E345" t="s">
        <v>6</v>
      </c>
      <c r="G345" t="s">
        <v>245</v>
      </c>
      <c r="H345" t="s">
        <v>22</v>
      </c>
      <c r="I345">
        <v>2.1355120954321603E-2</v>
      </c>
      <c r="J345" t="s">
        <v>6</v>
      </c>
      <c r="L345" t="s">
        <v>246</v>
      </c>
      <c r="M345" t="s">
        <v>22</v>
      </c>
      <c r="N345">
        <v>1.9786361675787512E-2</v>
      </c>
      <c r="O345" t="s">
        <v>6</v>
      </c>
    </row>
    <row r="346" spans="2:15" x14ac:dyDescent="0.45">
      <c r="B346" t="s">
        <v>244</v>
      </c>
      <c r="C346" t="s">
        <v>23</v>
      </c>
      <c r="D346">
        <v>7.6222051955101455E-2</v>
      </c>
      <c r="E346" t="s">
        <v>6</v>
      </c>
      <c r="G346" t="s">
        <v>245</v>
      </c>
      <c r="H346" t="s">
        <v>23</v>
      </c>
      <c r="I346">
        <v>2.2583773831942745E-2</v>
      </c>
      <c r="J346" t="s">
        <v>6</v>
      </c>
      <c r="L346" t="s">
        <v>246</v>
      </c>
      <c r="M346" t="s">
        <v>23</v>
      </c>
      <c r="N346">
        <v>2.0448652941017637E-2</v>
      </c>
      <c r="O346" t="s">
        <v>6</v>
      </c>
    </row>
    <row r="347" spans="2:15" x14ac:dyDescent="0.45">
      <c r="B347" t="s">
        <v>244</v>
      </c>
      <c r="C347" t="s">
        <v>24</v>
      </c>
      <c r="D347">
        <v>5.5694812157544828E-2</v>
      </c>
      <c r="E347" t="s">
        <v>6</v>
      </c>
      <c r="G347" t="s">
        <v>245</v>
      </c>
      <c r="H347" t="s">
        <v>24</v>
      </c>
      <c r="I347">
        <v>2.2976526341152659E-2</v>
      </c>
      <c r="J347" t="s">
        <v>6</v>
      </c>
      <c r="L347" t="s">
        <v>246</v>
      </c>
      <c r="M347" t="s">
        <v>24</v>
      </c>
      <c r="N347">
        <v>2.0850887479956171E-2</v>
      </c>
      <c r="O347" t="s">
        <v>6</v>
      </c>
    </row>
    <row r="348" spans="2:15" x14ac:dyDescent="0.45">
      <c r="B348" t="s">
        <v>244</v>
      </c>
      <c r="C348" t="s">
        <v>25</v>
      </c>
      <c r="D348">
        <v>2.1889724123203804E-2</v>
      </c>
      <c r="E348" t="s">
        <v>6</v>
      </c>
      <c r="G348" t="s">
        <v>245</v>
      </c>
      <c r="H348" t="s">
        <v>25</v>
      </c>
      <c r="I348">
        <v>2.1826610337711171E-2</v>
      </c>
      <c r="J348" t="s">
        <v>6</v>
      </c>
      <c r="L348" t="s">
        <v>246</v>
      </c>
      <c r="M348" t="s">
        <v>25</v>
      </c>
      <c r="N348">
        <v>2.1135546611966639E-2</v>
      </c>
      <c r="O348" t="s">
        <v>6</v>
      </c>
    </row>
    <row r="349" spans="2:15" x14ac:dyDescent="0.45">
      <c r="B349" t="s">
        <v>244</v>
      </c>
      <c r="C349" t="s">
        <v>26</v>
      </c>
      <c r="D349">
        <v>1.141998858637062E-3</v>
      </c>
      <c r="E349" t="s">
        <v>6</v>
      </c>
      <c r="G349" t="s">
        <v>245</v>
      </c>
      <c r="H349" t="s">
        <v>26</v>
      </c>
      <c r="I349">
        <v>2.2426874351955822E-2</v>
      </c>
      <c r="J349" t="s">
        <v>6</v>
      </c>
      <c r="L349" t="s">
        <v>246</v>
      </c>
      <c r="M349" t="s">
        <v>26</v>
      </c>
      <c r="N349">
        <v>2.0815417542420268E-2</v>
      </c>
      <c r="O349" t="s">
        <v>6</v>
      </c>
    </row>
    <row r="350" spans="2:15" x14ac:dyDescent="0.45">
      <c r="B350" t="s">
        <v>244</v>
      </c>
      <c r="C350" t="s">
        <v>27</v>
      </c>
      <c r="D350">
        <v>0</v>
      </c>
      <c r="E350" t="s">
        <v>6</v>
      </c>
      <c r="G350" t="s">
        <v>245</v>
      </c>
      <c r="H350" t="s">
        <v>27</v>
      </c>
      <c r="I350">
        <v>3.361779680744327E-2</v>
      </c>
      <c r="J350" t="s">
        <v>6</v>
      </c>
      <c r="L350" t="s">
        <v>246</v>
      </c>
      <c r="M350" t="s">
        <v>27</v>
      </c>
      <c r="N350">
        <v>3.0118987279240523E-2</v>
      </c>
      <c r="O350" t="s">
        <v>6</v>
      </c>
    </row>
    <row r="351" spans="2:15" x14ac:dyDescent="0.45">
      <c r="B351" t="s">
        <v>244</v>
      </c>
      <c r="C351" t="s">
        <v>28</v>
      </c>
      <c r="D351">
        <v>0</v>
      </c>
      <c r="E351" t="s">
        <v>6</v>
      </c>
      <c r="G351" t="s">
        <v>245</v>
      </c>
      <c r="H351" t="s">
        <v>28</v>
      </c>
      <c r="I351">
        <v>3.8962163803020089E-2</v>
      </c>
      <c r="J351" t="s">
        <v>6</v>
      </c>
      <c r="L351" t="s">
        <v>246</v>
      </c>
      <c r="M351" t="s">
        <v>28</v>
      </c>
      <c r="N351">
        <v>3.5168223477566311E-2</v>
      </c>
      <c r="O351" t="s">
        <v>6</v>
      </c>
    </row>
    <row r="352" spans="2:15" x14ac:dyDescent="0.45">
      <c r="B352" t="s">
        <v>244</v>
      </c>
      <c r="C352" t="s">
        <v>29</v>
      </c>
      <c r="D352">
        <v>2.522363315148862E-3</v>
      </c>
      <c r="E352" t="s">
        <v>6</v>
      </c>
      <c r="G352" t="s">
        <v>245</v>
      </c>
      <c r="H352" t="s">
        <v>29</v>
      </c>
      <c r="I352">
        <v>1.4162179364403565E-2</v>
      </c>
      <c r="J352" t="s">
        <v>6</v>
      </c>
      <c r="L352" t="s">
        <v>246</v>
      </c>
      <c r="M352" t="s">
        <v>29</v>
      </c>
      <c r="N352">
        <v>1.4104226789124718E-2</v>
      </c>
      <c r="O352" t="s">
        <v>6</v>
      </c>
    </row>
    <row r="353" spans="2:15" x14ac:dyDescent="0.45">
      <c r="B353" t="s">
        <v>244</v>
      </c>
      <c r="C353" t="s">
        <v>30</v>
      </c>
      <c r="D353">
        <v>2.6679599874602902E-2</v>
      </c>
      <c r="E353" t="s">
        <v>6</v>
      </c>
      <c r="G353" t="s">
        <v>245</v>
      </c>
      <c r="H353" t="s">
        <v>30</v>
      </c>
      <c r="I353">
        <v>1.3673408790517167E-2</v>
      </c>
      <c r="J353" t="s">
        <v>6</v>
      </c>
      <c r="L353" t="s">
        <v>246</v>
      </c>
      <c r="M353" t="s">
        <v>30</v>
      </c>
      <c r="N353">
        <v>1.4617769828328221E-2</v>
      </c>
      <c r="O353" t="s">
        <v>6</v>
      </c>
    </row>
    <row r="354" spans="2:15" x14ac:dyDescent="0.45">
      <c r="B354" t="s">
        <v>244</v>
      </c>
      <c r="C354" t="s">
        <v>31</v>
      </c>
      <c r="D354">
        <v>6.5661054149433393E-2</v>
      </c>
      <c r="E354" t="s">
        <v>6</v>
      </c>
      <c r="G354" t="s">
        <v>245</v>
      </c>
      <c r="H354" t="s">
        <v>31</v>
      </c>
      <c r="I354">
        <v>1.2918932723182841E-2</v>
      </c>
      <c r="J354" t="s">
        <v>6</v>
      </c>
      <c r="L354" t="s">
        <v>246</v>
      </c>
      <c r="M354" t="s">
        <v>31</v>
      </c>
      <c r="N354">
        <v>1.5061338241826747E-2</v>
      </c>
      <c r="O354" t="s">
        <v>6</v>
      </c>
    </row>
    <row r="355" spans="2:15" x14ac:dyDescent="0.45">
      <c r="B355" t="s">
        <v>244</v>
      </c>
      <c r="C355" t="s">
        <v>32</v>
      </c>
      <c r="D355">
        <v>8.6318731587774949E-2</v>
      </c>
      <c r="E355" t="s">
        <v>6</v>
      </c>
      <c r="G355" t="s">
        <v>245</v>
      </c>
      <c r="H355" t="s">
        <v>32</v>
      </c>
      <c r="I355">
        <v>1.3595294588042442E-2</v>
      </c>
      <c r="J355" t="s">
        <v>6</v>
      </c>
      <c r="L355" t="s">
        <v>246</v>
      </c>
      <c r="M355" t="s">
        <v>32</v>
      </c>
      <c r="N355">
        <v>1.5848035143567814E-2</v>
      </c>
      <c r="O355" t="s">
        <v>6</v>
      </c>
    </row>
    <row r="356" spans="2:15" x14ac:dyDescent="0.45">
      <c r="B356" t="s">
        <v>244</v>
      </c>
      <c r="C356" t="s">
        <v>33</v>
      </c>
      <c r="D356">
        <v>8.5266414495766468E-2</v>
      </c>
      <c r="E356" t="s">
        <v>6</v>
      </c>
      <c r="G356" t="s">
        <v>245</v>
      </c>
      <c r="H356" t="s">
        <v>33</v>
      </c>
      <c r="I356">
        <v>1.4963381107737298E-2</v>
      </c>
      <c r="J356" t="s">
        <v>6</v>
      </c>
      <c r="L356" t="s">
        <v>246</v>
      </c>
      <c r="M356" t="s">
        <v>33</v>
      </c>
      <c r="N356">
        <v>1.6470287745294233E-2</v>
      </c>
      <c r="O356" t="s">
        <v>6</v>
      </c>
    </row>
    <row r="357" spans="2:15" x14ac:dyDescent="0.45">
      <c r="B357" t="s">
        <v>244</v>
      </c>
      <c r="C357" t="s">
        <v>34</v>
      </c>
      <c r="D357">
        <v>6.3980610033911284E-2</v>
      </c>
      <c r="E357" t="s">
        <v>6</v>
      </c>
      <c r="G357" t="s">
        <v>245</v>
      </c>
      <c r="H357" t="s">
        <v>34</v>
      </c>
      <c r="I357">
        <v>1.5794586445572131E-2</v>
      </c>
      <c r="J357" t="s">
        <v>6</v>
      </c>
      <c r="L357" t="s">
        <v>246</v>
      </c>
      <c r="M357" t="s">
        <v>34</v>
      </c>
      <c r="N357">
        <v>1.6346287009951749E-2</v>
      </c>
      <c r="O357" t="s">
        <v>6</v>
      </c>
    </row>
    <row r="358" spans="2:15" x14ac:dyDescent="0.45">
      <c r="B358" t="s">
        <v>244</v>
      </c>
      <c r="C358" t="s">
        <v>35</v>
      </c>
      <c r="D358">
        <v>3.1409688461679922E-2</v>
      </c>
      <c r="E358" t="s">
        <v>6</v>
      </c>
      <c r="G358" t="s">
        <v>245</v>
      </c>
      <c r="H358" t="s">
        <v>35</v>
      </c>
      <c r="I358">
        <v>1.5369648547693165E-2</v>
      </c>
      <c r="J358" t="s">
        <v>6</v>
      </c>
      <c r="L358" t="s">
        <v>246</v>
      </c>
      <c r="M358" t="s">
        <v>35</v>
      </c>
      <c r="N358">
        <v>1.5608515741362636E-2</v>
      </c>
      <c r="O358" t="s">
        <v>6</v>
      </c>
    </row>
    <row r="359" spans="2:15" x14ac:dyDescent="0.45">
      <c r="B359" t="s">
        <v>244</v>
      </c>
      <c r="C359" t="s">
        <v>36</v>
      </c>
      <c r="D359">
        <v>3.5491027845083634E-3</v>
      </c>
      <c r="E359" t="s">
        <v>6</v>
      </c>
      <c r="G359" t="s">
        <v>245</v>
      </c>
      <c r="H359" t="s">
        <v>36</v>
      </c>
      <c r="I359">
        <v>1.5784060181978775E-2</v>
      </c>
      <c r="J359" t="s">
        <v>6</v>
      </c>
      <c r="L359" t="s">
        <v>246</v>
      </c>
      <c r="M359" t="s">
        <v>36</v>
      </c>
      <c r="N359">
        <v>1.408207109152522E-2</v>
      </c>
      <c r="O359" t="s">
        <v>6</v>
      </c>
    </row>
    <row r="360" spans="2:15" x14ac:dyDescent="0.45">
      <c r="B360" t="s">
        <v>244</v>
      </c>
      <c r="C360" t="s">
        <v>37</v>
      </c>
      <c r="D360">
        <v>0</v>
      </c>
      <c r="E360" t="s">
        <v>6</v>
      </c>
      <c r="G360" t="s">
        <v>245</v>
      </c>
      <c r="H360" t="s">
        <v>37</v>
      </c>
      <c r="I360">
        <v>2.4495801749251225E-2</v>
      </c>
      <c r="J360" t="s">
        <v>6</v>
      </c>
      <c r="L360" t="s">
        <v>246</v>
      </c>
      <c r="M360" t="s">
        <v>37</v>
      </c>
      <c r="N360">
        <v>2.069565198517944E-2</v>
      </c>
      <c r="O360" t="s">
        <v>6</v>
      </c>
    </row>
    <row r="361" spans="2:15" x14ac:dyDescent="0.45">
      <c r="B361" t="s">
        <v>244</v>
      </c>
      <c r="C361" t="s">
        <v>38</v>
      </c>
      <c r="D361">
        <v>0</v>
      </c>
      <c r="E361" t="s">
        <v>6</v>
      </c>
      <c r="G361" t="s">
        <v>245</v>
      </c>
      <c r="H361" t="s">
        <v>38</v>
      </c>
      <c r="I361">
        <v>5.5539798963357714E-2</v>
      </c>
      <c r="J361" t="s">
        <v>6</v>
      </c>
      <c r="L361" t="s">
        <v>246</v>
      </c>
      <c r="M361" t="s">
        <v>38</v>
      </c>
      <c r="N361">
        <v>5.1493656626388613E-2</v>
      </c>
      <c r="O361" t="s">
        <v>6</v>
      </c>
    </row>
    <row r="362" spans="2:15" x14ac:dyDescent="0.45">
      <c r="B362" t="s">
        <v>244</v>
      </c>
      <c r="C362" t="s">
        <v>39</v>
      </c>
      <c r="D362">
        <v>3.5419646595624874E-6</v>
      </c>
      <c r="E362" t="s">
        <v>6</v>
      </c>
      <c r="G362" t="s">
        <v>245</v>
      </c>
      <c r="H362" t="s">
        <v>39</v>
      </c>
      <c r="I362">
        <v>2.1547216085625383E-2</v>
      </c>
      <c r="J362" t="s">
        <v>6</v>
      </c>
      <c r="L362" t="s">
        <v>246</v>
      </c>
      <c r="M362" t="s">
        <v>39</v>
      </c>
      <c r="N362">
        <v>2.1297920771267239E-2</v>
      </c>
      <c r="O362" t="s">
        <v>6</v>
      </c>
    </row>
    <row r="363" spans="2:15" x14ac:dyDescent="0.45">
      <c r="B363" t="s">
        <v>244</v>
      </c>
      <c r="C363" t="s">
        <v>40</v>
      </c>
      <c r="D363">
        <v>6.3407637969804375E-3</v>
      </c>
      <c r="E363" t="s">
        <v>6</v>
      </c>
      <c r="G363" t="s">
        <v>245</v>
      </c>
      <c r="H363" t="s">
        <v>40</v>
      </c>
      <c r="I363">
        <v>2.1056786646812643E-2</v>
      </c>
      <c r="J363" t="s">
        <v>6</v>
      </c>
      <c r="L363" t="s">
        <v>246</v>
      </c>
      <c r="M363" t="s">
        <v>40</v>
      </c>
      <c r="N363">
        <v>2.1966530206747024E-2</v>
      </c>
      <c r="O363" t="s">
        <v>6</v>
      </c>
    </row>
    <row r="364" spans="2:15" x14ac:dyDescent="0.45">
      <c r="B364" t="s">
        <v>244</v>
      </c>
      <c r="C364" t="s">
        <v>41</v>
      </c>
      <c r="D364">
        <v>3.4440724334147126E-2</v>
      </c>
      <c r="E364" t="s">
        <v>6</v>
      </c>
      <c r="G364" t="s">
        <v>245</v>
      </c>
      <c r="H364" t="s">
        <v>41</v>
      </c>
      <c r="I364">
        <v>2.0028778926444089E-2</v>
      </c>
      <c r="J364" t="s">
        <v>6</v>
      </c>
      <c r="L364" t="s">
        <v>246</v>
      </c>
      <c r="M364" t="s">
        <v>41</v>
      </c>
      <c r="N364">
        <v>2.2613614002822868E-2</v>
      </c>
      <c r="O364" t="s">
        <v>6</v>
      </c>
    </row>
    <row r="365" spans="2:15" x14ac:dyDescent="0.45">
      <c r="B365" t="s">
        <v>244</v>
      </c>
      <c r="C365" t="s">
        <v>42</v>
      </c>
      <c r="D365">
        <v>5.572228822892563E-2</v>
      </c>
      <c r="E365" t="s">
        <v>6</v>
      </c>
      <c r="G365" t="s">
        <v>245</v>
      </c>
      <c r="H365" t="s">
        <v>42</v>
      </c>
      <c r="I365">
        <v>2.0406017313709581E-2</v>
      </c>
      <c r="J365" t="s">
        <v>6</v>
      </c>
      <c r="L365" t="s">
        <v>246</v>
      </c>
      <c r="M365" t="s">
        <v>42</v>
      </c>
      <c r="N365">
        <v>2.3090483919720524E-2</v>
      </c>
      <c r="O365" t="s">
        <v>6</v>
      </c>
    </row>
    <row r="366" spans="2:15" x14ac:dyDescent="0.45">
      <c r="B366" t="s">
        <v>244</v>
      </c>
      <c r="C366" t="s">
        <v>43</v>
      </c>
      <c r="D366">
        <v>5.4326012655303048E-2</v>
      </c>
      <c r="E366" t="s">
        <v>6</v>
      </c>
      <c r="G366" t="s">
        <v>245</v>
      </c>
      <c r="H366" t="s">
        <v>43</v>
      </c>
      <c r="I366">
        <v>2.146689801568849E-2</v>
      </c>
      <c r="J366" t="s">
        <v>6</v>
      </c>
      <c r="L366" t="s">
        <v>246</v>
      </c>
      <c r="M366" t="s">
        <v>43</v>
      </c>
      <c r="N366">
        <v>2.3249349840716357E-2</v>
      </c>
      <c r="O366" t="s">
        <v>6</v>
      </c>
    </row>
    <row r="367" spans="2:15" x14ac:dyDescent="0.45">
      <c r="B367" t="s">
        <v>244</v>
      </c>
      <c r="C367" t="s">
        <v>44</v>
      </c>
      <c r="D367">
        <v>3.1854479574052047E-2</v>
      </c>
      <c r="E367" t="s">
        <v>6</v>
      </c>
      <c r="G367" t="s">
        <v>245</v>
      </c>
      <c r="H367" t="s">
        <v>44</v>
      </c>
      <c r="I367">
        <v>2.123690535522017E-2</v>
      </c>
      <c r="J367" t="s">
        <v>6</v>
      </c>
      <c r="L367" t="s">
        <v>246</v>
      </c>
      <c r="M367" t="s">
        <v>44</v>
      </c>
      <c r="N367">
        <v>2.304942868425696E-2</v>
      </c>
      <c r="O367" t="s">
        <v>6</v>
      </c>
    </row>
    <row r="368" spans="2:15" x14ac:dyDescent="0.45">
      <c r="B368" t="s">
        <v>244</v>
      </c>
      <c r="C368" t="s">
        <v>45</v>
      </c>
      <c r="D368">
        <v>5.4099529682210953E-3</v>
      </c>
      <c r="E368" t="s">
        <v>6</v>
      </c>
      <c r="G368" t="s">
        <v>245</v>
      </c>
      <c r="H368" t="s">
        <v>45</v>
      </c>
      <c r="I368">
        <v>2.1723742729234764E-2</v>
      </c>
      <c r="J368" t="s">
        <v>6</v>
      </c>
      <c r="L368" t="s">
        <v>246</v>
      </c>
      <c r="M368" t="s">
        <v>45</v>
      </c>
      <c r="N368">
        <v>2.2451096996974014E-2</v>
      </c>
      <c r="O368" t="s">
        <v>6</v>
      </c>
    </row>
    <row r="369" spans="2:15" x14ac:dyDescent="0.45">
      <c r="B369" t="s">
        <v>244</v>
      </c>
      <c r="C369" t="s">
        <v>46</v>
      </c>
      <c r="D369">
        <v>1.1925690742782456E-5</v>
      </c>
      <c r="E369" t="s">
        <v>6</v>
      </c>
      <c r="G369" t="s">
        <v>245</v>
      </c>
      <c r="H369" t="s">
        <v>46</v>
      </c>
      <c r="I369">
        <v>2.2858312237246704E-2</v>
      </c>
      <c r="J369" t="s">
        <v>6</v>
      </c>
      <c r="L369" t="s">
        <v>246</v>
      </c>
      <c r="M369" t="s">
        <v>46</v>
      </c>
      <c r="N369">
        <v>2.1860318228829591E-2</v>
      </c>
      <c r="O369" t="s">
        <v>6</v>
      </c>
    </row>
    <row r="370" spans="2:15" x14ac:dyDescent="0.45">
      <c r="B370" t="s">
        <v>244</v>
      </c>
      <c r="C370" t="s">
        <v>47</v>
      </c>
      <c r="D370">
        <v>0</v>
      </c>
      <c r="E370" t="s">
        <v>6</v>
      </c>
      <c r="G370" t="s">
        <v>245</v>
      </c>
      <c r="H370" t="s">
        <v>47</v>
      </c>
      <c r="I370">
        <v>3.3938686903846257E-2</v>
      </c>
      <c r="J370" t="s">
        <v>6</v>
      </c>
      <c r="L370" t="s">
        <v>246</v>
      </c>
      <c r="M370" t="s">
        <v>47</v>
      </c>
      <c r="N370">
        <v>3.1757834837372004E-2</v>
      </c>
      <c r="O370" t="s">
        <v>6</v>
      </c>
    </row>
    <row r="371" spans="2:15" x14ac:dyDescent="0.45">
      <c r="B371" t="s">
        <v>247</v>
      </c>
      <c r="C371" t="s">
        <v>5</v>
      </c>
      <c r="D371">
        <v>0</v>
      </c>
      <c r="E371" t="s">
        <v>6</v>
      </c>
      <c r="G371" t="s">
        <v>248</v>
      </c>
      <c r="H371" t="s">
        <v>5</v>
      </c>
      <c r="I371">
        <v>6.8869278989055482E-2</v>
      </c>
      <c r="J371" t="s">
        <v>6</v>
      </c>
      <c r="L371" t="s">
        <v>249</v>
      </c>
      <c r="M371" t="s">
        <v>5</v>
      </c>
      <c r="N371">
        <v>7.0384560449454153E-2</v>
      </c>
      <c r="O371" t="s">
        <v>6</v>
      </c>
    </row>
    <row r="372" spans="2:15" x14ac:dyDescent="0.45">
      <c r="B372" t="s">
        <v>247</v>
      </c>
      <c r="C372" t="s">
        <v>9</v>
      </c>
      <c r="D372">
        <v>0</v>
      </c>
      <c r="E372" t="s">
        <v>6</v>
      </c>
      <c r="G372" t="s">
        <v>248</v>
      </c>
      <c r="H372" t="s">
        <v>9</v>
      </c>
      <c r="I372">
        <v>2.6551381147428364E-2</v>
      </c>
      <c r="J372" t="s">
        <v>6</v>
      </c>
      <c r="L372" t="s">
        <v>249</v>
      </c>
      <c r="M372" t="s">
        <v>9</v>
      </c>
      <c r="N372">
        <v>2.6933582896802429E-2</v>
      </c>
      <c r="O372" t="s">
        <v>6</v>
      </c>
    </row>
    <row r="373" spans="2:15" x14ac:dyDescent="0.45">
      <c r="B373" t="s">
        <v>247</v>
      </c>
      <c r="C373" t="s">
        <v>10</v>
      </c>
      <c r="D373">
        <v>0</v>
      </c>
      <c r="E373" t="s">
        <v>6</v>
      </c>
      <c r="G373" t="s">
        <v>248</v>
      </c>
      <c r="H373" t="s">
        <v>10</v>
      </c>
      <c r="I373">
        <v>2.6324372623948118E-2</v>
      </c>
      <c r="J373" t="s">
        <v>6</v>
      </c>
      <c r="L373" t="s">
        <v>249</v>
      </c>
      <c r="M373" t="s">
        <v>10</v>
      </c>
      <c r="N373">
        <v>2.6863008273367437E-2</v>
      </c>
      <c r="O373" t="s">
        <v>6</v>
      </c>
    </row>
    <row r="374" spans="2:15" x14ac:dyDescent="0.45">
      <c r="B374" t="s">
        <v>247</v>
      </c>
      <c r="C374" t="s">
        <v>11</v>
      </c>
      <c r="D374">
        <v>6.8782827220980301E-3</v>
      </c>
      <c r="E374" t="s">
        <v>6</v>
      </c>
      <c r="G374" t="s">
        <v>248</v>
      </c>
      <c r="H374" t="s">
        <v>11</v>
      </c>
      <c r="I374">
        <v>2.6690451380300274E-2</v>
      </c>
      <c r="J374" t="s">
        <v>6</v>
      </c>
      <c r="L374" t="s">
        <v>249</v>
      </c>
      <c r="M374" t="s">
        <v>11</v>
      </c>
      <c r="N374">
        <v>2.5892003664462256E-2</v>
      </c>
      <c r="O374" t="s">
        <v>6</v>
      </c>
    </row>
    <row r="375" spans="2:15" x14ac:dyDescent="0.45">
      <c r="B375" t="s">
        <v>247</v>
      </c>
      <c r="C375" t="s">
        <v>12</v>
      </c>
      <c r="D375">
        <v>2.6754989366564393E-2</v>
      </c>
      <c r="E375" t="s">
        <v>6</v>
      </c>
      <c r="G375" t="s">
        <v>248</v>
      </c>
      <c r="H375" t="s">
        <v>12</v>
      </c>
      <c r="I375">
        <v>2.7011042213115129E-2</v>
      </c>
      <c r="J375" t="s">
        <v>6</v>
      </c>
      <c r="L375" t="s">
        <v>249</v>
      </c>
      <c r="M375" t="s">
        <v>12</v>
      </c>
      <c r="N375">
        <v>2.529063649260696E-2</v>
      </c>
      <c r="O375" t="s">
        <v>6</v>
      </c>
    </row>
    <row r="376" spans="2:15" x14ac:dyDescent="0.45">
      <c r="B376" t="s">
        <v>247</v>
      </c>
      <c r="C376" t="s">
        <v>13</v>
      </c>
      <c r="D376">
        <v>3.2490698977759046E-2</v>
      </c>
      <c r="E376" t="s">
        <v>6</v>
      </c>
      <c r="G376" t="s">
        <v>248</v>
      </c>
      <c r="H376" t="s">
        <v>13</v>
      </c>
      <c r="I376">
        <v>2.7977078097199772E-2</v>
      </c>
      <c r="J376" t="s">
        <v>6</v>
      </c>
      <c r="L376" t="s">
        <v>249</v>
      </c>
      <c r="M376" t="s">
        <v>13</v>
      </c>
      <c r="N376">
        <v>2.5626995049412443E-2</v>
      </c>
      <c r="O376" t="s">
        <v>6</v>
      </c>
    </row>
    <row r="377" spans="2:15" x14ac:dyDescent="0.45">
      <c r="B377" t="s">
        <v>247</v>
      </c>
      <c r="C377" t="s">
        <v>14</v>
      </c>
      <c r="D377">
        <v>1.8884674406541707E-2</v>
      </c>
      <c r="E377" t="s">
        <v>6</v>
      </c>
      <c r="G377" t="s">
        <v>248</v>
      </c>
      <c r="H377" t="s">
        <v>14</v>
      </c>
      <c r="I377">
        <v>2.7998490043983228E-2</v>
      </c>
      <c r="J377" t="s">
        <v>6</v>
      </c>
      <c r="L377" t="s">
        <v>249</v>
      </c>
      <c r="M377" t="s">
        <v>14</v>
      </c>
      <c r="N377">
        <v>2.5927947995348137E-2</v>
      </c>
      <c r="O377" t="s">
        <v>6</v>
      </c>
    </row>
    <row r="378" spans="2:15" x14ac:dyDescent="0.45">
      <c r="B378" t="s">
        <v>247</v>
      </c>
      <c r="C378" t="s">
        <v>15</v>
      </c>
      <c r="D378">
        <v>2.6515474588955697E-3</v>
      </c>
      <c r="E378" t="s">
        <v>6</v>
      </c>
      <c r="G378" t="s">
        <v>248</v>
      </c>
      <c r="H378" t="s">
        <v>15</v>
      </c>
      <c r="I378">
        <v>2.8030049717455756E-2</v>
      </c>
      <c r="J378" t="s">
        <v>6</v>
      </c>
      <c r="L378" t="s">
        <v>249</v>
      </c>
      <c r="M378" t="s">
        <v>15</v>
      </c>
      <c r="N378">
        <v>2.6413228848196635E-2</v>
      </c>
      <c r="O378" t="s">
        <v>6</v>
      </c>
    </row>
    <row r="379" spans="2:15" x14ac:dyDescent="0.45">
      <c r="B379" t="s">
        <v>247</v>
      </c>
      <c r="C379" t="s">
        <v>16</v>
      </c>
      <c r="D379">
        <v>0</v>
      </c>
      <c r="E379" t="s">
        <v>6</v>
      </c>
      <c r="G379" t="s">
        <v>248</v>
      </c>
      <c r="H379" t="s">
        <v>16</v>
      </c>
      <c r="I379">
        <v>2.8474131889543629E-2</v>
      </c>
      <c r="J379" t="s">
        <v>6</v>
      </c>
      <c r="L379" t="s">
        <v>249</v>
      </c>
      <c r="M379" t="s">
        <v>16</v>
      </c>
      <c r="N379">
        <v>2.7610671743740406E-2</v>
      </c>
      <c r="O379" t="s">
        <v>6</v>
      </c>
    </row>
    <row r="380" spans="2:15" x14ac:dyDescent="0.45">
      <c r="B380" t="s">
        <v>247</v>
      </c>
      <c r="C380" t="s">
        <v>17</v>
      </c>
      <c r="D380">
        <v>0</v>
      </c>
      <c r="E380" t="s">
        <v>6</v>
      </c>
      <c r="G380" t="s">
        <v>248</v>
      </c>
      <c r="H380" t="s">
        <v>17</v>
      </c>
      <c r="I380">
        <v>4.3708236991034877E-2</v>
      </c>
      <c r="J380" t="s">
        <v>6</v>
      </c>
      <c r="L380" t="s">
        <v>249</v>
      </c>
      <c r="M380" t="s">
        <v>17</v>
      </c>
      <c r="N380">
        <v>4.2025528112524801E-2</v>
      </c>
      <c r="O380" t="s">
        <v>6</v>
      </c>
    </row>
    <row r="381" spans="2:15" x14ac:dyDescent="0.45">
      <c r="B381" t="s">
        <v>247</v>
      </c>
      <c r="C381" t="s">
        <v>18</v>
      </c>
      <c r="D381">
        <v>0</v>
      </c>
      <c r="E381" t="s">
        <v>6</v>
      </c>
      <c r="G381" t="s">
        <v>248</v>
      </c>
      <c r="H381" t="s">
        <v>18</v>
      </c>
      <c r="I381">
        <v>5.6313493364184924E-2</v>
      </c>
      <c r="J381" t="s">
        <v>6</v>
      </c>
      <c r="L381" t="s">
        <v>249</v>
      </c>
      <c r="M381" t="s">
        <v>18</v>
      </c>
      <c r="N381">
        <v>4.6625759845376154E-2</v>
      </c>
      <c r="O381" t="s">
        <v>6</v>
      </c>
    </row>
    <row r="382" spans="2:15" x14ac:dyDescent="0.45">
      <c r="B382" t="s">
        <v>247</v>
      </c>
      <c r="C382" t="s">
        <v>19</v>
      </c>
      <c r="D382">
        <v>7.443143593057111E-4</v>
      </c>
      <c r="E382" t="s">
        <v>6</v>
      </c>
      <c r="G382" t="s">
        <v>248</v>
      </c>
      <c r="H382" t="s">
        <v>19</v>
      </c>
      <c r="I382">
        <v>2.2687816976037757E-2</v>
      </c>
      <c r="J382" t="s">
        <v>6</v>
      </c>
      <c r="L382" t="s">
        <v>249</v>
      </c>
      <c r="M382" t="s">
        <v>19</v>
      </c>
      <c r="N382">
        <v>1.7520050511027743E-2</v>
      </c>
      <c r="O382" t="s">
        <v>6</v>
      </c>
    </row>
    <row r="383" spans="2:15" x14ac:dyDescent="0.45">
      <c r="B383" t="s">
        <v>247</v>
      </c>
      <c r="C383" t="s">
        <v>20</v>
      </c>
      <c r="D383">
        <v>1.5318218693864917E-2</v>
      </c>
      <c r="E383" t="s">
        <v>6</v>
      </c>
      <c r="G383" t="s">
        <v>248</v>
      </c>
      <c r="H383" t="s">
        <v>20</v>
      </c>
      <c r="I383">
        <v>2.2880756788979176E-2</v>
      </c>
      <c r="J383" t="s">
        <v>6</v>
      </c>
      <c r="L383" t="s">
        <v>249</v>
      </c>
      <c r="M383" t="s">
        <v>20</v>
      </c>
      <c r="N383">
        <v>1.7838092103662745E-2</v>
      </c>
      <c r="O383" t="s">
        <v>6</v>
      </c>
    </row>
    <row r="384" spans="2:15" x14ac:dyDescent="0.45">
      <c r="B384" t="s">
        <v>247</v>
      </c>
      <c r="C384" t="s">
        <v>21</v>
      </c>
      <c r="D384">
        <v>5.7906252558392698E-2</v>
      </c>
      <c r="E384" t="s">
        <v>6</v>
      </c>
      <c r="G384" t="s">
        <v>248</v>
      </c>
      <c r="H384" t="s">
        <v>21</v>
      </c>
      <c r="I384">
        <v>2.4893151895192905E-2</v>
      </c>
      <c r="J384" t="s">
        <v>6</v>
      </c>
      <c r="L384" t="s">
        <v>249</v>
      </c>
      <c r="M384" t="s">
        <v>21</v>
      </c>
      <c r="N384">
        <v>1.9510820050154386E-2</v>
      </c>
      <c r="O384" t="s">
        <v>6</v>
      </c>
    </row>
    <row r="385" spans="2:15" x14ac:dyDescent="0.45">
      <c r="B385" t="s">
        <v>247</v>
      </c>
      <c r="C385" t="s">
        <v>22</v>
      </c>
      <c r="D385">
        <v>9.0228384057074465E-2</v>
      </c>
      <c r="E385" t="s">
        <v>6</v>
      </c>
      <c r="G385" t="s">
        <v>248</v>
      </c>
      <c r="H385" t="s">
        <v>22</v>
      </c>
      <c r="I385">
        <v>2.5283495269446624E-2</v>
      </c>
      <c r="J385" t="s">
        <v>6</v>
      </c>
      <c r="L385" t="s">
        <v>249</v>
      </c>
      <c r="M385" t="s">
        <v>22</v>
      </c>
      <c r="N385">
        <v>2.1024752620181244E-2</v>
      </c>
      <c r="O385" t="s">
        <v>6</v>
      </c>
    </row>
    <row r="386" spans="2:15" x14ac:dyDescent="0.45">
      <c r="B386" t="s">
        <v>247</v>
      </c>
      <c r="C386" t="s">
        <v>23</v>
      </c>
      <c r="D386">
        <v>9.5358144502438749E-2</v>
      </c>
      <c r="E386" t="s">
        <v>6</v>
      </c>
      <c r="G386" t="s">
        <v>248</v>
      </c>
      <c r="H386" t="s">
        <v>23</v>
      </c>
      <c r="I386">
        <v>2.5332199963014466E-2</v>
      </c>
      <c r="J386" t="s">
        <v>6</v>
      </c>
      <c r="L386" t="s">
        <v>249</v>
      </c>
      <c r="M386" t="s">
        <v>23</v>
      </c>
      <c r="N386">
        <v>2.1779660402813952E-2</v>
      </c>
      <c r="O386" t="s">
        <v>6</v>
      </c>
    </row>
    <row r="387" spans="2:15" x14ac:dyDescent="0.45">
      <c r="B387" t="s">
        <v>247</v>
      </c>
      <c r="C387" t="s">
        <v>24</v>
      </c>
      <c r="D387">
        <v>7.3695191820746436E-2</v>
      </c>
      <c r="E387" t="s">
        <v>6</v>
      </c>
      <c r="G387" t="s">
        <v>248</v>
      </c>
      <c r="H387" t="s">
        <v>24</v>
      </c>
      <c r="I387">
        <v>2.5105993707030348E-2</v>
      </c>
      <c r="J387" t="s">
        <v>6</v>
      </c>
      <c r="L387" t="s">
        <v>249</v>
      </c>
      <c r="M387" t="s">
        <v>24</v>
      </c>
      <c r="N387">
        <v>2.1793691914448587E-2</v>
      </c>
      <c r="O387" t="s">
        <v>6</v>
      </c>
    </row>
    <row r="388" spans="2:15" x14ac:dyDescent="0.45">
      <c r="B388" t="s">
        <v>247</v>
      </c>
      <c r="C388" t="s">
        <v>25</v>
      </c>
      <c r="D388">
        <v>3.471814359221688E-2</v>
      </c>
      <c r="E388" t="s">
        <v>6</v>
      </c>
      <c r="G388" t="s">
        <v>248</v>
      </c>
      <c r="H388" t="s">
        <v>25</v>
      </c>
      <c r="I388">
        <v>2.3720034037658769E-2</v>
      </c>
      <c r="J388" t="s">
        <v>6</v>
      </c>
      <c r="L388" t="s">
        <v>249</v>
      </c>
      <c r="M388" t="s">
        <v>25</v>
      </c>
      <c r="N388">
        <v>2.0833882021896299E-2</v>
      </c>
      <c r="O388" t="s">
        <v>6</v>
      </c>
    </row>
    <row r="389" spans="2:15" x14ac:dyDescent="0.45">
      <c r="B389" t="s">
        <v>247</v>
      </c>
      <c r="C389" t="s">
        <v>26</v>
      </c>
      <c r="D389">
        <v>3.4555346185608264E-3</v>
      </c>
      <c r="E389" t="s">
        <v>6</v>
      </c>
      <c r="G389" t="s">
        <v>248</v>
      </c>
      <c r="H389" t="s">
        <v>26</v>
      </c>
      <c r="I389">
        <v>2.2401106615484501E-2</v>
      </c>
      <c r="J389" t="s">
        <v>6</v>
      </c>
      <c r="L389" t="s">
        <v>249</v>
      </c>
      <c r="M389" t="s">
        <v>26</v>
      </c>
      <c r="N389">
        <v>2.0575009687513381E-2</v>
      </c>
      <c r="O389" t="s">
        <v>6</v>
      </c>
    </row>
    <row r="390" spans="2:15" x14ac:dyDescent="0.45">
      <c r="B390" t="s">
        <v>247</v>
      </c>
      <c r="C390" t="s">
        <v>27</v>
      </c>
      <c r="D390">
        <v>2.5561565517337973E-5</v>
      </c>
      <c r="E390" t="s">
        <v>6</v>
      </c>
      <c r="G390" t="s">
        <v>248</v>
      </c>
      <c r="H390" t="s">
        <v>27</v>
      </c>
      <c r="I390">
        <v>3.3611890482676973E-2</v>
      </c>
      <c r="J390" t="s">
        <v>6</v>
      </c>
      <c r="L390" t="s">
        <v>249</v>
      </c>
      <c r="M390" t="s">
        <v>27</v>
      </c>
      <c r="N390">
        <v>2.9935366326409207E-2</v>
      </c>
      <c r="O390" t="s">
        <v>6</v>
      </c>
    </row>
    <row r="391" spans="2:15" x14ac:dyDescent="0.45">
      <c r="B391" t="s">
        <v>247</v>
      </c>
      <c r="C391" t="s">
        <v>28</v>
      </c>
      <c r="D391">
        <v>0</v>
      </c>
      <c r="E391" t="s">
        <v>6</v>
      </c>
      <c r="G391" t="s">
        <v>248</v>
      </c>
      <c r="H391" t="s">
        <v>28</v>
      </c>
      <c r="I391">
        <v>2.7776978255782039E-2</v>
      </c>
      <c r="J391" t="s">
        <v>6</v>
      </c>
      <c r="L391" t="s">
        <v>249</v>
      </c>
      <c r="M391" t="s">
        <v>28</v>
      </c>
      <c r="N391">
        <v>3.0795695805775927E-2</v>
      </c>
      <c r="O391" t="s">
        <v>6</v>
      </c>
    </row>
    <row r="392" spans="2:15" x14ac:dyDescent="0.45">
      <c r="B392" t="s">
        <v>247</v>
      </c>
      <c r="C392" t="s">
        <v>29</v>
      </c>
      <c r="D392">
        <v>1.8831611438871465E-3</v>
      </c>
      <c r="E392" t="s">
        <v>6</v>
      </c>
      <c r="G392" t="s">
        <v>248</v>
      </c>
      <c r="H392" t="s">
        <v>29</v>
      </c>
      <c r="I392">
        <v>1.1399554465605729E-2</v>
      </c>
      <c r="J392" t="s">
        <v>6</v>
      </c>
      <c r="L392" t="s">
        <v>249</v>
      </c>
      <c r="M392" t="s">
        <v>29</v>
      </c>
      <c r="N392">
        <v>1.2570584098560525E-2</v>
      </c>
      <c r="O392" t="s">
        <v>6</v>
      </c>
    </row>
    <row r="393" spans="2:15" x14ac:dyDescent="0.45">
      <c r="B393" t="s">
        <v>247</v>
      </c>
      <c r="C393" t="s">
        <v>30</v>
      </c>
      <c r="D393">
        <v>1.9553213835088238E-2</v>
      </c>
      <c r="E393" t="s">
        <v>6</v>
      </c>
      <c r="G393" t="s">
        <v>248</v>
      </c>
      <c r="H393" t="s">
        <v>30</v>
      </c>
      <c r="I393">
        <v>1.2025496018960061E-2</v>
      </c>
      <c r="J393" t="s">
        <v>6</v>
      </c>
      <c r="L393" t="s">
        <v>249</v>
      </c>
      <c r="M393" t="s">
        <v>30</v>
      </c>
      <c r="N393">
        <v>1.3476355599158994E-2</v>
      </c>
      <c r="O393" t="s">
        <v>6</v>
      </c>
    </row>
    <row r="394" spans="2:15" x14ac:dyDescent="0.45">
      <c r="B394" t="s">
        <v>247</v>
      </c>
      <c r="C394" t="s">
        <v>31</v>
      </c>
      <c r="D394">
        <v>5.394791600156551E-2</v>
      </c>
      <c r="E394" t="s">
        <v>6</v>
      </c>
      <c r="G394" t="s">
        <v>248</v>
      </c>
      <c r="H394" t="s">
        <v>31</v>
      </c>
      <c r="I394">
        <v>1.2468984435797784E-2</v>
      </c>
      <c r="J394" t="s">
        <v>6</v>
      </c>
      <c r="L394" t="s">
        <v>249</v>
      </c>
      <c r="M394" t="s">
        <v>31</v>
      </c>
      <c r="N394">
        <v>1.457603602029809E-2</v>
      </c>
      <c r="O394" t="s">
        <v>6</v>
      </c>
    </row>
    <row r="395" spans="2:15" x14ac:dyDescent="0.45">
      <c r="B395" t="s">
        <v>247</v>
      </c>
      <c r="C395" t="s">
        <v>32</v>
      </c>
      <c r="D395">
        <v>8.1215221595456744E-2</v>
      </c>
      <c r="E395" t="s">
        <v>6</v>
      </c>
      <c r="G395" t="s">
        <v>248</v>
      </c>
      <c r="H395" t="s">
        <v>32</v>
      </c>
      <c r="I395">
        <v>1.2703831122444652E-2</v>
      </c>
      <c r="J395" t="s">
        <v>6</v>
      </c>
      <c r="L395" t="s">
        <v>249</v>
      </c>
      <c r="M395" t="s">
        <v>32</v>
      </c>
      <c r="N395">
        <v>1.5625956888464135E-2</v>
      </c>
      <c r="O395" t="s">
        <v>6</v>
      </c>
    </row>
    <row r="396" spans="2:15" x14ac:dyDescent="0.45">
      <c r="B396" t="s">
        <v>247</v>
      </c>
      <c r="C396" t="s">
        <v>33</v>
      </c>
      <c r="D396">
        <v>8.9495875143709616E-2</v>
      </c>
      <c r="E396" t="s">
        <v>6</v>
      </c>
      <c r="G396" t="s">
        <v>248</v>
      </c>
      <c r="H396" t="s">
        <v>33</v>
      </c>
      <c r="I396">
        <v>1.3346619744665547E-2</v>
      </c>
      <c r="J396" t="s">
        <v>6</v>
      </c>
      <c r="L396" t="s">
        <v>249</v>
      </c>
      <c r="M396" t="s">
        <v>33</v>
      </c>
      <c r="N396">
        <v>1.6101065267418457E-2</v>
      </c>
      <c r="O396" t="s">
        <v>6</v>
      </c>
    </row>
    <row r="397" spans="2:15" x14ac:dyDescent="0.45">
      <c r="B397" t="s">
        <v>247</v>
      </c>
      <c r="C397" t="s">
        <v>34</v>
      </c>
      <c r="D397">
        <v>7.464099620580894E-2</v>
      </c>
      <c r="E397" t="s">
        <v>6</v>
      </c>
      <c r="G397" t="s">
        <v>248</v>
      </c>
      <c r="H397" t="s">
        <v>34</v>
      </c>
      <c r="I397">
        <v>1.3173430237950324E-2</v>
      </c>
      <c r="J397" t="s">
        <v>6</v>
      </c>
      <c r="L397" t="s">
        <v>249</v>
      </c>
      <c r="M397" t="s">
        <v>34</v>
      </c>
      <c r="N397">
        <v>1.5725356481803881E-2</v>
      </c>
      <c r="O397" t="s">
        <v>6</v>
      </c>
    </row>
    <row r="398" spans="2:15" x14ac:dyDescent="0.45">
      <c r="B398" t="s">
        <v>247</v>
      </c>
      <c r="C398" t="s">
        <v>35</v>
      </c>
      <c r="D398">
        <v>4.2074995736748041E-2</v>
      </c>
      <c r="E398" t="s">
        <v>6</v>
      </c>
      <c r="G398" t="s">
        <v>248</v>
      </c>
      <c r="H398" t="s">
        <v>35</v>
      </c>
      <c r="I398">
        <v>1.2190620581389392E-2</v>
      </c>
      <c r="J398" t="s">
        <v>6</v>
      </c>
      <c r="L398" t="s">
        <v>249</v>
      </c>
      <c r="M398" t="s">
        <v>35</v>
      </c>
      <c r="N398">
        <v>1.4846216168144464E-2</v>
      </c>
      <c r="O398" t="s">
        <v>6</v>
      </c>
    </row>
    <row r="399" spans="2:15" x14ac:dyDescent="0.45">
      <c r="B399" t="s">
        <v>247</v>
      </c>
      <c r="C399" t="s">
        <v>36</v>
      </c>
      <c r="D399">
        <v>8.5081523551769674E-3</v>
      </c>
      <c r="E399" t="s">
        <v>6</v>
      </c>
      <c r="G399" t="s">
        <v>248</v>
      </c>
      <c r="H399" t="s">
        <v>36</v>
      </c>
      <c r="I399">
        <v>1.0963209890505334E-2</v>
      </c>
      <c r="J399" t="s">
        <v>6</v>
      </c>
      <c r="L399" t="s">
        <v>249</v>
      </c>
      <c r="M399" t="s">
        <v>36</v>
      </c>
      <c r="N399">
        <v>1.3474877839079044E-2</v>
      </c>
      <c r="O399" t="s">
        <v>6</v>
      </c>
    </row>
    <row r="400" spans="2:15" x14ac:dyDescent="0.45">
      <c r="B400" t="s">
        <v>247</v>
      </c>
      <c r="C400" t="s">
        <v>37</v>
      </c>
      <c r="D400">
        <v>3.6506887634068098E-4</v>
      </c>
      <c r="E400" t="s">
        <v>6</v>
      </c>
      <c r="G400" t="s">
        <v>248</v>
      </c>
      <c r="H400" t="s">
        <v>37</v>
      </c>
      <c r="I400">
        <v>1.6226127560256352E-2</v>
      </c>
      <c r="J400" t="s">
        <v>6</v>
      </c>
      <c r="L400" t="s">
        <v>249</v>
      </c>
      <c r="M400" t="s">
        <v>37</v>
      </c>
      <c r="N400">
        <v>1.847915104475574E-2</v>
      </c>
      <c r="O400" t="s">
        <v>6</v>
      </c>
    </row>
    <row r="401" spans="2:15" x14ac:dyDescent="0.45">
      <c r="B401" t="s">
        <v>247</v>
      </c>
      <c r="C401" t="s">
        <v>38</v>
      </c>
      <c r="D401">
        <v>0</v>
      </c>
      <c r="E401" t="s">
        <v>6</v>
      </c>
      <c r="G401" t="s">
        <v>248</v>
      </c>
      <c r="H401" t="s">
        <v>38</v>
      </c>
      <c r="I401">
        <v>4.8484920863457869E-2</v>
      </c>
      <c r="J401" t="s">
        <v>6</v>
      </c>
      <c r="L401" t="s">
        <v>249</v>
      </c>
      <c r="M401" t="s">
        <v>38</v>
      </c>
      <c r="N401">
        <v>5.5385937699164077E-2</v>
      </c>
      <c r="O401" t="s">
        <v>6</v>
      </c>
    </row>
    <row r="402" spans="2:15" x14ac:dyDescent="0.45">
      <c r="B402" t="s">
        <v>247</v>
      </c>
      <c r="C402" t="s">
        <v>39</v>
      </c>
      <c r="D402">
        <v>0</v>
      </c>
      <c r="E402" t="s">
        <v>6</v>
      </c>
      <c r="G402" t="s">
        <v>248</v>
      </c>
      <c r="H402" t="s">
        <v>39</v>
      </c>
      <c r="I402">
        <v>2.0054176571278719E-2</v>
      </c>
      <c r="J402" t="s">
        <v>6</v>
      </c>
      <c r="L402" t="s">
        <v>249</v>
      </c>
      <c r="M402" t="s">
        <v>39</v>
      </c>
      <c r="N402">
        <v>2.1917579982925674E-2</v>
      </c>
      <c r="O402" t="s">
        <v>6</v>
      </c>
    </row>
    <row r="403" spans="2:15" x14ac:dyDescent="0.45">
      <c r="B403" t="s">
        <v>247</v>
      </c>
      <c r="C403" t="s">
        <v>40</v>
      </c>
      <c r="D403">
        <v>2.6431434341767745E-3</v>
      </c>
      <c r="E403" t="s">
        <v>6</v>
      </c>
      <c r="G403" t="s">
        <v>248</v>
      </c>
      <c r="H403" t="s">
        <v>40</v>
      </c>
      <c r="I403">
        <v>2.0907207615235644E-2</v>
      </c>
      <c r="J403" t="s">
        <v>6</v>
      </c>
      <c r="L403" t="s">
        <v>249</v>
      </c>
      <c r="M403" t="s">
        <v>40</v>
      </c>
      <c r="N403">
        <v>2.198248968076013E-2</v>
      </c>
      <c r="O403" t="s">
        <v>6</v>
      </c>
    </row>
    <row r="404" spans="2:15" x14ac:dyDescent="0.45">
      <c r="B404" t="s">
        <v>247</v>
      </c>
      <c r="C404" t="s">
        <v>41</v>
      </c>
      <c r="D404">
        <v>2.385885030772154E-2</v>
      </c>
      <c r="E404" t="s">
        <v>6</v>
      </c>
      <c r="G404" t="s">
        <v>248</v>
      </c>
      <c r="H404" t="s">
        <v>41</v>
      </c>
      <c r="I404">
        <v>2.1882393529654452E-2</v>
      </c>
      <c r="J404" t="s">
        <v>6</v>
      </c>
      <c r="L404" t="s">
        <v>249</v>
      </c>
      <c r="M404" t="s">
        <v>41</v>
      </c>
      <c r="N404">
        <v>2.2738260259379195E-2</v>
      </c>
      <c r="O404" t="s">
        <v>6</v>
      </c>
    </row>
    <row r="405" spans="2:15" x14ac:dyDescent="0.45">
      <c r="B405" t="s">
        <v>247</v>
      </c>
      <c r="C405" t="s">
        <v>42</v>
      </c>
      <c r="D405">
        <v>4.8381096833174042E-2</v>
      </c>
      <c r="E405" t="s">
        <v>6</v>
      </c>
      <c r="G405" t="s">
        <v>248</v>
      </c>
      <c r="H405" t="s">
        <v>42</v>
      </c>
      <c r="I405">
        <v>2.1967913089524751E-2</v>
      </c>
      <c r="J405" t="s">
        <v>6</v>
      </c>
      <c r="L405" t="s">
        <v>249</v>
      </c>
      <c r="M405" t="s">
        <v>42</v>
      </c>
      <c r="N405">
        <v>2.3848628368180965E-2</v>
      </c>
      <c r="O405" t="s">
        <v>6</v>
      </c>
    </row>
    <row r="406" spans="2:15" x14ac:dyDescent="0.45">
      <c r="B406" t="s">
        <v>247</v>
      </c>
      <c r="C406" t="s">
        <v>43</v>
      </c>
      <c r="D406">
        <v>5.2393530277957186E-2</v>
      </c>
      <c r="E406" t="s">
        <v>6</v>
      </c>
      <c r="G406" t="s">
        <v>248</v>
      </c>
      <c r="H406" t="s">
        <v>43</v>
      </c>
      <c r="I406">
        <v>2.1750044381034641E-2</v>
      </c>
      <c r="J406" t="s">
        <v>6</v>
      </c>
      <c r="L406" t="s">
        <v>249</v>
      </c>
      <c r="M406" t="s">
        <v>43</v>
      </c>
      <c r="N406">
        <v>2.4298253972409492E-2</v>
      </c>
      <c r="O406" t="s">
        <v>6</v>
      </c>
    </row>
    <row r="407" spans="2:15" x14ac:dyDescent="0.45">
      <c r="B407" t="s">
        <v>247</v>
      </c>
      <c r="C407" t="s">
        <v>44</v>
      </c>
      <c r="D407">
        <v>3.3837594701437206E-2</v>
      </c>
      <c r="E407" t="s">
        <v>6</v>
      </c>
      <c r="G407" t="s">
        <v>248</v>
      </c>
      <c r="H407" t="s">
        <v>44</v>
      </c>
      <c r="I407">
        <v>2.0846076933772471E-2</v>
      </c>
      <c r="J407" t="s">
        <v>6</v>
      </c>
      <c r="L407" t="s">
        <v>249</v>
      </c>
      <c r="M407" t="s">
        <v>44</v>
      </c>
      <c r="N407">
        <v>2.3801789202955947E-2</v>
      </c>
      <c r="O407" t="s">
        <v>6</v>
      </c>
    </row>
    <row r="408" spans="2:15" x14ac:dyDescent="0.45">
      <c r="B408" t="s">
        <v>247</v>
      </c>
      <c r="C408" t="s">
        <v>45</v>
      </c>
      <c r="D408">
        <v>8.001935025796169E-3</v>
      </c>
      <c r="E408" t="s">
        <v>6</v>
      </c>
      <c r="G408" t="s">
        <v>248</v>
      </c>
      <c r="H408" t="s">
        <v>45</v>
      </c>
      <c r="I408">
        <v>1.9336423341618246E-2</v>
      </c>
      <c r="J408" t="s">
        <v>6</v>
      </c>
      <c r="L408" t="s">
        <v>249</v>
      </c>
      <c r="M408" t="s">
        <v>45</v>
      </c>
      <c r="N408">
        <v>2.3005800933983793E-2</v>
      </c>
      <c r="O408" t="s">
        <v>6</v>
      </c>
    </row>
    <row r="409" spans="2:15" x14ac:dyDescent="0.45">
      <c r="B409" t="s">
        <v>247</v>
      </c>
      <c r="C409" t="s">
        <v>46</v>
      </c>
      <c r="D409">
        <v>8.9309825980437253E-5</v>
      </c>
      <c r="E409" t="s">
        <v>6</v>
      </c>
      <c r="G409" t="s">
        <v>248</v>
      </c>
      <c r="H409" t="s">
        <v>46</v>
      </c>
      <c r="I409">
        <v>1.9345238735839862E-2</v>
      </c>
      <c r="J409" t="s">
        <v>6</v>
      </c>
      <c r="L409" t="s">
        <v>249</v>
      </c>
      <c r="M409" t="s">
        <v>46</v>
      </c>
      <c r="N409">
        <v>2.3050188786060404E-2</v>
      </c>
      <c r="O409" t="s">
        <v>6</v>
      </c>
    </row>
    <row r="410" spans="2:15" x14ac:dyDescent="0.45">
      <c r="B410" t="s">
        <v>247</v>
      </c>
      <c r="C410" t="s">
        <v>47</v>
      </c>
      <c r="D410">
        <v>0</v>
      </c>
      <c r="E410" t="s">
        <v>6</v>
      </c>
      <c r="G410" t="s">
        <v>248</v>
      </c>
      <c r="H410" t="s">
        <v>47</v>
      </c>
      <c r="I410">
        <v>2.9286300432455978E-2</v>
      </c>
      <c r="J410" t="s">
        <v>6</v>
      </c>
      <c r="L410" t="s">
        <v>249</v>
      </c>
      <c r="M410" t="s">
        <v>47</v>
      </c>
      <c r="N410">
        <v>3.3894526891319061E-2</v>
      </c>
      <c r="O410" t="s">
        <v>6</v>
      </c>
    </row>
    <row r="411" spans="2:15" x14ac:dyDescent="0.45">
      <c r="B411" t="s">
        <v>250</v>
      </c>
      <c r="C411" t="s">
        <v>5</v>
      </c>
      <c r="D411">
        <v>0</v>
      </c>
      <c r="E411" t="s">
        <v>6</v>
      </c>
      <c r="G411" t="s">
        <v>251</v>
      </c>
      <c r="H411" t="s">
        <v>5</v>
      </c>
      <c r="I411">
        <v>6.685654452034348E-2</v>
      </c>
      <c r="J411" t="s">
        <v>6</v>
      </c>
      <c r="L411" t="s">
        <v>252</v>
      </c>
      <c r="M411" t="s">
        <v>5</v>
      </c>
      <c r="N411">
        <v>6.6175802551842466E-2</v>
      </c>
      <c r="O411" t="s">
        <v>6</v>
      </c>
    </row>
    <row r="412" spans="2:15" x14ac:dyDescent="0.45">
      <c r="B412" t="s">
        <v>250</v>
      </c>
      <c r="C412" t="s">
        <v>9</v>
      </c>
      <c r="D412">
        <v>0</v>
      </c>
      <c r="E412" t="s">
        <v>6</v>
      </c>
      <c r="G412" t="s">
        <v>251</v>
      </c>
      <c r="H412" t="s">
        <v>9</v>
      </c>
      <c r="I412">
        <v>2.6136384536688855E-2</v>
      </c>
      <c r="J412" t="s">
        <v>6</v>
      </c>
      <c r="L412" t="s">
        <v>252</v>
      </c>
      <c r="M412" t="s">
        <v>9</v>
      </c>
      <c r="N412">
        <v>2.5848704571277081E-2</v>
      </c>
      <c r="O412" t="s">
        <v>6</v>
      </c>
    </row>
    <row r="413" spans="2:15" x14ac:dyDescent="0.45">
      <c r="B413" t="s">
        <v>250</v>
      </c>
      <c r="C413" t="s">
        <v>10</v>
      </c>
      <c r="D413">
        <v>0</v>
      </c>
      <c r="E413" t="s">
        <v>6</v>
      </c>
      <c r="G413" t="s">
        <v>251</v>
      </c>
      <c r="H413" t="s">
        <v>10</v>
      </c>
      <c r="I413">
        <v>2.601950039509749E-2</v>
      </c>
      <c r="J413" t="s">
        <v>6</v>
      </c>
      <c r="L413" t="s">
        <v>252</v>
      </c>
      <c r="M413" t="s">
        <v>10</v>
      </c>
      <c r="N413">
        <v>2.601295471569991E-2</v>
      </c>
      <c r="O413" t="s">
        <v>6</v>
      </c>
    </row>
    <row r="414" spans="2:15" x14ac:dyDescent="0.45">
      <c r="B414" t="s">
        <v>250</v>
      </c>
      <c r="C414" t="s">
        <v>11</v>
      </c>
      <c r="D414">
        <v>7.8437574846715787E-3</v>
      </c>
      <c r="E414" t="s">
        <v>6</v>
      </c>
      <c r="G414" t="s">
        <v>251</v>
      </c>
      <c r="H414" t="s">
        <v>11</v>
      </c>
      <c r="I414">
        <v>2.5956703387908068E-2</v>
      </c>
      <c r="J414" t="s">
        <v>6</v>
      </c>
      <c r="L414" t="s">
        <v>252</v>
      </c>
      <c r="M414" t="s">
        <v>11</v>
      </c>
      <c r="N414">
        <v>2.5570616974549855E-2</v>
      </c>
      <c r="O414" t="s">
        <v>6</v>
      </c>
    </row>
    <row r="415" spans="2:15" x14ac:dyDescent="0.45">
      <c r="B415" t="s">
        <v>250</v>
      </c>
      <c r="C415" t="s">
        <v>12</v>
      </c>
      <c r="D415">
        <v>3.0377676747634849E-2</v>
      </c>
      <c r="E415" t="s">
        <v>6</v>
      </c>
      <c r="G415" t="s">
        <v>251</v>
      </c>
      <c r="H415" t="s">
        <v>12</v>
      </c>
      <c r="I415">
        <v>2.5747007929266492E-2</v>
      </c>
      <c r="J415" t="s">
        <v>6</v>
      </c>
      <c r="L415" t="s">
        <v>252</v>
      </c>
      <c r="M415" t="s">
        <v>12</v>
      </c>
      <c r="N415">
        <v>2.5013928876217228E-2</v>
      </c>
      <c r="O415" t="s">
        <v>6</v>
      </c>
    </row>
    <row r="416" spans="2:15" x14ac:dyDescent="0.45">
      <c r="B416" t="s">
        <v>250</v>
      </c>
      <c r="C416" t="s">
        <v>13</v>
      </c>
      <c r="D416">
        <v>3.5631051081332958E-2</v>
      </c>
      <c r="E416" t="s">
        <v>6</v>
      </c>
      <c r="G416" t="s">
        <v>251</v>
      </c>
      <c r="H416" t="s">
        <v>13</v>
      </c>
      <c r="I416">
        <v>2.5903668801098758E-2</v>
      </c>
      <c r="J416" t="s">
        <v>6</v>
      </c>
      <c r="L416" t="s">
        <v>252</v>
      </c>
      <c r="M416" t="s">
        <v>13</v>
      </c>
      <c r="N416">
        <v>2.5036092419079663E-2</v>
      </c>
      <c r="O416" t="s">
        <v>6</v>
      </c>
    </row>
    <row r="417" spans="2:15" x14ac:dyDescent="0.45">
      <c r="B417" t="s">
        <v>250</v>
      </c>
      <c r="C417" t="s">
        <v>14</v>
      </c>
      <c r="D417">
        <v>1.9108956611497179E-2</v>
      </c>
      <c r="E417" t="s">
        <v>6</v>
      </c>
      <c r="G417" t="s">
        <v>251</v>
      </c>
      <c r="H417" t="s">
        <v>14</v>
      </c>
      <c r="I417">
        <v>2.5968790652649152E-2</v>
      </c>
      <c r="J417" t="s">
        <v>6</v>
      </c>
      <c r="L417" t="s">
        <v>252</v>
      </c>
      <c r="M417" t="s">
        <v>14</v>
      </c>
      <c r="N417">
        <v>2.5150763076326146E-2</v>
      </c>
      <c r="O417" t="s">
        <v>6</v>
      </c>
    </row>
    <row r="418" spans="2:15" x14ac:dyDescent="0.45">
      <c r="B418" t="s">
        <v>250</v>
      </c>
      <c r="C418" t="s">
        <v>15</v>
      </c>
      <c r="D418">
        <v>2.5975313876951561E-3</v>
      </c>
      <c r="E418" t="s">
        <v>6</v>
      </c>
      <c r="G418" t="s">
        <v>251</v>
      </c>
      <c r="H418" t="s">
        <v>15</v>
      </c>
      <c r="I418">
        <v>2.6190456977352384E-2</v>
      </c>
      <c r="J418" t="s">
        <v>6</v>
      </c>
      <c r="L418" t="s">
        <v>252</v>
      </c>
      <c r="M418" t="s">
        <v>15</v>
      </c>
      <c r="N418">
        <v>2.5457260515772948E-2</v>
      </c>
      <c r="O418" t="s">
        <v>6</v>
      </c>
    </row>
    <row r="419" spans="2:15" x14ac:dyDescent="0.45">
      <c r="B419" t="s">
        <v>250</v>
      </c>
      <c r="C419" t="s">
        <v>16</v>
      </c>
      <c r="D419">
        <v>0</v>
      </c>
      <c r="E419" t="s">
        <v>6</v>
      </c>
      <c r="G419" t="s">
        <v>251</v>
      </c>
      <c r="H419" t="s">
        <v>16</v>
      </c>
      <c r="I419">
        <v>2.683695769106129E-2</v>
      </c>
      <c r="J419" t="s">
        <v>6</v>
      </c>
      <c r="L419" t="s">
        <v>252</v>
      </c>
      <c r="M419" t="s">
        <v>16</v>
      </c>
      <c r="N419">
        <v>2.6448890116737674E-2</v>
      </c>
      <c r="O419" t="s">
        <v>6</v>
      </c>
    </row>
    <row r="420" spans="2:15" x14ac:dyDescent="0.45">
      <c r="B420" t="s">
        <v>250</v>
      </c>
      <c r="C420" t="s">
        <v>17</v>
      </c>
      <c r="D420">
        <v>0</v>
      </c>
      <c r="E420" t="s">
        <v>6</v>
      </c>
      <c r="G420" t="s">
        <v>251</v>
      </c>
      <c r="H420" t="s">
        <v>17</v>
      </c>
      <c r="I420">
        <v>4.0320764567082855E-2</v>
      </c>
      <c r="J420" t="s">
        <v>6</v>
      </c>
      <c r="L420" t="s">
        <v>252</v>
      </c>
      <c r="M420" t="s">
        <v>17</v>
      </c>
      <c r="N420">
        <v>3.994926677190206E-2</v>
      </c>
      <c r="O420" t="s">
        <v>6</v>
      </c>
    </row>
    <row r="421" spans="2:15" x14ac:dyDescent="0.45">
      <c r="B421" t="s">
        <v>250</v>
      </c>
      <c r="C421" t="s">
        <v>18</v>
      </c>
      <c r="D421">
        <v>0</v>
      </c>
      <c r="E421" t="s">
        <v>6</v>
      </c>
      <c r="G421" t="s">
        <v>251</v>
      </c>
      <c r="H421" t="s">
        <v>18</v>
      </c>
      <c r="I421">
        <v>5.5797093766559884E-2</v>
      </c>
      <c r="J421" t="s">
        <v>6</v>
      </c>
      <c r="L421" t="s">
        <v>252</v>
      </c>
      <c r="M421" t="s">
        <v>18</v>
      </c>
      <c r="N421">
        <v>5.764787424877392E-2</v>
      </c>
      <c r="O421" t="s">
        <v>6</v>
      </c>
    </row>
    <row r="422" spans="2:15" x14ac:dyDescent="0.45">
      <c r="B422" t="s">
        <v>250</v>
      </c>
      <c r="C422" t="s">
        <v>19</v>
      </c>
      <c r="D422">
        <v>9.0674691946322685E-4</v>
      </c>
      <c r="E422" t="s">
        <v>6</v>
      </c>
      <c r="G422" t="s">
        <v>251</v>
      </c>
      <c r="H422" t="s">
        <v>19</v>
      </c>
      <c r="I422">
        <v>2.2114283063123841E-2</v>
      </c>
      <c r="J422" t="s">
        <v>6</v>
      </c>
      <c r="L422" t="s">
        <v>252</v>
      </c>
      <c r="M422" t="s">
        <v>19</v>
      </c>
      <c r="N422">
        <v>2.2696235296436759E-2</v>
      </c>
      <c r="O422" t="s">
        <v>6</v>
      </c>
    </row>
    <row r="423" spans="2:15" x14ac:dyDescent="0.45">
      <c r="B423" t="s">
        <v>250</v>
      </c>
      <c r="C423" t="s">
        <v>20</v>
      </c>
      <c r="D423">
        <v>1.673540910630025E-2</v>
      </c>
      <c r="E423" t="s">
        <v>6</v>
      </c>
      <c r="G423" t="s">
        <v>251</v>
      </c>
      <c r="H423" t="s">
        <v>20</v>
      </c>
      <c r="I423">
        <v>2.239212509234921E-2</v>
      </c>
      <c r="J423" t="s">
        <v>6</v>
      </c>
      <c r="L423" t="s">
        <v>252</v>
      </c>
      <c r="M423" t="s">
        <v>20</v>
      </c>
      <c r="N423">
        <v>2.3170917144073596E-2</v>
      </c>
      <c r="O423" t="s">
        <v>6</v>
      </c>
    </row>
    <row r="424" spans="2:15" x14ac:dyDescent="0.45">
      <c r="B424" t="s">
        <v>250</v>
      </c>
      <c r="C424" t="s">
        <v>21</v>
      </c>
      <c r="D424">
        <v>6.015555964513198E-2</v>
      </c>
      <c r="E424" t="s">
        <v>6</v>
      </c>
      <c r="G424" t="s">
        <v>251</v>
      </c>
      <c r="H424" t="s">
        <v>21</v>
      </c>
      <c r="I424">
        <v>2.2740037376227935E-2</v>
      </c>
      <c r="J424" t="s">
        <v>6</v>
      </c>
      <c r="L424" t="s">
        <v>252</v>
      </c>
      <c r="M424" t="s">
        <v>21</v>
      </c>
      <c r="N424">
        <v>2.3068681826846665E-2</v>
      </c>
      <c r="O424" t="s">
        <v>6</v>
      </c>
    </row>
    <row r="425" spans="2:15" x14ac:dyDescent="0.45">
      <c r="B425" t="s">
        <v>250</v>
      </c>
      <c r="C425" t="s">
        <v>22</v>
      </c>
      <c r="D425">
        <v>9.4650040777482333E-2</v>
      </c>
      <c r="E425" t="s">
        <v>6</v>
      </c>
      <c r="G425" t="s">
        <v>251</v>
      </c>
      <c r="H425" t="s">
        <v>22</v>
      </c>
      <c r="I425">
        <v>2.2669449703366422E-2</v>
      </c>
      <c r="J425" t="s">
        <v>6</v>
      </c>
      <c r="L425" t="s">
        <v>252</v>
      </c>
      <c r="M425" t="s">
        <v>22</v>
      </c>
      <c r="N425">
        <v>2.2473683274301812E-2</v>
      </c>
      <c r="O425" t="s">
        <v>6</v>
      </c>
    </row>
    <row r="426" spans="2:15" x14ac:dyDescent="0.45">
      <c r="B426" t="s">
        <v>250</v>
      </c>
      <c r="C426" t="s">
        <v>23</v>
      </c>
      <c r="D426">
        <v>9.8653225158690447E-2</v>
      </c>
      <c r="E426" t="s">
        <v>6</v>
      </c>
      <c r="G426" t="s">
        <v>251</v>
      </c>
      <c r="H426" t="s">
        <v>23</v>
      </c>
      <c r="I426">
        <v>2.2608113827375865E-2</v>
      </c>
      <c r="J426" t="s">
        <v>6</v>
      </c>
      <c r="L426" t="s">
        <v>252</v>
      </c>
      <c r="M426" t="s">
        <v>23</v>
      </c>
      <c r="N426">
        <v>2.2135588551885653E-2</v>
      </c>
      <c r="O426" t="s">
        <v>6</v>
      </c>
    </row>
    <row r="427" spans="2:15" x14ac:dyDescent="0.45">
      <c r="B427" t="s">
        <v>250</v>
      </c>
      <c r="C427" t="s">
        <v>24</v>
      </c>
      <c r="D427">
        <v>7.6836493071871598E-2</v>
      </c>
      <c r="E427" t="s">
        <v>6</v>
      </c>
      <c r="G427" t="s">
        <v>251</v>
      </c>
      <c r="H427" t="s">
        <v>24</v>
      </c>
      <c r="I427">
        <v>2.2562631124504427E-2</v>
      </c>
      <c r="J427" t="s">
        <v>6</v>
      </c>
      <c r="L427" t="s">
        <v>252</v>
      </c>
      <c r="M427" t="s">
        <v>24</v>
      </c>
      <c r="N427">
        <v>2.1836651352083278E-2</v>
      </c>
      <c r="O427" t="s">
        <v>6</v>
      </c>
    </row>
    <row r="428" spans="2:15" x14ac:dyDescent="0.45">
      <c r="B428" t="s">
        <v>250</v>
      </c>
      <c r="C428" t="s">
        <v>25</v>
      </c>
      <c r="D428">
        <v>3.4952342752606461E-2</v>
      </c>
      <c r="E428" t="s">
        <v>6</v>
      </c>
      <c r="G428" t="s">
        <v>251</v>
      </c>
      <c r="H428" t="s">
        <v>25</v>
      </c>
      <c r="I428">
        <v>2.2396046398386691E-2</v>
      </c>
      <c r="J428" t="s">
        <v>6</v>
      </c>
      <c r="L428" t="s">
        <v>252</v>
      </c>
      <c r="M428" t="s">
        <v>25</v>
      </c>
      <c r="N428">
        <v>2.1642680401365976E-2</v>
      </c>
      <c r="O428" t="s">
        <v>6</v>
      </c>
    </row>
    <row r="429" spans="2:15" x14ac:dyDescent="0.45">
      <c r="B429" t="s">
        <v>250</v>
      </c>
      <c r="C429" t="s">
        <v>26</v>
      </c>
      <c r="D429">
        <v>3.389195532517398E-3</v>
      </c>
      <c r="E429" t="s">
        <v>6</v>
      </c>
      <c r="G429" t="s">
        <v>251</v>
      </c>
      <c r="H429" t="s">
        <v>26</v>
      </c>
      <c r="I429">
        <v>2.2569852714667028E-2</v>
      </c>
      <c r="J429" t="s">
        <v>6</v>
      </c>
      <c r="L429" t="s">
        <v>252</v>
      </c>
      <c r="M429" t="s">
        <v>26</v>
      </c>
      <c r="N429">
        <v>2.2335917598888838E-2</v>
      </c>
      <c r="O429" t="s">
        <v>6</v>
      </c>
    </row>
    <row r="430" spans="2:15" x14ac:dyDescent="0.45">
      <c r="B430" t="s">
        <v>250</v>
      </c>
      <c r="C430" t="s">
        <v>27</v>
      </c>
      <c r="D430">
        <v>3.3328410446796989E-5</v>
      </c>
      <c r="E430" t="s">
        <v>6</v>
      </c>
      <c r="G430" t="s">
        <v>251</v>
      </c>
      <c r="H430" t="s">
        <v>27</v>
      </c>
      <c r="I430">
        <v>3.4102160303695381E-2</v>
      </c>
      <c r="J430" t="s">
        <v>6</v>
      </c>
      <c r="L430" t="s">
        <v>252</v>
      </c>
      <c r="M430" t="s">
        <v>27</v>
      </c>
      <c r="N430">
        <v>3.4870932294783726E-2</v>
      </c>
      <c r="O430" t="s">
        <v>6</v>
      </c>
    </row>
    <row r="431" spans="2:15" x14ac:dyDescent="0.45">
      <c r="B431" t="s">
        <v>250</v>
      </c>
      <c r="C431" t="s">
        <v>28</v>
      </c>
      <c r="D431">
        <v>0</v>
      </c>
      <c r="E431" t="s">
        <v>6</v>
      </c>
      <c r="G431" t="s">
        <v>251</v>
      </c>
      <c r="H431" t="s">
        <v>28</v>
      </c>
      <c r="I431">
        <v>3.1661179394066555E-2</v>
      </c>
      <c r="J431" t="s">
        <v>6</v>
      </c>
      <c r="L431" t="s">
        <v>252</v>
      </c>
      <c r="M431" t="s">
        <v>28</v>
      </c>
      <c r="N431">
        <v>3.2040102833797664E-2</v>
      </c>
      <c r="O431" t="s">
        <v>6</v>
      </c>
    </row>
    <row r="432" spans="2:15" x14ac:dyDescent="0.45">
      <c r="B432" t="s">
        <v>250</v>
      </c>
      <c r="C432" t="s">
        <v>29</v>
      </c>
      <c r="D432">
        <v>2.2550493739973984E-3</v>
      </c>
      <c r="E432" t="s">
        <v>6</v>
      </c>
      <c r="G432" t="s">
        <v>251</v>
      </c>
      <c r="H432" t="s">
        <v>29</v>
      </c>
      <c r="I432">
        <v>1.2743125668964779E-2</v>
      </c>
      <c r="J432" t="s">
        <v>6</v>
      </c>
      <c r="L432" t="s">
        <v>252</v>
      </c>
      <c r="M432" t="s">
        <v>29</v>
      </c>
      <c r="N432">
        <v>1.2350477104962098E-2</v>
      </c>
      <c r="O432" t="s">
        <v>6</v>
      </c>
    </row>
    <row r="433" spans="2:15" x14ac:dyDescent="0.45">
      <c r="B433" t="s">
        <v>250</v>
      </c>
      <c r="C433" t="s">
        <v>30</v>
      </c>
      <c r="D433">
        <v>1.9765330355677672E-2</v>
      </c>
      <c r="E433" t="s">
        <v>6</v>
      </c>
      <c r="G433" t="s">
        <v>251</v>
      </c>
      <c r="H433" t="s">
        <v>30</v>
      </c>
      <c r="I433">
        <v>1.3066271271190543E-2</v>
      </c>
      <c r="J433" t="s">
        <v>6</v>
      </c>
      <c r="L433" t="s">
        <v>252</v>
      </c>
      <c r="M433" t="s">
        <v>30</v>
      </c>
      <c r="N433">
        <v>1.2538685134460053E-2</v>
      </c>
      <c r="O433" t="s">
        <v>6</v>
      </c>
    </row>
    <row r="434" spans="2:15" x14ac:dyDescent="0.45">
      <c r="B434" t="s">
        <v>250</v>
      </c>
      <c r="C434" t="s">
        <v>31</v>
      </c>
      <c r="D434">
        <v>5.2395756162058105E-2</v>
      </c>
      <c r="E434" t="s">
        <v>6</v>
      </c>
      <c r="G434" t="s">
        <v>251</v>
      </c>
      <c r="H434" t="s">
        <v>31</v>
      </c>
      <c r="I434">
        <v>1.2825272317435181E-2</v>
      </c>
      <c r="J434" t="s">
        <v>6</v>
      </c>
      <c r="L434" t="s">
        <v>252</v>
      </c>
      <c r="M434" t="s">
        <v>31</v>
      </c>
      <c r="N434">
        <v>1.1963122713669829E-2</v>
      </c>
      <c r="O434" t="s">
        <v>6</v>
      </c>
    </row>
    <row r="435" spans="2:15" x14ac:dyDescent="0.45">
      <c r="B435" t="s">
        <v>250</v>
      </c>
      <c r="C435" t="s">
        <v>32</v>
      </c>
      <c r="D435">
        <v>7.7896121562304979E-2</v>
      </c>
      <c r="E435" t="s">
        <v>6</v>
      </c>
      <c r="G435" t="s">
        <v>251</v>
      </c>
      <c r="H435" t="s">
        <v>32</v>
      </c>
      <c r="I435">
        <v>1.2571509175223802E-2</v>
      </c>
      <c r="J435" t="s">
        <v>6</v>
      </c>
      <c r="L435" t="s">
        <v>252</v>
      </c>
      <c r="M435" t="s">
        <v>32</v>
      </c>
      <c r="N435">
        <v>1.1803943725347413E-2</v>
      </c>
      <c r="O435" t="s">
        <v>6</v>
      </c>
    </row>
    <row r="436" spans="2:15" x14ac:dyDescent="0.45">
      <c r="B436" t="s">
        <v>250</v>
      </c>
      <c r="C436" t="s">
        <v>33</v>
      </c>
      <c r="D436">
        <v>8.7205294561396696E-2</v>
      </c>
      <c r="E436" t="s">
        <v>6</v>
      </c>
      <c r="G436" t="s">
        <v>251</v>
      </c>
      <c r="H436" t="s">
        <v>33</v>
      </c>
      <c r="I436">
        <v>1.2887787880748361E-2</v>
      </c>
      <c r="J436" t="s">
        <v>6</v>
      </c>
      <c r="L436" t="s">
        <v>252</v>
      </c>
      <c r="M436" t="s">
        <v>33</v>
      </c>
      <c r="N436">
        <v>1.2585089783844478E-2</v>
      </c>
      <c r="O436" t="s">
        <v>6</v>
      </c>
    </row>
    <row r="437" spans="2:15" x14ac:dyDescent="0.45">
      <c r="B437" t="s">
        <v>250</v>
      </c>
      <c r="C437" t="s">
        <v>34</v>
      </c>
      <c r="D437">
        <v>7.2172722930953864E-2</v>
      </c>
      <c r="E437" t="s">
        <v>6</v>
      </c>
      <c r="G437" t="s">
        <v>251</v>
      </c>
      <c r="H437" t="s">
        <v>34</v>
      </c>
      <c r="I437">
        <v>1.3101199285092062E-2</v>
      </c>
      <c r="J437" t="s">
        <v>6</v>
      </c>
      <c r="L437" t="s">
        <v>252</v>
      </c>
      <c r="M437" t="s">
        <v>34</v>
      </c>
      <c r="N437">
        <v>1.3121203376892545E-2</v>
      </c>
      <c r="O437" t="s">
        <v>6</v>
      </c>
    </row>
    <row r="438" spans="2:15" x14ac:dyDescent="0.45">
      <c r="B438" t="s">
        <v>250</v>
      </c>
      <c r="C438" t="s">
        <v>35</v>
      </c>
      <c r="D438">
        <v>3.9580950633046189E-2</v>
      </c>
      <c r="E438" t="s">
        <v>6</v>
      </c>
      <c r="G438" t="s">
        <v>251</v>
      </c>
      <c r="H438" t="s">
        <v>35</v>
      </c>
      <c r="I438">
        <v>1.3067264382297744E-2</v>
      </c>
      <c r="J438" t="s">
        <v>6</v>
      </c>
      <c r="L438" t="s">
        <v>252</v>
      </c>
      <c r="M438" t="s">
        <v>35</v>
      </c>
      <c r="N438">
        <v>1.3545525422775777E-2</v>
      </c>
      <c r="O438" t="s">
        <v>6</v>
      </c>
    </row>
    <row r="439" spans="2:15" x14ac:dyDescent="0.45">
      <c r="B439" t="s">
        <v>250</v>
      </c>
      <c r="C439" t="s">
        <v>36</v>
      </c>
      <c r="D439">
        <v>8.1586353437998835E-3</v>
      </c>
      <c r="E439" t="s">
        <v>6</v>
      </c>
      <c r="G439" t="s">
        <v>251</v>
      </c>
      <c r="H439" t="s">
        <v>36</v>
      </c>
      <c r="I439">
        <v>1.2794399401384925E-2</v>
      </c>
      <c r="J439" t="s">
        <v>6</v>
      </c>
      <c r="L439" t="s">
        <v>252</v>
      </c>
      <c r="M439" t="s">
        <v>36</v>
      </c>
      <c r="N439">
        <v>1.3629729465543807E-2</v>
      </c>
      <c r="O439" t="s">
        <v>6</v>
      </c>
    </row>
    <row r="440" spans="2:15" x14ac:dyDescent="0.45">
      <c r="B440" t="s">
        <v>250</v>
      </c>
      <c r="C440" t="s">
        <v>37</v>
      </c>
      <c r="D440">
        <v>3.6786718933239858E-4</v>
      </c>
      <c r="E440" t="s">
        <v>6</v>
      </c>
      <c r="G440" t="s">
        <v>251</v>
      </c>
      <c r="H440" t="s">
        <v>37</v>
      </c>
      <c r="I440">
        <v>1.8874799838097495E-2</v>
      </c>
      <c r="J440" t="s">
        <v>6</v>
      </c>
      <c r="L440" t="s">
        <v>252</v>
      </c>
      <c r="M440" t="s">
        <v>37</v>
      </c>
      <c r="N440">
        <v>2.0314142205773683E-2</v>
      </c>
      <c r="O440" t="s">
        <v>6</v>
      </c>
    </row>
    <row r="441" spans="2:15" x14ac:dyDescent="0.45">
      <c r="B441" t="s">
        <v>250</v>
      </c>
      <c r="C441" t="s">
        <v>38</v>
      </c>
      <c r="D441">
        <v>0</v>
      </c>
      <c r="E441" t="s">
        <v>6</v>
      </c>
      <c r="G441" t="s">
        <v>251</v>
      </c>
      <c r="H441" t="s">
        <v>38</v>
      </c>
      <c r="I441">
        <v>5.3468696329992439E-2</v>
      </c>
      <c r="J441" t="s">
        <v>6</v>
      </c>
      <c r="L441" t="s">
        <v>252</v>
      </c>
      <c r="M441" t="s">
        <v>38</v>
      </c>
      <c r="N441">
        <v>5.4487665384592238E-2</v>
      </c>
      <c r="O441" t="s">
        <v>6</v>
      </c>
    </row>
    <row r="442" spans="2:15" x14ac:dyDescent="0.45">
      <c r="B442" t="s">
        <v>250</v>
      </c>
      <c r="C442" t="s">
        <v>39</v>
      </c>
      <c r="D442">
        <v>0</v>
      </c>
      <c r="E442" t="s">
        <v>6</v>
      </c>
      <c r="G442" t="s">
        <v>251</v>
      </c>
      <c r="H442" t="s">
        <v>39</v>
      </c>
      <c r="I442">
        <v>2.1580371511204559E-2</v>
      </c>
      <c r="J442" t="s">
        <v>6</v>
      </c>
      <c r="L442" t="s">
        <v>252</v>
      </c>
      <c r="M442" t="s">
        <v>39</v>
      </c>
      <c r="N442">
        <v>2.1666221418809493E-2</v>
      </c>
      <c r="O442" t="s">
        <v>6</v>
      </c>
    </row>
    <row r="443" spans="2:15" x14ac:dyDescent="0.45">
      <c r="B443" t="s">
        <v>250</v>
      </c>
      <c r="C443" t="s">
        <v>40</v>
      </c>
      <c r="D443">
        <v>2.8840590771973666E-3</v>
      </c>
      <c r="E443" t="s">
        <v>6</v>
      </c>
      <c r="G443" t="s">
        <v>251</v>
      </c>
      <c r="H443" t="s">
        <v>40</v>
      </c>
      <c r="I443">
        <v>2.1964588402004291E-2</v>
      </c>
      <c r="J443" t="s">
        <v>6</v>
      </c>
      <c r="L443" t="s">
        <v>252</v>
      </c>
      <c r="M443" t="s">
        <v>40</v>
      </c>
      <c r="N443">
        <v>2.1962495769936499E-2</v>
      </c>
      <c r="O443" t="s">
        <v>6</v>
      </c>
    </row>
    <row r="444" spans="2:15" x14ac:dyDescent="0.45">
      <c r="B444" t="s">
        <v>250</v>
      </c>
      <c r="C444" t="s">
        <v>41</v>
      </c>
      <c r="D444">
        <v>2.2633287416972764E-2</v>
      </c>
      <c r="E444" t="s">
        <v>6</v>
      </c>
      <c r="G444" t="s">
        <v>251</v>
      </c>
      <c r="H444" t="s">
        <v>41</v>
      </c>
      <c r="I444">
        <v>2.232661175835211E-2</v>
      </c>
      <c r="J444" t="s">
        <v>6</v>
      </c>
      <c r="L444" t="s">
        <v>252</v>
      </c>
      <c r="M444" t="s">
        <v>41</v>
      </c>
      <c r="N444">
        <v>2.2210007082543021E-2</v>
      </c>
      <c r="O444" t="s">
        <v>6</v>
      </c>
    </row>
    <row r="445" spans="2:15" x14ac:dyDescent="0.45">
      <c r="B445" t="s">
        <v>250</v>
      </c>
      <c r="C445" t="s">
        <v>42</v>
      </c>
      <c r="D445">
        <v>4.5758943462446619E-2</v>
      </c>
      <c r="E445" t="s">
        <v>6</v>
      </c>
      <c r="G445" t="s">
        <v>251</v>
      </c>
      <c r="H445" t="s">
        <v>42</v>
      </c>
      <c r="I445">
        <v>2.2043846474105989E-2</v>
      </c>
      <c r="J445" t="s">
        <v>6</v>
      </c>
      <c r="L445" t="s">
        <v>252</v>
      </c>
      <c r="M445" t="s">
        <v>42</v>
      </c>
      <c r="N445">
        <v>2.207550216034089E-2</v>
      </c>
      <c r="O445" t="s">
        <v>6</v>
      </c>
    </row>
    <row r="446" spans="2:15" x14ac:dyDescent="0.45">
      <c r="B446" t="s">
        <v>250</v>
      </c>
      <c r="C446" t="s">
        <v>43</v>
      </c>
      <c r="D446">
        <v>4.9397484964680251E-2</v>
      </c>
      <c r="E446" t="s">
        <v>6</v>
      </c>
      <c r="G446" t="s">
        <v>251</v>
      </c>
      <c r="H446" t="s">
        <v>43</v>
      </c>
      <c r="I446">
        <v>2.1755592726267595E-2</v>
      </c>
      <c r="J446" t="s">
        <v>6</v>
      </c>
      <c r="L446" t="s">
        <v>252</v>
      </c>
      <c r="M446" t="s">
        <v>43</v>
      </c>
      <c r="N446">
        <v>2.1684033481865608E-2</v>
      </c>
      <c r="O446" t="s">
        <v>6</v>
      </c>
    </row>
    <row r="447" spans="2:15" x14ac:dyDescent="0.45">
      <c r="B447" t="s">
        <v>250</v>
      </c>
      <c r="C447" t="s">
        <v>44</v>
      </c>
      <c r="D447">
        <v>3.0300625187013912E-2</v>
      </c>
      <c r="E447" t="s">
        <v>6</v>
      </c>
      <c r="G447" t="s">
        <v>251</v>
      </c>
      <c r="H447" t="s">
        <v>44</v>
      </c>
      <c r="I447">
        <v>2.1511032044933303E-2</v>
      </c>
      <c r="J447" t="s">
        <v>6</v>
      </c>
      <c r="L447" t="s">
        <v>252</v>
      </c>
      <c r="M447" t="s">
        <v>44</v>
      </c>
      <c r="N447">
        <v>2.1466962436278866E-2</v>
      </c>
      <c r="O447" t="s">
        <v>6</v>
      </c>
    </row>
    <row r="448" spans="2:15" x14ac:dyDescent="0.45">
      <c r="B448" t="s">
        <v>250</v>
      </c>
      <c r="C448" t="s">
        <v>45</v>
      </c>
      <c r="D448">
        <v>7.2930806425024189E-3</v>
      </c>
      <c r="E448" t="s">
        <v>6</v>
      </c>
      <c r="G448" t="s">
        <v>251</v>
      </c>
      <c r="H448" t="s">
        <v>45</v>
      </c>
      <c r="I448">
        <v>2.1451848693719189E-2</v>
      </c>
      <c r="J448" t="s">
        <v>6</v>
      </c>
      <c r="L448" t="s">
        <v>252</v>
      </c>
      <c r="M448" t="s">
        <v>45</v>
      </c>
      <c r="N448">
        <v>2.1545709488636725E-2</v>
      </c>
      <c r="O448" t="s">
        <v>6</v>
      </c>
    </row>
    <row r="449" spans="2:15" x14ac:dyDescent="0.45">
      <c r="B449" t="s">
        <v>250</v>
      </c>
      <c r="C449" t="s">
        <v>46</v>
      </c>
      <c r="D449">
        <v>6.3476449278831437E-5</v>
      </c>
      <c r="E449" t="s">
        <v>6</v>
      </c>
      <c r="G449" t="s">
        <v>251</v>
      </c>
      <c r="H449" t="s">
        <v>46</v>
      </c>
      <c r="I449">
        <v>2.1730249568418895E-2</v>
      </c>
      <c r="J449" t="s">
        <v>6</v>
      </c>
      <c r="L449" t="s">
        <v>252</v>
      </c>
      <c r="M449" t="s">
        <v>46</v>
      </c>
      <c r="N449">
        <v>2.2302559883163566E-2</v>
      </c>
      <c r="O449" t="s">
        <v>6</v>
      </c>
    </row>
    <row r="450" spans="2:15" x14ac:dyDescent="0.45">
      <c r="B450" t="s">
        <v>250</v>
      </c>
      <c r="C450" t="s">
        <v>47</v>
      </c>
      <c r="D450">
        <v>0</v>
      </c>
      <c r="E450" t="s">
        <v>6</v>
      </c>
      <c r="G450" t="s">
        <v>251</v>
      </c>
      <c r="H450" t="s">
        <v>47</v>
      </c>
      <c r="I450">
        <v>3.2685781047695525E-2</v>
      </c>
      <c r="J450" t="s">
        <v>6</v>
      </c>
      <c r="L450" t="s">
        <v>252</v>
      </c>
      <c r="M450" t="s">
        <v>47</v>
      </c>
      <c r="N450">
        <v>3.4163378547918302E-2</v>
      </c>
      <c r="O450" t="s">
        <v>6</v>
      </c>
    </row>
    <row r="451" spans="2:15" x14ac:dyDescent="0.45">
      <c r="B451" t="s">
        <v>253</v>
      </c>
      <c r="C451" t="s">
        <v>5</v>
      </c>
      <c r="D451">
        <v>0</v>
      </c>
      <c r="E451" t="s">
        <v>6</v>
      </c>
      <c r="G451" t="s">
        <v>254</v>
      </c>
      <c r="H451" t="s">
        <v>5</v>
      </c>
      <c r="I451">
        <v>6.6332307444999086E-2</v>
      </c>
      <c r="J451" t="s">
        <v>6</v>
      </c>
      <c r="L451" t="s">
        <v>255</v>
      </c>
      <c r="M451" t="s">
        <v>5</v>
      </c>
      <c r="N451">
        <v>6.7621467343519329E-2</v>
      </c>
      <c r="O451" t="s">
        <v>6</v>
      </c>
    </row>
    <row r="452" spans="2:15" x14ac:dyDescent="0.45">
      <c r="B452" t="s">
        <v>253</v>
      </c>
      <c r="C452" t="s">
        <v>9</v>
      </c>
      <c r="D452">
        <v>0</v>
      </c>
      <c r="E452" t="s">
        <v>6</v>
      </c>
      <c r="G452" t="s">
        <v>254</v>
      </c>
      <c r="H452" t="s">
        <v>9</v>
      </c>
      <c r="I452">
        <v>2.6072728447218359E-2</v>
      </c>
      <c r="J452" t="s">
        <v>6</v>
      </c>
      <c r="L452" t="s">
        <v>255</v>
      </c>
      <c r="M452" t="s">
        <v>9</v>
      </c>
      <c r="N452">
        <v>2.6484726243542828E-2</v>
      </c>
      <c r="O452" t="s">
        <v>6</v>
      </c>
    </row>
    <row r="453" spans="2:15" x14ac:dyDescent="0.45">
      <c r="B453" t="s">
        <v>253</v>
      </c>
      <c r="C453" t="s">
        <v>10</v>
      </c>
      <c r="D453">
        <v>6.7036119061060151E-5</v>
      </c>
      <c r="E453" t="s">
        <v>6</v>
      </c>
      <c r="G453" t="s">
        <v>254</v>
      </c>
      <c r="H453" t="s">
        <v>10</v>
      </c>
      <c r="I453">
        <v>2.631184664365149E-2</v>
      </c>
      <c r="J453" t="s">
        <v>6</v>
      </c>
      <c r="L453" t="s">
        <v>255</v>
      </c>
      <c r="M453" t="s">
        <v>10</v>
      </c>
      <c r="N453">
        <v>2.6217425315932782E-2</v>
      </c>
      <c r="O453" t="s">
        <v>6</v>
      </c>
    </row>
    <row r="454" spans="2:15" x14ac:dyDescent="0.45">
      <c r="B454" t="s">
        <v>253</v>
      </c>
      <c r="C454" t="s">
        <v>11</v>
      </c>
      <c r="D454">
        <v>9.4783798556281468E-3</v>
      </c>
      <c r="E454" t="s">
        <v>6</v>
      </c>
      <c r="G454" t="s">
        <v>254</v>
      </c>
      <c r="H454" t="s">
        <v>11</v>
      </c>
      <c r="I454">
        <v>2.6363958930917517E-2</v>
      </c>
      <c r="J454" t="s">
        <v>6</v>
      </c>
      <c r="L454" t="s">
        <v>255</v>
      </c>
      <c r="M454" t="s">
        <v>11</v>
      </c>
      <c r="N454">
        <v>2.5943525371408149E-2</v>
      </c>
      <c r="O454" t="s">
        <v>6</v>
      </c>
    </row>
    <row r="455" spans="2:15" x14ac:dyDescent="0.45">
      <c r="B455" t="s">
        <v>253</v>
      </c>
      <c r="C455" t="s">
        <v>12</v>
      </c>
      <c r="D455">
        <v>3.2998168584341903E-2</v>
      </c>
      <c r="E455" t="s">
        <v>6</v>
      </c>
      <c r="G455" t="s">
        <v>254</v>
      </c>
      <c r="H455" t="s">
        <v>12</v>
      </c>
      <c r="I455">
        <v>2.6116094714763349E-2</v>
      </c>
      <c r="J455" t="s">
        <v>6</v>
      </c>
      <c r="L455" t="s">
        <v>255</v>
      </c>
      <c r="M455" t="s">
        <v>12</v>
      </c>
      <c r="N455">
        <v>2.5836415066423823E-2</v>
      </c>
      <c r="O455" t="s">
        <v>6</v>
      </c>
    </row>
    <row r="456" spans="2:15" x14ac:dyDescent="0.45">
      <c r="B456" t="s">
        <v>253</v>
      </c>
      <c r="C456" t="s">
        <v>13</v>
      </c>
      <c r="D456">
        <v>3.6877284397927222E-2</v>
      </c>
      <c r="E456" t="s">
        <v>6</v>
      </c>
      <c r="G456" t="s">
        <v>254</v>
      </c>
      <c r="H456" t="s">
        <v>13</v>
      </c>
      <c r="I456">
        <v>2.6015927267971112E-2</v>
      </c>
      <c r="J456" t="s">
        <v>6</v>
      </c>
      <c r="L456" t="s">
        <v>255</v>
      </c>
      <c r="M456" t="s">
        <v>13</v>
      </c>
      <c r="N456">
        <v>2.5885542331292456E-2</v>
      </c>
      <c r="O456" t="s">
        <v>6</v>
      </c>
    </row>
    <row r="457" spans="2:15" x14ac:dyDescent="0.45">
      <c r="B457" t="s">
        <v>253</v>
      </c>
      <c r="C457" t="s">
        <v>14</v>
      </c>
      <c r="D457">
        <v>1.7625144064759946E-2</v>
      </c>
      <c r="E457" t="s">
        <v>6</v>
      </c>
      <c r="G457" t="s">
        <v>254</v>
      </c>
      <c r="H457" t="s">
        <v>14</v>
      </c>
      <c r="I457">
        <v>2.5728804012542589E-2</v>
      </c>
      <c r="J457" t="s">
        <v>6</v>
      </c>
      <c r="L457" t="s">
        <v>255</v>
      </c>
      <c r="M457" t="s">
        <v>14</v>
      </c>
      <c r="N457">
        <v>2.6112658954819516E-2</v>
      </c>
      <c r="O457" t="s">
        <v>6</v>
      </c>
    </row>
    <row r="458" spans="2:15" x14ac:dyDescent="0.45">
      <c r="B458" t="s">
        <v>253</v>
      </c>
      <c r="C458" t="s">
        <v>15</v>
      </c>
      <c r="D458">
        <v>1.6792882555042858E-3</v>
      </c>
      <c r="E458" t="s">
        <v>6</v>
      </c>
      <c r="G458" t="s">
        <v>254</v>
      </c>
      <c r="H458" t="s">
        <v>15</v>
      </c>
      <c r="I458">
        <v>2.6234439667700019E-2</v>
      </c>
      <c r="J458" t="s">
        <v>6</v>
      </c>
      <c r="L458" t="s">
        <v>255</v>
      </c>
      <c r="M458" t="s">
        <v>15</v>
      </c>
      <c r="N458">
        <v>2.6345684088571165E-2</v>
      </c>
      <c r="O458" t="s">
        <v>6</v>
      </c>
    </row>
    <row r="459" spans="2:15" x14ac:dyDescent="0.45">
      <c r="B459" t="s">
        <v>253</v>
      </c>
      <c r="C459" t="s">
        <v>16</v>
      </c>
      <c r="D459">
        <v>0</v>
      </c>
      <c r="E459" t="s">
        <v>6</v>
      </c>
      <c r="G459" t="s">
        <v>254</v>
      </c>
      <c r="H459" t="s">
        <v>16</v>
      </c>
      <c r="I459">
        <v>2.6918281756077161E-2</v>
      </c>
      <c r="J459" t="s">
        <v>6</v>
      </c>
      <c r="L459" t="s">
        <v>255</v>
      </c>
      <c r="M459" t="s">
        <v>16</v>
      </c>
      <c r="N459">
        <v>2.7018753821339392E-2</v>
      </c>
      <c r="O459" t="s">
        <v>6</v>
      </c>
    </row>
    <row r="460" spans="2:15" x14ac:dyDescent="0.45">
      <c r="B460" t="s">
        <v>253</v>
      </c>
      <c r="C460" t="s">
        <v>17</v>
      </c>
      <c r="D460">
        <v>0</v>
      </c>
      <c r="E460" t="s">
        <v>6</v>
      </c>
      <c r="G460" t="s">
        <v>254</v>
      </c>
      <c r="H460" t="s">
        <v>17</v>
      </c>
      <c r="I460">
        <v>4.0417208944840681E-2</v>
      </c>
      <c r="J460" t="s">
        <v>6</v>
      </c>
      <c r="L460" t="s">
        <v>255</v>
      </c>
      <c r="M460" t="s">
        <v>17</v>
      </c>
      <c r="N460">
        <v>4.0157674129656082E-2</v>
      </c>
      <c r="O460" t="s">
        <v>6</v>
      </c>
    </row>
    <row r="461" spans="2:15" x14ac:dyDescent="0.45">
      <c r="B461" t="s">
        <v>253</v>
      </c>
      <c r="C461" t="s">
        <v>18</v>
      </c>
      <c r="D461">
        <v>3.9831933403052919E-7</v>
      </c>
      <c r="E461" t="s">
        <v>6</v>
      </c>
      <c r="G461" t="s">
        <v>254</v>
      </c>
      <c r="H461" t="s">
        <v>18</v>
      </c>
      <c r="I461">
        <v>5.1381082863156596E-2</v>
      </c>
      <c r="J461" t="s">
        <v>6</v>
      </c>
      <c r="L461" t="s">
        <v>255</v>
      </c>
      <c r="M461" t="s">
        <v>18</v>
      </c>
      <c r="N461">
        <v>5.4860126965661581E-2</v>
      </c>
      <c r="O461" t="s">
        <v>6</v>
      </c>
    </row>
    <row r="462" spans="2:15" x14ac:dyDescent="0.45">
      <c r="B462" t="s">
        <v>253</v>
      </c>
      <c r="C462" t="s">
        <v>19</v>
      </c>
      <c r="D462">
        <v>1.4260831909072658E-3</v>
      </c>
      <c r="E462" t="s">
        <v>6</v>
      </c>
      <c r="G462" t="s">
        <v>254</v>
      </c>
      <c r="H462" t="s">
        <v>19</v>
      </c>
      <c r="I462">
        <v>2.1260798892558504E-2</v>
      </c>
      <c r="J462" t="s">
        <v>6</v>
      </c>
      <c r="L462" t="s">
        <v>255</v>
      </c>
      <c r="M462" t="s">
        <v>19</v>
      </c>
      <c r="N462">
        <v>2.1521583727289326E-2</v>
      </c>
      <c r="O462" t="s">
        <v>6</v>
      </c>
    </row>
    <row r="463" spans="2:15" x14ac:dyDescent="0.45">
      <c r="B463" t="s">
        <v>253</v>
      </c>
      <c r="C463" t="s">
        <v>20</v>
      </c>
      <c r="D463">
        <v>2.0743433470357536E-2</v>
      </c>
      <c r="E463" t="s">
        <v>6</v>
      </c>
      <c r="G463" t="s">
        <v>254</v>
      </c>
      <c r="H463" t="s">
        <v>20</v>
      </c>
      <c r="I463">
        <v>2.2218631328587899E-2</v>
      </c>
      <c r="J463" t="s">
        <v>6</v>
      </c>
      <c r="L463" t="s">
        <v>255</v>
      </c>
      <c r="M463" t="s">
        <v>20</v>
      </c>
      <c r="N463">
        <v>2.1802900264201213E-2</v>
      </c>
      <c r="O463" t="s">
        <v>6</v>
      </c>
    </row>
    <row r="464" spans="2:15" x14ac:dyDescent="0.45">
      <c r="B464" t="s">
        <v>253</v>
      </c>
      <c r="C464" t="s">
        <v>21</v>
      </c>
      <c r="D464">
        <v>6.3856080341536864E-2</v>
      </c>
      <c r="E464" t="s">
        <v>6</v>
      </c>
      <c r="G464" t="s">
        <v>254</v>
      </c>
      <c r="H464" t="s">
        <v>21</v>
      </c>
      <c r="I464">
        <v>2.3178102268786225E-2</v>
      </c>
      <c r="J464" t="s">
        <v>6</v>
      </c>
      <c r="L464" t="s">
        <v>255</v>
      </c>
      <c r="M464" t="s">
        <v>21</v>
      </c>
      <c r="N464">
        <v>2.1902888932691614E-2</v>
      </c>
      <c r="O464" t="s">
        <v>6</v>
      </c>
    </row>
    <row r="465" spans="2:15" x14ac:dyDescent="0.45">
      <c r="B465" t="s">
        <v>253</v>
      </c>
      <c r="C465" t="s">
        <v>22</v>
      </c>
      <c r="D465">
        <v>9.4129758869027719E-2</v>
      </c>
      <c r="E465" t="s">
        <v>6</v>
      </c>
      <c r="G465" t="s">
        <v>254</v>
      </c>
      <c r="H465" t="s">
        <v>22</v>
      </c>
      <c r="I465">
        <v>2.2717258690501702E-2</v>
      </c>
      <c r="J465" t="s">
        <v>6</v>
      </c>
      <c r="L465" t="s">
        <v>255</v>
      </c>
      <c r="M465" t="s">
        <v>22</v>
      </c>
      <c r="N465">
        <v>2.1849322566091626E-2</v>
      </c>
      <c r="O465" t="s">
        <v>6</v>
      </c>
    </row>
    <row r="466" spans="2:15" x14ac:dyDescent="0.45">
      <c r="B466" t="s">
        <v>253</v>
      </c>
      <c r="C466" t="s">
        <v>23</v>
      </c>
      <c r="D466">
        <v>9.7158329839790405E-2</v>
      </c>
      <c r="E466" t="s">
        <v>6</v>
      </c>
      <c r="G466" t="s">
        <v>254</v>
      </c>
      <c r="H466" t="s">
        <v>23</v>
      </c>
      <c r="I466">
        <v>2.2730693044795875E-2</v>
      </c>
      <c r="J466" t="s">
        <v>6</v>
      </c>
      <c r="L466" t="s">
        <v>255</v>
      </c>
      <c r="M466" t="s">
        <v>23</v>
      </c>
      <c r="N466">
        <v>2.1998429839468189E-2</v>
      </c>
      <c r="O466" t="s">
        <v>6</v>
      </c>
    </row>
    <row r="467" spans="2:15" x14ac:dyDescent="0.45">
      <c r="B467" t="s">
        <v>253</v>
      </c>
      <c r="C467" t="s">
        <v>24</v>
      </c>
      <c r="D467">
        <v>7.271784619077222E-2</v>
      </c>
      <c r="E467" t="s">
        <v>6</v>
      </c>
      <c r="G467" t="s">
        <v>254</v>
      </c>
      <c r="H467" t="s">
        <v>24</v>
      </c>
      <c r="I467">
        <v>2.2675223074377044E-2</v>
      </c>
      <c r="J467" t="s">
        <v>6</v>
      </c>
      <c r="L467" t="s">
        <v>255</v>
      </c>
      <c r="M467" t="s">
        <v>24</v>
      </c>
      <c r="N467">
        <v>2.2196936656272568E-2</v>
      </c>
      <c r="O467" t="s">
        <v>6</v>
      </c>
    </row>
    <row r="468" spans="2:15" x14ac:dyDescent="0.45">
      <c r="B468" t="s">
        <v>253</v>
      </c>
      <c r="C468" t="s">
        <v>25</v>
      </c>
      <c r="D468">
        <v>3.0061227211016776E-2</v>
      </c>
      <c r="E468" t="s">
        <v>6</v>
      </c>
      <c r="G468" t="s">
        <v>254</v>
      </c>
      <c r="H468" t="s">
        <v>25</v>
      </c>
      <c r="I468">
        <v>2.1558246208089708E-2</v>
      </c>
      <c r="J468" t="s">
        <v>6</v>
      </c>
      <c r="L468" t="s">
        <v>255</v>
      </c>
      <c r="M468" t="s">
        <v>25</v>
      </c>
      <c r="N468">
        <v>2.2310918170148724E-2</v>
      </c>
      <c r="O468" t="s">
        <v>6</v>
      </c>
    </row>
    <row r="469" spans="2:15" x14ac:dyDescent="0.45">
      <c r="B469" t="s">
        <v>253</v>
      </c>
      <c r="C469" t="s">
        <v>26</v>
      </c>
      <c r="D469">
        <v>2.1915679651865836E-3</v>
      </c>
      <c r="E469" t="s">
        <v>6</v>
      </c>
      <c r="G469" t="s">
        <v>254</v>
      </c>
      <c r="H469" t="s">
        <v>26</v>
      </c>
      <c r="I469">
        <v>2.063748835614938E-2</v>
      </c>
      <c r="J469" t="s">
        <v>6</v>
      </c>
      <c r="L469" t="s">
        <v>255</v>
      </c>
      <c r="M469" t="s">
        <v>26</v>
      </c>
      <c r="N469">
        <v>2.2668551044599292E-2</v>
      </c>
      <c r="O469" t="s">
        <v>6</v>
      </c>
    </row>
    <row r="470" spans="2:15" x14ac:dyDescent="0.45">
      <c r="B470" t="s">
        <v>253</v>
      </c>
      <c r="C470" t="s">
        <v>27</v>
      </c>
      <c r="D470">
        <v>1.8495140003911799E-5</v>
      </c>
      <c r="E470" t="s">
        <v>6</v>
      </c>
      <c r="G470" t="s">
        <v>254</v>
      </c>
      <c r="H470" t="s">
        <v>27</v>
      </c>
      <c r="I470">
        <v>3.0755194643568334E-2</v>
      </c>
      <c r="J470" t="s">
        <v>6</v>
      </c>
      <c r="L470" t="s">
        <v>255</v>
      </c>
      <c r="M470" t="s">
        <v>27</v>
      </c>
      <c r="N470">
        <v>3.4064671159056564E-2</v>
      </c>
      <c r="O470" t="s">
        <v>6</v>
      </c>
    </row>
    <row r="471" spans="2:15" x14ac:dyDescent="0.45">
      <c r="B471" t="s">
        <v>253</v>
      </c>
      <c r="C471" t="s">
        <v>28</v>
      </c>
      <c r="D471">
        <v>2.1384562086619227E-5</v>
      </c>
      <c r="E471" t="s">
        <v>6</v>
      </c>
      <c r="G471" t="s">
        <v>254</v>
      </c>
      <c r="H471" t="s">
        <v>28</v>
      </c>
      <c r="I471">
        <v>2.7738096208315396E-2</v>
      </c>
      <c r="J471" t="s">
        <v>6</v>
      </c>
      <c r="L471" t="s">
        <v>255</v>
      </c>
      <c r="M471" t="s">
        <v>28</v>
      </c>
      <c r="N471">
        <v>3.1330422022594111E-2</v>
      </c>
      <c r="O471" t="s">
        <v>6</v>
      </c>
    </row>
    <row r="472" spans="2:15" x14ac:dyDescent="0.45">
      <c r="B472" t="s">
        <v>253</v>
      </c>
      <c r="C472" t="s">
        <v>29</v>
      </c>
      <c r="D472">
        <v>3.4684712566637925E-3</v>
      </c>
      <c r="E472" t="s">
        <v>6</v>
      </c>
      <c r="G472" t="s">
        <v>254</v>
      </c>
      <c r="H472" t="s">
        <v>29</v>
      </c>
      <c r="I472">
        <v>1.0433692214744317E-2</v>
      </c>
      <c r="J472" t="s">
        <v>6</v>
      </c>
      <c r="L472" t="s">
        <v>255</v>
      </c>
      <c r="M472" t="s">
        <v>29</v>
      </c>
      <c r="N472">
        <v>1.2546195953150598E-2</v>
      </c>
      <c r="O472" t="s">
        <v>6</v>
      </c>
    </row>
    <row r="473" spans="2:15" x14ac:dyDescent="0.45">
      <c r="B473" t="s">
        <v>253</v>
      </c>
      <c r="C473" t="s">
        <v>30</v>
      </c>
      <c r="D473">
        <v>2.4601775621282795E-2</v>
      </c>
      <c r="E473" t="s">
        <v>6</v>
      </c>
      <c r="G473" t="s">
        <v>254</v>
      </c>
      <c r="H473" t="s">
        <v>30</v>
      </c>
      <c r="I473">
        <v>1.0817695555497069E-2</v>
      </c>
      <c r="J473" t="s">
        <v>6</v>
      </c>
      <c r="L473" t="s">
        <v>255</v>
      </c>
      <c r="M473" t="s">
        <v>30</v>
      </c>
      <c r="N473">
        <v>1.2903862589315786E-2</v>
      </c>
      <c r="O473" t="s">
        <v>6</v>
      </c>
    </row>
    <row r="474" spans="2:15" x14ac:dyDescent="0.45">
      <c r="B474" t="s">
        <v>253</v>
      </c>
      <c r="C474" t="s">
        <v>31</v>
      </c>
      <c r="D474">
        <v>5.7645373687629273E-2</v>
      </c>
      <c r="E474" t="s">
        <v>6</v>
      </c>
      <c r="G474" t="s">
        <v>254</v>
      </c>
      <c r="H474" t="s">
        <v>31</v>
      </c>
      <c r="I474">
        <v>1.1509122424232859E-2</v>
      </c>
      <c r="J474" t="s">
        <v>6</v>
      </c>
      <c r="L474" t="s">
        <v>255</v>
      </c>
      <c r="M474" t="s">
        <v>31</v>
      </c>
      <c r="N474">
        <v>1.2711750331703459E-2</v>
      </c>
      <c r="O474" t="s">
        <v>6</v>
      </c>
    </row>
    <row r="475" spans="2:15" x14ac:dyDescent="0.45">
      <c r="B475" t="s">
        <v>253</v>
      </c>
      <c r="C475" t="s">
        <v>32</v>
      </c>
      <c r="D475">
        <v>7.9557458669874973E-2</v>
      </c>
      <c r="E475" t="s">
        <v>6</v>
      </c>
      <c r="G475" t="s">
        <v>254</v>
      </c>
      <c r="H475" t="s">
        <v>32</v>
      </c>
      <c r="I475">
        <v>1.202734326738923E-2</v>
      </c>
      <c r="J475" t="s">
        <v>6</v>
      </c>
      <c r="L475" t="s">
        <v>255</v>
      </c>
      <c r="M475" t="s">
        <v>32</v>
      </c>
      <c r="N475">
        <v>1.2373173837010636E-2</v>
      </c>
      <c r="O475" t="s">
        <v>6</v>
      </c>
    </row>
    <row r="476" spans="2:15" x14ac:dyDescent="0.45">
      <c r="B476" t="s">
        <v>253</v>
      </c>
      <c r="C476" t="s">
        <v>33</v>
      </c>
      <c r="D476">
        <v>8.5944505154044601E-2</v>
      </c>
      <c r="E476" t="s">
        <v>6</v>
      </c>
      <c r="G476" t="s">
        <v>254</v>
      </c>
      <c r="H476" t="s">
        <v>33</v>
      </c>
      <c r="I476">
        <v>1.2881611295252192E-2</v>
      </c>
      <c r="J476" t="s">
        <v>6</v>
      </c>
      <c r="L476" t="s">
        <v>255</v>
      </c>
      <c r="M476" t="s">
        <v>33</v>
      </c>
      <c r="N476">
        <v>1.2429390640550151E-2</v>
      </c>
      <c r="O476" t="s">
        <v>6</v>
      </c>
    </row>
    <row r="477" spans="2:15" x14ac:dyDescent="0.45">
      <c r="B477" t="s">
        <v>253</v>
      </c>
      <c r="C477" t="s">
        <v>34</v>
      </c>
      <c r="D477">
        <v>7.155893834596655E-2</v>
      </c>
      <c r="E477" t="s">
        <v>6</v>
      </c>
      <c r="G477" t="s">
        <v>254</v>
      </c>
      <c r="H477" t="s">
        <v>34</v>
      </c>
      <c r="I477">
        <v>1.4005400782371839E-2</v>
      </c>
      <c r="J477" t="s">
        <v>6</v>
      </c>
      <c r="L477" t="s">
        <v>255</v>
      </c>
      <c r="M477" t="s">
        <v>34</v>
      </c>
      <c r="N477">
        <v>1.2679019099486882E-2</v>
      </c>
      <c r="O477" t="s">
        <v>6</v>
      </c>
    </row>
    <row r="478" spans="2:15" x14ac:dyDescent="0.45">
      <c r="B478" t="s">
        <v>253</v>
      </c>
      <c r="C478" t="s">
        <v>35</v>
      </c>
      <c r="D478">
        <v>3.6792789393706921E-2</v>
      </c>
      <c r="E478" t="s">
        <v>6</v>
      </c>
      <c r="G478" t="s">
        <v>254</v>
      </c>
      <c r="H478" t="s">
        <v>35</v>
      </c>
      <c r="I478">
        <v>1.352701589331346E-2</v>
      </c>
      <c r="J478" t="s">
        <v>6</v>
      </c>
      <c r="L478" t="s">
        <v>255</v>
      </c>
      <c r="M478" t="s">
        <v>35</v>
      </c>
      <c r="N478">
        <v>1.2642010372799955E-2</v>
      </c>
      <c r="O478" t="s">
        <v>6</v>
      </c>
    </row>
    <row r="479" spans="2:15" x14ac:dyDescent="0.45">
      <c r="B479" t="s">
        <v>253</v>
      </c>
      <c r="C479" t="s">
        <v>36</v>
      </c>
      <c r="D479">
        <v>6.3697938170385387E-3</v>
      </c>
      <c r="E479" t="s">
        <v>6</v>
      </c>
      <c r="G479" t="s">
        <v>254</v>
      </c>
      <c r="H479" t="s">
        <v>36</v>
      </c>
      <c r="I479">
        <v>1.2653239455841236E-2</v>
      </c>
      <c r="J479" t="s">
        <v>6</v>
      </c>
      <c r="L479" t="s">
        <v>255</v>
      </c>
      <c r="M479" t="s">
        <v>36</v>
      </c>
      <c r="N479">
        <v>1.2667561469018455E-2</v>
      </c>
      <c r="O479" t="s">
        <v>6</v>
      </c>
    </row>
    <row r="480" spans="2:15" x14ac:dyDescent="0.45">
      <c r="B480" t="s">
        <v>253</v>
      </c>
      <c r="C480" t="s">
        <v>37</v>
      </c>
      <c r="D480">
        <v>2.4066710676708461E-4</v>
      </c>
      <c r="E480" t="s">
        <v>6</v>
      </c>
      <c r="G480" t="s">
        <v>254</v>
      </c>
      <c r="H480" t="s">
        <v>37</v>
      </c>
      <c r="I480">
        <v>1.8260701055326584E-2</v>
      </c>
      <c r="J480" t="s">
        <v>6</v>
      </c>
      <c r="L480" t="s">
        <v>255</v>
      </c>
      <c r="M480" t="s">
        <v>37</v>
      </c>
      <c r="N480">
        <v>1.8647085774939173E-2</v>
      </c>
      <c r="O480" t="s">
        <v>6</v>
      </c>
    </row>
    <row r="481" spans="2:15" x14ac:dyDescent="0.45">
      <c r="B481" t="s">
        <v>253</v>
      </c>
      <c r="C481" t="s">
        <v>38</v>
      </c>
      <c r="D481">
        <v>0</v>
      </c>
      <c r="E481" t="s">
        <v>6</v>
      </c>
      <c r="G481" t="s">
        <v>254</v>
      </c>
      <c r="H481" t="s">
        <v>38</v>
      </c>
      <c r="I481">
        <v>5.8943896426681505E-2</v>
      </c>
      <c r="J481" t="s">
        <v>6</v>
      </c>
      <c r="L481" t="s">
        <v>255</v>
      </c>
      <c r="M481" t="s">
        <v>38</v>
      </c>
      <c r="N481">
        <v>5.4680189517203708E-2</v>
      </c>
      <c r="O481" t="s">
        <v>6</v>
      </c>
    </row>
    <row r="482" spans="2:15" x14ac:dyDescent="0.45">
      <c r="B482" t="s">
        <v>253</v>
      </c>
      <c r="C482" t="s">
        <v>39</v>
      </c>
      <c r="D482">
        <v>5.2452358679717556E-7</v>
      </c>
      <c r="E482" t="s">
        <v>6</v>
      </c>
      <c r="G482" t="s">
        <v>254</v>
      </c>
      <c r="H482" t="s">
        <v>39</v>
      </c>
      <c r="I482">
        <v>2.2291115918185014E-2</v>
      </c>
      <c r="J482" t="s">
        <v>6</v>
      </c>
      <c r="L482" t="s">
        <v>255</v>
      </c>
      <c r="M482" t="s">
        <v>39</v>
      </c>
      <c r="N482">
        <v>2.1930573759332404E-2</v>
      </c>
      <c r="O482" t="s">
        <v>6</v>
      </c>
    </row>
    <row r="483" spans="2:15" x14ac:dyDescent="0.45">
      <c r="B483" t="s">
        <v>253</v>
      </c>
      <c r="C483" t="s">
        <v>40</v>
      </c>
      <c r="D483">
        <v>3.4866707237729893E-3</v>
      </c>
      <c r="E483" t="s">
        <v>6</v>
      </c>
      <c r="G483" t="s">
        <v>254</v>
      </c>
      <c r="H483" t="s">
        <v>40</v>
      </c>
      <c r="I483">
        <v>2.2059024699276748E-2</v>
      </c>
      <c r="J483" t="s">
        <v>6</v>
      </c>
      <c r="L483" t="s">
        <v>255</v>
      </c>
      <c r="M483" t="s">
        <v>40</v>
      </c>
      <c r="N483">
        <v>2.2310017681045749E-2</v>
      </c>
      <c r="O483" t="s">
        <v>6</v>
      </c>
    </row>
    <row r="484" spans="2:15" x14ac:dyDescent="0.45">
      <c r="B484" t="s">
        <v>253</v>
      </c>
      <c r="C484" t="s">
        <v>41</v>
      </c>
      <c r="D484">
        <v>2.4042376757648531E-2</v>
      </c>
      <c r="E484" t="s">
        <v>6</v>
      </c>
      <c r="G484" t="s">
        <v>254</v>
      </c>
      <c r="H484" t="s">
        <v>41</v>
      </c>
      <c r="I484">
        <v>2.2852731116030884E-2</v>
      </c>
      <c r="J484" t="s">
        <v>6</v>
      </c>
      <c r="L484" t="s">
        <v>255</v>
      </c>
      <c r="M484" t="s">
        <v>41</v>
      </c>
      <c r="N484">
        <v>2.2643536195383965E-2</v>
      </c>
      <c r="O484" t="s">
        <v>6</v>
      </c>
    </row>
    <row r="485" spans="2:15" x14ac:dyDescent="0.45">
      <c r="B485" t="s">
        <v>253</v>
      </c>
      <c r="C485" t="s">
        <v>42</v>
      </c>
      <c r="D485">
        <v>4.5379232417841343E-2</v>
      </c>
      <c r="E485" t="s">
        <v>6</v>
      </c>
      <c r="G485" t="s">
        <v>254</v>
      </c>
      <c r="H485" t="s">
        <v>42</v>
      </c>
      <c r="I485">
        <v>2.3278494587018445E-2</v>
      </c>
      <c r="J485" t="s">
        <v>6</v>
      </c>
      <c r="L485" t="s">
        <v>255</v>
      </c>
      <c r="M485" t="s">
        <v>42</v>
      </c>
      <c r="N485">
        <v>2.2425372957485031E-2</v>
      </c>
      <c r="O485" t="s">
        <v>6</v>
      </c>
    </row>
    <row r="486" spans="2:15" x14ac:dyDescent="0.45">
      <c r="B486" t="s">
        <v>253</v>
      </c>
      <c r="C486" t="s">
        <v>43</v>
      </c>
      <c r="D486">
        <v>4.7452494927605927E-2</v>
      </c>
      <c r="E486" t="s">
        <v>6</v>
      </c>
      <c r="G486" t="s">
        <v>254</v>
      </c>
      <c r="H486" t="s">
        <v>43</v>
      </c>
      <c r="I486">
        <v>2.3827554117397488E-2</v>
      </c>
      <c r="J486" t="s">
        <v>6</v>
      </c>
      <c r="L486" t="s">
        <v>255</v>
      </c>
      <c r="M486" t="s">
        <v>43</v>
      </c>
      <c r="N486">
        <v>2.2108574129511387E-2</v>
      </c>
      <c r="O486" t="s">
        <v>6</v>
      </c>
    </row>
    <row r="487" spans="2:15" x14ac:dyDescent="0.45">
      <c r="B487" t="s">
        <v>253</v>
      </c>
      <c r="C487" t="s">
        <v>44</v>
      </c>
      <c r="D487">
        <v>2.6898343880961503E-2</v>
      </c>
      <c r="E487" t="s">
        <v>6</v>
      </c>
      <c r="G487" t="s">
        <v>254</v>
      </c>
      <c r="H487" t="s">
        <v>44</v>
      </c>
      <c r="I487">
        <v>2.3973991243593916E-2</v>
      </c>
      <c r="J487" t="s">
        <v>6</v>
      </c>
      <c r="L487" t="s">
        <v>255</v>
      </c>
      <c r="M487" t="s">
        <v>44</v>
      </c>
      <c r="N487">
        <v>2.2015807615283173E-2</v>
      </c>
      <c r="O487" t="s">
        <v>6</v>
      </c>
    </row>
    <row r="488" spans="2:15" x14ac:dyDescent="0.45">
      <c r="B488" t="s">
        <v>253</v>
      </c>
      <c r="C488" t="s">
        <v>45</v>
      </c>
      <c r="D488">
        <v>5.482160579453158E-3</v>
      </c>
      <c r="E488" t="s">
        <v>6</v>
      </c>
      <c r="G488" t="s">
        <v>254</v>
      </c>
      <c r="H488" t="s">
        <v>45</v>
      </c>
      <c r="I488">
        <v>2.3678448598420162E-2</v>
      </c>
      <c r="J488" t="s">
        <v>6</v>
      </c>
      <c r="L488" t="s">
        <v>255</v>
      </c>
      <c r="M488" t="s">
        <v>45</v>
      </c>
      <c r="N488">
        <v>2.2405193867403143E-2</v>
      </c>
      <c r="O488" t="s">
        <v>6</v>
      </c>
    </row>
    <row r="489" spans="2:15" x14ac:dyDescent="0.45">
      <c r="B489" t="s">
        <v>253</v>
      </c>
      <c r="C489" t="s">
        <v>46</v>
      </c>
      <c r="D489">
        <v>2.8516758909379684E-5</v>
      </c>
      <c r="E489" t="s">
        <v>6</v>
      </c>
      <c r="G489" t="s">
        <v>254</v>
      </c>
      <c r="H489" t="s">
        <v>46</v>
      </c>
      <c r="I489">
        <v>2.3703895499898025E-2</v>
      </c>
      <c r="J489" t="s">
        <v>6</v>
      </c>
      <c r="L489" t="s">
        <v>255</v>
      </c>
      <c r="M489" t="s">
        <v>46</v>
      </c>
      <c r="N489">
        <v>2.2404172113257816E-2</v>
      </c>
      <c r="O489" t="s">
        <v>6</v>
      </c>
    </row>
    <row r="490" spans="2:15" x14ac:dyDescent="0.45">
      <c r="B490" t="s">
        <v>253</v>
      </c>
      <c r="C490" t="s">
        <v>47</v>
      </c>
      <c r="D490">
        <v>0</v>
      </c>
      <c r="E490" t="s">
        <v>6</v>
      </c>
      <c r="G490" t="s">
        <v>254</v>
      </c>
      <c r="H490" t="s">
        <v>47</v>
      </c>
      <c r="I490">
        <v>3.5912612439957407E-2</v>
      </c>
      <c r="J490" t="s">
        <v>6</v>
      </c>
      <c r="L490" t="s">
        <v>255</v>
      </c>
      <c r="M490" t="s">
        <v>47</v>
      </c>
      <c r="N490">
        <v>3.3345888081539821E-2</v>
      </c>
      <c r="O490" t="s">
        <v>6</v>
      </c>
    </row>
    <row r="491" spans="2:15" x14ac:dyDescent="0.45">
      <c r="B491" t="s">
        <v>256</v>
      </c>
      <c r="C491" t="s">
        <v>5</v>
      </c>
      <c r="D491">
        <v>0</v>
      </c>
      <c r="E491" t="s">
        <v>6</v>
      </c>
      <c r="G491" t="s">
        <v>257</v>
      </c>
      <c r="H491" t="s">
        <v>5</v>
      </c>
      <c r="I491">
        <v>7.4239308052186606E-2</v>
      </c>
      <c r="J491" t="s">
        <v>6</v>
      </c>
      <c r="L491" t="s">
        <v>258</v>
      </c>
      <c r="M491" t="s">
        <v>5</v>
      </c>
      <c r="N491">
        <v>6.4880749299113458E-2</v>
      </c>
      <c r="O491" t="s">
        <v>6</v>
      </c>
    </row>
    <row r="492" spans="2:15" x14ac:dyDescent="0.45">
      <c r="B492" t="s">
        <v>256</v>
      </c>
      <c r="C492" t="s">
        <v>9</v>
      </c>
      <c r="D492">
        <v>0</v>
      </c>
      <c r="E492" t="s">
        <v>6</v>
      </c>
      <c r="G492" t="s">
        <v>257</v>
      </c>
      <c r="H492" t="s">
        <v>9</v>
      </c>
      <c r="I492">
        <v>2.8891588654962608E-2</v>
      </c>
      <c r="J492" t="s">
        <v>6</v>
      </c>
      <c r="L492" t="s">
        <v>258</v>
      </c>
      <c r="M492" t="s">
        <v>9</v>
      </c>
      <c r="N492">
        <v>2.5378820496306392E-2</v>
      </c>
      <c r="O492" t="s">
        <v>6</v>
      </c>
    </row>
    <row r="493" spans="2:15" x14ac:dyDescent="0.45">
      <c r="B493" t="s">
        <v>256</v>
      </c>
      <c r="C493" t="s">
        <v>10</v>
      </c>
      <c r="D493">
        <v>6.1472924467181826E-5</v>
      </c>
      <c r="E493" t="s">
        <v>6</v>
      </c>
      <c r="G493" t="s">
        <v>257</v>
      </c>
      <c r="H493" t="s">
        <v>10</v>
      </c>
      <c r="I493">
        <v>2.8741751509085599E-2</v>
      </c>
      <c r="J493" t="s">
        <v>6</v>
      </c>
      <c r="L493" t="s">
        <v>258</v>
      </c>
      <c r="M493" t="s">
        <v>10</v>
      </c>
      <c r="N493">
        <v>2.4550611747974113E-2</v>
      </c>
      <c r="O493" t="s">
        <v>6</v>
      </c>
    </row>
    <row r="494" spans="2:15" x14ac:dyDescent="0.45">
      <c r="B494" t="s">
        <v>256</v>
      </c>
      <c r="C494" t="s">
        <v>11</v>
      </c>
      <c r="D494">
        <v>9.5786020268967265E-3</v>
      </c>
      <c r="E494" t="s">
        <v>6</v>
      </c>
      <c r="G494" t="s">
        <v>257</v>
      </c>
      <c r="H494" t="s">
        <v>11</v>
      </c>
      <c r="I494">
        <v>2.8074635537516789E-2</v>
      </c>
      <c r="J494" t="s">
        <v>6</v>
      </c>
      <c r="L494" t="s">
        <v>258</v>
      </c>
      <c r="M494" t="s">
        <v>11</v>
      </c>
      <c r="N494">
        <v>2.4878900441370519E-2</v>
      </c>
      <c r="O494" t="s">
        <v>6</v>
      </c>
    </row>
    <row r="495" spans="2:15" x14ac:dyDescent="0.45">
      <c r="B495" t="s">
        <v>256</v>
      </c>
      <c r="C495" t="s">
        <v>12</v>
      </c>
      <c r="D495">
        <v>3.3086307812887884E-2</v>
      </c>
      <c r="E495" t="s">
        <v>6</v>
      </c>
      <c r="G495" t="s">
        <v>257</v>
      </c>
      <c r="H495" t="s">
        <v>12</v>
      </c>
      <c r="I495">
        <v>2.7570050788932928E-2</v>
      </c>
      <c r="J495" t="s">
        <v>6</v>
      </c>
      <c r="L495" t="s">
        <v>258</v>
      </c>
      <c r="M495" t="s">
        <v>12</v>
      </c>
      <c r="N495">
        <v>2.5110585911933027E-2</v>
      </c>
      <c r="O495" t="s">
        <v>6</v>
      </c>
    </row>
    <row r="496" spans="2:15" x14ac:dyDescent="0.45">
      <c r="B496" t="s">
        <v>256</v>
      </c>
      <c r="C496" t="s">
        <v>13</v>
      </c>
      <c r="D496">
        <v>4.0696027925286066E-2</v>
      </c>
      <c r="E496" t="s">
        <v>6</v>
      </c>
      <c r="G496" t="s">
        <v>257</v>
      </c>
      <c r="H496" t="s">
        <v>13</v>
      </c>
      <c r="I496">
        <v>2.8211854787270382E-2</v>
      </c>
      <c r="J496" t="s">
        <v>6</v>
      </c>
      <c r="L496" t="s">
        <v>258</v>
      </c>
      <c r="M496" t="s">
        <v>13</v>
      </c>
      <c r="N496">
        <v>2.533267993292802E-2</v>
      </c>
      <c r="O496" t="s">
        <v>6</v>
      </c>
    </row>
    <row r="497" spans="2:15" x14ac:dyDescent="0.45">
      <c r="B497" t="s">
        <v>256</v>
      </c>
      <c r="C497" t="s">
        <v>14</v>
      </c>
      <c r="D497">
        <v>2.1443846543966701E-2</v>
      </c>
      <c r="E497" t="s">
        <v>6</v>
      </c>
      <c r="G497" t="s">
        <v>257</v>
      </c>
      <c r="H497" t="s">
        <v>14</v>
      </c>
      <c r="I497">
        <v>2.760466758576563E-2</v>
      </c>
      <c r="J497" t="s">
        <v>6</v>
      </c>
      <c r="L497" t="s">
        <v>258</v>
      </c>
      <c r="M497" t="s">
        <v>14</v>
      </c>
      <c r="N497">
        <v>2.5672306166295119E-2</v>
      </c>
      <c r="O497" t="s">
        <v>6</v>
      </c>
    </row>
    <row r="498" spans="2:15" x14ac:dyDescent="0.45">
      <c r="B498" t="s">
        <v>256</v>
      </c>
      <c r="C498" t="s">
        <v>15</v>
      </c>
      <c r="D498">
        <v>2.6105580926605687E-3</v>
      </c>
      <c r="E498" t="s">
        <v>6</v>
      </c>
      <c r="G498" t="s">
        <v>257</v>
      </c>
      <c r="H498" t="s">
        <v>15</v>
      </c>
      <c r="I498">
        <v>2.7465536112969754E-2</v>
      </c>
      <c r="J498" t="s">
        <v>6</v>
      </c>
      <c r="L498" t="s">
        <v>258</v>
      </c>
      <c r="M498" t="s">
        <v>15</v>
      </c>
      <c r="N498">
        <v>2.5906048809694597E-2</v>
      </c>
      <c r="O498" t="s">
        <v>6</v>
      </c>
    </row>
    <row r="499" spans="2:15" x14ac:dyDescent="0.45">
      <c r="B499" t="s">
        <v>256</v>
      </c>
      <c r="C499" t="s">
        <v>16</v>
      </c>
      <c r="D499">
        <v>0</v>
      </c>
      <c r="E499" t="s">
        <v>6</v>
      </c>
      <c r="G499" t="s">
        <v>257</v>
      </c>
      <c r="H499" t="s">
        <v>16</v>
      </c>
      <c r="I499">
        <v>2.8396748771399978E-2</v>
      </c>
      <c r="J499" t="s">
        <v>6</v>
      </c>
      <c r="L499" t="s">
        <v>258</v>
      </c>
      <c r="M499" t="s">
        <v>16</v>
      </c>
      <c r="N499">
        <v>2.6290673681269222E-2</v>
      </c>
      <c r="O499" t="s">
        <v>6</v>
      </c>
    </row>
    <row r="500" spans="2:15" x14ac:dyDescent="0.45">
      <c r="B500" t="s">
        <v>256</v>
      </c>
      <c r="C500" t="s">
        <v>17</v>
      </c>
      <c r="D500">
        <v>0</v>
      </c>
      <c r="E500" t="s">
        <v>6</v>
      </c>
      <c r="G500" t="s">
        <v>257</v>
      </c>
      <c r="H500" t="s">
        <v>17</v>
      </c>
      <c r="I500">
        <v>4.3605418906043338E-2</v>
      </c>
      <c r="J500" t="s">
        <v>6</v>
      </c>
      <c r="L500" t="s">
        <v>258</v>
      </c>
      <c r="M500" t="s">
        <v>17</v>
      </c>
      <c r="N500">
        <v>3.865767517857454E-2</v>
      </c>
      <c r="O500" t="s">
        <v>6</v>
      </c>
    </row>
    <row r="501" spans="2:15" x14ac:dyDescent="0.45">
      <c r="B501" t="s">
        <v>256</v>
      </c>
      <c r="C501" t="s">
        <v>18</v>
      </c>
      <c r="D501">
        <v>0</v>
      </c>
      <c r="E501" t="s">
        <v>6</v>
      </c>
      <c r="G501" t="s">
        <v>257</v>
      </c>
      <c r="H501" t="s">
        <v>18</v>
      </c>
      <c r="I501">
        <v>5.1075122703167296E-2</v>
      </c>
      <c r="J501" t="s">
        <v>6</v>
      </c>
      <c r="L501" t="s">
        <v>258</v>
      </c>
      <c r="M501" t="s">
        <v>18</v>
      </c>
      <c r="N501">
        <v>5.1436485390661764E-2</v>
      </c>
      <c r="O501" t="s">
        <v>6</v>
      </c>
    </row>
    <row r="502" spans="2:15" x14ac:dyDescent="0.45">
      <c r="B502" t="s">
        <v>256</v>
      </c>
      <c r="C502" t="s">
        <v>19</v>
      </c>
      <c r="D502">
        <v>1.159264059282237E-3</v>
      </c>
      <c r="E502" t="s">
        <v>6</v>
      </c>
      <c r="G502" t="s">
        <v>257</v>
      </c>
      <c r="H502" t="s">
        <v>19</v>
      </c>
      <c r="I502">
        <v>1.954868530239675E-2</v>
      </c>
      <c r="J502" t="s">
        <v>6</v>
      </c>
      <c r="L502" t="s">
        <v>258</v>
      </c>
      <c r="M502" t="s">
        <v>19</v>
      </c>
      <c r="N502">
        <v>2.0625462476320272E-2</v>
      </c>
      <c r="O502" t="s">
        <v>6</v>
      </c>
    </row>
    <row r="503" spans="2:15" x14ac:dyDescent="0.45">
      <c r="B503" t="s">
        <v>256</v>
      </c>
      <c r="C503" t="s">
        <v>20</v>
      </c>
      <c r="D503">
        <v>1.8342303834327174E-2</v>
      </c>
      <c r="E503" t="s">
        <v>6</v>
      </c>
      <c r="G503" t="s">
        <v>257</v>
      </c>
      <c r="H503" t="s">
        <v>20</v>
      </c>
      <c r="I503">
        <v>1.999926389499718E-2</v>
      </c>
      <c r="J503" t="s">
        <v>6</v>
      </c>
      <c r="L503" t="s">
        <v>258</v>
      </c>
      <c r="M503" t="s">
        <v>20</v>
      </c>
      <c r="N503">
        <v>2.1099782137421277E-2</v>
      </c>
      <c r="O503" t="s">
        <v>6</v>
      </c>
    </row>
    <row r="504" spans="2:15" x14ac:dyDescent="0.45">
      <c r="B504" t="s">
        <v>256</v>
      </c>
      <c r="C504" t="s">
        <v>21</v>
      </c>
      <c r="D504">
        <v>5.9502059344476783E-2</v>
      </c>
      <c r="E504" t="s">
        <v>6</v>
      </c>
      <c r="G504" t="s">
        <v>257</v>
      </c>
      <c r="H504" t="s">
        <v>21</v>
      </c>
      <c r="I504">
        <v>2.1446216779991562E-2</v>
      </c>
      <c r="J504" t="s">
        <v>6</v>
      </c>
      <c r="L504" t="s">
        <v>258</v>
      </c>
      <c r="M504" t="s">
        <v>21</v>
      </c>
      <c r="N504">
        <v>2.1118558125569523E-2</v>
      </c>
      <c r="O504" t="s">
        <v>6</v>
      </c>
    </row>
    <row r="505" spans="2:15" x14ac:dyDescent="0.45">
      <c r="B505" t="s">
        <v>256</v>
      </c>
      <c r="C505" t="s">
        <v>22</v>
      </c>
      <c r="D505">
        <v>8.8254633176787486E-2</v>
      </c>
      <c r="E505" t="s">
        <v>6</v>
      </c>
      <c r="G505" t="s">
        <v>257</v>
      </c>
      <c r="H505" t="s">
        <v>22</v>
      </c>
      <c r="I505">
        <v>2.2408676764080732E-2</v>
      </c>
      <c r="J505" t="s">
        <v>6</v>
      </c>
      <c r="L505" t="s">
        <v>258</v>
      </c>
      <c r="M505" t="s">
        <v>22</v>
      </c>
      <c r="N505">
        <v>2.118461640070779E-2</v>
      </c>
      <c r="O505" t="s">
        <v>6</v>
      </c>
    </row>
    <row r="506" spans="2:15" x14ac:dyDescent="0.45">
      <c r="B506" t="s">
        <v>256</v>
      </c>
      <c r="C506" t="s">
        <v>23</v>
      </c>
      <c r="D506">
        <v>8.8356153791547015E-2</v>
      </c>
      <c r="E506" t="s">
        <v>6</v>
      </c>
      <c r="G506" t="s">
        <v>257</v>
      </c>
      <c r="H506" t="s">
        <v>23</v>
      </c>
      <c r="I506">
        <v>2.233278601073585E-2</v>
      </c>
      <c r="J506" t="s">
        <v>6</v>
      </c>
      <c r="L506" t="s">
        <v>258</v>
      </c>
      <c r="M506" t="s">
        <v>23</v>
      </c>
      <c r="N506">
        <v>2.125655494140356E-2</v>
      </c>
      <c r="O506" t="s">
        <v>6</v>
      </c>
    </row>
    <row r="507" spans="2:15" x14ac:dyDescent="0.45">
      <c r="B507" t="s">
        <v>256</v>
      </c>
      <c r="C507" t="s">
        <v>24</v>
      </c>
      <c r="D507">
        <v>6.7137458937607711E-2</v>
      </c>
      <c r="E507" t="s">
        <v>6</v>
      </c>
      <c r="G507" t="s">
        <v>257</v>
      </c>
      <c r="H507" t="s">
        <v>24</v>
      </c>
      <c r="I507">
        <v>2.2216816609531204E-2</v>
      </c>
      <c r="J507" t="s">
        <v>6</v>
      </c>
      <c r="L507" t="s">
        <v>258</v>
      </c>
      <c r="M507" t="s">
        <v>24</v>
      </c>
      <c r="N507">
        <v>2.1468096899634172E-2</v>
      </c>
      <c r="O507" t="s">
        <v>6</v>
      </c>
    </row>
    <row r="508" spans="2:15" x14ac:dyDescent="0.45">
      <c r="B508" t="s">
        <v>256</v>
      </c>
      <c r="C508" t="s">
        <v>25</v>
      </c>
      <c r="D508">
        <v>3.0093331472079023E-2</v>
      </c>
      <c r="E508" t="s">
        <v>6</v>
      </c>
      <c r="G508" t="s">
        <v>257</v>
      </c>
      <c r="H508" t="s">
        <v>25</v>
      </c>
      <c r="I508">
        <v>2.0685395525706255E-2</v>
      </c>
      <c r="J508" t="s">
        <v>6</v>
      </c>
      <c r="L508" t="s">
        <v>258</v>
      </c>
      <c r="M508" t="s">
        <v>25</v>
      </c>
      <c r="N508">
        <v>2.1626251626340548E-2</v>
      </c>
      <c r="O508" t="s">
        <v>6</v>
      </c>
    </row>
    <row r="509" spans="2:15" x14ac:dyDescent="0.45">
      <c r="B509" t="s">
        <v>256</v>
      </c>
      <c r="C509" t="s">
        <v>26</v>
      </c>
      <c r="D509">
        <v>2.6413325146459644E-3</v>
      </c>
      <c r="E509" t="s">
        <v>6</v>
      </c>
      <c r="G509" t="s">
        <v>257</v>
      </c>
      <c r="H509" t="s">
        <v>26</v>
      </c>
      <c r="I509">
        <v>1.9700756596178298E-2</v>
      </c>
      <c r="J509" t="s">
        <v>6</v>
      </c>
      <c r="L509" t="s">
        <v>258</v>
      </c>
      <c r="M509" t="s">
        <v>26</v>
      </c>
      <c r="N509">
        <v>2.1628793973095646E-2</v>
      </c>
      <c r="O509" t="s">
        <v>6</v>
      </c>
    </row>
    <row r="510" spans="2:15" x14ac:dyDescent="0.45">
      <c r="B510" t="s">
        <v>256</v>
      </c>
      <c r="C510" t="s">
        <v>27</v>
      </c>
      <c r="D510">
        <v>8.3763549643432487E-6</v>
      </c>
      <c r="E510" t="s">
        <v>6</v>
      </c>
      <c r="G510" t="s">
        <v>257</v>
      </c>
      <c r="H510" t="s">
        <v>27</v>
      </c>
      <c r="I510">
        <v>3.0394680515121817E-2</v>
      </c>
      <c r="J510" t="s">
        <v>6</v>
      </c>
      <c r="L510" t="s">
        <v>258</v>
      </c>
      <c r="M510" t="s">
        <v>27</v>
      </c>
      <c r="N510">
        <v>3.1705816845330852E-2</v>
      </c>
      <c r="O510" t="s">
        <v>6</v>
      </c>
    </row>
    <row r="511" spans="2:15" x14ac:dyDescent="0.45">
      <c r="B511" t="s">
        <v>256</v>
      </c>
      <c r="C511" t="s">
        <v>28</v>
      </c>
      <c r="D511">
        <v>0</v>
      </c>
      <c r="E511" t="s">
        <v>6</v>
      </c>
      <c r="G511" t="s">
        <v>257</v>
      </c>
      <c r="H511" t="s">
        <v>28</v>
      </c>
      <c r="I511">
        <v>2.2767046838591501E-2</v>
      </c>
      <c r="J511" t="s">
        <v>6</v>
      </c>
      <c r="L511" t="s">
        <v>258</v>
      </c>
      <c r="M511" t="s">
        <v>28</v>
      </c>
      <c r="N511">
        <v>3.8433919791359399E-2</v>
      </c>
      <c r="O511" t="s">
        <v>6</v>
      </c>
    </row>
    <row r="512" spans="2:15" x14ac:dyDescent="0.45">
      <c r="B512" t="s">
        <v>256</v>
      </c>
      <c r="C512" t="s">
        <v>29</v>
      </c>
      <c r="D512">
        <v>2.8843785196983633E-3</v>
      </c>
      <c r="E512" t="s">
        <v>6</v>
      </c>
      <c r="G512" t="s">
        <v>257</v>
      </c>
      <c r="H512" t="s">
        <v>29</v>
      </c>
      <c r="I512">
        <v>8.803830321797209E-3</v>
      </c>
      <c r="J512" t="s">
        <v>6</v>
      </c>
      <c r="L512" t="s">
        <v>258</v>
      </c>
      <c r="M512" t="s">
        <v>29</v>
      </c>
      <c r="N512">
        <v>1.5398016235685963E-2</v>
      </c>
      <c r="O512" t="s">
        <v>6</v>
      </c>
    </row>
    <row r="513" spans="2:15" x14ac:dyDescent="0.45">
      <c r="B513" t="s">
        <v>256</v>
      </c>
      <c r="C513" t="s">
        <v>30</v>
      </c>
      <c r="D513">
        <v>2.4130570162182115E-2</v>
      </c>
      <c r="E513" t="s">
        <v>6</v>
      </c>
      <c r="G513" t="s">
        <v>257</v>
      </c>
      <c r="H513" t="s">
        <v>30</v>
      </c>
      <c r="I513">
        <v>9.385285329762719E-3</v>
      </c>
      <c r="J513" t="s">
        <v>6</v>
      </c>
      <c r="L513" t="s">
        <v>258</v>
      </c>
      <c r="M513" t="s">
        <v>30</v>
      </c>
      <c r="N513">
        <v>1.524431712641687E-2</v>
      </c>
      <c r="O513" t="s">
        <v>6</v>
      </c>
    </row>
    <row r="514" spans="2:15" x14ac:dyDescent="0.45">
      <c r="B514" t="s">
        <v>256</v>
      </c>
      <c r="C514" t="s">
        <v>31</v>
      </c>
      <c r="D514">
        <v>5.988118203352788E-2</v>
      </c>
      <c r="E514" t="s">
        <v>6</v>
      </c>
      <c r="G514" t="s">
        <v>257</v>
      </c>
      <c r="H514" t="s">
        <v>31</v>
      </c>
      <c r="I514">
        <v>1.0716575602390005E-2</v>
      </c>
      <c r="J514" t="s">
        <v>6</v>
      </c>
      <c r="L514" t="s">
        <v>258</v>
      </c>
      <c r="M514" t="s">
        <v>31</v>
      </c>
      <c r="N514">
        <v>1.4821144721760292E-2</v>
      </c>
      <c r="O514" t="s">
        <v>6</v>
      </c>
    </row>
    <row r="515" spans="2:15" x14ac:dyDescent="0.45">
      <c r="B515" t="s">
        <v>256</v>
      </c>
      <c r="C515" t="s">
        <v>32</v>
      </c>
      <c r="D515">
        <v>8.3041853255063497E-2</v>
      </c>
      <c r="E515" t="s">
        <v>6</v>
      </c>
      <c r="G515" t="s">
        <v>257</v>
      </c>
      <c r="H515" t="s">
        <v>32</v>
      </c>
      <c r="I515">
        <v>1.166621358039404E-2</v>
      </c>
      <c r="J515" t="s">
        <v>6</v>
      </c>
      <c r="L515" t="s">
        <v>258</v>
      </c>
      <c r="M515" t="s">
        <v>32</v>
      </c>
      <c r="N515">
        <v>1.472688233565933E-2</v>
      </c>
      <c r="O515" t="s">
        <v>6</v>
      </c>
    </row>
    <row r="516" spans="2:15" x14ac:dyDescent="0.45">
      <c r="B516" t="s">
        <v>256</v>
      </c>
      <c r="C516" t="s">
        <v>33</v>
      </c>
      <c r="D516">
        <v>8.637878673268598E-2</v>
      </c>
      <c r="E516" t="s">
        <v>6</v>
      </c>
      <c r="G516" t="s">
        <v>257</v>
      </c>
      <c r="H516" t="s">
        <v>33</v>
      </c>
      <c r="I516">
        <v>1.2506153475070917E-2</v>
      </c>
      <c r="J516" t="s">
        <v>6</v>
      </c>
      <c r="L516" t="s">
        <v>258</v>
      </c>
      <c r="M516" t="s">
        <v>33</v>
      </c>
      <c r="N516">
        <v>1.4729173854795965E-2</v>
      </c>
      <c r="O516" t="s">
        <v>6</v>
      </c>
    </row>
    <row r="517" spans="2:15" x14ac:dyDescent="0.45">
      <c r="B517" t="s">
        <v>256</v>
      </c>
      <c r="C517" t="s">
        <v>34</v>
      </c>
      <c r="D517">
        <v>7.1030944994220427E-2</v>
      </c>
      <c r="E517" t="s">
        <v>6</v>
      </c>
      <c r="G517" t="s">
        <v>257</v>
      </c>
      <c r="H517" t="s">
        <v>34</v>
      </c>
      <c r="I517">
        <v>1.2948413828714211E-2</v>
      </c>
      <c r="J517" t="s">
        <v>6</v>
      </c>
      <c r="L517" t="s">
        <v>258</v>
      </c>
      <c r="M517" t="s">
        <v>34</v>
      </c>
      <c r="N517">
        <v>1.491639709006538E-2</v>
      </c>
      <c r="O517" t="s">
        <v>6</v>
      </c>
    </row>
    <row r="518" spans="2:15" x14ac:dyDescent="0.45">
      <c r="B518" t="s">
        <v>256</v>
      </c>
      <c r="C518" t="s">
        <v>35</v>
      </c>
      <c r="D518">
        <v>3.751348537251304E-2</v>
      </c>
      <c r="E518" t="s">
        <v>6</v>
      </c>
      <c r="G518" t="s">
        <v>257</v>
      </c>
      <c r="H518" t="s">
        <v>35</v>
      </c>
      <c r="I518">
        <v>1.1617751058283162E-2</v>
      </c>
      <c r="J518" t="s">
        <v>6</v>
      </c>
      <c r="L518" t="s">
        <v>258</v>
      </c>
      <c r="M518" t="s">
        <v>35</v>
      </c>
      <c r="N518">
        <v>1.4901769326465794E-2</v>
      </c>
      <c r="O518" t="s">
        <v>6</v>
      </c>
    </row>
    <row r="519" spans="2:15" x14ac:dyDescent="0.45">
      <c r="B519" t="s">
        <v>256</v>
      </c>
      <c r="C519" t="s">
        <v>36</v>
      </c>
      <c r="D519">
        <v>7.408902583236664E-3</v>
      </c>
      <c r="E519" t="s">
        <v>6</v>
      </c>
      <c r="G519" t="s">
        <v>257</v>
      </c>
      <c r="H519" t="s">
        <v>36</v>
      </c>
      <c r="I519">
        <v>1.0283585305589767E-2</v>
      </c>
      <c r="J519" t="s">
        <v>6</v>
      </c>
      <c r="L519" t="s">
        <v>258</v>
      </c>
      <c r="M519" t="s">
        <v>36</v>
      </c>
      <c r="N519">
        <v>1.48858375464965E-2</v>
      </c>
      <c r="O519" t="s">
        <v>6</v>
      </c>
    </row>
    <row r="520" spans="2:15" x14ac:dyDescent="0.45">
      <c r="B520" t="s">
        <v>256</v>
      </c>
      <c r="C520" t="s">
        <v>37</v>
      </c>
      <c r="D520">
        <v>1.934700366638743E-4</v>
      </c>
      <c r="E520" t="s">
        <v>6</v>
      </c>
      <c r="G520" t="s">
        <v>257</v>
      </c>
      <c r="H520" t="s">
        <v>37</v>
      </c>
      <c r="I520">
        <v>1.4078337001202128E-2</v>
      </c>
      <c r="J520" t="s">
        <v>6</v>
      </c>
      <c r="L520" t="s">
        <v>258</v>
      </c>
      <c r="M520" t="s">
        <v>37</v>
      </c>
      <c r="N520">
        <v>2.2462088194997964E-2</v>
      </c>
      <c r="O520" t="s">
        <v>6</v>
      </c>
    </row>
    <row r="521" spans="2:15" x14ac:dyDescent="0.45">
      <c r="B521" t="s">
        <v>256</v>
      </c>
      <c r="C521" t="s">
        <v>38</v>
      </c>
      <c r="D521">
        <v>0</v>
      </c>
      <c r="E521" t="s">
        <v>6</v>
      </c>
      <c r="G521" t="s">
        <v>257</v>
      </c>
      <c r="H521" t="s">
        <v>38</v>
      </c>
      <c r="I521">
        <v>5.8623548274519724E-2</v>
      </c>
      <c r="J521" t="s">
        <v>6</v>
      </c>
      <c r="L521" t="s">
        <v>258</v>
      </c>
      <c r="M521" t="s">
        <v>38</v>
      </c>
      <c r="N521">
        <v>5.2695672655320554E-2</v>
      </c>
      <c r="O521" t="s">
        <v>6</v>
      </c>
    </row>
    <row r="522" spans="2:15" x14ac:dyDescent="0.45">
      <c r="B522" t="s">
        <v>256</v>
      </c>
      <c r="C522" t="s">
        <v>39</v>
      </c>
      <c r="D522">
        <v>0</v>
      </c>
      <c r="E522" t="s">
        <v>6</v>
      </c>
      <c r="G522" t="s">
        <v>257</v>
      </c>
      <c r="H522" t="s">
        <v>39</v>
      </c>
      <c r="I522">
        <v>2.3082722653159578E-2</v>
      </c>
      <c r="J522" t="s">
        <v>6</v>
      </c>
      <c r="L522" t="s">
        <v>258</v>
      </c>
      <c r="M522" t="s">
        <v>39</v>
      </c>
      <c r="N522">
        <v>2.176043218943564E-2</v>
      </c>
      <c r="O522" t="s">
        <v>6</v>
      </c>
    </row>
    <row r="523" spans="2:15" x14ac:dyDescent="0.45">
      <c r="B523" t="s">
        <v>256</v>
      </c>
      <c r="C523" t="s">
        <v>40</v>
      </c>
      <c r="D523">
        <v>3.4752196362281174E-3</v>
      </c>
      <c r="E523" t="s">
        <v>6</v>
      </c>
      <c r="G523" t="s">
        <v>257</v>
      </c>
      <c r="H523" t="s">
        <v>40</v>
      </c>
      <c r="I523">
        <v>2.2424896239735273E-2</v>
      </c>
      <c r="J523" t="s">
        <v>6</v>
      </c>
      <c r="L523" t="s">
        <v>258</v>
      </c>
      <c r="M523" t="s">
        <v>40</v>
      </c>
      <c r="N523">
        <v>2.2020377354100722E-2</v>
      </c>
      <c r="O523" t="s">
        <v>6</v>
      </c>
    </row>
    <row r="524" spans="2:15" x14ac:dyDescent="0.45">
      <c r="B524" t="s">
        <v>256</v>
      </c>
      <c r="C524" t="s">
        <v>41</v>
      </c>
      <c r="D524">
        <v>2.6229027272511168E-2</v>
      </c>
      <c r="E524" t="s">
        <v>6</v>
      </c>
      <c r="G524" t="s">
        <v>257</v>
      </c>
      <c r="H524" t="s">
        <v>41</v>
      </c>
      <c r="I524">
        <v>2.2870027713151827E-2</v>
      </c>
      <c r="J524" t="s">
        <v>6</v>
      </c>
      <c r="L524" t="s">
        <v>258</v>
      </c>
      <c r="M524" t="s">
        <v>41</v>
      </c>
      <c r="N524">
        <v>2.1968403701241767E-2</v>
      </c>
      <c r="O524" t="s">
        <v>6</v>
      </c>
    </row>
    <row r="525" spans="2:15" x14ac:dyDescent="0.45">
      <c r="B525" t="s">
        <v>256</v>
      </c>
      <c r="C525" t="s">
        <v>42</v>
      </c>
      <c r="D525">
        <v>5.0062647631451254E-2</v>
      </c>
      <c r="E525" t="s">
        <v>6</v>
      </c>
      <c r="G525" t="s">
        <v>257</v>
      </c>
      <c r="H525" t="s">
        <v>42</v>
      </c>
      <c r="I525">
        <v>2.4089380865982481E-2</v>
      </c>
      <c r="J525" t="s">
        <v>6</v>
      </c>
      <c r="L525" t="s">
        <v>258</v>
      </c>
      <c r="M525" t="s">
        <v>42</v>
      </c>
      <c r="N525">
        <v>2.1925676823320313E-2</v>
      </c>
      <c r="O525" t="s">
        <v>6</v>
      </c>
    </row>
    <row r="526" spans="2:15" x14ac:dyDescent="0.45">
      <c r="B526" t="s">
        <v>256</v>
      </c>
      <c r="C526" t="s">
        <v>43</v>
      </c>
      <c r="D526">
        <v>4.9122467946506404E-2</v>
      </c>
      <c r="E526" t="s">
        <v>6</v>
      </c>
      <c r="G526" t="s">
        <v>257</v>
      </c>
      <c r="H526" t="s">
        <v>43</v>
      </c>
      <c r="I526">
        <v>2.447014717995365E-2</v>
      </c>
      <c r="J526" t="s">
        <v>6</v>
      </c>
      <c r="L526" t="s">
        <v>258</v>
      </c>
      <c r="M526" t="s">
        <v>43</v>
      </c>
      <c r="N526">
        <v>2.1937000080208657E-2</v>
      </c>
      <c r="O526" t="s">
        <v>6</v>
      </c>
    </row>
    <row r="527" spans="2:15" x14ac:dyDescent="0.45">
      <c r="B527" t="s">
        <v>256</v>
      </c>
      <c r="C527" t="s">
        <v>44</v>
      </c>
      <c r="D527">
        <v>2.921246945739233E-2</v>
      </c>
      <c r="E527" t="s">
        <v>6</v>
      </c>
      <c r="G527" t="s">
        <v>257</v>
      </c>
      <c r="H527" t="s">
        <v>44</v>
      </c>
      <c r="I527">
        <v>2.4291200021594947E-2</v>
      </c>
      <c r="J527" t="s">
        <v>6</v>
      </c>
      <c r="L527" t="s">
        <v>258</v>
      </c>
      <c r="M527" t="s">
        <v>44</v>
      </c>
      <c r="N527">
        <v>2.1986429386534927E-2</v>
      </c>
      <c r="O527" t="s">
        <v>6</v>
      </c>
    </row>
    <row r="528" spans="2:15" x14ac:dyDescent="0.45">
      <c r="B528" t="s">
        <v>256</v>
      </c>
      <c r="C528" t="s">
        <v>45</v>
      </c>
      <c r="D528">
        <v>6.4297552933069721E-3</v>
      </c>
      <c r="E528" t="s">
        <v>6</v>
      </c>
      <c r="G528" t="s">
        <v>257</v>
      </c>
      <c r="H528" t="s">
        <v>45</v>
      </c>
      <c r="I528">
        <v>2.357284148825288E-2</v>
      </c>
      <c r="J528" t="s">
        <v>6</v>
      </c>
      <c r="L528" t="s">
        <v>258</v>
      </c>
      <c r="M528" t="s">
        <v>45</v>
      </c>
      <c r="N528">
        <v>2.1913208948088715E-2</v>
      </c>
      <c r="O528" t="s">
        <v>6</v>
      </c>
    </row>
    <row r="529" spans="2:15" x14ac:dyDescent="0.45">
      <c r="B529" t="s">
        <v>256</v>
      </c>
      <c r="C529" t="s">
        <v>46</v>
      </c>
      <c r="D529">
        <v>3.3110260927879048E-5</v>
      </c>
      <c r="E529" t="s">
        <v>6</v>
      </c>
      <c r="G529" t="s">
        <v>257</v>
      </c>
      <c r="H529" t="s">
        <v>46</v>
      </c>
      <c r="I529">
        <v>2.3723516808956121E-2</v>
      </c>
      <c r="J529" t="s">
        <v>6</v>
      </c>
      <c r="L529" t="s">
        <v>258</v>
      </c>
      <c r="M529" t="s">
        <v>46</v>
      </c>
      <c r="N529">
        <v>2.1696905462240974E-2</v>
      </c>
      <c r="O529" t="s">
        <v>6</v>
      </c>
    </row>
    <row r="530" spans="2:15" x14ac:dyDescent="0.45">
      <c r="B530" t="s">
        <v>256</v>
      </c>
      <c r="C530" t="s">
        <v>47</v>
      </c>
      <c r="D530">
        <v>0</v>
      </c>
      <c r="E530" t="s">
        <v>6</v>
      </c>
      <c r="G530" t="s">
        <v>257</v>
      </c>
      <c r="H530" t="s">
        <v>47</v>
      </c>
      <c r="I530">
        <v>3.5468565004856019E-2</v>
      </c>
      <c r="J530" t="s">
        <v>6</v>
      </c>
      <c r="L530" t="s">
        <v>258</v>
      </c>
      <c r="M530" t="s">
        <v>47</v>
      </c>
      <c r="N530">
        <v>3.1766876693856451E-2</v>
      </c>
      <c r="O530" t="s">
        <v>6</v>
      </c>
    </row>
    <row r="531" spans="2:15" x14ac:dyDescent="0.45">
      <c r="B531" t="s">
        <v>259</v>
      </c>
      <c r="C531" t="s">
        <v>5</v>
      </c>
      <c r="D531">
        <v>0</v>
      </c>
      <c r="E531" t="s">
        <v>6</v>
      </c>
      <c r="G531" t="s">
        <v>260</v>
      </c>
      <c r="H531" t="s">
        <v>5</v>
      </c>
      <c r="I531">
        <v>6.7205412280561594E-2</v>
      </c>
      <c r="J531" t="s">
        <v>6</v>
      </c>
      <c r="L531" t="s">
        <v>261</v>
      </c>
      <c r="M531" t="s">
        <v>5</v>
      </c>
      <c r="N531">
        <v>5.951275638296194E-2</v>
      </c>
      <c r="O531" t="s">
        <v>6</v>
      </c>
    </row>
    <row r="532" spans="2:15" x14ac:dyDescent="0.45">
      <c r="B532" t="s">
        <v>259</v>
      </c>
      <c r="C532" t="s">
        <v>9</v>
      </c>
      <c r="D532">
        <v>0</v>
      </c>
      <c r="E532" t="s">
        <v>6</v>
      </c>
      <c r="G532" t="s">
        <v>260</v>
      </c>
      <c r="H532" t="s">
        <v>9</v>
      </c>
      <c r="I532">
        <v>2.6121471474322044E-2</v>
      </c>
      <c r="J532" t="s">
        <v>6</v>
      </c>
      <c r="L532" t="s">
        <v>261</v>
      </c>
      <c r="M532" t="s">
        <v>9</v>
      </c>
      <c r="N532">
        <v>2.2876896364136968E-2</v>
      </c>
      <c r="O532" t="s">
        <v>6</v>
      </c>
    </row>
    <row r="533" spans="2:15" x14ac:dyDescent="0.45">
      <c r="B533" t="s">
        <v>259</v>
      </c>
      <c r="C533" t="s">
        <v>10</v>
      </c>
      <c r="D533">
        <v>3.1789776248009837E-5</v>
      </c>
      <c r="E533" t="s">
        <v>6</v>
      </c>
      <c r="G533" t="s">
        <v>260</v>
      </c>
      <c r="H533" t="s">
        <v>10</v>
      </c>
      <c r="I533">
        <v>2.6404197776899965E-2</v>
      </c>
      <c r="J533" t="s">
        <v>6</v>
      </c>
      <c r="L533" t="s">
        <v>261</v>
      </c>
      <c r="M533" t="s">
        <v>10</v>
      </c>
      <c r="N533">
        <v>2.3392686636970302E-2</v>
      </c>
      <c r="O533" t="s">
        <v>6</v>
      </c>
    </row>
    <row r="534" spans="2:15" x14ac:dyDescent="0.45">
      <c r="B534" t="s">
        <v>259</v>
      </c>
      <c r="C534" t="s">
        <v>11</v>
      </c>
      <c r="D534">
        <v>1.02783257620493E-2</v>
      </c>
      <c r="E534" t="s">
        <v>6</v>
      </c>
      <c r="G534" t="s">
        <v>260</v>
      </c>
      <c r="H534" t="s">
        <v>11</v>
      </c>
      <c r="I534">
        <v>2.6271574732979055E-2</v>
      </c>
      <c r="J534" t="s">
        <v>6</v>
      </c>
      <c r="L534" t="s">
        <v>261</v>
      </c>
      <c r="M534" t="s">
        <v>11</v>
      </c>
      <c r="N534">
        <v>2.4231108219088349E-2</v>
      </c>
      <c r="O534" t="s">
        <v>6</v>
      </c>
    </row>
    <row r="535" spans="2:15" x14ac:dyDescent="0.45">
      <c r="B535" t="s">
        <v>259</v>
      </c>
      <c r="C535" t="s">
        <v>12</v>
      </c>
      <c r="D535">
        <v>3.5190086545111646E-2</v>
      </c>
      <c r="E535" t="s">
        <v>6</v>
      </c>
      <c r="G535" t="s">
        <v>260</v>
      </c>
      <c r="H535" t="s">
        <v>12</v>
      </c>
      <c r="I535">
        <v>2.6246576248412493E-2</v>
      </c>
      <c r="J535" t="s">
        <v>6</v>
      </c>
      <c r="L535" t="s">
        <v>261</v>
      </c>
      <c r="M535" t="s">
        <v>12</v>
      </c>
      <c r="N535">
        <v>2.4446567997134495E-2</v>
      </c>
      <c r="O535" t="s">
        <v>6</v>
      </c>
    </row>
    <row r="536" spans="2:15" x14ac:dyDescent="0.45">
      <c r="B536" t="s">
        <v>259</v>
      </c>
      <c r="C536" t="s">
        <v>13</v>
      </c>
      <c r="D536">
        <v>3.9708308489151488E-2</v>
      </c>
      <c r="E536" t="s">
        <v>6</v>
      </c>
      <c r="G536" t="s">
        <v>260</v>
      </c>
      <c r="H536" t="s">
        <v>13</v>
      </c>
      <c r="I536">
        <v>2.622505820231472E-2</v>
      </c>
      <c r="J536" t="s">
        <v>6</v>
      </c>
      <c r="L536" t="s">
        <v>261</v>
      </c>
      <c r="M536" t="s">
        <v>13</v>
      </c>
      <c r="N536">
        <v>2.4750705915237019E-2</v>
      </c>
      <c r="O536" t="s">
        <v>6</v>
      </c>
    </row>
    <row r="537" spans="2:15" x14ac:dyDescent="0.45">
      <c r="B537" t="s">
        <v>259</v>
      </c>
      <c r="C537" t="s">
        <v>14</v>
      </c>
      <c r="D537">
        <v>1.9603788006584005E-2</v>
      </c>
      <c r="E537" t="s">
        <v>6</v>
      </c>
      <c r="G537" t="s">
        <v>260</v>
      </c>
      <c r="H537" t="s">
        <v>14</v>
      </c>
      <c r="I537">
        <v>2.597370861777959E-2</v>
      </c>
      <c r="J537" t="s">
        <v>6</v>
      </c>
      <c r="L537" t="s">
        <v>261</v>
      </c>
      <c r="M537" t="s">
        <v>14</v>
      </c>
      <c r="N537">
        <v>2.5326462240891644E-2</v>
      </c>
      <c r="O537" t="s">
        <v>6</v>
      </c>
    </row>
    <row r="538" spans="2:15" x14ac:dyDescent="0.45">
      <c r="B538" t="s">
        <v>259</v>
      </c>
      <c r="C538" t="s">
        <v>15</v>
      </c>
      <c r="D538">
        <v>2.0854739423158881E-3</v>
      </c>
      <c r="E538" t="s">
        <v>6</v>
      </c>
      <c r="G538" t="s">
        <v>260</v>
      </c>
      <c r="H538" t="s">
        <v>15</v>
      </c>
      <c r="I538">
        <v>2.6655931220495747E-2</v>
      </c>
      <c r="J538" t="s">
        <v>6</v>
      </c>
      <c r="L538" t="s">
        <v>261</v>
      </c>
      <c r="M538" t="s">
        <v>15</v>
      </c>
      <c r="N538">
        <v>2.503257355793817E-2</v>
      </c>
      <c r="O538" t="s">
        <v>6</v>
      </c>
    </row>
    <row r="539" spans="2:15" x14ac:dyDescent="0.45">
      <c r="B539" t="s">
        <v>259</v>
      </c>
      <c r="C539" t="s">
        <v>16</v>
      </c>
      <c r="D539">
        <v>0</v>
      </c>
      <c r="E539" t="s">
        <v>6</v>
      </c>
      <c r="G539" t="s">
        <v>260</v>
      </c>
      <c r="H539" t="s">
        <v>16</v>
      </c>
      <c r="I539">
        <v>2.7441462963276365E-2</v>
      </c>
      <c r="J539" t="s">
        <v>6</v>
      </c>
      <c r="L539" t="s">
        <v>261</v>
      </c>
      <c r="M539" t="s">
        <v>16</v>
      </c>
      <c r="N539">
        <v>2.4690740668012238E-2</v>
      </c>
      <c r="O539" t="s">
        <v>6</v>
      </c>
    </row>
    <row r="540" spans="2:15" x14ac:dyDescent="0.45">
      <c r="B540" t="s">
        <v>259</v>
      </c>
      <c r="C540" t="s">
        <v>17</v>
      </c>
      <c r="D540">
        <v>0</v>
      </c>
      <c r="E540" t="s">
        <v>6</v>
      </c>
      <c r="G540" t="s">
        <v>260</v>
      </c>
      <c r="H540" t="s">
        <v>17</v>
      </c>
      <c r="I540">
        <v>4.0873016502958187E-2</v>
      </c>
      <c r="J540" t="s">
        <v>6</v>
      </c>
      <c r="L540" t="s">
        <v>261</v>
      </c>
      <c r="M540" t="s">
        <v>17</v>
      </c>
      <c r="N540">
        <v>3.6049616995077353E-2</v>
      </c>
      <c r="O540" t="s">
        <v>6</v>
      </c>
    </row>
    <row r="541" spans="2:15" x14ac:dyDescent="0.45">
      <c r="B541" t="s">
        <v>259</v>
      </c>
      <c r="C541" t="s">
        <v>18</v>
      </c>
      <c r="D541">
        <v>0</v>
      </c>
      <c r="E541" t="s">
        <v>6</v>
      </c>
      <c r="G541" t="s">
        <v>260</v>
      </c>
      <c r="H541" t="s">
        <v>18</v>
      </c>
      <c r="I541">
        <v>5.2729552408752281E-2</v>
      </c>
      <c r="J541" t="s">
        <v>6</v>
      </c>
      <c r="L541" t="s">
        <v>261</v>
      </c>
      <c r="M541" t="s">
        <v>18</v>
      </c>
      <c r="N541">
        <v>5.2278351055502541E-2</v>
      </c>
      <c r="O541" t="s">
        <v>6</v>
      </c>
    </row>
    <row r="542" spans="2:15" x14ac:dyDescent="0.45">
      <c r="B542" t="s">
        <v>259</v>
      </c>
      <c r="C542" t="s">
        <v>19</v>
      </c>
      <c r="D542">
        <v>1.2730017460127804E-3</v>
      </c>
      <c r="E542" t="s">
        <v>6</v>
      </c>
      <c r="G542" t="s">
        <v>260</v>
      </c>
      <c r="H542" t="s">
        <v>19</v>
      </c>
      <c r="I542">
        <v>2.1441853010236364E-2</v>
      </c>
      <c r="J542" t="s">
        <v>6</v>
      </c>
      <c r="L542" t="s">
        <v>261</v>
      </c>
      <c r="M542" t="s">
        <v>19</v>
      </c>
      <c r="N542">
        <v>2.0922438061260127E-2</v>
      </c>
      <c r="O542" t="s">
        <v>6</v>
      </c>
    </row>
    <row r="543" spans="2:15" x14ac:dyDescent="0.45">
      <c r="B543" t="s">
        <v>259</v>
      </c>
      <c r="C543" t="s">
        <v>20</v>
      </c>
      <c r="D543">
        <v>1.9646052573034457E-2</v>
      </c>
      <c r="E543" t="s">
        <v>6</v>
      </c>
      <c r="G543" t="s">
        <v>260</v>
      </c>
      <c r="H543" t="s">
        <v>20</v>
      </c>
      <c r="I543">
        <v>2.2240651249815516E-2</v>
      </c>
      <c r="J543" t="s">
        <v>6</v>
      </c>
      <c r="L543" t="s">
        <v>261</v>
      </c>
      <c r="M543" t="s">
        <v>20</v>
      </c>
      <c r="N543">
        <v>2.129496812511688E-2</v>
      </c>
      <c r="O543" t="s">
        <v>6</v>
      </c>
    </row>
    <row r="544" spans="2:15" x14ac:dyDescent="0.45">
      <c r="B544" t="s">
        <v>259</v>
      </c>
      <c r="C544" t="s">
        <v>21</v>
      </c>
      <c r="D544">
        <v>6.1702333019427326E-2</v>
      </c>
      <c r="E544" t="s">
        <v>6</v>
      </c>
      <c r="G544" t="s">
        <v>260</v>
      </c>
      <c r="H544" t="s">
        <v>21</v>
      </c>
      <c r="I544">
        <v>2.3790893259325183E-2</v>
      </c>
      <c r="J544" t="s">
        <v>6</v>
      </c>
      <c r="L544" t="s">
        <v>261</v>
      </c>
      <c r="M544" t="s">
        <v>21</v>
      </c>
      <c r="N544">
        <v>2.1274377904274396E-2</v>
      </c>
      <c r="O544" t="s">
        <v>6</v>
      </c>
    </row>
    <row r="545" spans="2:15" x14ac:dyDescent="0.45">
      <c r="B545" t="s">
        <v>259</v>
      </c>
      <c r="C545" t="s">
        <v>22</v>
      </c>
      <c r="D545">
        <v>8.8645241127881441E-2</v>
      </c>
      <c r="E545" t="s">
        <v>6</v>
      </c>
      <c r="G545" t="s">
        <v>260</v>
      </c>
      <c r="H545" t="s">
        <v>22</v>
      </c>
      <c r="I545">
        <v>2.3723421896599501E-2</v>
      </c>
      <c r="J545" t="s">
        <v>6</v>
      </c>
      <c r="L545" t="s">
        <v>261</v>
      </c>
      <c r="M545" t="s">
        <v>22</v>
      </c>
      <c r="N545">
        <v>2.1550477293250027E-2</v>
      </c>
      <c r="O545" t="s">
        <v>6</v>
      </c>
    </row>
    <row r="546" spans="2:15" x14ac:dyDescent="0.45">
      <c r="B546" t="s">
        <v>259</v>
      </c>
      <c r="C546" t="s">
        <v>23</v>
      </c>
      <c r="D546">
        <v>9.0404479651594094E-2</v>
      </c>
      <c r="E546" t="s">
        <v>6</v>
      </c>
      <c r="G546" t="s">
        <v>260</v>
      </c>
      <c r="H546" t="s">
        <v>23</v>
      </c>
      <c r="I546">
        <v>2.4055311475101343E-2</v>
      </c>
      <c r="J546" t="s">
        <v>6</v>
      </c>
      <c r="L546" t="s">
        <v>261</v>
      </c>
      <c r="M546" t="s">
        <v>23</v>
      </c>
      <c r="N546">
        <v>2.1697397706220249E-2</v>
      </c>
      <c r="O546" t="s">
        <v>6</v>
      </c>
    </row>
    <row r="547" spans="2:15" x14ac:dyDescent="0.45">
      <c r="B547" t="s">
        <v>259</v>
      </c>
      <c r="C547" t="s">
        <v>24</v>
      </c>
      <c r="D547">
        <v>6.8381760665313082E-2</v>
      </c>
      <c r="E547" t="s">
        <v>6</v>
      </c>
      <c r="G547" t="s">
        <v>260</v>
      </c>
      <c r="H547" t="s">
        <v>24</v>
      </c>
      <c r="I547">
        <v>2.4098312960490666E-2</v>
      </c>
      <c r="J547" t="s">
        <v>6</v>
      </c>
      <c r="L547" t="s">
        <v>261</v>
      </c>
      <c r="M547" t="s">
        <v>24</v>
      </c>
      <c r="N547">
        <v>2.1328511378723002E-2</v>
      </c>
      <c r="O547" t="s">
        <v>6</v>
      </c>
    </row>
    <row r="548" spans="2:15" x14ac:dyDescent="0.45">
      <c r="B548" t="s">
        <v>259</v>
      </c>
      <c r="C548" t="s">
        <v>25</v>
      </c>
      <c r="D548">
        <v>2.9749377604358918E-2</v>
      </c>
      <c r="E548" t="s">
        <v>6</v>
      </c>
      <c r="G548" t="s">
        <v>260</v>
      </c>
      <c r="H548" t="s">
        <v>25</v>
      </c>
      <c r="I548">
        <v>2.2707270136806793E-2</v>
      </c>
      <c r="J548" t="s">
        <v>6</v>
      </c>
      <c r="L548" t="s">
        <v>261</v>
      </c>
      <c r="M548" t="s">
        <v>25</v>
      </c>
      <c r="N548">
        <v>2.0794098950635862E-2</v>
      </c>
      <c r="O548" t="s">
        <v>6</v>
      </c>
    </row>
    <row r="549" spans="2:15" x14ac:dyDescent="0.45">
      <c r="B549" t="s">
        <v>259</v>
      </c>
      <c r="C549" t="s">
        <v>26</v>
      </c>
      <c r="D549">
        <v>2.4745381379881063E-3</v>
      </c>
      <c r="E549" t="s">
        <v>6</v>
      </c>
      <c r="G549" t="s">
        <v>260</v>
      </c>
      <c r="H549" t="s">
        <v>26</v>
      </c>
      <c r="I549">
        <v>2.2169366206602321E-2</v>
      </c>
      <c r="J549" t="s">
        <v>6</v>
      </c>
      <c r="L549" t="s">
        <v>261</v>
      </c>
      <c r="M549" t="s">
        <v>26</v>
      </c>
      <c r="N549">
        <v>2.0632123485846102E-2</v>
      </c>
      <c r="O549" t="s">
        <v>6</v>
      </c>
    </row>
    <row r="550" spans="2:15" x14ac:dyDescent="0.45">
      <c r="B550" t="s">
        <v>259</v>
      </c>
      <c r="C550" t="s">
        <v>27</v>
      </c>
      <c r="D550">
        <v>1.9295472781747658E-5</v>
      </c>
      <c r="E550" t="s">
        <v>6</v>
      </c>
      <c r="G550" t="s">
        <v>260</v>
      </c>
      <c r="H550" t="s">
        <v>27</v>
      </c>
      <c r="I550">
        <v>3.2437748025647049E-2</v>
      </c>
      <c r="J550" t="s">
        <v>6</v>
      </c>
      <c r="L550" t="s">
        <v>261</v>
      </c>
      <c r="M550" t="s">
        <v>27</v>
      </c>
      <c r="N550">
        <v>3.1182681719720832E-2</v>
      </c>
      <c r="O550" t="s">
        <v>6</v>
      </c>
    </row>
    <row r="551" spans="2:15" x14ac:dyDescent="0.45">
      <c r="B551" t="s">
        <v>259</v>
      </c>
      <c r="C551" t="s">
        <v>28</v>
      </c>
      <c r="D551">
        <v>2.0320072596446759E-6</v>
      </c>
      <c r="E551" t="s">
        <v>6</v>
      </c>
      <c r="G551" t="s">
        <v>260</v>
      </c>
      <c r="H551" t="s">
        <v>28</v>
      </c>
      <c r="I551">
        <v>2.6523977758208972E-2</v>
      </c>
      <c r="J551" t="s">
        <v>6</v>
      </c>
      <c r="L551" t="s">
        <v>261</v>
      </c>
      <c r="M551" t="s">
        <v>28</v>
      </c>
      <c r="N551">
        <v>4.5698036281555464E-2</v>
      </c>
      <c r="O551" t="s">
        <v>6</v>
      </c>
    </row>
    <row r="552" spans="2:15" x14ac:dyDescent="0.45">
      <c r="B552" t="s">
        <v>259</v>
      </c>
      <c r="C552" t="s">
        <v>29</v>
      </c>
      <c r="D552">
        <v>3.1129478487706744E-3</v>
      </c>
      <c r="E552" t="s">
        <v>6</v>
      </c>
      <c r="G552" t="s">
        <v>260</v>
      </c>
      <c r="H552" t="s">
        <v>29</v>
      </c>
      <c r="I552">
        <v>1.0595275212837313E-2</v>
      </c>
      <c r="J552" t="s">
        <v>6</v>
      </c>
      <c r="L552" t="s">
        <v>261</v>
      </c>
      <c r="M552" t="s">
        <v>29</v>
      </c>
      <c r="N552">
        <v>1.7748144431920725E-2</v>
      </c>
      <c r="O552" t="s">
        <v>6</v>
      </c>
    </row>
    <row r="553" spans="2:15" x14ac:dyDescent="0.45">
      <c r="B553" t="s">
        <v>259</v>
      </c>
      <c r="C553" t="s">
        <v>30</v>
      </c>
      <c r="D553">
        <v>2.4189853167250291E-2</v>
      </c>
      <c r="E553" t="s">
        <v>6</v>
      </c>
      <c r="G553" t="s">
        <v>260</v>
      </c>
      <c r="H553" t="s">
        <v>30</v>
      </c>
      <c r="I553">
        <v>1.1182201795062857E-2</v>
      </c>
      <c r="J553" t="s">
        <v>6</v>
      </c>
      <c r="L553" t="s">
        <v>261</v>
      </c>
      <c r="M553" t="s">
        <v>30</v>
      </c>
      <c r="N553">
        <v>1.774023116375616E-2</v>
      </c>
      <c r="O553" t="s">
        <v>6</v>
      </c>
    </row>
    <row r="554" spans="2:15" x14ac:dyDescent="0.45">
      <c r="B554" t="s">
        <v>259</v>
      </c>
      <c r="C554" t="s">
        <v>31</v>
      </c>
      <c r="D554">
        <v>5.8813339237754197E-2</v>
      </c>
      <c r="E554" t="s">
        <v>6</v>
      </c>
      <c r="G554" t="s">
        <v>260</v>
      </c>
      <c r="H554" t="s">
        <v>31</v>
      </c>
      <c r="I554">
        <v>1.215286606526186E-2</v>
      </c>
      <c r="J554" t="s">
        <v>6</v>
      </c>
      <c r="L554" t="s">
        <v>261</v>
      </c>
      <c r="M554" t="s">
        <v>31</v>
      </c>
      <c r="N554">
        <v>1.7813581402064918E-2</v>
      </c>
      <c r="O554" t="s">
        <v>6</v>
      </c>
    </row>
    <row r="555" spans="2:15" x14ac:dyDescent="0.45">
      <c r="B555" t="s">
        <v>259</v>
      </c>
      <c r="C555" t="s">
        <v>32</v>
      </c>
      <c r="D555">
        <v>8.0149371970644659E-2</v>
      </c>
      <c r="E555" t="s">
        <v>6</v>
      </c>
      <c r="G555" t="s">
        <v>260</v>
      </c>
      <c r="H555" t="s">
        <v>32</v>
      </c>
      <c r="I555">
        <v>1.302369171340604E-2</v>
      </c>
      <c r="J555" t="s">
        <v>6</v>
      </c>
      <c r="L555" t="s">
        <v>261</v>
      </c>
      <c r="M555" t="s">
        <v>32</v>
      </c>
      <c r="N555">
        <v>1.8304358393576033E-2</v>
      </c>
      <c r="O555" t="s">
        <v>6</v>
      </c>
    </row>
    <row r="556" spans="2:15" x14ac:dyDescent="0.45">
      <c r="B556" t="s">
        <v>259</v>
      </c>
      <c r="C556" t="s">
        <v>33</v>
      </c>
      <c r="D556">
        <v>8.5431263172996971E-2</v>
      </c>
      <c r="E556" t="s">
        <v>6</v>
      </c>
      <c r="G556" t="s">
        <v>260</v>
      </c>
      <c r="H556" t="s">
        <v>33</v>
      </c>
      <c r="I556">
        <v>1.4071051290400731E-2</v>
      </c>
      <c r="J556" t="s">
        <v>6</v>
      </c>
      <c r="L556" t="s">
        <v>261</v>
      </c>
      <c r="M556" t="s">
        <v>33</v>
      </c>
      <c r="N556">
        <v>1.8901975257273954E-2</v>
      </c>
      <c r="O556" t="s">
        <v>6</v>
      </c>
    </row>
    <row r="557" spans="2:15" x14ac:dyDescent="0.45">
      <c r="B557" t="s">
        <v>259</v>
      </c>
      <c r="C557" t="s">
        <v>34</v>
      </c>
      <c r="D557">
        <v>7.0808780580835895E-2</v>
      </c>
      <c r="E557" t="s">
        <v>6</v>
      </c>
      <c r="G557" t="s">
        <v>260</v>
      </c>
      <c r="H557" t="s">
        <v>34</v>
      </c>
      <c r="I557">
        <v>1.4095133830584855E-2</v>
      </c>
      <c r="J557" t="s">
        <v>6</v>
      </c>
      <c r="L557" t="s">
        <v>261</v>
      </c>
      <c r="M557" t="s">
        <v>34</v>
      </c>
      <c r="N557">
        <v>1.9140554036936222E-2</v>
      </c>
      <c r="O557" t="s">
        <v>6</v>
      </c>
    </row>
    <row r="558" spans="2:15" x14ac:dyDescent="0.45">
      <c r="B558" t="s">
        <v>259</v>
      </c>
      <c r="C558" t="s">
        <v>35</v>
      </c>
      <c r="D558">
        <v>3.6489364475022254E-2</v>
      </c>
      <c r="E558" t="s">
        <v>6</v>
      </c>
      <c r="G558" t="s">
        <v>260</v>
      </c>
      <c r="H558" t="s">
        <v>35</v>
      </c>
      <c r="I558">
        <v>1.2870611249538878E-2</v>
      </c>
      <c r="J558" t="s">
        <v>6</v>
      </c>
      <c r="L558" t="s">
        <v>261</v>
      </c>
      <c r="M558" t="s">
        <v>35</v>
      </c>
      <c r="N558">
        <v>1.9129376124226459E-2</v>
      </c>
      <c r="O558" t="s">
        <v>6</v>
      </c>
    </row>
    <row r="559" spans="2:15" x14ac:dyDescent="0.45">
      <c r="B559" t="s">
        <v>259</v>
      </c>
      <c r="C559" t="s">
        <v>36</v>
      </c>
      <c r="D559">
        <v>6.7020270820170764E-3</v>
      </c>
      <c r="E559" t="s">
        <v>6</v>
      </c>
      <c r="G559" t="s">
        <v>260</v>
      </c>
      <c r="H559" t="s">
        <v>36</v>
      </c>
      <c r="I559">
        <v>1.1823177992995265E-2</v>
      </c>
      <c r="J559" t="s">
        <v>6</v>
      </c>
      <c r="L559" t="s">
        <v>261</v>
      </c>
      <c r="M559" t="s">
        <v>36</v>
      </c>
      <c r="N559">
        <v>1.8757034729267177E-2</v>
      </c>
      <c r="O559" t="s">
        <v>6</v>
      </c>
    </row>
    <row r="560" spans="2:15" x14ac:dyDescent="0.45">
      <c r="B560" t="s">
        <v>259</v>
      </c>
      <c r="C560" t="s">
        <v>37</v>
      </c>
      <c r="D560">
        <v>2.4963830157111703E-4</v>
      </c>
      <c r="E560" t="s">
        <v>6</v>
      </c>
      <c r="G560" t="s">
        <v>260</v>
      </c>
      <c r="H560" t="s">
        <v>37</v>
      </c>
      <c r="I560">
        <v>1.7014740453507694E-2</v>
      </c>
      <c r="J560" t="s">
        <v>6</v>
      </c>
      <c r="L560" t="s">
        <v>261</v>
      </c>
      <c r="M560" t="s">
        <v>37</v>
      </c>
      <c r="N560">
        <v>2.7556936485345844E-2</v>
      </c>
      <c r="O560" t="s">
        <v>6</v>
      </c>
    </row>
    <row r="561" spans="2:15" x14ac:dyDescent="0.45">
      <c r="B561" t="s">
        <v>259</v>
      </c>
      <c r="C561" t="s">
        <v>38</v>
      </c>
      <c r="D561">
        <v>0</v>
      </c>
      <c r="E561" t="s">
        <v>6</v>
      </c>
      <c r="G561" t="s">
        <v>260</v>
      </c>
      <c r="H561" t="s">
        <v>38</v>
      </c>
      <c r="I561">
        <v>5.4737244679242882E-2</v>
      </c>
      <c r="J561" t="s">
        <v>6</v>
      </c>
      <c r="L561" t="s">
        <v>261</v>
      </c>
      <c r="M561" t="s">
        <v>38</v>
      </c>
      <c r="N561">
        <v>4.9155273418037042E-2</v>
      </c>
      <c r="O561" t="s">
        <v>6</v>
      </c>
    </row>
    <row r="562" spans="2:15" x14ac:dyDescent="0.45">
      <c r="B562" t="s">
        <v>259</v>
      </c>
      <c r="C562" t="s">
        <v>39</v>
      </c>
      <c r="D562">
        <v>1.2642021061784441E-9</v>
      </c>
      <c r="E562" t="s">
        <v>6</v>
      </c>
      <c r="G562" t="s">
        <v>260</v>
      </c>
      <c r="H562" t="s">
        <v>39</v>
      </c>
      <c r="I562">
        <v>2.0853185753022401E-2</v>
      </c>
      <c r="J562" t="s">
        <v>6</v>
      </c>
      <c r="L562" t="s">
        <v>261</v>
      </c>
      <c r="M562" t="s">
        <v>39</v>
      </c>
      <c r="N562">
        <v>1.8926415717092877E-2</v>
      </c>
      <c r="O562" t="s">
        <v>6</v>
      </c>
    </row>
    <row r="563" spans="2:15" x14ac:dyDescent="0.45">
      <c r="B563" t="s">
        <v>259</v>
      </c>
      <c r="C563" t="s">
        <v>40</v>
      </c>
      <c r="D563">
        <v>3.6540126990925077E-3</v>
      </c>
      <c r="E563" t="s">
        <v>6</v>
      </c>
      <c r="G563" t="s">
        <v>260</v>
      </c>
      <c r="H563" t="s">
        <v>40</v>
      </c>
      <c r="I563">
        <v>2.129721092580051E-2</v>
      </c>
      <c r="J563" t="s">
        <v>6</v>
      </c>
      <c r="L563" t="s">
        <v>261</v>
      </c>
      <c r="M563" t="s">
        <v>40</v>
      </c>
      <c r="N563">
        <v>1.9226897777940798E-2</v>
      </c>
      <c r="O563" t="s">
        <v>6</v>
      </c>
    </row>
    <row r="564" spans="2:15" x14ac:dyDescent="0.45">
      <c r="B564" t="s">
        <v>259</v>
      </c>
      <c r="C564" t="s">
        <v>41</v>
      </c>
      <c r="D564">
        <v>2.6395116259417959E-2</v>
      </c>
      <c r="E564" t="s">
        <v>6</v>
      </c>
      <c r="G564" t="s">
        <v>260</v>
      </c>
      <c r="H564" t="s">
        <v>41</v>
      </c>
      <c r="I564">
        <v>2.2343412441853686E-2</v>
      </c>
      <c r="J564" t="s">
        <v>6</v>
      </c>
      <c r="L564" t="s">
        <v>261</v>
      </c>
      <c r="M564" t="s">
        <v>41</v>
      </c>
      <c r="N564">
        <v>1.9349325093110527E-2</v>
      </c>
      <c r="O564" t="s">
        <v>6</v>
      </c>
    </row>
    <row r="565" spans="2:15" x14ac:dyDescent="0.45">
      <c r="B565" t="s">
        <v>259</v>
      </c>
      <c r="C565" t="s">
        <v>42</v>
      </c>
      <c r="D565">
        <v>4.9913997543365222E-2</v>
      </c>
      <c r="E565" t="s">
        <v>6</v>
      </c>
      <c r="G565" t="s">
        <v>260</v>
      </c>
      <c r="H565" t="s">
        <v>42</v>
      </c>
      <c r="I565">
        <v>2.3101105452963077E-2</v>
      </c>
      <c r="J565" t="s">
        <v>6</v>
      </c>
      <c r="L565" t="s">
        <v>261</v>
      </c>
      <c r="M565" t="s">
        <v>42</v>
      </c>
      <c r="N565">
        <v>1.9692109298651689E-2</v>
      </c>
      <c r="O565" t="s">
        <v>6</v>
      </c>
    </row>
    <row r="566" spans="2:15" x14ac:dyDescent="0.45">
      <c r="B566" t="s">
        <v>259</v>
      </c>
      <c r="C566" t="s">
        <v>43</v>
      </c>
      <c r="D566">
        <v>5.0225392447776074E-2</v>
      </c>
      <c r="E566" t="s">
        <v>6</v>
      </c>
      <c r="G566" t="s">
        <v>260</v>
      </c>
      <c r="H566" t="s">
        <v>43</v>
      </c>
      <c r="I566">
        <v>2.3428374328053017E-2</v>
      </c>
      <c r="J566" t="s">
        <v>6</v>
      </c>
      <c r="L566" t="s">
        <v>261</v>
      </c>
      <c r="M566" t="s">
        <v>43</v>
      </c>
      <c r="N566">
        <v>2.0198952985624286E-2</v>
      </c>
      <c r="O566" t="s">
        <v>6</v>
      </c>
    </row>
    <row r="567" spans="2:15" x14ac:dyDescent="0.45">
      <c r="B567" t="s">
        <v>259</v>
      </c>
      <c r="C567" t="s">
        <v>44</v>
      </c>
      <c r="D567">
        <v>2.8491085777341146E-2</v>
      </c>
      <c r="E567" t="s">
        <v>6</v>
      </c>
      <c r="G567" t="s">
        <v>260</v>
      </c>
      <c r="H567" t="s">
        <v>44</v>
      </c>
      <c r="I567">
        <v>2.3269144763082381E-2</v>
      </c>
      <c r="J567" t="s">
        <v>6</v>
      </c>
      <c r="L567" t="s">
        <v>261</v>
      </c>
      <c r="M567" t="s">
        <v>44</v>
      </c>
      <c r="N567">
        <v>2.0180207707153779E-2</v>
      </c>
      <c r="O567" t="s">
        <v>6</v>
      </c>
    </row>
    <row r="568" spans="2:15" x14ac:dyDescent="0.45">
      <c r="B568" t="s">
        <v>259</v>
      </c>
      <c r="C568" t="s">
        <v>45</v>
      </c>
      <c r="D568">
        <v>6.142133042404508E-3</v>
      </c>
      <c r="E568" t="s">
        <v>6</v>
      </c>
      <c r="G568" t="s">
        <v>260</v>
      </c>
      <c r="H568" t="s">
        <v>45</v>
      </c>
      <c r="I568">
        <v>2.2476431010075824E-2</v>
      </c>
      <c r="J568" t="s">
        <v>6</v>
      </c>
      <c r="L568" t="s">
        <v>261</v>
      </c>
      <c r="M568" t="s">
        <v>45</v>
      </c>
      <c r="N568">
        <v>1.9749834744151953E-2</v>
      </c>
      <c r="O568" t="s">
        <v>6</v>
      </c>
    </row>
    <row r="569" spans="2:15" x14ac:dyDescent="0.45">
      <c r="B569" t="s">
        <v>259</v>
      </c>
      <c r="C569" t="s">
        <v>46</v>
      </c>
      <c r="D569">
        <v>3.5790602425026857E-5</v>
      </c>
      <c r="E569" t="s">
        <v>6</v>
      </c>
      <c r="G569" t="s">
        <v>260</v>
      </c>
      <c r="H569" t="s">
        <v>46</v>
      </c>
      <c r="I569">
        <v>2.2357327329789744E-2</v>
      </c>
      <c r="J569" t="s">
        <v>6</v>
      </c>
      <c r="L569" t="s">
        <v>261</v>
      </c>
      <c r="M569" t="s">
        <v>46</v>
      </c>
      <c r="N569">
        <v>1.973887520445915E-2</v>
      </c>
      <c r="O569" t="s">
        <v>6</v>
      </c>
    </row>
    <row r="570" spans="2:15" x14ac:dyDescent="0.45">
      <c r="B570" t="s">
        <v>259</v>
      </c>
      <c r="C570" t="s">
        <v>47</v>
      </c>
      <c r="D570">
        <v>0</v>
      </c>
      <c r="E570" t="s">
        <v>6</v>
      </c>
      <c r="G570" t="s">
        <v>260</v>
      </c>
      <c r="H570" t="s">
        <v>47</v>
      </c>
      <c r="I570">
        <v>3.3971045304934937E-2</v>
      </c>
      <c r="J570" t="s">
        <v>6</v>
      </c>
      <c r="L570" t="s">
        <v>261</v>
      </c>
      <c r="M570" t="s">
        <v>47</v>
      </c>
      <c r="N570">
        <v>2.9726339089852977E-2</v>
      </c>
      <c r="O570" t="s">
        <v>6</v>
      </c>
    </row>
    <row r="571" spans="2:15" x14ac:dyDescent="0.45">
      <c r="B571" t="s">
        <v>262</v>
      </c>
      <c r="C571" t="s">
        <v>5</v>
      </c>
      <c r="D571">
        <v>0</v>
      </c>
      <c r="E571" t="s">
        <v>6</v>
      </c>
      <c r="G571" t="s">
        <v>263</v>
      </c>
      <c r="H571" t="s">
        <v>5</v>
      </c>
      <c r="I571">
        <v>6.6027176573857732E-2</v>
      </c>
      <c r="J571" t="s">
        <v>6</v>
      </c>
      <c r="L571" t="s">
        <v>264</v>
      </c>
      <c r="M571" t="s">
        <v>5</v>
      </c>
      <c r="N571">
        <v>6.2112047791641735E-2</v>
      </c>
      <c r="O571" t="s">
        <v>6</v>
      </c>
    </row>
    <row r="572" spans="2:15" x14ac:dyDescent="0.45">
      <c r="B572" t="s">
        <v>262</v>
      </c>
      <c r="C572" t="s">
        <v>9</v>
      </c>
      <c r="D572">
        <v>0</v>
      </c>
      <c r="E572" t="s">
        <v>6</v>
      </c>
      <c r="G572" t="s">
        <v>263</v>
      </c>
      <c r="H572" t="s">
        <v>9</v>
      </c>
      <c r="I572">
        <v>2.5762821028945011E-2</v>
      </c>
      <c r="J572" t="s">
        <v>6</v>
      </c>
      <c r="L572" t="s">
        <v>264</v>
      </c>
      <c r="M572" t="s">
        <v>9</v>
      </c>
      <c r="N572">
        <v>2.4496652190727504E-2</v>
      </c>
      <c r="O572" t="s">
        <v>6</v>
      </c>
    </row>
    <row r="573" spans="2:15" x14ac:dyDescent="0.45">
      <c r="B573" t="s">
        <v>262</v>
      </c>
      <c r="C573" t="s">
        <v>10</v>
      </c>
      <c r="D573">
        <v>1.8409622659947277E-4</v>
      </c>
      <c r="E573" t="s">
        <v>6</v>
      </c>
      <c r="G573" t="s">
        <v>263</v>
      </c>
      <c r="H573" t="s">
        <v>10</v>
      </c>
      <c r="I573">
        <v>2.6111330517937504E-2</v>
      </c>
      <c r="J573" t="s">
        <v>6</v>
      </c>
      <c r="L573" t="s">
        <v>264</v>
      </c>
      <c r="M573" t="s">
        <v>10</v>
      </c>
      <c r="N573">
        <v>2.4178071413395754E-2</v>
      </c>
      <c r="O573" t="s">
        <v>6</v>
      </c>
    </row>
    <row r="574" spans="2:15" x14ac:dyDescent="0.45">
      <c r="B574" t="s">
        <v>262</v>
      </c>
      <c r="C574" t="s">
        <v>11</v>
      </c>
      <c r="D574">
        <v>1.1834952800631881E-2</v>
      </c>
      <c r="E574" t="s">
        <v>6</v>
      </c>
      <c r="G574" t="s">
        <v>263</v>
      </c>
      <c r="H574" t="s">
        <v>11</v>
      </c>
      <c r="I574">
        <v>2.6006768157106317E-2</v>
      </c>
      <c r="J574" t="s">
        <v>6</v>
      </c>
      <c r="L574" t="s">
        <v>264</v>
      </c>
      <c r="M574" t="s">
        <v>11</v>
      </c>
      <c r="N574">
        <v>2.42694235757175E-2</v>
      </c>
      <c r="O574" t="s">
        <v>6</v>
      </c>
    </row>
    <row r="575" spans="2:15" x14ac:dyDescent="0.45">
      <c r="B575" t="s">
        <v>262</v>
      </c>
      <c r="C575" t="s">
        <v>12</v>
      </c>
      <c r="D575">
        <v>3.7785272933719756E-2</v>
      </c>
      <c r="E575" t="s">
        <v>6</v>
      </c>
      <c r="G575" t="s">
        <v>263</v>
      </c>
      <c r="H575" t="s">
        <v>12</v>
      </c>
      <c r="I575">
        <v>2.6331523898898711E-2</v>
      </c>
      <c r="J575" t="s">
        <v>6</v>
      </c>
      <c r="L575" t="s">
        <v>264</v>
      </c>
      <c r="M575" t="s">
        <v>12</v>
      </c>
      <c r="N575">
        <v>2.4636052713839104E-2</v>
      </c>
      <c r="O575" t="s">
        <v>6</v>
      </c>
    </row>
    <row r="576" spans="2:15" x14ac:dyDescent="0.45">
      <c r="B576" t="s">
        <v>262</v>
      </c>
      <c r="C576" t="s">
        <v>13</v>
      </c>
      <c r="D576">
        <v>4.2149318363561616E-2</v>
      </c>
      <c r="E576" t="s">
        <v>6</v>
      </c>
      <c r="G576" t="s">
        <v>263</v>
      </c>
      <c r="H576" t="s">
        <v>13</v>
      </c>
      <c r="I576">
        <v>2.6317882926004975E-2</v>
      </c>
      <c r="J576" t="s">
        <v>6</v>
      </c>
      <c r="L576" t="s">
        <v>264</v>
      </c>
      <c r="M576" t="s">
        <v>13</v>
      </c>
      <c r="N576">
        <v>2.5364248211433849E-2</v>
      </c>
      <c r="O576" t="s">
        <v>6</v>
      </c>
    </row>
    <row r="577" spans="2:15" x14ac:dyDescent="0.45">
      <c r="B577" t="s">
        <v>262</v>
      </c>
      <c r="C577" t="s">
        <v>14</v>
      </c>
      <c r="D577">
        <v>2.100053649280717E-2</v>
      </c>
      <c r="E577" t="s">
        <v>6</v>
      </c>
      <c r="G577" t="s">
        <v>263</v>
      </c>
      <c r="H577" t="s">
        <v>14</v>
      </c>
      <c r="I577">
        <v>2.5845386637186496E-2</v>
      </c>
      <c r="J577" t="s">
        <v>6</v>
      </c>
      <c r="L577" t="s">
        <v>264</v>
      </c>
      <c r="M577" t="s">
        <v>14</v>
      </c>
      <c r="N577">
        <v>2.5463556588225675E-2</v>
      </c>
      <c r="O577" t="s">
        <v>6</v>
      </c>
    </row>
    <row r="578" spans="2:15" x14ac:dyDescent="0.45">
      <c r="B578" t="s">
        <v>262</v>
      </c>
      <c r="C578" t="s">
        <v>15</v>
      </c>
      <c r="D578">
        <v>2.2547884676793434E-3</v>
      </c>
      <c r="E578" t="s">
        <v>6</v>
      </c>
      <c r="G578" t="s">
        <v>263</v>
      </c>
      <c r="H578" t="s">
        <v>15</v>
      </c>
      <c r="I578">
        <v>2.647982241155173E-2</v>
      </c>
      <c r="J578" t="s">
        <v>6</v>
      </c>
      <c r="L578" t="s">
        <v>264</v>
      </c>
      <c r="M578" t="s">
        <v>15</v>
      </c>
      <c r="N578">
        <v>2.5456094229133499E-2</v>
      </c>
      <c r="O578" t="s">
        <v>6</v>
      </c>
    </row>
    <row r="579" spans="2:15" x14ac:dyDescent="0.45">
      <c r="B579" t="s">
        <v>262</v>
      </c>
      <c r="C579" t="s">
        <v>16</v>
      </c>
      <c r="D579">
        <v>0</v>
      </c>
      <c r="E579" t="s">
        <v>6</v>
      </c>
      <c r="G579" t="s">
        <v>263</v>
      </c>
      <c r="H579" t="s">
        <v>16</v>
      </c>
      <c r="I579">
        <v>2.7452324875504697E-2</v>
      </c>
      <c r="J579" t="s">
        <v>6</v>
      </c>
      <c r="L579" t="s">
        <v>264</v>
      </c>
      <c r="M579" t="s">
        <v>16</v>
      </c>
      <c r="N579">
        <v>2.5740468484459204E-2</v>
      </c>
      <c r="O579" t="s">
        <v>6</v>
      </c>
    </row>
    <row r="580" spans="2:15" x14ac:dyDescent="0.45">
      <c r="B580" t="s">
        <v>262</v>
      </c>
      <c r="C580" t="s">
        <v>17</v>
      </c>
      <c r="D580">
        <v>0</v>
      </c>
      <c r="E580" t="s">
        <v>6</v>
      </c>
      <c r="G580" t="s">
        <v>263</v>
      </c>
      <c r="H580" t="s">
        <v>17</v>
      </c>
      <c r="I580">
        <v>4.0983452767066768E-2</v>
      </c>
      <c r="J580" t="s">
        <v>6</v>
      </c>
      <c r="L580" t="s">
        <v>264</v>
      </c>
      <c r="M580" t="s">
        <v>17</v>
      </c>
      <c r="N580">
        <v>3.7700215817004591E-2</v>
      </c>
      <c r="O580" t="s">
        <v>6</v>
      </c>
    </row>
    <row r="581" spans="2:15" x14ac:dyDescent="0.45">
      <c r="B581" t="s">
        <v>262</v>
      </c>
      <c r="C581" t="s">
        <v>18</v>
      </c>
      <c r="D581">
        <v>0</v>
      </c>
      <c r="E581" t="s">
        <v>6</v>
      </c>
      <c r="G581" t="s">
        <v>263</v>
      </c>
      <c r="H581" t="s">
        <v>18</v>
      </c>
      <c r="I581">
        <v>5.0005982274011845E-2</v>
      </c>
      <c r="J581" t="s">
        <v>6</v>
      </c>
      <c r="L581" t="s">
        <v>264</v>
      </c>
      <c r="M581" t="s">
        <v>18</v>
      </c>
      <c r="N581">
        <v>5.0723777897058425E-2</v>
      </c>
      <c r="O581" t="s">
        <v>6</v>
      </c>
    </row>
    <row r="582" spans="2:15" x14ac:dyDescent="0.45">
      <c r="B582" t="s">
        <v>262</v>
      </c>
      <c r="C582" t="s">
        <v>19</v>
      </c>
      <c r="D582">
        <v>1.2693136953151028E-3</v>
      </c>
      <c r="E582" t="s">
        <v>6</v>
      </c>
      <c r="G582" t="s">
        <v>263</v>
      </c>
      <c r="H582" t="s">
        <v>19</v>
      </c>
      <c r="I582">
        <v>2.0684562214271656E-2</v>
      </c>
      <c r="J582" t="s">
        <v>6</v>
      </c>
      <c r="L582" t="s">
        <v>264</v>
      </c>
      <c r="M582" t="s">
        <v>19</v>
      </c>
      <c r="N582">
        <v>2.0491596793866345E-2</v>
      </c>
      <c r="O582" t="s">
        <v>6</v>
      </c>
    </row>
    <row r="583" spans="2:15" x14ac:dyDescent="0.45">
      <c r="B583" t="s">
        <v>262</v>
      </c>
      <c r="C583" t="s">
        <v>20</v>
      </c>
      <c r="D583">
        <v>1.9862756914413825E-2</v>
      </c>
      <c r="E583" t="s">
        <v>6</v>
      </c>
      <c r="G583" t="s">
        <v>263</v>
      </c>
      <c r="H583" t="s">
        <v>20</v>
      </c>
      <c r="I583">
        <v>2.2486000532215139E-2</v>
      </c>
      <c r="J583" t="s">
        <v>6</v>
      </c>
      <c r="L583" t="s">
        <v>264</v>
      </c>
      <c r="M583" t="s">
        <v>20</v>
      </c>
      <c r="N583">
        <v>2.0685414679833005E-2</v>
      </c>
      <c r="O583" t="s">
        <v>6</v>
      </c>
    </row>
    <row r="584" spans="2:15" x14ac:dyDescent="0.45">
      <c r="B584" t="s">
        <v>262</v>
      </c>
      <c r="C584" t="s">
        <v>21</v>
      </c>
      <c r="D584">
        <v>5.8922521780925094E-2</v>
      </c>
      <c r="E584" t="s">
        <v>6</v>
      </c>
      <c r="G584" t="s">
        <v>263</v>
      </c>
      <c r="H584" t="s">
        <v>21</v>
      </c>
      <c r="I584">
        <v>2.4836045022187205E-2</v>
      </c>
      <c r="J584" t="s">
        <v>6</v>
      </c>
      <c r="L584" t="s">
        <v>264</v>
      </c>
      <c r="M584" t="s">
        <v>21</v>
      </c>
      <c r="N584">
        <v>2.0863717602846457E-2</v>
      </c>
      <c r="O584" t="s">
        <v>6</v>
      </c>
    </row>
    <row r="585" spans="2:15" x14ac:dyDescent="0.45">
      <c r="B585" t="s">
        <v>262</v>
      </c>
      <c r="C585" t="s">
        <v>22</v>
      </c>
      <c r="D585">
        <v>8.3579963832270704E-2</v>
      </c>
      <c r="E585" t="s">
        <v>6</v>
      </c>
      <c r="G585" t="s">
        <v>263</v>
      </c>
      <c r="H585" t="s">
        <v>22</v>
      </c>
      <c r="I585">
        <v>2.5357894355279659E-2</v>
      </c>
      <c r="J585" t="s">
        <v>6</v>
      </c>
      <c r="L585" t="s">
        <v>264</v>
      </c>
      <c r="M585" t="s">
        <v>22</v>
      </c>
      <c r="N585">
        <v>2.1026490167608353E-2</v>
      </c>
      <c r="O585" t="s">
        <v>6</v>
      </c>
    </row>
    <row r="586" spans="2:15" x14ac:dyDescent="0.45">
      <c r="B586" t="s">
        <v>262</v>
      </c>
      <c r="C586" t="s">
        <v>23</v>
      </c>
      <c r="D586">
        <v>8.3372114500374656E-2</v>
      </c>
      <c r="E586" t="s">
        <v>6</v>
      </c>
      <c r="G586" t="s">
        <v>263</v>
      </c>
      <c r="H586" t="s">
        <v>23</v>
      </c>
      <c r="I586">
        <v>2.5070416815033532E-2</v>
      </c>
      <c r="J586" t="s">
        <v>6</v>
      </c>
      <c r="L586" t="s">
        <v>264</v>
      </c>
      <c r="M586" t="s">
        <v>23</v>
      </c>
      <c r="N586">
        <v>2.1168792917679407E-2</v>
      </c>
      <c r="O586" t="s">
        <v>6</v>
      </c>
    </row>
    <row r="587" spans="2:15" x14ac:dyDescent="0.45">
      <c r="B587" t="s">
        <v>262</v>
      </c>
      <c r="C587" t="s">
        <v>24</v>
      </c>
      <c r="D587">
        <v>6.3180034940003765E-2</v>
      </c>
      <c r="E587" t="s">
        <v>6</v>
      </c>
      <c r="G587" t="s">
        <v>263</v>
      </c>
      <c r="H587" t="s">
        <v>24</v>
      </c>
      <c r="I587">
        <v>2.4304206294988379E-2</v>
      </c>
      <c r="J587" t="s">
        <v>6</v>
      </c>
      <c r="L587" t="s">
        <v>264</v>
      </c>
      <c r="M587" t="s">
        <v>24</v>
      </c>
      <c r="N587">
        <v>2.09814764175963E-2</v>
      </c>
      <c r="O587" t="s">
        <v>6</v>
      </c>
    </row>
    <row r="588" spans="2:15" x14ac:dyDescent="0.45">
      <c r="B588" t="s">
        <v>262</v>
      </c>
      <c r="C588" t="s">
        <v>25</v>
      </c>
      <c r="D588">
        <v>2.7570300578445995E-2</v>
      </c>
      <c r="E588" t="s">
        <v>6</v>
      </c>
      <c r="G588" t="s">
        <v>263</v>
      </c>
      <c r="H588" t="s">
        <v>25</v>
      </c>
      <c r="I588">
        <v>2.2433635347639643E-2</v>
      </c>
      <c r="J588" t="s">
        <v>6</v>
      </c>
      <c r="L588" t="s">
        <v>264</v>
      </c>
      <c r="M588" t="s">
        <v>25</v>
      </c>
      <c r="N588">
        <v>2.0765678814521998E-2</v>
      </c>
      <c r="O588" t="s">
        <v>6</v>
      </c>
    </row>
    <row r="589" spans="2:15" x14ac:dyDescent="0.45">
      <c r="B589" t="s">
        <v>262</v>
      </c>
      <c r="C589" t="s">
        <v>26</v>
      </c>
      <c r="D589">
        <v>2.0416683767985641E-3</v>
      </c>
      <c r="E589" t="s">
        <v>6</v>
      </c>
      <c r="G589" t="s">
        <v>263</v>
      </c>
      <c r="H589" t="s">
        <v>26</v>
      </c>
      <c r="I589">
        <v>2.1242280890616475E-2</v>
      </c>
      <c r="J589" t="s">
        <v>6</v>
      </c>
      <c r="L589" t="s">
        <v>264</v>
      </c>
      <c r="M589" t="s">
        <v>26</v>
      </c>
      <c r="N589">
        <v>2.0594585697935944E-2</v>
      </c>
      <c r="O589" t="s">
        <v>6</v>
      </c>
    </row>
    <row r="590" spans="2:15" x14ac:dyDescent="0.45">
      <c r="B590" t="s">
        <v>262</v>
      </c>
      <c r="C590" t="s">
        <v>27</v>
      </c>
      <c r="D590">
        <v>2.316295877256008E-6</v>
      </c>
      <c r="E590" t="s">
        <v>6</v>
      </c>
      <c r="G590" t="s">
        <v>263</v>
      </c>
      <c r="H590" t="s">
        <v>27</v>
      </c>
      <c r="I590">
        <v>3.0439233533699872E-2</v>
      </c>
      <c r="J590" t="s">
        <v>6</v>
      </c>
      <c r="L590" t="s">
        <v>264</v>
      </c>
      <c r="M590" t="s">
        <v>27</v>
      </c>
      <c r="N590">
        <v>3.0540579642717388E-2</v>
      </c>
      <c r="O590" t="s">
        <v>6</v>
      </c>
    </row>
    <row r="591" spans="2:15" x14ac:dyDescent="0.45">
      <c r="B591" t="s">
        <v>262</v>
      </c>
      <c r="C591" t="s">
        <v>28</v>
      </c>
      <c r="D591">
        <v>1.3313130737018241E-7</v>
      </c>
      <c r="E591" t="s">
        <v>6</v>
      </c>
      <c r="G591" t="s">
        <v>263</v>
      </c>
      <c r="H591" t="s">
        <v>28</v>
      </c>
      <c r="I591">
        <v>2.4870667697024458E-2</v>
      </c>
      <c r="J591" t="s">
        <v>6</v>
      </c>
      <c r="L591" t="s">
        <v>264</v>
      </c>
      <c r="M591" t="s">
        <v>28</v>
      </c>
      <c r="N591">
        <v>4.2887070574615674E-2</v>
      </c>
      <c r="O591" t="s">
        <v>6</v>
      </c>
    </row>
    <row r="592" spans="2:15" x14ac:dyDescent="0.45">
      <c r="B592" t="s">
        <v>262</v>
      </c>
      <c r="C592" t="s">
        <v>29</v>
      </c>
      <c r="D592">
        <v>3.061553308832721E-3</v>
      </c>
      <c r="E592" t="s">
        <v>6</v>
      </c>
      <c r="G592" t="s">
        <v>263</v>
      </c>
      <c r="H592" t="s">
        <v>29</v>
      </c>
      <c r="I592">
        <v>9.3586687090588504E-3</v>
      </c>
      <c r="J592" t="s">
        <v>6</v>
      </c>
      <c r="L592" t="s">
        <v>264</v>
      </c>
      <c r="M592" t="s">
        <v>29</v>
      </c>
      <c r="N592">
        <v>1.6692574643173846E-2</v>
      </c>
      <c r="O592" t="s">
        <v>6</v>
      </c>
    </row>
    <row r="593" spans="2:15" x14ac:dyDescent="0.45">
      <c r="B593" t="s">
        <v>262</v>
      </c>
      <c r="C593" t="s">
        <v>30</v>
      </c>
      <c r="D593">
        <v>2.6005099168134104E-2</v>
      </c>
      <c r="E593" t="s">
        <v>6</v>
      </c>
      <c r="G593" t="s">
        <v>263</v>
      </c>
      <c r="H593" t="s">
        <v>30</v>
      </c>
      <c r="I593">
        <v>1.0532535212642285E-2</v>
      </c>
      <c r="J593" t="s">
        <v>6</v>
      </c>
      <c r="L593" t="s">
        <v>264</v>
      </c>
      <c r="M593" t="s">
        <v>30</v>
      </c>
      <c r="N593">
        <v>1.6375185531675135E-2</v>
      </c>
      <c r="O593" t="s">
        <v>6</v>
      </c>
    </row>
    <row r="594" spans="2:15" x14ac:dyDescent="0.45">
      <c r="B594" t="s">
        <v>262</v>
      </c>
      <c r="C594" t="s">
        <v>31</v>
      </c>
      <c r="D594">
        <v>6.1094450842204752E-2</v>
      </c>
      <c r="E594" t="s">
        <v>6</v>
      </c>
      <c r="G594" t="s">
        <v>263</v>
      </c>
      <c r="H594" t="s">
        <v>31</v>
      </c>
      <c r="I594">
        <v>1.2033451018827834E-2</v>
      </c>
      <c r="J594" t="s">
        <v>6</v>
      </c>
      <c r="L594" t="s">
        <v>264</v>
      </c>
      <c r="M594" t="s">
        <v>31</v>
      </c>
      <c r="N594">
        <v>1.5993003843792389E-2</v>
      </c>
      <c r="O594" t="s">
        <v>6</v>
      </c>
    </row>
    <row r="595" spans="2:15" x14ac:dyDescent="0.45">
      <c r="B595" t="s">
        <v>262</v>
      </c>
      <c r="C595" t="s">
        <v>32</v>
      </c>
      <c r="D595">
        <v>8.2156999291376792E-2</v>
      </c>
      <c r="E595" t="s">
        <v>6</v>
      </c>
      <c r="G595" t="s">
        <v>263</v>
      </c>
      <c r="H595" t="s">
        <v>32</v>
      </c>
      <c r="I595">
        <v>1.3563528593885953E-2</v>
      </c>
      <c r="J595" t="s">
        <v>6</v>
      </c>
      <c r="L595" t="s">
        <v>264</v>
      </c>
      <c r="M595" t="s">
        <v>32</v>
      </c>
      <c r="N595">
        <v>1.6234394878574376E-2</v>
      </c>
      <c r="O595" t="s">
        <v>6</v>
      </c>
    </row>
    <row r="596" spans="2:15" x14ac:dyDescent="0.45">
      <c r="B596" t="s">
        <v>262</v>
      </c>
      <c r="C596" t="s">
        <v>33</v>
      </c>
      <c r="D596">
        <v>8.4874399634290415E-2</v>
      </c>
      <c r="E596" t="s">
        <v>6</v>
      </c>
      <c r="G596" t="s">
        <v>263</v>
      </c>
      <c r="H596" t="s">
        <v>33</v>
      </c>
      <c r="I596">
        <v>1.4381221174918791E-2</v>
      </c>
      <c r="J596" t="s">
        <v>6</v>
      </c>
      <c r="L596" t="s">
        <v>264</v>
      </c>
      <c r="M596" t="s">
        <v>33</v>
      </c>
      <c r="N596">
        <v>1.6825739905717851E-2</v>
      </c>
      <c r="O596" t="s">
        <v>6</v>
      </c>
    </row>
    <row r="597" spans="2:15" x14ac:dyDescent="0.45">
      <c r="B597" t="s">
        <v>262</v>
      </c>
      <c r="C597" t="s">
        <v>34</v>
      </c>
      <c r="D597">
        <v>6.8299117483666932E-2</v>
      </c>
      <c r="E597" t="s">
        <v>6</v>
      </c>
      <c r="G597" t="s">
        <v>263</v>
      </c>
      <c r="H597" t="s">
        <v>34</v>
      </c>
      <c r="I597">
        <v>1.4545453267536467E-2</v>
      </c>
      <c r="J597" t="s">
        <v>6</v>
      </c>
      <c r="L597" t="s">
        <v>264</v>
      </c>
      <c r="M597" t="s">
        <v>34</v>
      </c>
      <c r="N597">
        <v>1.7061431772713288E-2</v>
      </c>
      <c r="O597" t="s">
        <v>6</v>
      </c>
    </row>
    <row r="598" spans="2:15" x14ac:dyDescent="0.45">
      <c r="B598" t="s">
        <v>262</v>
      </c>
      <c r="C598" t="s">
        <v>35</v>
      </c>
      <c r="D598">
        <v>3.6172657398089746E-2</v>
      </c>
      <c r="E598" t="s">
        <v>6</v>
      </c>
      <c r="G598" t="s">
        <v>263</v>
      </c>
      <c r="H598" t="s">
        <v>35</v>
      </c>
      <c r="I598">
        <v>1.3059186703506784E-2</v>
      </c>
      <c r="J598" t="s">
        <v>6</v>
      </c>
      <c r="L598" t="s">
        <v>264</v>
      </c>
      <c r="M598" t="s">
        <v>35</v>
      </c>
      <c r="N598">
        <v>1.7001687760701389E-2</v>
      </c>
      <c r="O598" t="s">
        <v>6</v>
      </c>
    </row>
    <row r="599" spans="2:15" x14ac:dyDescent="0.45">
      <c r="B599" t="s">
        <v>262</v>
      </c>
      <c r="C599" t="s">
        <v>36</v>
      </c>
      <c r="D599">
        <v>6.0937260505447262E-3</v>
      </c>
      <c r="E599" t="s">
        <v>6</v>
      </c>
      <c r="G599" t="s">
        <v>263</v>
      </c>
      <c r="H599" t="s">
        <v>36</v>
      </c>
      <c r="I599">
        <v>1.1542462603027197E-2</v>
      </c>
      <c r="J599" t="s">
        <v>6</v>
      </c>
      <c r="L599" t="s">
        <v>264</v>
      </c>
      <c r="M599" t="s">
        <v>36</v>
      </c>
      <c r="N599">
        <v>1.6756816693063954E-2</v>
      </c>
      <c r="O599" t="s">
        <v>6</v>
      </c>
    </row>
    <row r="600" spans="2:15" x14ac:dyDescent="0.45">
      <c r="B600" t="s">
        <v>262</v>
      </c>
      <c r="C600" t="s">
        <v>37</v>
      </c>
      <c r="D600">
        <v>1.2988716752467734E-4</v>
      </c>
      <c r="E600" t="s">
        <v>6</v>
      </c>
      <c r="G600" t="s">
        <v>263</v>
      </c>
      <c r="H600" t="s">
        <v>37</v>
      </c>
      <c r="I600">
        <v>1.6404720346710921E-2</v>
      </c>
      <c r="J600" t="s">
        <v>6</v>
      </c>
      <c r="L600" t="s">
        <v>264</v>
      </c>
      <c r="M600" t="s">
        <v>37</v>
      </c>
      <c r="N600">
        <v>2.5083125169469825E-2</v>
      </c>
      <c r="O600" t="s">
        <v>6</v>
      </c>
    </row>
    <row r="601" spans="2:15" x14ac:dyDescent="0.45">
      <c r="B601" t="s">
        <v>262</v>
      </c>
      <c r="C601" t="s">
        <v>38</v>
      </c>
      <c r="D601">
        <v>0</v>
      </c>
      <c r="E601" t="s">
        <v>6</v>
      </c>
      <c r="G601" t="s">
        <v>263</v>
      </c>
      <c r="H601" t="s">
        <v>38</v>
      </c>
      <c r="I601">
        <v>5.6848034665106122E-2</v>
      </c>
      <c r="J601" t="s">
        <v>6</v>
      </c>
      <c r="L601" t="s">
        <v>264</v>
      </c>
      <c r="M601" t="s">
        <v>38</v>
      </c>
      <c r="N601">
        <v>5.1518694556971077E-2</v>
      </c>
      <c r="O601" t="s">
        <v>6</v>
      </c>
    </row>
    <row r="602" spans="2:15" x14ac:dyDescent="0.45">
      <c r="B602" t="s">
        <v>262</v>
      </c>
      <c r="C602" t="s">
        <v>39</v>
      </c>
      <c r="D602">
        <v>3.8579655032447016E-7</v>
      </c>
      <c r="E602" t="s">
        <v>6</v>
      </c>
      <c r="G602" t="s">
        <v>263</v>
      </c>
      <c r="H602" t="s">
        <v>39</v>
      </c>
      <c r="I602">
        <v>2.1162013601846132E-2</v>
      </c>
      <c r="J602" t="s">
        <v>6</v>
      </c>
      <c r="L602" t="s">
        <v>264</v>
      </c>
      <c r="M602" t="s">
        <v>39</v>
      </c>
      <c r="N602">
        <v>2.1223244192429897E-2</v>
      </c>
      <c r="O602" t="s">
        <v>6</v>
      </c>
    </row>
    <row r="603" spans="2:15" x14ac:dyDescent="0.45">
      <c r="B603" t="s">
        <v>262</v>
      </c>
      <c r="C603" t="s">
        <v>40</v>
      </c>
      <c r="D603">
        <v>4.3838307666362493E-3</v>
      </c>
      <c r="E603" t="s">
        <v>6</v>
      </c>
      <c r="G603" t="s">
        <v>263</v>
      </c>
      <c r="H603" t="s">
        <v>40</v>
      </c>
      <c r="I603">
        <v>2.1060063624829775E-2</v>
      </c>
      <c r="J603" t="s">
        <v>6</v>
      </c>
      <c r="L603" t="s">
        <v>264</v>
      </c>
      <c r="M603" t="s">
        <v>40</v>
      </c>
      <c r="N603">
        <v>2.1180422293417843E-2</v>
      </c>
      <c r="O603" t="s">
        <v>6</v>
      </c>
    </row>
    <row r="604" spans="2:15" x14ac:dyDescent="0.45">
      <c r="B604" t="s">
        <v>262</v>
      </c>
      <c r="C604" t="s">
        <v>41</v>
      </c>
      <c r="D604">
        <v>3.1068797012542632E-2</v>
      </c>
      <c r="E604" t="s">
        <v>6</v>
      </c>
      <c r="G604" t="s">
        <v>263</v>
      </c>
      <c r="H604" t="s">
        <v>41</v>
      </c>
      <c r="I604">
        <v>2.2172892871540707E-2</v>
      </c>
      <c r="J604" t="s">
        <v>6</v>
      </c>
      <c r="L604" t="s">
        <v>264</v>
      </c>
      <c r="M604" t="s">
        <v>41</v>
      </c>
      <c r="N604">
        <v>2.076834514105648E-2</v>
      </c>
      <c r="O604" t="s">
        <v>6</v>
      </c>
    </row>
    <row r="605" spans="2:15" x14ac:dyDescent="0.45">
      <c r="B605" t="s">
        <v>262</v>
      </c>
      <c r="C605" t="s">
        <v>42</v>
      </c>
      <c r="D605">
        <v>5.4154066994050051E-2</v>
      </c>
      <c r="E605" t="s">
        <v>6</v>
      </c>
      <c r="G605" t="s">
        <v>263</v>
      </c>
      <c r="H605" t="s">
        <v>42</v>
      </c>
      <c r="I605">
        <v>2.3541911672987813E-2</v>
      </c>
      <c r="J605" t="s">
        <v>6</v>
      </c>
      <c r="L605" t="s">
        <v>264</v>
      </c>
      <c r="M605" t="s">
        <v>42</v>
      </c>
      <c r="N605">
        <v>2.0942985854280029E-2</v>
      </c>
      <c r="O605" t="s">
        <v>6</v>
      </c>
    </row>
    <row r="606" spans="2:15" x14ac:dyDescent="0.45">
      <c r="B606" t="s">
        <v>262</v>
      </c>
      <c r="C606" t="s">
        <v>43</v>
      </c>
      <c r="D606">
        <v>5.1650565361055736E-2</v>
      </c>
      <c r="E606" t="s">
        <v>6</v>
      </c>
      <c r="G606" t="s">
        <v>263</v>
      </c>
      <c r="H606" t="s">
        <v>43</v>
      </c>
      <c r="I606">
        <v>2.4403903219321996E-2</v>
      </c>
      <c r="J606" t="s">
        <v>6</v>
      </c>
      <c r="L606" t="s">
        <v>264</v>
      </c>
      <c r="M606" t="s">
        <v>43</v>
      </c>
      <c r="N606">
        <v>2.1412467210282921E-2</v>
      </c>
      <c r="O606" t="s">
        <v>6</v>
      </c>
    </row>
    <row r="607" spans="2:15" x14ac:dyDescent="0.45">
      <c r="B607" t="s">
        <v>262</v>
      </c>
      <c r="C607" t="s">
        <v>44</v>
      </c>
      <c r="D607">
        <v>2.973376464910623E-2</v>
      </c>
      <c r="E607" t="s">
        <v>6</v>
      </c>
      <c r="G607" t="s">
        <v>263</v>
      </c>
      <c r="H607" t="s">
        <v>44</v>
      </c>
      <c r="I607">
        <v>2.4417275931117643E-2</v>
      </c>
      <c r="J607" t="s">
        <v>6</v>
      </c>
      <c r="L607" t="s">
        <v>264</v>
      </c>
      <c r="M607" t="s">
        <v>44</v>
      </c>
      <c r="N607">
        <v>2.1641885789321816E-2</v>
      </c>
      <c r="O607" t="s">
        <v>6</v>
      </c>
    </row>
    <row r="608" spans="2:15" x14ac:dyDescent="0.45">
      <c r="B608" t="s">
        <v>262</v>
      </c>
      <c r="C608" t="s">
        <v>45</v>
      </c>
      <c r="D608">
        <v>6.0825098121271024E-3</v>
      </c>
      <c r="E608" t="s">
        <v>6</v>
      </c>
      <c r="G608" t="s">
        <v>263</v>
      </c>
      <c r="H608" t="s">
        <v>45</v>
      </c>
      <c r="I608">
        <v>2.3480729435675179E-2</v>
      </c>
      <c r="J608" t="s">
        <v>6</v>
      </c>
      <c r="L608" t="s">
        <v>264</v>
      </c>
      <c r="M608" t="s">
        <v>45</v>
      </c>
      <c r="N608">
        <v>2.13621301026319E-2</v>
      </c>
      <c r="O608" t="s">
        <v>6</v>
      </c>
    </row>
    <row r="609" spans="2:15" x14ac:dyDescent="0.45">
      <c r="B609" t="s">
        <v>262</v>
      </c>
      <c r="C609" t="s">
        <v>46</v>
      </c>
      <c r="D609">
        <v>2.8099932535179163E-5</v>
      </c>
      <c r="E609" t="s">
        <v>6</v>
      </c>
      <c r="G609" t="s">
        <v>263</v>
      </c>
      <c r="H609" t="s">
        <v>46</v>
      </c>
      <c r="I609">
        <v>2.3221591316856138E-2</v>
      </c>
      <c r="J609" t="s">
        <v>6</v>
      </c>
      <c r="L609" t="s">
        <v>264</v>
      </c>
      <c r="M609" t="s">
        <v>46</v>
      </c>
      <c r="N609">
        <v>2.1107449050789609E-2</v>
      </c>
      <c r="O609" t="s">
        <v>6</v>
      </c>
    </row>
    <row r="610" spans="2:15" x14ac:dyDescent="0.45">
      <c r="B610" t="s">
        <v>262</v>
      </c>
      <c r="C610" t="s">
        <v>47</v>
      </c>
      <c r="D610">
        <v>0</v>
      </c>
      <c r="E610" t="s">
        <v>6</v>
      </c>
      <c r="G610" t="s">
        <v>263</v>
      </c>
      <c r="H610" t="s">
        <v>47</v>
      </c>
      <c r="I610">
        <v>3.5220941259575492E-2</v>
      </c>
      <c r="J610" t="s">
        <v>6</v>
      </c>
      <c r="L610" t="s">
        <v>264</v>
      </c>
      <c r="M610" t="s">
        <v>47</v>
      </c>
      <c r="N610">
        <v>3.0672403388075548E-2</v>
      </c>
      <c r="O610" t="s">
        <v>6</v>
      </c>
    </row>
    <row r="611" spans="2:15" x14ac:dyDescent="0.45">
      <c r="B611" t="s">
        <v>265</v>
      </c>
      <c r="C611" t="s">
        <v>5</v>
      </c>
      <c r="D611">
        <v>0</v>
      </c>
      <c r="E611" t="s">
        <v>6</v>
      </c>
      <c r="G611" t="s">
        <v>266</v>
      </c>
      <c r="H611" t="s">
        <v>5</v>
      </c>
      <c r="I611">
        <v>7.096780197302692E-2</v>
      </c>
      <c r="J611" t="s">
        <v>6</v>
      </c>
      <c r="L611" t="s">
        <v>267</v>
      </c>
      <c r="M611" t="s">
        <v>5</v>
      </c>
      <c r="N611">
        <v>6.327754902082533E-2</v>
      </c>
      <c r="O611" t="s">
        <v>6</v>
      </c>
    </row>
    <row r="612" spans="2:15" x14ac:dyDescent="0.45">
      <c r="B612" t="s">
        <v>265</v>
      </c>
      <c r="C612" t="s">
        <v>9</v>
      </c>
      <c r="D612">
        <v>0</v>
      </c>
      <c r="E612" t="s">
        <v>6</v>
      </c>
      <c r="G612" t="s">
        <v>266</v>
      </c>
      <c r="H612" t="s">
        <v>9</v>
      </c>
      <c r="I612">
        <v>2.7116338759547318E-2</v>
      </c>
      <c r="J612" t="s">
        <v>6</v>
      </c>
      <c r="L612" t="s">
        <v>267</v>
      </c>
      <c r="M612" t="s">
        <v>9</v>
      </c>
      <c r="N612">
        <v>2.5793113362827511E-2</v>
      </c>
      <c r="O612" t="s">
        <v>6</v>
      </c>
    </row>
    <row r="613" spans="2:15" x14ac:dyDescent="0.45">
      <c r="B613" t="s">
        <v>265</v>
      </c>
      <c r="C613" t="s">
        <v>10</v>
      </c>
      <c r="D613">
        <v>1.8224881575930798E-4</v>
      </c>
      <c r="E613" t="s">
        <v>6</v>
      </c>
      <c r="G613" t="s">
        <v>266</v>
      </c>
      <c r="H613" t="s">
        <v>10</v>
      </c>
      <c r="I613">
        <v>2.6784730630126822E-2</v>
      </c>
      <c r="J613" t="s">
        <v>6</v>
      </c>
      <c r="L613" t="s">
        <v>267</v>
      </c>
      <c r="M613" t="s">
        <v>10</v>
      </c>
      <c r="N613">
        <v>2.6021873656865653E-2</v>
      </c>
      <c r="O613" t="s">
        <v>6</v>
      </c>
    </row>
    <row r="614" spans="2:15" x14ac:dyDescent="0.45">
      <c r="B614" t="s">
        <v>265</v>
      </c>
      <c r="C614" t="s">
        <v>11</v>
      </c>
      <c r="D614">
        <v>1.2716754108425351E-2</v>
      </c>
      <c r="E614" t="s">
        <v>6</v>
      </c>
      <c r="G614" t="s">
        <v>266</v>
      </c>
      <c r="H614" t="s">
        <v>11</v>
      </c>
      <c r="I614">
        <v>2.6409319565147311E-2</v>
      </c>
      <c r="J614" t="s">
        <v>6</v>
      </c>
      <c r="L614" t="s">
        <v>267</v>
      </c>
      <c r="M614" t="s">
        <v>11</v>
      </c>
      <c r="N614">
        <v>2.5692401823977511E-2</v>
      </c>
      <c r="O614" t="s">
        <v>6</v>
      </c>
    </row>
    <row r="615" spans="2:15" x14ac:dyDescent="0.45">
      <c r="B615" t="s">
        <v>265</v>
      </c>
      <c r="C615" t="s">
        <v>12</v>
      </c>
      <c r="D615">
        <v>3.8901003042520164E-2</v>
      </c>
      <c r="E615" t="s">
        <v>6</v>
      </c>
      <c r="G615" t="s">
        <v>266</v>
      </c>
      <c r="H615" t="s">
        <v>12</v>
      </c>
      <c r="I615">
        <v>2.6967584832785076E-2</v>
      </c>
      <c r="J615" t="s">
        <v>6</v>
      </c>
      <c r="L615" t="s">
        <v>267</v>
      </c>
      <c r="M615" t="s">
        <v>12</v>
      </c>
      <c r="N615">
        <v>2.5040407681134219E-2</v>
      </c>
      <c r="O615" t="s">
        <v>6</v>
      </c>
    </row>
    <row r="616" spans="2:15" x14ac:dyDescent="0.45">
      <c r="B616" t="s">
        <v>265</v>
      </c>
      <c r="C616" t="s">
        <v>13</v>
      </c>
      <c r="D616">
        <v>4.297824687903961E-2</v>
      </c>
      <c r="E616" t="s">
        <v>6</v>
      </c>
      <c r="G616" t="s">
        <v>266</v>
      </c>
      <c r="H616" t="s">
        <v>13</v>
      </c>
      <c r="I616">
        <v>2.7627433029549162E-2</v>
      </c>
      <c r="J616" t="s">
        <v>6</v>
      </c>
      <c r="L616" t="s">
        <v>267</v>
      </c>
      <c r="M616" t="s">
        <v>13</v>
      </c>
      <c r="N616">
        <v>2.4525472944147669E-2</v>
      </c>
      <c r="O616" t="s">
        <v>6</v>
      </c>
    </row>
    <row r="617" spans="2:15" x14ac:dyDescent="0.45">
      <c r="B617" t="s">
        <v>265</v>
      </c>
      <c r="C617" t="s">
        <v>14</v>
      </c>
      <c r="D617">
        <v>2.3404999794432561E-2</v>
      </c>
      <c r="E617" t="s">
        <v>6</v>
      </c>
      <c r="G617" t="s">
        <v>266</v>
      </c>
      <c r="H617" t="s">
        <v>14</v>
      </c>
      <c r="I617">
        <v>2.6703984716409827E-2</v>
      </c>
      <c r="J617" t="s">
        <v>6</v>
      </c>
      <c r="L617" t="s">
        <v>267</v>
      </c>
      <c r="M617" t="s">
        <v>14</v>
      </c>
      <c r="N617">
        <v>2.4967438913987582E-2</v>
      </c>
      <c r="O617" t="s">
        <v>6</v>
      </c>
    </row>
    <row r="618" spans="2:15" x14ac:dyDescent="0.45">
      <c r="B618" t="s">
        <v>265</v>
      </c>
      <c r="C618" t="s">
        <v>15</v>
      </c>
      <c r="D618">
        <v>2.9438548447521732E-3</v>
      </c>
      <c r="E618" t="s">
        <v>6</v>
      </c>
      <c r="G618" t="s">
        <v>266</v>
      </c>
      <c r="H618" t="s">
        <v>15</v>
      </c>
      <c r="I618">
        <v>2.6389973325016178E-2</v>
      </c>
      <c r="J618" t="s">
        <v>6</v>
      </c>
      <c r="L618" t="s">
        <v>267</v>
      </c>
      <c r="M618" t="s">
        <v>15</v>
      </c>
      <c r="N618">
        <v>2.5408944062975555E-2</v>
      </c>
      <c r="O618" t="s">
        <v>6</v>
      </c>
    </row>
    <row r="619" spans="2:15" x14ac:dyDescent="0.45">
      <c r="B619" t="s">
        <v>265</v>
      </c>
      <c r="C619" t="s">
        <v>16</v>
      </c>
      <c r="D619">
        <v>0</v>
      </c>
      <c r="E619" t="s">
        <v>6</v>
      </c>
      <c r="G619" t="s">
        <v>266</v>
      </c>
      <c r="H619" t="s">
        <v>16</v>
      </c>
      <c r="I619">
        <v>2.7587861859461028E-2</v>
      </c>
      <c r="J619" t="s">
        <v>6</v>
      </c>
      <c r="L619" t="s">
        <v>267</v>
      </c>
      <c r="M619" t="s">
        <v>16</v>
      </c>
      <c r="N619">
        <v>2.5125768931552463E-2</v>
      </c>
      <c r="O619" t="s">
        <v>6</v>
      </c>
    </row>
    <row r="620" spans="2:15" x14ac:dyDescent="0.45">
      <c r="B620" t="s">
        <v>265</v>
      </c>
      <c r="C620" t="s">
        <v>17</v>
      </c>
      <c r="D620">
        <v>0</v>
      </c>
      <c r="E620" t="s">
        <v>6</v>
      </c>
      <c r="G620" t="s">
        <v>266</v>
      </c>
      <c r="H620" t="s">
        <v>17</v>
      </c>
      <c r="I620">
        <v>4.2495011960882248E-2</v>
      </c>
      <c r="J620" t="s">
        <v>6</v>
      </c>
      <c r="L620" t="s">
        <v>267</v>
      </c>
      <c r="M620" t="s">
        <v>17</v>
      </c>
      <c r="N620">
        <v>3.7256064235763713E-2</v>
      </c>
      <c r="O620" t="s">
        <v>6</v>
      </c>
    </row>
    <row r="621" spans="2:15" x14ac:dyDescent="0.45">
      <c r="B621" t="s">
        <v>265</v>
      </c>
      <c r="C621" t="s">
        <v>18</v>
      </c>
      <c r="D621">
        <v>0</v>
      </c>
      <c r="E621" t="s">
        <v>6</v>
      </c>
      <c r="G621" t="s">
        <v>266</v>
      </c>
      <c r="H621" t="s">
        <v>18</v>
      </c>
      <c r="I621">
        <v>4.9975277122294492E-2</v>
      </c>
      <c r="J621" t="s">
        <v>6</v>
      </c>
      <c r="L621" t="s">
        <v>267</v>
      </c>
      <c r="M621" t="s">
        <v>18</v>
      </c>
      <c r="N621">
        <v>4.7365995387688667E-2</v>
      </c>
      <c r="O621" t="s">
        <v>6</v>
      </c>
    </row>
    <row r="622" spans="2:15" x14ac:dyDescent="0.45">
      <c r="B622" t="s">
        <v>265</v>
      </c>
      <c r="C622" t="s">
        <v>19</v>
      </c>
      <c r="D622">
        <v>9.6344234206458912E-4</v>
      </c>
      <c r="E622" t="s">
        <v>6</v>
      </c>
      <c r="G622" t="s">
        <v>266</v>
      </c>
      <c r="H622" t="s">
        <v>19</v>
      </c>
      <c r="I622">
        <v>1.9092028273005157E-2</v>
      </c>
      <c r="J622" t="s">
        <v>6</v>
      </c>
      <c r="L622" t="s">
        <v>267</v>
      </c>
      <c r="M622" t="s">
        <v>19</v>
      </c>
      <c r="N622">
        <v>1.866020409447413E-2</v>
      </c>
      <c r="O622" t="s">
        <v>6</v>
      </c>
    </row>
    <row r="623" spans="2:15" x14ac:dyDescent="0.45">
      <c r="B623" t="s">
        <v>265</v>
      </c>
      <c r="C623" t="s">
        <v>20</v>
      </c>
      <c r="D623">
        <v>1.8295163851578786E-2</v>
      </c>
      <c r="E623" t="s">
        <v>6</v>
      </c>
      <c r="G623" t="s">
        <v>266</v>
      </c>
      <c r="H623" t="s">
        <v>20</v>
      </c>
      <c r="I623">
        <v>2.0283171131809205E-2</v>
      </c>
      <c r="J623" t="s">
        <v>6</v>
      </c>
      <c r="L623" t="s">
        <v>267</v>
      </c>
      <c r="M623" t="s">
        <v>20</v>
      </c>
      <c r="N623">
        <v>1.8483780757285531E-2</v>
      </c>
      <c r="O623" t="s">
        <v>6</v>
      </c>
    </row>
    <row r="624" spans="2:15" x14ac:dyDescent="0.45">
      <c r="B624" t="s">
        <v>265</v>
      </c>
      <c r="C624" t="s">
        <v>21</v>
      </c>
      <c r="D624">
        <v>5.7021489122050406E-2</v>
      </c>
      <c r="E624" t="s">
        <v>6</v>
      </c>
      <c r="G624" t="s">
        <v>266</v>
      </c>
      <c r="H624" t="s">
        <v>21</v>
      </c>
      <c r="I624">
        <v>2.3718078483716525E-2</v>
      </c>
      <c r="J624" t="s">
        <v>6</v>
      </c>
      <c r="L624" t="s">
        <v>267</v>
      </c>
      <c r="M624" t="s">
        <v>21</v>
      </c>
      <c r="N624">
        <v>1.8842313015359234E-2</v>
      </c>
      <c r="O624" t="s">
        <v>6</v>
      </c>
    </row>
    <row r="625" spans="2:15" x14ac:dyDescent="0.45">
      <c r="B625" t="s">
        <v>265</v>
      </c>
      <c r="C625" t="s">
        <v>22</v>
      </c>
      <c r="D625">
        <v>7.9977816093898424E-2</v>
      </c>
      <c r="E625" t="s">
        <v>6</v>
      </c>
      <c r="G625" t="s">
        <v>266</v>
      </c>
      <c r="H625" t="s">
        <v>22</v>
      </c>
      <c r="I625">
        <v>2.5566142874682122E-2</v>
      </c>
      <c r="J625" t="s">
        <v>6</v>
      </c>
      <c r="L625" t="s">
        <v>267</v>
      </c>
      <c r="M625" t="s">
        <v>22</v>
      </c>
      <c r="N625">
        <v>1.9885831395384076E-2</v>
      </c>
      <c r="O625" t="s">
        <v>6</v>
      </c>
    </row>
    <row r="626" spans="2:15" x14ac:dyDescent="0.45">
      <c r="B626" t="s">
        <v>265</v>
      </c>
      <c r="C626" t="s">
        <v>23</v>
      </c>
      <c r="D626">
        <v>8.2750831912454664E-2</v>
      </c>
      <c r="E626" t="s">
        <v>6</v>
      </c>
      <c r="G626" t="s">
        <v>266</v>
      </c>
      <c r="H626" t="s">
        <v>23</v>
      </c>
      <c r="I626">
        <v>2.5934115121040428E-2</v>
      </c>
      <c r="J626" t="s">
        <v>6</v>
      </c>
      <c r="L626" t="s">
        <v>267</v>
      </c>
      <c r="M626" t="s">
        <v>23</v>
      </c>
      <c r="N626">
        <v>2.0328615448963545E-2</v>
      </c>
      <c r="O626" t="s">
        <v>6</v>
      </c>
    </row>
    <row r="627" spans="2:15" x14ac:dyDescent="0.45">
      <c r="B627" t="s">
        <v>265</v>
      </c>
      <c r="C627" t="s">
        <v>24</v>
      </c>
      <c r="D627">
        <v>6.4020649522969153E-2</v>
      </c>
      <c r="E627" t="s">
        <v>6</v>
      </c>
      <c r="G627" t="s">
        <v>266</v>
      </c>
      <c r="H627" t="s">
        <v>24</v>
      </c>
      <c r="I627">
        <v>2.5670023510680453E-2</v>
      </c>
      <c r="J627" t="s">
        <v>6</v>
      </c>
      <c r="L627" t="s">
        <v>267</v>
      </c>
      <c r="M627" t="s">
        <v>24</v>
      </c>
      <c r="N627">
        <v>2.0364339547182038E-2</v>
      </c>
      <c r="O627" t="s">
        <v>6</v>
      </c>
    </row>
    <row r="628" spans="2:15" x14ac:dyDescent="0.45">
      <c r="B628" t="s">
        <v>265</v>
      </c>
      <c r="C628" t="s">
        <v>25</v>
      </c>
      <c r="D628">
        <v>2.9851967093895568E-2</v>
      </c>
      <c r="E628" t="s">
        <v>6</v>
      </c>
      <c r="G628" t="s">
        <v>266</v>
      </c>
      <c r="H628" t="s">
        <v>25</v>
      </c>
      <c r="I628">
        <v>2.3472606977985106E-2</v>
      </c>
      <c r="J628" t="s">
        <v>6</v>
      </c>
      <c r="L628" t="s">
        <v>267</v>
      </c>
      <c r="M628" t="s">
        <v>25</v>
      </c>
      <c r="N628">
        <v>2.0237485250495072E-2</v>
      </c>
      <c r="O628" t="s">
        <v>6</v>
      </c>
    </row>
    <row r="629" spans="2:15" x14ac:dyDescent="0.45">
      <c r="B629" t="s">
        <v>265</v>
      </c>
      <c r="C629" t="s">
        <v>26</v>
      </c>
      <c r="D629">
        <v>2.0667576651872666E-3</v>
      </c>
      <c r="E629" t="s">
        <v>6</v>
      </c>
      <c r="G629" t="s">
        <v>266</v>
      </c>
      <c r="H629" t="s">
        <v>26</v>
      </c>
      <c r="I629">
        <v>2.2060161691847258E-2</v>
      </c>
      <c r="J629" t="s">
        <v>6</v>
      </c>
      <c r="L629" t="s">
        <v>267</v>
      </c>
      <c r="M629" t="s">
        <v>26</v>
      </c>
      <c r="N629">
        <v>2.0196306337937977E-2</v>
      </c>
      <c r="O629" t="s">
        <v>6</v>
      </c>
    </row>
    <row r="630" spans="2:15" x14ac:dyDescent="0.45">
      <c r="B630" t="s">
        <v>265</v>
      </c>
      <c r="C630" t="s">
        <v>27</v>
      </c>
      <c r="D630">
        <v>1.4505284124698504E-7</v>
      </c>
      <c r="E630" t="s">
        <v>6</v>
      </c>
      <c r="G630" t="s">
        <v>266</v>
      </c>
      <c r="H630" t="s">
        <v>27</v>
      </c>
      <c r="I630">
        <v>3.1416181656565623E-2</v>
      </c>
      <c r="J630" t="s">
        <v>6</v>
      </c>
      <c r="L630" t="s">
        <v>267</v>
      </c>
      <c r="M630" t="s">
        <v>27</v>
      </c>
      <c r="N630">
        <v>2.9671152662576063E-2</v>
      </c>
      <c r="O630" t="s">
        <v>6</v>
      </c>
    </row>
    <row r="631" spans="2:15" x14ac:dyDescent="0.45">
      <c r="B631" t="s">
        <v>265</v>
      </c>
      <c r="C631" t="s">
        <v>28</v>
      </c>
      <c r="D631">
        <v>0</v>
      </c>
      <c r="E631" t="s">
        <v>6</v>
      </c>
      <c r="G631" t="s">
        <v>266</v>
      </c>
      <c r="H631" t="s">
        <v>28</v>
      </c>
      <c r="I631">
        <v>2.1988638005850245E-2</v>
      </c>
      <c r="J631" t="s">
        <v>6</v>
      </c>
      <c r="L631" t="s">
        <v>267</v>
      </c>
      <c r="M631" t="s">
        <v>28</v>
      </c>
      <c r="N631">
        <v>4.4427901939147287E-2</v>
      </c>
      <c r="O631" t="s">
        <v>6</v>
      </c>
    </row>
    <row r="632" spans="2:15" x14ac:dyDescent="0.45">
      <c r="B632" t="s">
        <v>265</v>
      </c>
      <c r="C632" t="s">
        <v>29</v>
      </c>
      <c r="D632">
        <v>2.3817829694062959E-3</v>
      </c>
      <c r="E632" t="s">
        <v>6</v>
      </c>
      <c r="G632" t="s">
        <v>266</v>
      </c>
      <c r="H632" t="s">
        <v>29</v>
      </c>
      <c r="I632">
        <v>8.5210166447163525E-3</v>
      </c>
      <c r="J632" t="s">
        <v>6</v>
      </c>
      <c r="L632" t="s">
        <v>267</v>
      </c>
      <c r="M632" t="s">
        <v>29</v>
      </c>
      <c r="N632">
        <v>1.7748543294224418E-2</v>
      </c>
      <c r="O632" t="s">
        <v>6</v>
      </c>
    </row>
    <row r="633" spans="2:15" x14ac:dyDescent="0.45">
      <c r="B633" t="s">
        <v>265</v>
      </c>
      <c r="C633" t="s">
        <v>30</v>
      </c>
      <c r="D633">
        <v>2.3573962359997112E-2</v>
      </c>
      <c r="E633" t="s">
        <v>6</v>
      </c>
      <c r="G633" t="s">
        <v>266</v>
      </c>
      <c r="H633" t="s">
        <v>30</v>
      </c>
      <c r="I633">
        <v>1.0280545532492342E-2</v>
      </c>
      <c r="J633" t="s">
        <v>6</v>
      </c>
      <c r="L633" t="s">
        <v>267</v>
      </c>
      <c r="M633" t="s">
        <v>30</v>
      </c>
      <c r="N633">
        <v>1.7553782941170406E-2</v>
      </c>
      <c r="O633" t="s">
        <v>6</v>
      </c>
    </row>
    <row r="634" spans="2:15" x14ac:dyDescent="0.45">
      <c r="B634" t="s">
        <v>265</v>
      </c>
      <c r="C634" t="s">
        <v>31</v>
      </c>
      <c r="D634">
        <v>5.9476309118380283E-2</v>
      </c>
      <c r="E634" t="s">
        <v>6</v>
      </c>
      <c r="G634" t="s">
        <v>266</v>
      </c>
      <c r="H634" t="s">
        <v>31</v>
      </c>
      <c r="I634">
        <v>1.2325613456387939E-2</v>
      </c>
      <c r="J634" t="s">
        <v>6</v>
      </c>
      <c r="L634" t="s">
        <v>267</v>
      </c>
      <c r="M634" t="s">
        <v>31</v>
      </c>
      <c r="N634">
        <v>1.7388195497505896E-2</v>
      </c>
      <c r="O634" t="s">
        <v>6</v>
      </c>
    </row>
    <row r="635" spans="2:15" x14ac:dyDescent="0.45">
      <c r="B635" t="s">
        <v>265</v>
      </c>
      <c r="C635" t="s">
        <v>32</v>
      </c>
      <c r="D635">
        <v>8.1539750889383103E-2</v>
      </c>
      <c r="E635" t="s">
        <v>6</v>
      </c>
      <c r="G635" t="s">
        <v>266</v>
      </c>
      <c r="H635" t="s">
        <v>32</v>
      </c>
      <c r="I635">
        <v>1.4459188833064587E-2</v>
      </c>
      <c r="J635" t="s">
        <v>6</v>
      </c>
      <c r="L635" t="s">
        <v>267</v>
      </c>
      <c r="M635" t="s">
        <v>32</v>
      </c>
      <c r="N635">
        <v>1.793623827302231E-2</v>
      </c>
      <c r="O635" t="s">
        <v>6</v>
      </c>
    </row>
    <row r="636" spans="2:15" x14ac:dyDescent="0.45">
      <c r="B636" t="s">
        <v>265</v>
      </c>
      <c r="C636" t="s">
        <v>33</v>
      </c>
      <c r="D636">
        <v>8.4618648139683658E-2</v>
      </c>
      <c r="E636" t="s">
        <v>6</v>
      </c>
      <c r="G636" t="s">
        <v>266</v>
      </c>
      <c r="H636" t="s">
        <v>33</v>
      </c>
      <c r="I636">
        <v>1.5650537553664703E-2</v>
      </c>
      <c r="J636" t="s">
        <v>6</v>
      </c>
      <c r="L636" t="s">
        <v>267</v>
      </c>
      <c r="M636" t="s">
        <v>33</v>
      </c>
      <c r="N636">
        <v>1.8182574631532191E-2</v>
      </c>
      <c r="O636" t="s">
        <v>6</v>
      </c>
    </row>
    <row r="637" spans="2:15" x14ac:dyDescent="0.45">
      <c r="B637" t="s">
        <v>265</v>
      </c>
      <c r="C637" t="s">
        <v>34</v>
      </c>
      <c r="D637">
        <v>6.9000784814980648E-2</v>
      </c>
      <c r="E637" t="s">
        <v>6</v>
      </c>
      <c r="G637" t="s">
        <v>266</v>
      </c>
      <c r="H637" t="s">
        <v>34</v>
      </c>
      <c r="I637">
        <v>1.5283787098024968E-2</v>
      </c>
      <c r="J637" t="s">
        <v>6</v>
      </c>
      <c r="L637" t="s">
        <v>267</v>
      </c>
      <c r="M637" t="s">
        <v>34</v>
      </c>
      <c r="N637">
        <v>1.7899424387114931E-2</v>
      </c>
      <c r="O637" t="s">
        <v>6</v>
      </c>
    </row>
    <row r="638" spans="2:15" x14ac:dyDescent="0.45">
      <c r="B638" t="s">
        <v>265</v>
      </c>
      <c r="C638" t="s">
        <v>35</v>
      </c>
      <c r="D638">
        <v>3.7128846964924619E-2</v>
      </c>
      <c r="E638" t="s">
        <v>6</v>
      </c>
      <c r="G638" t="s">
        <v>266</v>
      </c>
      <c r="H638" t="s">
        <v>35</v>
      </c>
      <c r="I638">
        <v>1.3873727297361737E-2</v>
      </c>
      <c r="J638" t="s">
        <v>6</v>
      </c>
      <c r="L638" t="s">
        <v>267</v>
      </c>
      <c r="M638" t="s">
        <v>35</v>
      </c>
      <c r="N638">
        <v>1.7468490161047557E-2</v>
      </c>
      <c r="O638" t="s">
        <v>6</v>
      </c>
    </row>
    <row r="639" spans="2:15" x14ac:dyDescent="0.45">
      <c r="B639" t="s">
        <v>265</v>
      </c>
      <c r="C639" t="s">
        <v>36</v>
      </c>
      <c r="D639">
        <v>5.8707758259995179E-3</v>
      </c>
      <c r="E639" t="s">
        <v>6</v>
      </c>
      <c r="G639" t="s">
        <v>266</v>
      </c>
      <c r="H639" t="s">
        <v>36</v>
      </c>
      <c r="I639">
        <v>1.1383402544129166E-2</v>
      </c>
      <c r="J639" t="s">
        <v>6</v>
      </c>
      <c r="L639" t="s">
        <v>267</v>
      </c>
      <c r="M639" t="s">
        <v>36</v>
      </c>
      <c r="N639">
        <v>1.7705152461687596E-2</v>
      </c>
      <c r="O639" t="s">
        <v>6</v>
      </c>
    </row>
    <row r="640" spans="2:15" x14ac:dyDescent="0.45">
      <c r="B640" t="s">
        <v>265</v>
      </c>
      <c r="C640" t="s">
        <v>37</v>
      </c>
      <c r="D640">
        <v>5.6523996034022473E-5</v>
      </c>
      <c r="E640" t="s">
        <v>6</v>
      </c>
      <c r="G640" t="s">
        <v>266</v>
      </c>
      <c r="H640" t="s">
        <v>37</v>
      </c>
      <c r="I640">
        <v>1.4405607593688632E-2</v>
      </c>
      <c r="J640" t="s">
        <v>6</v>
      </c>
      <c r="L640" t="s">
        <v>267</v>
      </c>
      <c r="M640" t="s">
        <v>37</v>
      </c>
      <c r="N640">
        <v>2.6352569362314903E-2</v>
      </c>
      <c r="O640" t="s">
        <v>6</v>
      </c>
    </row>
    <row r="641" spans="2:15" x14ac:dyDescent="0.45">
      <c r="B641" t="s">
        <v>265</v>
      </c>
      <c r="C641" t="s">
        <v>38</v>
      </c>
      <c r="D641">
        <v>0</v>
      </c>
      <c r="E641" t="s">
        <v>6</v>
      </c>
      <c r="G641" t="s">
        <v>266</v>
      </c>
      <c r="H641" t="s">
        <v>38</v>
      </c>
      <c r="I641">
        <v>5.1715529382382053E-2</v>
      </c>
      <c r="J641" t="s">
        <v>6</v>
      </c>
      <c r="L641" t="s">
        <v>267</v>
      </c>
      <c r="M641" t="s">
        <v>38</v>
      </c>
      <c r="N641">
        <v>5.3575953722922821E-2</v>
      </c>
      <c r="O641" t="s">
        <v>6</v>
      </c>
    </row>
    <row r="642" spans="2:15" x14ac:dyDescent="0.45">
      <c r="B642" t="s">
        <v>265</v>
      </c>
      <c r="C642" t="s">
        <v>39</v>
      </c>
      <c r="D642">
        <v>0</v>
      </c>
      <c r="E642" t="s">
        <v>6</v>
      </c>
      <c r="G642" t="s">
        <v>266</v>
      </c>
      <c r="H642" t="s">
        <v>39</v>
      </c>
      <c r="I642">
        <v>2.0379786126717848E-2</v>
      </c>
      <c r="J642" t="s">
        <v>6</v>
      </c>
      <c r="L642" t="s">
        <v>267</v>
      </c>
      <c r="M642" t="s">
        <v>39</v>
      </c>
      <c r="N642">
        <v>2.0581780604090411E-2</v>
      </c>
      <c r="O642" t="s">
        <v>6</v>
      </c>
    </row>
    <row r="643" spans="2:15" x14ac:dyDescent="0.45">
      <c r="B643" t="s">
        <v>265</v>
      </c>
      <c r="C643" t="s">
        <v>40</v>
      </c>
      <c r="D643">
        <v>3.7509897985811371E-3</v>
      </c>
      <c r="E643" t="s">
        <v>6</v>
      </c>
      <c r="G643" t="s">
        <v>266</v>
      </c>
      <c r="H643" t="s">
        <v>40</v>
      </c>
      <c r="I643">
        <v>2.0777592847233458E-2</v>
      </c>
      <c r="J643" t="s">
        <v>6</v>
      </c>
      <c r="L643" t="s">
        <v>267</v>
      </c>
      <c r="M643" t="s">
        <v>40</v>
      </c>
      <c r="N643">
        <v>1.986658599871375E-2</v>
      </c>
      <c r="O643" t="s">
        <v>6</v>
      </c>
    </row>
    <row r="644" spans="2:15" x14ac:dyDescent="0.45">
      <c r="B644" t="s">
        <v>265</v>
      </c>
      <c r="C644" t="s">
        <v>41</v>
      </c>
      <c r="D644">
        <v>2.9995180481908482E-2</v>
      </c>
      <c r="E644" t="s">
        <v>6</v>
      </c>
      <c r="G644" t="s">
        <v>266</v>
      </c>
      <c r="H644" t="s">
        <v>41</v>
      </c>
      <c r="I644">
        <v>2.2357204604206263E-2</v>
      </c>
      <c r="J644" t="s">
        <v>6</v>
      </c>
      <c r="L644" t="s">
        <v>267</v>
      </c>
      <c r="M644" t="s">
        <v>41</v>
      </c>
      <c r="N644">
        <v>1.957354339641661E-2</v>
      </c>
      <c r="O644" t="s">
        <v>6</v>
      </c>
    </row>
    <row r="645" spans="2:15" x14ac:dyDescent="0.45">
      <c r="B645" t="s">
        <v>265</v>
      </c>
      <c r="C645" t="s">
        <v>42</v>
      </c>
      <c r="D645">
        <v>5.3519351799881335E-2</v>
      </c>
      <c r="E645" t="s">
        <v>6</v>
      </c>
      <c r="G645" t="s">
        <v>266</v>
      </c>
      <c r="H645" t="s">
        <v>42</v>
      </c>
      <c r="I645">
        <v>2.4677513339044953E-2</v>
      </c>
      <c r="J645" t="s">
        <v>6</v>
      </c>
      <c r="L645" t="s">
        <v>267</v>
      </c>
      <c r="M645" t="s">
        <v>42</v>
      </c>
      <c r="N645">
        <v>2.0298134853232223E-2</v>
      </c>
      <c r="O645" t="s">
        <v>6</v>
      </c>
    </row>
    <row r="646" spans="2:15" x14ac:dyDescent="0.45">
      <c r="B646" t="s">
        <v>265</v>
      </c>
      <c r="C646" t="s">
        <v>43</v>
      </c>
      <c r="D646">
        <v>5.3569785039451721E-2</v>
      </c>
      <c r="E646" t="s">
        <v>6</v>
      </c>
      <c r="G646" t="s">
        <v>266</v>
      </c>
      <c r="H646" t="s">
        <v>43</v>
      </c>
      <c r="I646">
        <v>2.5678053679809805E-2</v>
      </c>
      <c r="J646" t="s">
        <v>6</v>
      </c>
      <c r="L646" t="s">
        <v>267</v>
      </c>
      <c r="M646" t="s">
        <v>43</v>
      </c>
      <c r="N646">
        <v>2.0631483907978383E-2</v>
      </c>
      <c r="O646" t="s">
        <v>6</v>
      </c>
    </row>
    <row r="647" spans="2:15" x14ac:dyDescent="0.45">
      <c r="B647" t="s">
        <v>265</v>
      </c>
      <c r="C647" t="s">
        <v>44</v>
      </c>
      <c r="D647">
        <v>3.2693968869408965E-2</v>
      </c>
      <c r="E647" t="s">
        <v>6</v>
      </c>
      <c r="G647" t="s">
        <v>266</v>
      </c>
      <c r="H647" t="s">
        <v>44</v>
      </c>
      <c r="I647">
        <v>2.4881701936737159E-2</v>
      </c>
      <c r="J647" t="s">
        <v>6</v>
      </c>
      <c r="L647" t="s">
        <v>267</v>
      </c>
      <c r="M647" t="s">
        <v>44</v>
      </c>
      <c r="N647">
        <v>2.0872032068136315E-2</v>
      </c>
      <c r="O647" t="s">
        <v>6</v>
      </c>
    </row>
    <row r="648" spans="2:15" x14ac:dyDescent="0.45">
      <c r="B648" t="s">
        <v>265</v>
      </c>
      <c r="C648" t="s">
        <v>45</v>
      </c>
      <c r="D648">
        <v>6.7208169500288985E-3</v>
      </c>
      <c r="E648" t="s">
        <v>6</v>
      </c>
      <c r="G648" t="s">
        <v>266</v>
      </c>
      <c r="H648" t="s">
        <v>45</v>
      </c>
      <c r="I648">
        <v>2.2515066361016804E-2</v>
      </c>
      <c r="J648" t="s">
        <v>6</v>
      </c>
      <c r="L648" t="s">
        <v>267</v>
      </c>
      <c r="M648" t="s">
        <v>45</v>
      </c>
      <c r="N648">
        <v>2.1348316222363908E-2</v>
      </c>
      <c r="O648" t="s">
        <v>6</v>
      </c>
    </row>
    <row r="649" spans="2:15" x14ac:dyDescent="0.45">
      <c r="B649" t="s">
        <v>265</v>
      </c>
      <c r="C649" t="s">
        <v>46</v>
      </c>
      <c r="D649">
        <v>2.7151840081090041E-5</v>
      </c>
      <c r="E649" t="s">
        <v>6</v>
      </c>
      <c r="G649" t="s">
        <v>266</v>
      </c>
      <c r="H649" t="s">
        <v>46</v>
      </c>
      <c r="I649">
        <v>2.1648322431823477E-2</v>
      </c>
      <c r="J649" t="s">
        <v>6</v>
      </c>
      <c r="L649" t="s">
        <v>267</v>
      </c>
      <c r="M649" t="s">
        <v>46</v>
      </c>
      <c r="N649">
        <v>2.1299706093691525E-2</v>
      </c>
      <c r="O649" t="s">
        <v>6</v>
      </c>
    </row>
    <row r="650" spans="2:15" x14ac:dyDescent="0.45">
      <c r="B650" t="s">
        <v>265</v>
      </c>
      <c r="C650" t="s">
        <v>47</v>
      </c>
      <c r="D650">
        <v>0</v>
      </c>
      <c r="E650" t="s">
        <v>6</v>
      </c>
      <c r="G650" t="s">
        <v>266</v>
      </c>
      <c r="H650" t="s">
        <v>47</v>
      </c>
      <c r="I650">
        <v>3.0959337236069275E-2</v>
      </c>
      <c r="J650" t="s">
        <v>6</v>
      </c>
      <c r="L650" t="s">
        <v>267</v>
      </c>
      <c r="M650" t="s">
        <v>47</v>
      </c>
      <c r="N650">
        <v>3.2144531652284404E-2</v>
      </c>
      <c r="O650" t="s">
        <v>6</v>
      </c>
    </row>
    <row r="651" spans="2:15" x14ac:dyDescent="0.45">
      <c r="B651" t="s">
        <v>268</v>
      </c>
      <c r="C651" t="s">
        <v>5</v>
      </c>
      <c r="D651">
        <v>0</v>
      </c>
      <c r="E651" t="s">
        <v>6</v>
      </c>
      <c r="G651" t="s">
        <v>269</v>
      </c>
      <c r="H651" t="s">
        <v>5</v>
      </c>
      <c r="I651">
        <v>7.063773184830735E-2</v>
      </c>
      <c r="J651" t="s">
        <v>6</v>
      </c>
      <c r="L651" t="s">
        <v>270</v>
      </c>
      <c r="M651" t="s">
        <v>5</v>
      </c>
      <c r="N651">
        <v>6.4587893126620499E-2</v>
      </c>
      <c r="O651" t="s">
        <v>6</v>
      </c>
    </row>
    <row r="652" spans="2:15" x14ac:dyDescent="0.45">
      <c r="B652" t="s">
        <v>268</v>
      </c>
      <c r="C652" t="s">
        <v>9</v>
      </c>
      <c r="D652">
        <v>0</v>
      </c>
      <c r="E652" t="s">
        <v>6</v>
      </c>
      <c r="G652" t="s">
        <v>269</v>
      </c>
      <c r="H652" t="s">
        <v>9</v>
      </c>
      <c r="I652">
        <v>2.6959380803216478E-2</v>
      </c>
      <c r="J652" t="s">
        <v>6</v>
      </c>
      <c r="L652" t="s">
        <v>270</v>
      </c>
      <c r="M652" t="s">
        <v>9</v>
      </c>
      <c r="N652">
        <v>2.5469183283170285E-2</v>
      </c>
      <c r="O652" t="s">
        <v>6</v>
      </c>
    </row>
    <row r="653" spans="2:15" x14ac:dyDescent="0.45">
      <c r="B653" t="s">
        <v>268</v>
      </c>
      <c r="C653" t="s">
        <v>10</v>
      </c>
      <c r="D653">
        <v>2.6695205651592263E-4</v>
      </c>
      <c r="E653" t="s">
        <v>6</v>
      </c>
      <c r="G653" t="s">
        <v>269</v>
      </c>
      <c r="H653" t="s">
        <v>10</v>
      </c>
      <c r="I653">
        <v>2.6686910409286786E-2</v>
      </c>
      <c r="J653" t="s">
        <v>6</v>
      </c>
      <c r="L653" t="s">
        <v>270</v>
      </c>
      <c r="M653" t="s">
        <v>10</v>
      </c>
      <c r="N653">
        <v>2.4790562571819514E-2</v>
      </c>
      <c r="O653" t="s">
        <v>6</v>
      </c>
    </row>
    <row r="654" spans="2:15" x14ac:dyDescent="0.45">
      <c r="B654" t="s">
        <v>268</v>
      </c>
      <c r="C654" t="s">
        <v>11</v>
      </c>
      <c r="D654">
        <v>1.4799814130155861E-2</v>
      </c>
      <c r="E654" t="s">
        <v>6</v>
      </c>
      <c r="G654" t="s">
        <v>269</v>
      </c>
      <c r="H654" t="s">
        <v>11</v>
      </c>
      <c r="I654">
        <v>2.5714587660813422E-2</v>
      </c>
      <c r="J654" t="s">
        <v>6</v>
      </c>
      <c r="L654" t="s">
        <v>270</v>
      </c>
      <c r="M654" t="s">
        <v>11</v>
      </c>
      <c r="N654">
        <v>2.4294740114546753E-2</v>
      </c>
      <c r="O654" t="s">
        <v>6</v>
      </c>
    </row>
    <row r="655" spans="2:15" x14ac:dyDescent="0.45">
      <c r="B655" t="s">
        <v>268</v>
      </c>
      <c r="C655" t="s">
        <v>12</v>
      </c>
      <c r="D655">
        <v>4.1437458820914409E-2</v>
      </c>
      <c r="E655" t="s">
        <v>6</v>
      </c>
      <c r="G655" t="s">
        <v>269</v>
      </c>
      <c r="H655" t="s">
        <v>12</v>
      </c>
      <c r="I655">
        <v>2.5450690650265399E-2</v>
      </c>
      <c r="J655" t="s">
        <v>6</v>
      </c>
      <c r="L655" t="s">
        <v>270</v>
      </c>
      <c r="M655" t="s">
        <v>12</v>
      </c>
      <c r="N655">
        <v>2.4425919751586093E-2</v>
      </c>
      <c r="O655" t="s">
        <v>6</v>
      </c>
    </row>
    <row r="656" spans="2:15" x14ac:dyDescent="0.45">
      <c r="B656" t="s">
        <v>268</v>
      </c>
      <c r="C656" t="s">
        <v>13</v>
      </c>
      <c r="D656">
        <v>4.2805072336670136E-2</v>
      </c>
      <c r="E656" t="s">
        <v>6</v>
      </c>
      <c r="G656" t="s">
        <v>269</v>
      </c>
      <c r="H656" t="s">
        <v>13</v>
      </c>
      <c r="I656">
        <v>2.6259984536030821E-2</v>
      </c>
      <c r="J656" t="s">
        <v>6</v>
      </c>
      <c r="L656" t="s">
        <v>270</v>
      </c>
      <c r="M656" t="s">
        <v>13</v>
      </c>
      <c r="N656">
        <v>2.5145300419549144E-2</v>
      </c>
      <c r="O656" t="s">
        <v>6</v>
      </c>
    </row>
    <row r="657" spans="2:15" x14ac:dyDescent="0.45">
      <c r="B657" t="s">
        <v>268</v>
      </c>
      <c r="C657" t="s">
        <v>14</v>
      </c>
      <c r="D657">
        <v>2.0966384029569143E-2</v>
      </c>
      <c r="E657" t="s">
        <v>6</v>
      </c>
      <c r="G657" t="s">
        <v>269</v>
      </c>
      <c r="H657" t="s">
        <v>14</v>
      </c>
      <c r="I657">
        <v>2.6411208297343648E-2</v>
      </c>
      <c r="J657" t="s">
        <v>6</v>
      </c>
      <c r="L657" t="s">
        <v>270</v>
      </c>
      <c r="M657" t="s">
        <v>14</v>
      </c>
      <c r="N657">
        <v>2.5250554686895993E-2</v>
      </c>
      <c r="O657" t="s">
        <v>6</v>
      </c>
    </row>
    <row r="658" spans="2:15" x14ac:dyDescent="0.45">
      <c r="B658" t="s">
        <v>268</v>
      </c>
      <c r="C658" t="s">
        <v>15</v>
      </c>
      <c r="D658">
        <v>2.127725900747657E-3</v>
      </c>
      <c r="E658" t="s">
        <v>6</v>
      </c>
      <c r="G658" t="s">
        <v>269</v>
      </c>
      <c r="H658" t="s">
        <v>15</v>
      </c>
      <c r="I658">
        <v>2.6656850794135878E-2</v>
      </c>
      <c r="J658" t="s">
        <v>6</v>
      </c>
      <c r="L658" t="s">
        <v>270</v>
      </c>
      <c r="M658" t="s">
        <v>15</v>
      </c>
      <c r="N658">
        <v>2.4826397122925919E-2</v>
      </c>
      <c r="O658" t="s">
        <v>6</v>
      </c>
    </row>
    <row r="659" spans="2:15" x14ac:dyDescent="0.45">
      <c r="B659" t="s">
        <v>268</v>
      </c>
      <c r="C659" t="s">
        <v>16</v>
      </c>
      <c r="D659">
        <v>0</v>
      </c>
      <c r="E659" t="s">
        <v>6</v>
      </c>
      <c r="G659" t="s">
        <v>269</v>
      </c>
      <c r="H659" t="s">
        <v>16</v>
      </c>
      <c r="I659">
        <v>2.7740805528562059E-2</v>
      </c>
      <c r="J659" t="s">
        <v>6</v>
      </c>
      <c r="L659" t="s">
        <v>270</v>
      </c>
      <c r="M659" t="s">
        <v>16</v>
      </c>
      <c r="N659">
        <v>2.5002227918912968E-2</v>
      </c>
      <c r="O659" t="s">
        <v>6</v>
      </c>
    </row>
    <row r="660" spans="2:15" x14ac:dyDescent="0.45">
      <c r="B660" t="s">
        <v>268</v>
      </c>
      <c r="C660" t="s">
        <v>17</v>
      </c>
      <c r="D660">
        <v>0</v>
      </c>
      <c r="E660" t="s">
        <v>6</v>
      </c>
      <c r="G660" t="s">
        <v>269</v>
      </c>
      <c r="H660" t="s">
        <v>17</v>
      </c>
      <c r="I660">
        <v>4.2148388251076516E-2</v>
      </c>
      <c r="J660" t="s">
        <v>6</v>
      </c>
      <c r="L660" t="s">
        <v>270</v>
      </c>
      <c r="M660" t="s">
        <v>17</v>
      </c>
      <c r="N660">
        <v>3.8366991933031648E-2</v>
      </c>
      <c r="O660" t="s">
        <v>6</v>
      </c>
    </row>
    <row r="661" spans="2:15" x14ac:dyDescent="0.45">
      <c r="B661" t="s">
        <v>268</v>
      </c>
      <c r="C661" t="s">
        <v>18</v>
      </c>
      <c r="D661">
        <v>0</v>
      </c>
      <c r="E661" t="s">
        <v>6</v>
      </c>
      <c r="G661" t="s">
        <v>269</v>
      </c>
      <c r="H661" t="s">
        <v>18</v>
      </c>
      <c r="I661">
        <v>4.6431118203691467E-2</v>
      </c>
      <c r="J661" t="s">
        <v>6</v>
      </c>
      <c r="L661" t="s">
        <v>270</v>
      </c>
      <c r="M661" t="s">
        <v>18</v>
      </c>
      <c r="N661">
        <v>4.8593792741164384E-2</v>
      </c>
      <c r="O661" t="s">
        <v>6</v>
      </c>
    </row>
    <row r="662" spans="2:15" x14ac:dyDescent="0.45">
      <c r="B662" t="s">
        <v>268</v>
      </c>
      <c r="C662" t="s">
        <v>19</v>
      </c>
      <c r="D662">
        <v>1.2032524345216675E-3</v>
      </c>
      <c r="E662" t="s">
        <v>6</v>
      </c>
      <c r="G662" t="s">
        <v>269</v>
      </c>
      <c r="H662" t="s">
        <v>19</v>
      </c>
      <c r="I662">
        <v>1.7289303860500139E-2</v>
      </c>
      <c r="J662" t="s">
        <v>6</v>
      </c>
      <c r="L662" t="s">
        <v>270</v>
      </c>
      <c r="M662" t="s">
        <v>19</v>
      </c>
      <c r="N662">
        <v>1.9495359897910142E-2</v>
      </c>
      <c r="O662" t="s">
        <v>6</v>
      </c>
    </row>
    <row r="663" spans="2:15" x14ac:dyDescent="0.45">
      <c r="B663" t="s">
        <v>268</v>
      </c>
      <c r="C663" t="s">
        <v>20</v>
      </c>
      <c r="D663">
        <v>2.0087169855543211E-2</v>
      </c>
      <c r="E663" t="s">
        <v>6</v>
      </c>
      <c r="G663" t="s">
        <v>269</v>
      </c>
      <c r="H663" t="s">
        <v>20</v>
      </c>
      <c r="I663">
        <v>1.7894414874438332E-2</v>
      </c>
      <c r="J663" t="s">
        <v>6</v>
      </c>
      <c r="L663" t="s">
        <v>270</v>
      </c>
      <c r="M663" t="s">
        <v>20</v>
      </c>
      <c r="N663">
        <v>1.9611691719071032E-2</v>
      </c>
      <c r="O663" t="s">
        <v>6</v>
      </c>
    </row>
    <row r="664" spans="2:15" x14ac:dyDescent="0.45">
      <c r="B664" t="s">
        <v>268</v>
      </c>
      <c r="C664" t="s">
        <v>21</v>
      </c>
      <c r="D664">
        <v>5.7562091085379574E-2</v>
      </c>
      <c r="E664" t="s">
        <v>6</v>
      </c>
      <c r="G664" t="s">
        <v>269</v>
      </c>
      <c r="H664" t="s">
        <v>21</v>
      </c>
      <c r="I664">
        <v>2.0426811655213935E-2</v>
      </c>
      <c r="J664" t="s">
        <v>6</v>
      </c>
      <c r="L664" t="s">
        <v>270</v>
      </c>
      <c r="M664" t="s">
        <v>21</v>
      </c>
      <c r="N664">
        <v>1.9789318123289185E-2</v>
      </c>
      <c r="O664" t="s">
        <v>6</v>
      </c>
    </row>
    <row r="665" spans="2:15" x14ac:dyDescent="0.45">
      <c r="B665" t="s">
        <v>268</v>
      </c>
      <c r="C665" t="s">
        <v>22</v>
      </c>
      <c r="D665">
        <v>7.9838963766198173E-2</v>
      </c>
      <c r="E665" t="s">
        <v>6</v>
      </c>
      <c r="G665" t="s">
        <v>269</v>
      </c>
      <c r="H665" t="s">
        <v>22</v>
      </c>
      <c r="I665">
        <v>2.2445697469311521E-2</v>
      </c>
      <c r="J665" t="s">
        <v>6</v>
      </c>
      <c r="L665" t="s">
        <v>270</v>
      </c>
      <c r="M665" t="s">
        <v>22</v>
      </c>
      <c r="N665">
        <v>2.0292237677520013E-2</v>
      </c>
      <c r="O665" t="s">
        <v>6</v>
      </c>
    </row>
    <row r="666" spans="2:15" x14ac:dyDescent="0.45">
      <c r="B666" t="s">
        <v>268</v>
      </c>
      <c r="C666" t="s">
        <v>23</v>
      </c>
      <c r="D666">
        <v>8.0934097035504846E-2</v>
      </c>
      <c r="E666" t="s">
        <v>6</v>
      </c>
      <c r="G666" t="s">
        <v>269</v>
      </c>
      <c r="H666" t="s">
        <v>23</v>
      </c>
      <c r="I666">
        <v>2.3252026885691262E-2</v>
      </c>
      <c r="J666" t="s">
        <v>6</v>
      </c>
      <c r="L666" t="s">
        <v>270</v>
      </c>
      <c r="M666" t="s">
        <v>23</v>
      </c>
      <c r="N666">
        <v>2.0332601928406906E-2</v>
      </c>
      <c r="O666" t="s">
        <v>6</v>
      </c>
    </row>
    <row r="667" spans="2:15" x14ac:dyDescent="0.45">
      <c r="B667" t="s">
        <v>268</v>
      </c>
      <c r="C667" t="s">
        <v>24</v>
      </c>
      <c r="D667">
        <v>6.2304095254321727E-2</v>
      </c>
      <c r="E667" t="s">
        <v>6</v>
      </c>
      <c r="G667" t="s">
        <v>269</v>
      </c>
      <c r="H667" t="s">
        <v>24</v>
      </c>
      <c r="I667">
        <v>2.291768150400714E-2</v>
      </c>
      <c r="J667" t="s">
        <v>6</v>
      </c>
      <c r="L667" t="s">
        <v>270</v>
      </c>
      <c r="M667" t="s">
        <v>24</v>
      </c>
      <c r="N667">
        <v>2.0328962086403873E-2</v>
      </c>
      <c r="O667" t="s">
        <v>6</v>
      </c>
    </row>
    <row r="668" spans="2:15" x14ac:dyDescent="0.45">
      <c r="B668" t="s">
        <v>268</v>
      </c>
      <c r="C668" t="s">
        <v>25</v>
      </c>
      <c r="D668">
        <v>2.6927739652205036E-2</v>
      </c>
      <c r="E668" t="s">
        <v>6</v>
      </c>
      <c r="G668" t="s">
        <v>269</v>
      </c>
      <c r="H668" t="s">
        <v>25</v>
      </c>
      <c r="I668">
        <v>2.159216428091134E-2</v>
      </c>
      <c r="J668" t="s">
        <v>6</v>
      </c>
      <c r="L668" t="s">
        <v>270</v>
      </c>
      <c r="M668" t="s">
        <v>25</v>
      </c>
      <c r="N668">
        <v>2.0273460167608323E-2</v>
      </c>
      <c r="O668" t="s">
        <v>6</v>
      </c>
    </row>
    <row r="669" spans="2:15" x14ac:dyDescent="0.45">
      <c r="B669" t="s">
        <v>268</v>
      </c>
      <c r="C669" t="s">
        <v>26</v>
      </c>
      <c r="D669">
        <v>1.8506893420878396E-3</v>
      </c>
      <c r="E669" t="s">
        <v>6</v>
      </c>
      <c r="G669" t="s">
        <v>269</v>
      </c>
      <c r="H669" t="s">
        <v>26</v>
      </c>
      <c r="I669">
        <v>2.0948044628672335E-2</v>
      </c>
      <c r="J669" t="s">
        <v>6</v>
      </c>
      <c r="L669" t="s">
        <v>270</v>
      </c>
      <c r="M669" t="s">
        <v>26</v>
      </c>
      <c r="N669">
        <v>2.0138355598670128E-2</v>
      </c>
      <c r="O669" t="s">
        <v>6</v>
      </c>
    </row>
    <row r="670" spans="2:15" x14ac:dyDescent="0.45">
      <c r="B670" t="s">
        <v>268</v>
      </c>
      <c r="C670" t="s">
        <v>27</v>
      </c>
      <c r="D670">
        <v>0</v>
      </c>
      <c r="E670" t="s">
        <v>6</v>
      </c>
      <c r="G670" t="s">
        <v>269</v>
      </c>
      <c r="H670" t="s">
        <v>27</v>
      </c>
      <c r="I670">
        <v>2.9949124798500999E-2</v>
      </c>
      <c r="J670" t="s">
        <v>6</v>
      </c>
      <c r="L670" t="s">
        <v>270</v>
      </c>
      <c r="M670" t="s">
        <v>27</v>
      </c>
      <c r="N670">
        <v>2.9782336624212119E-2</v>
      </c>
      <c r="O670" t="s">
        <v>6</v>
      </c>
    </row>
    <row r="671" spans="2:15" x14ac:dyDescent="0.45">
      <c r="B671" t="s">
        <v>268</v>
      </c>
      <c r="C671" t="s">
        <v>28</v>
      </c>
      <c r="D671">
        <v>0</v>
      </c>
      <c r="E671" t="s">
        <v>6</v>
      </c>
      <c r="G671" t="s">
        <v>269</v>
      </c>
      <c r="H671" t="s">
        <v>28</v>
      </c>
      <c r="I671">
        <v>2.8138472306409219E-2</v>
      </c>
      <c r="J671" t="s">
        <v>6</v>
      </c>
      <c r="L671" t="s">
        <v>270</v>
      </c>
      <c r="M671" t="s">
        <v>28</v>
      </c>
      <c r="N671">
        <v>4.4556618708547102E-2</v>
      </c>
      <c r="O671" t="s">
        <v>6</v>
      </c>
    </row>
    <row r="672" spans="2:15" x14ac:dyDescent="0.45">
      <c r="B672" t="s">
        <v>268</v>
      </c>
      <c r="C672" t="s">
        <v>29</v>
      </c>
      <c r="D672">
        <v>2.8995227414982056E-3</v>
      </c>
      <c r="E672" t="s">
        <v>6</v>
      </c>
      <c r="G672" t="s">
        <v>269</v>
      </c>
      <c r="H672" t="s">
        <v>29</v>
      </c>
      <c r="I672">
        <v>1.1602647181676392E-2</v>
      </c>
      <c r="J672" t="s">
        <v>6</v>
      </c>
      <c r="L672" t="s">
        <v>270</v>
      </c>
      <c r="M672" t="s">
        <v>29</v>
      </c>
      <c r="N672">
        <v>1.7726904675390918E-2</v>
      </c>
      <c r="O672" t="s">
        <v>6</v>
      </c>
    </row>
    <row r="673" spans="2:15" x14ac:dyDescent="0.45">
      <c r="B673" t="s">
        <v>268</v>
      </c>
      <c r="C673" t="s">
        <v>30</v>
      </c>
      <c r="D673">
        <v>2.6518857533108522E-2</v>
      </c>
      <c r="E673" t="s">
        <v>6</v>
      </c>
      <c r="G673" t="s">
        <v>269</v>
      </c>
      <c r="H673" t="s">
        <v>30</v>
      </c>
      <c r="I673">
        <v>1.3110453771663822E-2</v>
      </c>
      <c r="J673" t="s">
        <v>6</v>
      </c>
      <c r="L673" t="s">
        <v>270</v>
      </c>
      <c r="M673" t="s">
        <v>30</v>
      </c>
      <c r="N673">
        <v>1.778097417788637E-2</v>
      </c>
      <c r="O673" t="s">
        <v>6</v>
      </c>
    </row>
    <row r="674" spans="2:15" x14ac:dyDescent="0.45">
      <c r="B674" t="s">
        <v>268</v>
      </c>
      <c r="C674" t="s">
        <v>31</v>
      </c>
      <c r="D674">
        <v>6.3984394125333563E-2</v>
      </c>
      <c r="E674" t="s">
        <v>6</v>
      </c>
      <c r="G674" t="s">
        <v>269</v>
      </c>
      <c r="H674" t="s">
        <v>31</v>
      </c>
      <c r="I674">
        <v>1.4808178220368859E-2</v>
      </c>
      <c r="J674" t="s">
        <v>6</v>
      </c>
      <c r="L674" t="s">
        <v>270</v>
      </c>
      <c r="M674" t="s">
        <v>31</v>
      </c>
      <c r="N674">
        <v>1.7852423570731111E-2</v>
      </c>
      <c r="O674" t="s">
        <v>6</v>
      </c>
    </row>
    <row r="675" spans="2:15" x14ac:dyDescent="0.45">
      <c r="B675" t="s">
        <v>268</v>
      </c>
      <c r="C675" t="s">
        <v>32</v>
      </c>
      <c r="D675">
        <v>8.2811807090450329E-2</v>
      </c>
      <c r="E675" t="s">
        <v>6</v>
      </c>
      <c r="G675" t="s">
        <v>269</v>
      </c>
      <c r="H675" t="s">
        <v>32</v>
      </c>
      <c r="I675">
        <v>1.6362869424080644E-2</v>
      </c>
      <c r="J675" t="s">
        <v>6</v>
      </c>
      <c r="L675" t="s">
        <v>270</v>
      </c>
      <c r="M675" t="s">
        <v>32</v>
      </c>
      <c r="N675">
        <v>1.790154418045329E-2</v>
      </c>
      <c r="O675" t="s">
        <v>6</v>
      </c>
    </row>
    <row r="676" spans="2:15" x14ac:dyDescent="0.45">
      <c r="B676" t="s">
        <v>268</v>
      </c>
      <c r="C676" t="s">
        <v>33</v>
      </c>
      <c r="D676">
        <v>8.4023136993024911E-2</v>
      </c>
      <c r="E676" t="s">
        <v>6</v>
      </c>
      <c r="G676" t="s">
        <v>269</v>
      </c>
      <c r="H676" t="s">
        <v>33</v>
      </c>
      <c r="I676">
        <v>1.6969649391678499E-2</v>
      </c>
      <c r="J676" t="s">
        <v>6</v>
      </c>
      <c r="L676" t="s">
        <v>270</v>
      </c>
      <c r="M676" t="s">
        <v>33</v>
      </c>
      <c r="N676">
        <v>1.7907482806452966E-2</v>
      </c>
      <c r="O676" t="s">
        <v>6</v>
      </c>
    </row>
    <row r="677" spans="2:15" x14ac:dyDescent="0.45">
      <c r="B677" t="s">
        <v>268</v>
      </c>
      <c r="C677" t="s">
        <v>34</v>
      </c>
      <c r="D677">
        <v>6.5335870926945969E-2</v>
      </c>
      <c r="E677" t="s">
        <v>6</v>
      </c>
      <c r="G677" t="s">
        <v>269</v>
      </c>
      <c r="H677" t="s">
        <v>34</v>
      </c>
      <c r="I677">
        <v>1.6322564766186407E-2</v>
      </c>
      <c r="J677" t="s">
        <v>6</v>
      </c>
      <c r="L677" t="s">
        <v>270</v>
      </c>
      <c r="M677" t="s">
        <v>34</v>
      </c>
      <c r="N677">
        <v>1.7745002983798632E-2</v>
      </c>
      <c r="O677" t="s">
        <v>6</v>
      </c>
    </row>
    <row r="678" spans="2:15" x14ac:dyDescent="0.45">
      <c r="B678" t="s">
        <v>268</v>
      </c>
      <c r="C678" t="s">
        <v>35</v>
      </c>
      <c r="D678">
        <v>3.3644922746973276E-2</v>
      </c>
      <c r="E678" t="s">
        <v>6</v>
      </c>
      <c r="G678" t="s">
        <v>269</v>
      </c>
      <c r="H678" t="s">
        <v>35</v>
      </c>
      <c r="I678">
        <v>1.4938295836173524E-2</v>
      </c>
      <c r="J678" t="s">
        <v>6</v>
      </c>
      <c r="L678" t="s">
        <v>270</v>
      </c>
      <c r="M678" t="s">
        <v>35</v>
      </c>
      <c r="N678">
        <v>1.763036251779914E-2</v>
      </c>
      <c r="O678" t="s">
        <v>6</v>
      </c>
    </row>
    <row r="679" spans="2:15" x14ac:dyDescent="0.45">
      <c r="B679" t="s">
        <v>268</v>
      </c>
      <c r="C679" t="s">
        <v>36</v>
      </c>
      <c r="D679">
        <v>5.0731470361985668E-3</v>
      </c>
      <c r="E679" t="s">
        <v>6</v>
      </c>
      <c r="G679" t="s">
        <v>269</v>
      </c>
      <c r="H679" t="s">
        <v>36</v>
      </c>
      <c r="I679">
        <v>1.284320889803434E-2</v>
      </c>
      <c r="J679" t="s">
        <v>6</v>
      </c>
      <c r="L679" t="s">
        <v>270</v>
      </c>
      <c r="M679" t="s">
        <v>36</v>
      </c>
      <c r="N679">
        <v>1.7698711926522014E-2</v>
      </c>
      <c r="O679" t="s">
        <v>6</v>
      </c>
    </row>
    <row r="680" spans="2:15" x14ac:dyDescent="0.45">
      <c r="B680" t="s">
        <v>268</v>
      </c>
      <c r="C680" t="s">
        <v>37</v>
      </c>
      <c r="D680">
        <v>2.895955198001119E-5</v>
      </c>
      <c r="E680" t="s">
        <v>6</v>
      </c>
      <c r="G680" t="s">
        <v>269</v>
      </c>
      <c r="H680" t="s">
        <v>37</v>
      </c>
      <c r="I680">
        <v>1.7222296674713929E-2</v>
      </c>
      <c r="J680" t="s">
        <v>6</v>
      </c>
      <c r="L680" t="s">
        <v>270</v>
      </c>
      <c r="M680" t="s">
        <v>37</v>
      </c>
      <c r="N680">
        <v>2.6521580462140596E-2</v>
      </c>
      <c r="O680" t="s">
        <v>6</v>
      </c>
    </row>
    <row r="681" spans="2:15" x14ac:dyDescent="0.45">
      <c r="B681" t="s">
        <v>268</v>
      </c>
      <c r="C681" t="s">
        <v>38</v>
      </c>
      <c r="D681">
        <v>0</v>
      </c>
      <c r="E681" t="s">
        <v>6</v>
      </c>
      <c r="G681" t="s">
        <v>269</v>
      </c>
      <c r="H681" t="s">
        <v>38</v>
      </c>
      <c r="I681">
        <v>5.3331687598909383E-2</v>
      </c>
      <c r="J681" t="s">
        <v>6</v>
      </c>
      <c r="L681" t="s">
        <v>270</v>
      </c>
      <c r="M681" t="s">
        <v>38</v>
      </c>
      <c r="N681">
        <v>5.1904631038917015E-2</v>
      </c>
      <c r="O681" t="s">
        <v>6</v>
      </c>
    </row>
    <row r="682" spans="2:15" x14ac:dyDescent="0.45">
      <c r="B682" t="s">
        <v>268</v>
      </c>
      <c r="C682" t="s">
        <v>39</v>
      </c>
      <c r="D682">
        <v>3.5461903298429439E-7</v>
      </c>
      <c r="E682" t="s">
        <v>6</v>
      </c>
      <c r="G682" t="s">
        <v>269</v>
      </c>
      <c r="H682" t="s">
        <v>39</v>
      </c>
      <c r="I682">
        <v>2.10407002777762E-2</v>
      </c>
      <c r="J682" t="s">
        <v>6</v>
      </c>
      <c r="L682" t="s">
        <v>270</v>
      </c>
      <c r="M682" t="s">
        <v>39</v>
      </c>
      <c r="N682">
        <v>1.9825533791965534E-2</v>
      </c>
      <c r="O682" t="s">
        <v>6</v>
      </c>
    </row>
    <row r="683" spans="2:15" x14ac:dyDescent="0.45">
      <c r="B683" t="s">
        <v>268</v>
      </c>
      <c r="C683" t="s">
        <v>40</v>
      </c>
      <c r="D683">
        <v>5.057239202964128E-3</v>
      </c>
      <c r="E683" t="s">
        <v>6</v>
      </c>
      <c r="G683" t="s">
        <v>269</v>
      </c>
      <c r="H683" t="s">
        <v>40</v>
      </c>
      <c r="I683">
        <v>2.133858491509074E-2</v>
      </c>
      <c r="J683" t="s">
        <v>6</v>
      </c>
      <c r="L683" t="s">
        <v>270</v>
      </c>
      <c r="M683" t="s">
        <v>40</v>
      </c>
      <c r="N683">
        <v>1.9746824000199715E-2</v>
      </c>
      <c r="O683" t="s">
        <v>6</v>
      </c>
    </row>
    <row r="684" spans="2:15" x14ac:dyDescent="0.45">
      <c r="B684" t="s">
        <v>268</v>
      </c>
      <c r="C684" t="s">
        <v>41</v>
      </c>
      <c r="D684">
        <v>3.2901145671937401E-2</v>
      </c>
      <c r="E684" t="s">
        <v>6</v>
      </c>
      <c r="G684" t="s">
        <v>269</v>
      </c>
      <c r="H684" t="s">
        <v>41</v>
      </c>
      <c r="I684">
        <v>2.2596112286137872E-2</v>
      </c>
      <c r="J684" t="s">
        <v>6</v>
      </c>
      <c r="L684" t="s">
        <v>270</v>
      </c>
      <c r="M684" t="s">
        <v>41</v>
      </c>
      <c r="N684">
        <v>2.0162670508522145E-2</v>
      </c>
      <c r="O684" t="s">
        <v>6</v>
      </c>
    </row>
    <row r="685" spans="2:15" x14ac:dyDescent="0.45">
      <c r="B685" t="s">
        <v>268</v>
      </c>
      <c r="C685" t="s">
        <v>42</v>
      </c>
      <c r="D685">
        <v>5.5378976500173559E-2</v>
      </c>
      <c r="E685" t="s">
        <v>6</v>
      </c>
      <c r="G685" t="s">
        <v>269</v>
      </c>
      <c r="H685" t="s">
        <v>42</v>
      </c>
      <c r="I685">
        <v>2.4248581994904997E-2</v>
      </c>
      <c r="J685" t="s">
        <v>6</v>
      </c>
      <c r="L685" t="s">
        <v>270</v>
      </c>
      <c r="M685" t="s">
        <v>42</v>
      </c>
      <c r="N685">
        <v>2.0953599132448562E-2</v>
      </c>
      <c r="O685" t="s">
        <v>6</v>
      </c>
    </row>
    <row r="686" spans="2:15" x14ac:dyDescent="0.45">
      <c r="B686" t="s">
        <v>268</v>
      </c>
      <c r="C686" t="s">
        <v>43</v>
      </c>
      <c r="D686">
        <v>5.2475880546409823E-2</v>
      </c>
      <c r="E686" t="s">
        <v>6</v>
      </c>
      <c r="G686" t="s">
        <v>269</v>
      </c>
      <c r="H686" t="s">
        <v>43</v>
      </c>
      <c r="I686">
        <v>2.4833884038304461E-2</v>
      </c>
      <c r="J686" t="s">
        <v>6</v>
      </c>
      <c r="L686" t="s">
        <v>270</v>
      </c>
      <c r="M686" t="s">
        <v>43</v>
      </c>
      <c r="N686">
        <v>2.0662670618480979E-2</v>
      </c>
      <c r="O686" t="s">
        <v>6</v>
      </c>
    </row>
    <row r="687" spans="2:15" x14ac:dyDescent="0.45">
      <c r="B687" t="s">
        <v>268</v>
      </c>
      <c r="C687" t="s">
        <v>44</v>
      </c>
      <c r="D687">
        <v>3.1003438874683077E-2</v>
      </c>
      <c r="E687" t="s">
        <v>6</v>
      </c>
      <c r="G687" t="s">
        <v>269</v>
      </c>
      <c r="H687" t="s">
        <v>44</v>
      </c>
      <c r="I687">
        <v>2.4418931877671888E-2</v>
      </c>
      <c r="J687" t="s">
        <v>6</v>
      </c>
      <c r="L687" t="s">
        <v>270</v>
      </c>
      <c r="M687" t="s">
        <v>44</v>
      </c>
      <c r="N687">
        <v>2.0420641460722935E-2</v>
      </c>
      <c r="O687" t="s">
        <v>6</v>
      </c>
    </row>
    <row r="688" spans="2:15" x14ac:dyDescent="0.45">
      <c r="B688" t="s">
        <v>268</v>
      </c>
      <c r="C688" t="s">
        <v>45</v>
      </c>
      <c r="D688">
        <v>5.7316715059979933E-3</v>
      </c>
      <c r="E688" t="s">
        <v>6</v>
      </c>
      <c r="G688" t="s">
        <v>269</v>
      </c>
      <c r="H688" t="s">
        <v>45</v>
      </c>
      <c r="I688">
        <v>2.3060979189285687E-2</v>
      </c>
      <c r="J688" t="s">
        <v>6</v>
      </c>
      <c r="L688" t="s">
        <v>270</v>
      </c>
      <c r="M688" t="s">
        <v>45</v>
      </c>
      <c r="N688">
        <v>2.0355020792280437E-2</v>
      </c>
      <c r="O688" t="s">
        <v>6</v>
      </c>
    </row>
    <row r="689" spans="2:15" x14ac:dyDescent="0.45">
      <c r="B689" t="s">
        <v>268</v>
      </c>
      <c r="C689" t="s">
        <v>46</v>
      </c>
      <c r="D689">
        <v>1.9168632952520353E-5</v>
      </c>
      <c r="E689" t="s">
        <v>6</v>
      </c>
      <c r="G689" t="s">
        <v>269</v>
      </c>
      <c r="H689" t="s">
        <v>46</v>
      </c>
      <c r="I689">
        <v>2.2434793564561073E-2</v>
      </c>
      <c r="J689" t="s">
        <v>6</v>
      </c>
      <c r="L689" t="s">
        <v>270</v>
      </c>
      <c r="M689" t="s">
        <v>46</v>
      </c>
      <c r="N689">
        <v>2.0481908170234427E-2</v>
      </c>
      <c r="O689" t="s">
        <v>6</v>
      </c>
    </row>
    <row r="690" spans="2:15" x14ac:dyDescent="0.45">
      <c r="B690" t="s">
        <v>268</v>
      </c>
      <c r="C690" t="s">
        <v>47</v>
      </c>
      <c r="D690">
        <v>0</v>
      </c>
      <c r="E690" t="s">
        <v>6</v>
      </c>
      <c r="G690" t="s">
        <v>269</v>
      </c>
      <c r="H690" t="s">
        <v>47</v>
      </c>
      <c r="I690">
        <v>3.2564180846393218E-2</v>
      </c>
      <c r="J690" t="s">
        <v>6</v>
      </c>
      <c r="L690" t="s">
        <v>270</v>
      </c>
      <c r="M690" t="s">
        <v>47</v>
      </c>
      <c r="N690">
        <v>3.1367006983193474E-2</v>
      </c>
      <c r="O690" t="s">
        <v>6</v>
      </c>
    </row>
    <row r="691" spans="2:15" x14ac:dyDescent="0.45">
      <c r="B691" t="s">
        <v>271</v>
      </c>
      <c r="C691" t="s">
        <v>5</v>
      </c>
      <c r="D691">
        <v>0</v>
      </c>
      <c r="E691" t="s">
        <v>6</v>
      </c>
      <c r="G691" t="s">
        <v>272</v>
      </c>
      <c r="H691" t="s">
        <v>5</v>
      </c>
      <c r="I691">
        <v>6.4972659779146819E-2</v>
      </c>
      <c r="J691" t="s">
        <v>6</v>
      </c>
      <c r="L691" t="s">
        <v>273</v>
      </c>
      <c r="M691" t="s">
        <v>5</v>
      </c>
      <c r="N691">
        <v>6.4232318109022621E-2</v>
      </c>
      <c r="O691" t="s">
        <v>6</v>
      </c>
    </row>
    <row r="692" spans="2:15" x14ac:dyDescent="0.45">
      <c r="B692" t="s">
        <v>271</v>
      </c>
      <c r="C692" t="s">
        <v>9</v>
      </c>
      <c r="D692">
        <v>0</v>
      </c>
      <c r="E692" t="s">
        <v>6</v>
      </c>
      <c r="G692" t="s">
        <v>272</v>
      </c>
      <c r="H692" t="s">
        <v>9</v>
      </c>
      <c r="I692">
        <v>2.5450261916649154E-2</v>
      </c>
      <c r="J692" t="s">
        <v>6</v>
      </c>
      <c r="L692" t="s">
        <v>273</v>
      </c>
      <c r="M692" t="s">
        <v>9</v>
      </c>
      <c r="N692">
        <v>2.538964605209432E-2</v>
      </c>
      <c r="O692" t="s">
        <v>6</v>
      </c>
    </row>
    <row r="693" spans="2:15" x14ac:dyDescent="0.45">
      <c r="B693" t="s">
        <v>271</v>
      </c>
      <c r="C693" t="s">
        <v>10</v>
      </c>
      <c r="D693">
        <v>3.0591384444553639E-4</v>
      </c>
      <c r="E693" t="s">
        <v>6</v>
      </c>
      <c r="G693" t="s">
        <v>272</v>
      </c>
      <c r="H693" t="s">
        <v>10</v>
      </c>
      <c r="I693">
        <v>2.5807565223322993E-2</v>
      </c>
      <c r="J693" t="s">
        <v>6</v>
      </c>
      <c r="L693" t="s">
        <v>273</v>
      </c>
      <c r="M693" t="s">
        <v>10</v>
      </c>
      <c r="N693">
        <v>2.4805428823023445E-2</v>
      </c>
      <c r="O693" t="s">
        <v>6</v>
      </c>
    </row>
    <row r="694" spans="2:15" x14ac:dyDescent="0.45">
      <c r="B694" t="s">
        <v>271</v>
      </c>
      <c r="C694" t="s">
        <v>11</v>
      </c>
      <c r="D694">
        <v>1.4394700309278701E-2</v>
      </c>
      <c r="E694" t="s">
        <v>6</v>
      </c>
      <c r="G694" t="s">
        <v>272</v>
      </c>
      <c r="H694" t="s">
        <v>11</v>
      </c>
      <c r="I694">
        <v>2.5349499186347633E-2</v>
      </c>
      <c r="J694" t="s">
        <v>6</v>
      </c>
      <c r="L694" t="s">
        <v>273</v>
      </c>
      <c r="M694" t="s">
        <v>11</v>
      </c>
      <c r="N694">
        <v>2.4241658888437718E-2</v>
      </c>
      <c r="O694" t="s">
        <v>6</v>
      </c>
    </row>
    <row r="695" spans="2:15" x14ac:dyDescent="0.45">
      <c r="B695" t="s">
        <v>271</v>
      </c>
      <c r="C695" t="s">
        <v>12</v>
      </c>
      <c r="D695">
        <v>4.0354326441937989E-2</v>
      </c>
      <c r="E695" t="s">
        <v>6</v>
      </c>
      <c r="G695" t="s">
        <v>272</v>
      </c>
      <c r="H695" t="s">
        <v>12</v>
      </c>
      <c r="I695">
        <v>2.4347498920761081E-2</v>
      </c>
      <c r="J695" t="s">
        <v>6</v>
      </c>
      <c r="L695" t="s">
        <v>273</v>
      </c>
      <c r="M695" t="s">
        <v>12</v>
      </c>
      <c r="N695">
        <v>2.4446947435235619E-2</v>
      </c>
      <c r="O695" t="s">
        <v>6</v>
      </c>
    </row>
    <row r="696" spans="2:15" x14ac:dyDescent="0.45">
      <c r="B696" t="s">
        <v>271</v>
      </c>
      <c r="C696" t="s">
        <v>13</v>
      </c>
      <c r="D696">
        <v>4.1872788479932289E-2</v>
      </c>
      <c r="E696" t="s">
        <v>6</v>
      </c>
      <c r="G696" t="s">
        <v>272</v>
      </c>
      <c r="H696" t="s">
        <v>13</v>
      </c>
      <c r="I696">
        <v>2.4343222390534207E-2</v>
      </c>
      <c r="J696" t="s">
        <v>6</v>
      </c>
      <c r="L696" t="s">
        <v>273</v>
      </c>
      <c r="M696" t="s">
        <v>13</v>
      </c>
      <c r="N696">
        <v>2.4923968368078916E-2</v>
      </c>
      <c r="O696" t="s">
        <v>6</v>
      </c>
    </row>
    <row r="697" spans="2:15" x14ac:dyDescent="0.45">
      <c r="B697" t="s">
        <v>271</v>
      </c>
      <c r="C697" t="s">
        <v>14</v>
      </c>
      <c r="D697">
        <v>2.2058639687814404E-2</v>
      </c>
      <c r="E697" t="s">
        <v>6</v>
      </c>
      <c r="G697" t="s">
        <v>272</v>
      </c>
      <c r="H697" t="s">
        <v>14</v>
      </c>
      <c r="I697">
        <v>2.4376417369693006E-2</v>
      </c>
      <c r="J697" t="s">
        <v>6</v>
      </c>
      <c r="L697" t="s">
        <v>273</v>
      </c>
      <c r="M697" t="s">
        <v>14</v>
      </c>
      <c r="N697">
        <v>2.5327229927852805E-2</v>
      </c>
      <c r="O697" t="s">
        <v>6</v>
      </c>
    </row>
    <row r="698" spans="2:15" x14ac:dyDescent="0.45">
      <c r="B698" t="s">
        <v>271</v>
      </c>
      <c r="C698" t="s">
        <v>15</v>
      </c>
      <c r="D698">
        <v>2.6399951565298477E-3</v>
      </c>
      <c r="E698" t="s">
        <v>6</v>
      </c>
      <c r="G698" t="s">
        <v>272</v>
      </c>
      <c r="H698" t="s">
        <v>15</v>
      </c>
      <c r="I698">
        <v>2.487908361937196E-2</v>
      </c>
      <c r="J698" t="s">
        <v>6</v>
      </c>
      <c r="L698" t="s">
        <v>273</v>
      </c>
      <c r="M698" t="s">
        <v>15</v>
      </c>
      <c r="N698">
        <v>2.5581308110156201E-2</v>
      </c>
      <c r="O698" t="s">
        <v>6</v>
      </c>
    </row>
    <row r="699" spans="2:15" x14ac:dyDescent="0.45">
      <c r="B699" t="s">
        <v>271</v>
      </c>
      <c r="C699" t="s">
        <v>16</v>
      </c>
      <c r="D699">
        <v>0</v>
      </c>
      <c r="E699" t="s">
        <v>6</v>
      </c>
      <c r="G699" t="s">
        <v>272</v>
      </c>
      <c r="H699" t="s">
        <v>16</v>
      </c>
      <c r="I699">
        <v>2.5458651833044611E-2</v>
      </c>
      <c r="J699" t="s">
        <v>6</v>
      </c>
      <c r="L699" t="s">
        <v>273</v>
      </c>
      <c r="M699" t="s">
        <v>16</v>
      </c>
      <c r="N699">
        <v>2.6262471041045652E-2</v>
      </c>
      <c r="O699" t="s">
        <v>6</v>
      </c>
    </row>
    <row r="700" spans="2:15" x14ac:dyDescent="0.45">
      <c r="B700" t="s">
        <v>271</v>
      </c>
      <c r="C700" t="s">
        <v>17</v>
      </c>
      <c r="D700">
        <v>0</v>
      </c>
      <c r="E700" t="s">
        <v>6</v>
      </c>
      <c r="G700" t="s">
        <v>272</v>
      </c>
      <c r="H700" t="s">
        <v>17</v>
      </c>
      <c r="I700">
        <v>3.8583808204535823E-2</v>
      </c>
      <c r="J700" t="s">
        <v>6</v>
      </c>
      <c r="L700" t="s">
        <v>273</v>
      </c>
      <c r="M700" t="s">
        <v>17</v>
      </c>
      <c r="N700">
        <v>3.9812348256275512E-2</v>
      </c>
      <c r="O700" t="s">
        <v>6</v>
      </c>
    </row>
    <row r="701" spans="2:15" x14ac:dyDescent="0.45">
      <c r="B701" t="s">
        <v>271</v>
      </c>
      <c r="C701" t="s">
        <v>18</v>
      </c>
      <c r="D701">
        <v>0</v>
      </c>
      <c r="E701" t="s">
        <v>6</v>
      </c>
      <c r="G701" t="s">
        <v>272</v>
      </c>
      <c r="H701" t="s">
        <v>18</v>
      </c>
      <c r="I701">
        <v>4.7442115590247219E-2</v>
      </c>
      <c r="J701" t="s">
        <v>6</v>
      </c>
      <c r="L701" t="s">
        <v>273</v>
      </c>
      <c r="M701" t="s">
        <v>18</v>
      </c>
      <c r="N701">
        <v>4.8698245200883727E-2</v>
      </c>
      <c r="O701" t="s">
        <v>6</v>
      </c>
    </row>
    <row r="702" spans="2:15" x14ac:dyDescent="0.45">
      <c r="B702" t="s">
        <v>271</v>
      </c>
      <c r="C702" t="s">
        <v>19</v>
      </c>
      <c r="D702">
        <v>1.0701869649042534E-3</v>
      </c>
      <c r="E702" t="s">
        <v>6</v>
      </c>
      <c r="G702" t="s">
        <v>272</v>
      </c>
      <c r="H702" t="s">
        <v>19</v>
      </c>
      <c r="I702">
        <v>1.7723989650090827E-2</v>
      </c>
      <c r="J702" t="s">
        <v>6</v>
      </c>
      <c r="L702" t="s">
        <v>273</v>
      </c>
      <c r="M702" t="s">
        <v>19</v>
      </c>
      <c r="N702">
        <v>1.9402461990560092E-2</v>
      </c>
      <c r="O702" t="s">
        <v>6</v>
      </c>
    </row>
    <row r="703" spans="2:15" x14ac:dyDescent="0.45">
      <c r="B703" t="s">
        <v>271</v>
      </c>
      <c r="C703" t="s">
        <v>20</v>
      </c>
      <c r="D703">
        <v>1.9325232614798626E-2</v>
      </c>
      <c r="E703" t="s">
        <v>6</v>
      </c>
      <c r="G703" t="s">
        <v>272</v>
      </c>
      <c r="H703" t="s">
        <v>20</v>
      </c>
      <c r="I703">
        <v>1.7627077196790592E-2</v>
      </c>
      <c r="J703" t="s">
        <v>6</v>
      </c>
      <c r="L703" t="s">
        <v>273</v>
      </c>
      <c r="M703" t="s">
        <v>20</v>
      </c>
      <c r="N703">
        <v>1.9684455085760801E-2</v>
      </c>
      <c r="O703" t="s">
        <v>6</v>
      </c>
    </row>
    <row r="704" spans="2:15" x14ac:dyDescent="0.45">
      <c r="B704" t="s">
        <v>271</v>
      </c>
      <c r="C704" t="s">
        <v>21</v>
      </c>
      <c r="D704">
        <v>5.8329347929479962E-2</v>
      </c>
      <c r="E704" t="s">
        <v>6</v>
      </c>
      <c r="G704" t="s">
        <v>272</v>
      </c>
      <c r="H704" t="s">
        <v>21</v>
      </c>
      <c r="I704">
        <v>1.8353489874459786E-2</v>
      </c>
      <c r="J704" t="s">
        <v>6</v>
      </c>
      <c r="L704" t="s">
        <v>273</v>
      </c>
      <c r="M704" t="s">
        <v>21</v>
      </c>
      <c r="N704">
        <v>1.9842952885860514E-2</v>
      </c>
      <c r="O704" t="s">
        <v>6</v>
      </c>
    </row>
    <row r="705" spans="2:15" x14ac:dyDescent="0.45">
      <c r="B705" t="s">
        <v>271</v>
      </c>
      <c r="C705" t="s">
        <v>22</v>
      </c>
      <c r="D705">
        <v>7.9507440400418739E-2</v>
      </c>
      <c r="E705" t="s">
        <v>6</v>
      </c>
      <c r="G705" t="s">
        <v>272</v>
      </c>
      <c r="H705" t="s">
        <v>22</v>
      </c>
      <c r="I705">
        <v>1.9181075601416745E-2</v>
      </c>
      <c r="J705" t="s">
        <v>6</v>
      </c>
      <c r="L705" t="s">
        <v>273</v>
      </c>
      <c r="M705" t="s">
        <v>22</v>
      </c>
      <c r="N705">
        <v>1.9992215623608599E-2</v>
      </c>
      <c r="O705" t="s">
        <v>6</v>
      </c>
    </row>
    <row r="706" spans="2:15" x14ac:dyDescent="0.45">
      <c r="B706" t="s">
        <v>271</v>
      </c>
      <c r="C706" t="s">
        <v>23</v>
      </c>
      <c r="D706">
        <v>8.1342821191860551E-2</v>
      </c>
      <c r="E706" t="s">
        <v>6</v>
      </c>
      <c r="G706" t="s">
        <v>272</v>
      </c>
      <c r="H706" t="s">
        <v>23</v>
      </c>
      <c r="I706">
        <v>2.0221717223055248E-2</v>
      </c>
      <c r="J706" t="s">
        <v>6</v>
      </c>
      <c r="L706" t="s">
        <v>273</v>
      </c>
      <c r="M706" t="s">
        <v>23</v>
      </c>
      <c r="N706">
        <v>2.0233656257282573E-2</v>
      </c>
      <c r="O706" t="s">
        <v>6</v>
      </c>
    </row>
    <row r="707" spans="2:15" x14ac:dyDescent="0.45">
      <c r="B707" t="s">
        <v>271</v>
      </c>
      <c r="C707" t="s">
        <v>24</v>
      </c>
      <c r="D707">
        <v>6.3887348276532044E-2</v>
      </c>
      <c r="E707" t="s">
        <v>6</v>
      </c>
      <c r="G707" t="s">
        <v>272</v>
      </c>
      <c r="H707" t="s">
        <v>24</v>
      </c>
      <c r="I707">
        <v>2.0992671065774834E-2</v>
      </c>
      <c r="J707" t="s">
        <v>6</v>
      </c>
      <c r="L707" t="s">
        <v>273</v>
      </c>
      <c r="M707" t="s">
        <v>24</v>
      </c>
      <c r="N707">
        <v>2.0120793408172712E-2</v>
      </c>
      <c r="O707" t="s">
        <v>6</v>
      </c>
    </row>
    <row r="708" spans="2:15" x14ac:dyDescent="0.45">
      <c r="B708" t="s">
        <v>271</v>
      </c>
      <c r="C708" t="s">
        <v>25</v>
      </c>
      <c r="D708">
        <v>2.7378808039228601E-2</v>
      </c>
      <c r="E708" t="s">
        <v>6</v>
      </c>
      <c r="G708" t="s">
        <v>272</v>
      </c>
      <c r="H708" t="s">
        <v>25</v>
      </c>
      <c r="I708">
        <v>2.1139554887983913E-2</v>
      </c>
      <c r="J708" t="s">
        <v>6</v>
      </c>
      <c r="L708" t="s">
        <v>273</v>
      </c>
      <c r="M708" t="s">
        <v>25</v>
      </c>
      <c r="N708">
        <v>2.0119965138443691E-2</v>
      </c>
      <c r="O708" t="s">
        <v>6</v>
      </c>
    </row>
    <row r="709" spans="2:15" x14ac:dyDescent="0.45">
      <c r="B709" t="s">
        <v>271</v>
      </c>
      <c r="C709" t="s">
        <v>26</v>
      </c>
      <c r="D709">
        <v>1.626688162305101E-3</v>
      </c>
      <c r="E709" t="s">
        <v>6</v>
      </c>
      <c r="G709" t="s">
        <v>272</v>
      </c>
      <c r="H709" t="s">
        <v>26</v>
      </c>
      <c r="I709">
        <v>2.1015096816532772E-2</v>
      </c>
      <c r="J709" t="s">
        <v>6</v>
      </c>
      <c r="L709" t="s">
        <v>273</v>
      </c>
      <c r="M709" t="s">
        <v>26</v>
      </c>
      <c r="N709">
        <v>2.0219527685566157E-2</v>
      </c>
      <c r="O709" t="s">
        <v>6</v>
      </c>
    </row>
    <row r="710" spans="2:15" x14ac:dyDescent="0.45">
      <c r="B710" t="s">
        <v>271</v>
      </c>
      <c r="C710" t="s">
        <v>27</v>
      </c>
      <c r="D710">
        <v>0</v>
      </c>
      <c r="E710" t="s">
        <v>6</v>
      </c>
      <c r="G710" t="s">
        <v>272</v>
      </c>
      <c r="H710" t="s">
        <v>27</v>
      </c>
      <c r="I710">
        <v>3.0626833833397305E-2</v>
      </c>
      <c r="J710" t="s">
        <v>6</v>
      </c>
      <c r="L710" t="s">
        <v>273</v>
      </c>
      <c r="M710" t="s">
        <v>27</v>
      </c>
      <c r="N710">
        <v>2.9870815465471864E-2</v>
      </c>
      <c r="O710" t="s">
        <v>6</v>
      </c>
    </row>
    <row r="711" spans="2:15" x14ac:dyDescent="0.45">
      <c r="B711" t="s">
        <v>271</v>
      </c>
      <c r="C711" t="s">
        <v>28</v>
      </c>
      <c r="D711">
        <v>0</v>
      </c>
      <c r="E711" t="s">
        <v>6</v>
      </c>
      <c r="G711" t="s">
        <v>272</v>
      </c>
      <c r="H711" t="s">
        <v>28</v>
      </c>
      <c r="I711">
        <v>3.6284467213354481E-2</v>
      </c>
      <c r="J711" t="s">
        <v>6</v>
      </c>
      <c r="L711" t="s">
        <v>273</v>
      </c>
      <c r="M711" t="s">
        <v>28</v>
      </c>
      <c r="N711">
        <v>4.2961435760613183E-2</v>
      </c>
      <c r="O711" t="s">
        <v>6</v>
      </c>
    </row>
    <row r="712" spans="2:15" x14ac:dyDescent="0.45">
      <c r="B712" t="s">
        <v>271</v>
      </c>
      <c r="C712" t="s">
        <v>29</v>
      </c>
      <c r="D712">
        <v>2.588479703625583E-3</v>
      </c>
      <c r="E712" t="s">
        <v>6</v>
      </c>
      <c r="G712" t="s">
        <v>272</v>
      </c>
      <c r="H712" t="s">
        <v>29</v>
      </c>
      <c r="I712">
        <v>1.4979992439207366E-2</v>
      </c>
      <c r="J712" t="s">
        <v>6</v>
      </c>
      <c r="L712" t="s">
        <v>273</v>
      </c>
      <c r="M712" t="s">
        <v>29</v>
      </c>
      <c r="N712">
        <v>1.7045973277952233E-2</v>
      </c>
      <c r="O712" t="s">
        <v>6</v>
      </c>
    </row>
    <row r="713" spans="2:15" x14ac:dyDescent="0.45">
      <c r="B713" t="s">
        <v>271</v>
      </c>
      <c r="C713" t="s">
        <v>30</v>
      </c>
      <c r="D713">
        <v>2.5637658615422644E-2</v>
      </c>
      <c r="E713" t="s">
        <v>6</v>
      </c>
      <c r="G713" t="s">
        <v>272</v>
      </c>
      <c r="H713" t="s">
        <v>30</v>
      </c>
      <c r="I713">
        <v>1.5638734734425893E-2</v>
      </c>
      <c r="J713" t="s">
        <v>6</v>
      </c>
      <c r="L713" t="s">
        <v>273</v>
      </c>
      <c r="M713" t="s">
        <v>30</v>
      </c>
      <c r="N713">
        <v>1.6812038889679384E-2</v>
      </c>
      <c r="O713" t="s">
        <v>6</v>
      </c>
    </row>
    <row r="714" spans="2:15" x14ac:dyDescent="0.45">
      <c r="B714" t="s">
        <v>271</v>
      </c>
      <c r="C714" t="s">
        <v>31</v>
      </c>
      <c r="D714">
        <v>6.3192209634446772E-2</v>
      </c>
      <c r="E714" t="s">
        <v>6</v>
      </c>
      <c r="G714" t="s">
        <v>272</v>
      </c>
      <c r="H714" t="s">
        <v>31</v>
      </c>
      <c r="I714">
        <v>1.6043189955954992E-2</v>
      </c>
      <c r="J714" t="s">
        <v>6</v>
      </c>
      <c r="L714" t="s">
        <v>273</v>
      </c>
      <c r="M714" t="s">
        <v>31</v>
      </c>
      <c r="N714">
        <v>1.6539496592728013E-2</v>
      </c>
      <c r="O714" t="s">
        <v>6</v>
      </c>
    </row>
    <row r="715" spans="2:15" x14ac:dyDescent="0.45">
      <c r="B715" t="s">
        <v>271</v>
      </c>
      <c r="C715" t="s">
        <v>32</v>
      </c>
      <c r="D715">
        <v>8.3802016116778122E-2</v>
      </c>
      <c r="E715" t="s">
        <v>6</v>
      </c>
      <c r="G715" t="s">
        <v>272</v>
      </c>
      <c r="H715" t="s">
        <v>32</v>
      </c>
      <c r="I715">
        <v>1.6164844096727412E-2</v>
      </c>
      <c r="J715" t="s">
        <v>6</v>
      </c>
      <c r="L715" t="s">
        <v>273</v>
      </c>
      <c r="M715" t="s">
        <v>32</v>
      </c>
      <c r="N715">
        <v>1.6686635288872487E-2</v>
      </c>
      <c r="O715" t="s">
        <v>6</v>
      </c>
    </row>
    <row r="716" spans="2:15" x14ac:dyDescent="0.45">
      <c r="B716" t="s">
        <v>271</v>
      </c>
      <c r="C716" t="s">
        <v>33</v>
      </c>
      <c r="D716">
        <v>8.5883124335565275E-2</v>
      </c>
      <c r="E716" t="s">
        <v>6</v>
      </c>
      <c r="G716" t="s">
        <v>272</v>
      </c>
      <c r="H716" t="s">
        <v>33</v>
      </c>
      <c r="I716">
        <v>1.6090991055911406E-2</v>
      </c>
      <c r="J716" t="s">
        <v>6</v>
      </c>
      <c r="L716" t="s">
        <v>273</v>
      </c>
      <c r="M716" t="s">
        <v>33</v>
      </c>
      <c r="N716">
        <v>1.6952737269622698E-2</v>
      </c>
      <c r="O716" t="s">
        <v>6</v>
      </c>
    </row>
    <row r="717" spans="2:15" x14ac:dyDescent="0.45">
      <c r="B717" t="s">
        <v>271</v>
      </c>
      <c r="C717" t="s">
        <v>34</v>
      </c>
      <c r="D717">
        <v>6.6967215424695539E-2</v>
      </c>
      <c r="E717" t="s">
        <v>6</v>
      </c>
      <c r="G717" t="s">
        <v>272</v>
      </c>
      <c r="H717" t="s">
        <v>34</v>
      </c>
      <c r="I717">
        <v>1.5789030933091294E-2</v>
      </c>
      <c r="J717" t="s">
        <v>6</v>
      </c>
      <c r="L717" t="s">
        <v>273</v>
      </c>
      <c r="M717" t="s">
        <v>34</v>
      </c>
      <c r="N717">
        <v>1.7130258661971525E-2</v>
      </c>
      <c r="O717" t="s">
        <v>6</v>
      </c>
    </row>
    <row r="718" spans="2:15" x14ac:dyDescent="0.45">
      <c r="B718" t="s">
        <v>271</v>
      </c>
      <c r="C718" t="s">
        <v>35</v>
      </c>
      <c r="D718">
        <v>3.423641656928416E-2</v>
      </c>
      <c r="E718" t="s">
        <v>6</v>
      </c>
      <c r="G718" t="s">
        <v>272</v>
      </c>
      <c r="H718" t="s">
        <v>35</v>
      </c>
      <c r="I718">
        <v>1.5138488081930992E-2</v>
      </c>
      <c r="J718" t="s">
        <v>6</v>
      </c>
      <c r="L718" t="s">
        <v>273</v>
      </c>
      <c r="M718" t="s">
        <v>35</v>
      </c>
      <c r="N718">
        <v>1.7083857697656562E-2</v>
      </c>
      <c r="O718" t="s">
        <v>6</v>
      </c>
    </row>
    <row r="719" spans="2:15" x14ac:dyDescent="0.45">
      <c r="B719" t="s">
        <v>271</v>
      </c>
      <c r="C719" t="s">
        <v>36</v>
      </c>
      <c r="D719">
        <v>4.7292845783443041E-3</v>
      </c>
      <c r="E719" t="s">
        <v>6</v>
      </c>
      <c r="G719" t="s">
        <v>272</v>
      </c>
      <c r="H719" t="s">
        <v>36</v>
      </c>
      <c r="I719">
        <v>1.4581585209964573E-2</v>
      </c>
      <c r="J719" t="s">
        <v>6</v>
      </c>
      <c r="L719" t="s">
        <v>273</v>
      </c>
      <c r="M719" t="s">
        <v>36</v>
      </c>
      <c r="N719">
        <v>1.6834165987854973E-2</v>
      </c>
      <c r="O719" t="s">
        <v>6</v>
      </c>
    </row>
    <row r="720" spans="2:15" x14ac:dyDescent="0.45">
      <c r="B720" t="s">
        <v>271</v>
      </c>
      <c r="C720" t="s">
        <v>37</v>
      </c>
      <c r="D720">
        <v>8.0547024187993706E-6</v>
      </c>
      <c r="E720" t="s">
        <v>6</v>
      </c>
      <c r="G720" t="s">
        <v>272</v>
      </c>
      <c r="H720" t="s">
        <v>37</v>
      </c>
      <c r="I720">
        <v>2.1364827306675074E-2</v>
      </c>
      <c r="J720" t="s">
        <v>6</v>
      </c>
      <c r="L720" t="s">
        <v>273</v>
      </c>
      <c r="M720" t="s">
        <v>37</v>
      </c>
      <c r="N720">
        <v>2.5348583828427675E-2</v>
      </c>
      <c r="O720" t="s">
        <v>6</v>
      </c>
    </row>
    <row r="721" spans="2:15" x14ac:dyDescent="0.45">
      <c r="B721" t="s">
        <v>271</v>
      </c>
      <c r="C721" t="s">
        <v>38</v>
      </c>
      <c r="D721">
        <v>0</v>
      </c>
      <c r="E721" t="s">
        <v>6</v>
      </c>
      <c r="G721" t="s">
        <v>272</v>
      </c>
      <c r="H721" t="s">
        <v>38</v>
      </c>
      <c r="I721">
        <v>5.8351094909623515E-2</v>
      </c>
      <c r="J721" t="s">
        <v>6</v>
      </c>
      <c r="L721" t="s">
        <v>273</v>
      </c>
      <c r="M721" t="s">
        <v>38</v>
      </c>
      <c r="N721">
        <v>5.2013507416790367E-2</v>
      </c>
      <c r="O721" t="s">
        <v>6</v>
      </c>
    </row>
    <row r="722" spans="2:15" x14ac:dyDescent="0.45">
      <c r="B722" t="s">
        <v>271</v>
      </c>
      <c r="C722" t="s">
        <v>39</v>
      </c>
      <c r="D722">
        <v>2.5832622505260633E-7</v>
      </c>
      <c r="E722" t="s">
        <v>6</v>
      </c>
      <c r="G722" t="s">
        <v>272</v>
      </c>
      <c r="H722" t="s">
        <v>39</v>
      </c>
      <c r="I722">
        <v>2.2583730057248778E-2</v>
      </c>
      <c r="J722" t="s">
        <v>6</v>
      </c>
      <c r="L722" t="s">
        <v>273</v>
      </c>
      <c r="M722" t="s">
        <v>39</v>
      </c>
      <c r="N722">
        <v>2.1065528720353371E-2</v>
      </c>
      <c r="O722" t="s">
        <v>6</v>
      </c>
    </row>
    <row r="723" spans="2:15" x14ac:dyDescent="0.45">
      <c r="B723" t="s">
        <v>271</v>
      </c>
      <c r="C723" t="s">
        <v>40</v>
      </c>
      <c r="D723">
        <v>4.4040827006405023E-3</v>
      </c>
      <c r="E723" t="s">
        <v>6</v>
      </c>
      <c r="G723" t="s">
        <v>272</v>
      </c>
      <c r="H723" t="s">
        <v>40</v>
      </c>
      <c r="I723">
        <v>2.2695651497950373E-2</v>
      </c>
      <c r="J723" t="s">
        <v>6</v>
      </c>
      <c r="L723" t="s">
        <v>273</v>
      </c>
      <c r="M723" t="s">
        <v>40</v>
      </c>
      <c r="N723">
        <v>2.1104513793314388E-2</v>
      </c>
      <c r="O723" t="s">
        <v>6</v>
      </c>
    </row>
    <row r="724" spans="2:15" x14ac:dyDescent="0.45">
      <c r="B724" t="s">
        <v>271</v>
      </c>
      <c r="C724" t="s">
        <v>41</v>
      </c>
      <c r="D724">
        <v>3.0334044589638974E-2</v>
      </c>
      <c r="E724" t="s">
        <v>6</v>
      </c>
      <c r="G724" t="s">
        <v>272</v>
      </c>
      <c r="H724" t="s">
        <v>41</v>
      </c>
      <c r="I724">
        <v>2.3118835049192016E-2</v>
      </c>
      <c r="J724" t="s">
        <v>6</v>
      </c>
      <c r="L724" t="s">
        <v>273</v>
      </c>
      <c r="M724" t="s">
        <v>41</v>
      </c>
      <c r="N724">
        <v>2.1157664600068963E-2</v>
      </c>
      <c r="O724" t="s">
        <v>6</v>
      </c>
    </row>
    <row r="725" spans="2:15" x14ac:dyDescent="0.45">
      <c r="B725" t="s">
        <v>271</v>
      </c>
      <c r="C725" t="s">
        <v>42</v>
      </c>
      <c r="D725">
        <v>5.4173606554987812E-2</v>
      </c>
      <c r="E725" t="s">
        <v>6</v>
      </c>
      <c r="G725" t="s">
        <v>272</v>
      </c>
      <c r="H725" t="s">
        <v>42</v>
      </c>
      <c r="I725">
        <v>2.3574031566250996E-2</v>
      </c>
      <c r="J725" t="s">
        <v>6</v>
      </c>
      <c r="L725" t="s">
        <v>273</v>
      </c>
      <c r="M725" t="s">
        <v>42</v>
      </c>
      <c r="N725">
        <v>2.1241590371604707E-2</v>
      </c>
      <c r="O725" t="s">
        <v>6</v>
      </c>
    </row>
    <row r="726" spans="2:15" x14ac:dyDescent="0.45">
      <c r="B726" t="s">
        <v>271</v>
      </c>
      <c r="C726" t="s">
        <v>43</v>
      </c>
      <c r="D726">
        <v>5.2728597407216519E-2</v>
      </c>
      <c r="E726" t="s">
        <v>6</v>
      </c>
      <c r="G726" t="s">
        <v>272</v>
      </c>
      <c r="H726" t="s">
        <v>43</v>
      </c>
      <c r="I726">
        <v>2.3408757338148494E-2</v>
      </c>
      <c r="J726" t="s">
        <v>6</v>
      </c>
      <c r="L726" t="s">
        <v>273</v>
      </c>
      <c r="M726" t="s">
        <v>43</v>
      </c>
      <c r="N726">
        <v>2.0941894212912395E-2</v>
      </c>
      <c r="O726" t="s">
        <v>6</v>
      </c>
    </row>
    <row r="727" spans="2:15" x14ac:dyDescent="0.45">
      <c r="B727" t="s">
        <v>271</v>
      </c>
      <c r="C727" t="s">
        <v>44</v>
      </c>
      <c r="D727">
        <v>3.1192488398793048E-2</v>
      </c>
      <c r="E727" t="s">
        <v>6</v>
      </c>
      <c r="G727" t="s">
        <v>272</v>
      </c>
      <c r="H727" t="s">
        <v>44</v>
      </c>
      <c r="I727">
        <v>2.3065711665165863E-2</v>
      </c>
      <c r="J727" t="s">
        <v>6</v>
      </c>
      <c r="L727" t="s">
        <v>273</v>
      </c>
      <c r="M727" t="s">
        <v>44</v>
      </c>
      <c r="N727">
        <v>2.1342121110983922E-2</v>
      </c>
      <c r="O727" t="s">
        <v>6</v>
      </c>
    </row>
    <row r="728" spans="2:15" x14ac:dyDescent="0.45">
      <c r="B728" t="s">
        <v>271</v>
      </c>
      <c r="C728" t="s">
        <v>45</v>
      </c>
      <c r="D728">
        <v>6.0078981143869914E-3</v>
      </c>
      <c r="E728" t="s">
        <v>6</v>
      </c>
      <c r="G728" t="s">
        <v>272</v>
      </c>
      <c r="H728" t="s">
        <v>45</v>
      </c>
      <c r="I728">
        <v>2.3204630119253222E-2</v>
      </c>
      <c r="J728" t="s">
        <v>6</v>
      </c>
      <c r="L728" t="s">
        <v>273</v>
      </c>
      <c r="M728" t="s">
        <v>45</v>
      </c>
      <c r="N728">
        <v>2.1476997366606021E-2</v>
      </c>
      <c r="O728" t="s">
        <v>6</v>
      </c>
    </row>
    <row r="729" spans="2:15" x14ac:dyDescent="0.45">
      <c r="B729" t="s">
        <v>271</v>
      </c>
      <c r="C729" t="s">
        <v>46</v>
      </c>
      <c r="D729">
        <v>2.0326728059647074E-5</v>
      </c>
      <c r="E729" t="s">
        <v>6</v>
      </c>
      <c r="G729" t="s">
        <v>272</v>
      </c>
      <c r="H729" t="s">
        <v>46</v>
      </c>
      <c r="I729">
        <v>2.3792963207320654E-2</v>
      </c>
      <c r="J729" t="s">
        <v>6</v>
      </c>
      <c r="L729" t="s">
        <v>273</v>
      </c>
      <c r="M729" t="s">
        <v>46</v>
      </c>
      <c r="N729">
        <v>2.1454036774847911E-2</v>
      </c>
      <c r="O729" t="s">
        <v>6</v>
      </c>
    </row>
    <row r="730" spans="2:15" x14ac:dyDescent="0.45">
      <c r="B730" t="s">
        <v>271</v>
      </c>
      <c r="C730" t="s">
        <v>47</v>
      </c>
      <c r="D730">
        <v>0</v>
      </c>
      <c r="E730" t="s">
        <v>6</v>
      </c>
      <c r="G730" t="s">
        <v>272</v>
      </c>
      <c r="H730" t="s">
        <v>47</v>
      </c>
      <c r="I730">
        <v>3.6236153379445975E-2</v>
      </c>
      <c r="J730" t="s">
        <v>6</v>
      </c>
      <c r="L730" t="s">
        <v>273</v>
      </c>
      <c r="M730" t="s">
        <v>47</v>
      </c>
      <c r="N730">
        <v>3.1598548624307103E-2</v>
      </c>
      <c r="O730" t="s">
        <v>6</v>
      </c>
    </row>
    <row r="731" spans="2:15" x14ac:dyDescent="0.45">
      <c r="B731" t="s">
        <v>274</v>
      </c>
      <c r="C731" t="s">
        <v>5</v>
      </c>
      <c r="D731">
        <v>0</v>
      </c>
      <c r="E731" t="s">
        <v>6</v>
      </c>
      <c r="G731" t="s">
        <v>275</v>
      </c>
      <c r="H731" t="s">
        <v>5</v>
      </c>
      <c r="I731">
        <v>5.9742678116355141E-2</v>
      </c>
      <c r="J731" t="s">
        <v>6</v>
      </c>
      <c r="L731" t="s">
        <v>276</v>
      </c>
      <c r="M731" t="s">
        <v>5</v>
      </c>
      <c r="N731">
        <v>6.1668099742716385E-2</v>
      </c>
      <c r="O731" t="s">
        <v>6</v>
      </c>
    </row>
    <row r="732" spans="2:15" x14ac:dyDescent="0.45">
      <c r="B732" t="s">
        <v>274</v>
      </c>
      <c r="C732" t="s">
        <v>9</v>
      </c>
      <c r="D732">
        <v>0</v>
      </c>
      <c r="E732" t="s">
        <v>6</v>
      </c>
      <c r="G732" t="s">
        <v>275</v>
      </c>
      <c r="H732" t="s">
        <v>9</v>
      </c>
      <c r="I732">
        <v>2.3747255507397966E-2</v>
      </c>
      <c r="J732" t="s">
        <v>6</v>
      </c>
      <c r="L732" t="s">
        <v>276</v>
      </c>
      <c r="M732" t="s">
        <v>9</v>
      </c>
      <c r="N732">
        <v>2.4536353512875638E-2</v>
      </c>
      <c r="O732" t="s">
        <v>6</v>
      </c>
    </row>
    <row r="733" spans="2:15" x14ac:dyDescent="0.45">
      <c r="B733" t="s">
        <v>274</v>
      </c>
      <c r="C733" t="s">
        <v>10</v>
      </c>
      <c r="D733">
        <v>3.3542623123993687E-6</v>
      </c>
      <c r="E733" t="s">
        <v>6</v>
      </c>
      <c r="G733" t="s">
        <v>275</v>
      </c>
      <c r="H733" t="s">
        <v>10</v>
      </c>
      <c r="I733">
        <v>2.4469382646987798E-2</v>
      </c>
      <c r="J733" t="s">
        <v>6</v>
      </c>
      <c r="L733" t="s">
        <v>276</v>
      </c>
      <c r="M733" t="s">
        <v>10</v>
      </c>
      <c r="N733">
        <v>2.47165640909244E-2</v>
      </c>
      <c r="O733" t="s">
        <v>6</v>
      </c>
    </row>
    <row r="734" spans="2:15" x14ac:dyDescent="0.45">
      <c r="B734" t="s">
        <v>274</v>
      </c>
      <c r="C734" t="s">
        <v>11</v>
      </c>
      <c r="D734">
        <v>1.0587071012659183E-2</v>
      </c>
      <c r="E734" t="s">
        <v>6</v>
      </c>
      <c r="G734" t="s">
        <v>275</v>
      </c>
      <c r="H734" t="s">
        <v>11</v>
      </c>
      <c r="I734">
        <v>2.4567187612926731E-2</v>
      </c>
      <c r="J734" t="s">
        <v>6</v>
      </c>
      <c r="L734" t="s">
        <v>276</v>
      </c>
      <c r="M734" t="s">
        <v>11</v>
      </c>
      <c r="N734">
        <v>2.434364087854016E-2</v>
      </c>
      <c r="O734" t="s">
        <v>6</v>
      </c>
    </row>
    <row r="735" spans="2:15" x14ac:dyDescent="0.45">
      <c r="B735" t="s">
        <v>274</v>
      </c>
      <c r="C735" t="s">
        <v>12</v>
      </c>
      <c r="D735">
        <v>3.5873774131025382E-2</v>
      </c>
      <c r="E735" t="s">
        <v>6</v>
      </c>
      <c r="G735" t="s">
        <v>275</v>
      </c>
      <c r="H735" t="s">
        <v>12</v>
      </c>
      <c r="I735">
        <v>2.4119943227821308E-2</v>
      </c>
      <c r="J735" t="s">
        <v>6</v>
      </c>
      <c r="L735" t="s">
        <v>276</v>
      </c>
      <c r="M735" t="s">
        <v>12</v>
      </c>
      <c r="N735">
        <v>2.371548269970036E-2</v>
      </c>
      <c r="O735" t="s">
        <v>6</v>
      </c>
    </row>
    <row r="736" spans="2:15" x14ac:dyDescent="0.45">
      <c r="B736" t="s">
        <v>274</v>
      </c>
      <c r="C736" t="s">
        <v>13</v>
      </c>
      <c r="D736">
        <v>4.3630283546982888E-2</v>
      </c>
      <c r="E736" t="s">
        <v>6</v>
      </c>
      <c r="G736" t="s">
        <v>275</v>
      </c>
      <c r="H736" t="s">
        <v>13</v>
      </c>
      <c r="I736">
        <v>2.3667442870386926E-2</v>
      </c>
      <c r="J736" t="s">
        <v>6</v>
      </c>
      <c r="L736" t="s">
        <v>276</v>
      </c>
      <c r="M736" t="s">
        <v>13</v>
      </c>
      <c r="N736">
        <v>2.3546408357951128E-2</v>
      </c>
      <c r="O736" t="s">
        <v>6</v>
      </c>
    </row>
    <row r="737" spans="2:15" x14ac:dyDescent="0.45">
      <c r="B737" t="s">
        <v>274</v>
      </c>
      <c r="C737" t="s">
        <v>14</v>
      </c>
      <c r="D737">
        <v>2.5577841129593736E-2</v>
      </c>
      <c r="E737" t="s">
        <v>6</v>
      </c>
      <c r="G737" t="s">
        <v>275</v>
      </c>
      <c r="H737" t="s">
        <v>14</v>
      </c>
      <c r="I737">
        <v>2.3499532112643103E-2</v>
      </c>
      <c r="J737" t="s">
        <v>6</v>
      </c>
      <c r="L737" t="s">
        <v>276</v>
      </c>
      <c r="M737" t="s">
        <v>14</v>
      </c>
      <c r="N737">
        <v>2.3980142991409874E-2</v>
      </c>
      <c r="O737" t="s">
        <v>6</v>
      </c>
    </row>
    <row r="738" spans="2:15" x14ac:dyDescent="0.45">
      <c r="B738" t="s">
        <v>274</v>
      </c>
      <c r="C738" t="s">
        <v>15</v>
      </c>
      <c r="D738">
        <v>3.8329480731692633E-3</v>
      </c>
      <c r="E738" t="s">
        <v>6</v>
      </c>
      <c r="G738" t="s">
        <v>275</v>
      </c>
      <c r="H738" t="s">
        <v>15</v>
      </c>
      <c r="I738">
        <v>2.4014899030391171E-2</v>
      </c>
      <c r="J738" t="s">
        <v>6</v>
      </c>
      <c r="L738" t="s">
        <v>276</v>
      </c>
      <c r="M738" t="s">
        <v>15</v>
      </c>
      <c r="N738">
        <v>2.4565339154677894E-2</v>
      </c>
      <c r="O738" t="s">
        <v>6</v>
      </c>
    </row>
    <row r="739" spans="2:15" x14ac:dyDescent="0.45">
      <c r="B739" t="s">
        <v>274</v>
      </c>
      <c r="C739" t="s">
        <v>16</v>
      </c>
      <c r="D739">
        <v>0</v>
      </c>
      <c r="E739" t="s">
        <v>6</v>
      </c>
      <c r="G739" t="s">
        <v>275</v>
      </c>
      <c r="H739" t="s">
        <v>16</v>
      </c>
      <c r="I739">
        <v>2.4521693563871263E-2</v>
      </c>
      <c r="J739" t="s">
        <v>6</v>
      </c>
      <c r="L739" t="s">
        <v>276</v>
      </c>
      <c r="M739" t="s">
        <v>16</v>
      </c>
      <c r="N739">
        <v>2.4934490498763239E-2</v>
      </c>
      <c r="O739" t="s">
        <v>6</v>
      </c>
    </row>
    <row r="740" spans="2:15" x14ac:dyDescent="0.45">
      <c r="B740" t="s">
        <v>274</v>
      </c>
      <c r="C740" t="s">
        <v>17</v>
      </c>
      <c r="D740">
        <v>0</v>
      </c>
      <c r="E740" t="s">
        <v>6</v>
      </c>
      <c r="G740" t="s">
        <v>275</v>
      </c>
      <c r="H740" t="s">
        <v>17</v>
      </c>
      <c r="I740">
        <v>3.67873975548587E-2</v>
      </c>
      <c r="J740" t="s">
        <v>6</v>
      </c>
      <c r="L740" t="s">
        <v>276</v>
      </c>
      <c r="M740" t="s">
        <v>17</v>
      </c>
      <c r="N740">
        <v>3.788638253461616E-2</v>
      </c>
      <c r="O740" t="s">
        <v>6</v>
      </c>
    </row>
    <row r="741" spans="2:15" x14ac:dyDescent="0.45">
      <c r="B741" t="s">
        <v>274</v>
      </c>
      <c r="C741" t="s">
        <v>18</v>
      </c>
      <c r="D741">
        <v>0</v>
      </c>
      <c r="E741" t="s">
        <v>6</v>
      </c>
      <c r="G741" t="s">
        <v>275</v>
      </c>
      <c r="H741" t="s">
        <v>18</v>
      </c>
      <c r="I741">
        <v>5.049404711783384E-2</v>
      </c>
      <c r="J741" t="s">
        <v>6</v>
      </c>
      <c r="L741" t="s">
        <v>276</v>
      </c>
      <c r="M741" t="s">
        <v>18</v>
      </c>
      <c r="N741">
        <v>4.8572666855978587E-2</v>
      </c>
      <c r="O741" t="s">
        <v>6</v>
      </c>
    </row>
    <row r="742" spans="2:15" x14ac:dyDescent="0.45">
      <c r="B742" t="s">
        <v>274</v>
      </c>
      <c r="C742" t="s">
        <v>19</v>
      </c>
      <c r="D742">
        <v>5.6726893919741451E-4</v>
      </c>
      <c r="E742" t="s">
        <v>6</v>
      </c>
      <c r="G742" t="s">
        <v>275</v>
      </c>
      <c r="H742" t="s">
        <v>19</v>
      </c>
      <c r="I742">
        <v>1.9191570493297332E-2</v>
      </c>
      <c r="J742" t="s">
        <v>6</v>
      </c>
      <c r="L742" t="s">
        <v>276</v>
      </c>
      <c r="M742" t="s">
        <v>19</v>
      </c>
      <c r="N742">
        <v>1.8569982265384723E-2</v>
      </c>
      <c r="O742" t="s">
        <v>6</v>
      </c>
    </row>
    <row r="743" spans="2:15" x14ac:dyDescent="0.45">
      <c r="B743" t="s">
        <v>274</v>
      </c>
      <c r="C743" t="s">
        <v>20</v>
      </c>
      <c r="D743">
        <v>1.3774478849009541E-2</v>
      </c>
      <c r="E743" t="s">
        <v>6</v>
      </c>
      <c r="G743" t="s">
        <v>275</v>
      </c>
      <c r="H743" t="s">
        <v>20</v>
      </c>
      <c r="I743">
        <v>1.8523950141434667E-2</v>
      </c>
      <c r="J743" t="s">
        <v>6</v>
      </c>
      <c r="L743" t="s">
        <v>276</v>
      </c>
      <c r="M743" t="s">
        <v>20</v>
      </c>
      <c r="N743">
        <v>1.8485308600481015E-2</v>
      </c>
      <c r="O743" t="s">
        <v>6</v>
      </c>
    </row>
    <row r="744" spans="2:15" x14ac:dyDescent="0.45">
      <c r="B744" t="s">
        <v>274</v>
      </c>
      <c r="C744" t="s">
        <v>21</v>
      </c>
      <c r="D744">
        <v>5.2386662885250915E-2</v>
      </c>
      <c r="E744" t="s">
        <v>6</v>
      </c>
      <c r="G744" t="s">
        <v>275</v>
      </c>
      <c r="H744" t="s">
        <v>21</v>
      </c>
      <c r="I744">
        <v>1.810891193668827E-2</v>
      </c>
      <c r="J744" t="s">
        <v>6</v>
      </c>
      <c r="L744" t="s">
        <v>276</v>
      </c>
      <c r="M744" t="s">
        <v>21</v>
      </c>
      <c r="N744">
        <v>1.8573317775921971E-2</v>
      </c>
      <c r="O744" t="s">
        <v>6</v>
      </c>
    </row>
    <row r="745" spans="2:15" x14ac:dyDescent="0.45">
      <c r="B745" t="s">
        <v>274</v>
      </c>
      <c r="C745" t="s">
        <v>22</v>
      </c>
      <c r="D745">
        <v>7.8938193703323348E-2</v>
      </c>
      <c r="E745" t="s">
        <v>6</v>
      </c>
      <c r="G745" t="s">
        <v>275</v>
      </c>
      <c r="H745" t="s">
        <v>22</v>
      </c>
      <c r="I745">
        <v>1.8180953269985561E-2</v>
      </c>
      <c r="J745" t="s">
        <v>6</v>
      </c>
      <c r="L745" t="s">
        <v>276</v>
      </c>
      <c r="M745" t="s">
        <v>22</v>
      </c>
      <c r="N745">
        <v>1.85881272435773E-2</v>
      </c>
      <c r="O745" t="s">
        <v>6</v>
      </c>
    </row>
    <row r="746" spans="2:15" x14ac:dyDescent="0.45">
      <c r="B746" t="s">
        <v>274</v>
      </c>
      <c r="C746" t="s">
        <v>23</v>
      </c>
      <c r="D746">
        <v>8.3608407266392265E-2</v>
      </c>
      <c r="E746" t="s">
        <v>6</v>
      </c>
      <c r="G746" t="s">
        <v>275</v>
      </c>
      <c r="H746" t="s">
        <v>23</v>
      </c>
      <c r="I746">
        <v>1.8806126094002638E-2</v>
      </c>
      <c r="J746" t="s">
        <v>6</v>
      </c>
      <c r="L746" t="s">
        <v>276</v>
      </c>
      <c r="M746" t="s">
        <v>23</v>
      </c>
      <c r="N746">
        <v>1.9040212485600522E-2</v>
      </c>
      <c r="O746" t="s">
        <v>6</v>
      </c>
    </row>
    <row r="747" spans="2:15" x14ac:dyDescent="0.45">
      <c r="B747" t="s">
        <v>274</v>
      </c>
      <c r="C747" t="s">
        <v>24</v>
      </c>
      <c r="D747">
        <v>6.7726486713353087E-2</v>
      </c>
      <c r="E747" t="s">
        <v>6</v>
      </c>
      <c r="G747" t="s">
        <v>275</v>
      </c>
      <c r="H747" t="s">
        <v>24</v>
      </c>
      <c r="I747">
        <v>1.9856997241227334E-2</v>
      </c>
      <c r="J747" t="s">
        <v>6</v>
      </c>
      <c r="L747" t="s">
        <v>276</v>
      </c>
      <c r="M747" t="s">
        <v>24</v>
      </c>
      <c r="N747">
        <v>1.983950536710323E-2</v>
      </c>
      <c r="O747" t="s">
        <v>6</v>
      </c>
    </row>
    <row r="748" spans="2:15" x14ac:dyDescent="0.45">
      <c r="B748" t="s">
        <v>274</v>
      </c>
      <c r="C748" t="s">
        <v>25</v>
      </c>
      <c r="D748">
        <v>3.2605573683796858E-2</v>
      </c>
      <c r="E748" t="s">
        <v>6</v>
      </c>
      <c r="G748" t="s">
        <v>275</v>
      </c>
      <c r="H748" t="s">
        <v>25</v>
      </c>
      <c r="I748">
        <v>2.0663330964559322E-2</v>
      </c>
      <c r="J748" t="s">
        <v>6</v>
      </c>
      <c r="L748" t="s">
        <v>276</v>
      </c>
      <c r="M748" t="s">
        <v>25</v>
      </c>
      <c r="N748">
        <v>2.0626947503551225E-2</v>
      </c>
      <c r="O748" t="s">
        <v>6</v>
      </c>
    </row>
    <row r="749" spans="2:15" x14ac:dyDescent="0.45">
      <c r="B749" t="s">
        <v>274</v>
      </c>
      <c r="C749" t="s">
        <v>26</v>
      </c>
      <c r="D749">
        <v>3.1189402936060559E-3</v>
      </c>
      <c r="E749" t="s">
        <v>6</v>
      </c>
      <c r="G749" t="s">
        <v>275</v>
      </c>
      <c r="H749" t="s">
        <v>26</v>
      </c>
      <c r="I749">
        <v>2.0915902119664712E-2</v>
      </c>
      <c r="J749" t="s">
        <v>6</v>
      </c>
      <c r="L749" t="s">
        <v>276</v>
      </c>
      <c r="M749" t="s">
        <v>26</v>
      </c>
      <c r="N749">
        <v>2.1139675874185696E-2</v>
      </c>
      <c r="O749" t="s">
        <v>6</v>
      </c>
    </row>
    <row r="750" spans="2:15" x14ac:dyDescent="0.45">
      <c r="B750" t="s">
        <v>274</v>
      </c>
      <c r="C750" t="s">
        <v>27</v>
      </c>
      <c r="D750">
        <v>3.5882480803562893E-6</v>
      </c>
      <c r="E750" t="s">
        <v>6</v>
      </c>
      <c r="G750" t="s">
        <v>275</v>
      </c>
      <c r="H750" t="s">
        <v>27</v>
      </c>
      <c r="I750">
        <v>3.1045179177486438E-2</v>
      </c>
      <c r="J750" t="s">
        <v>6</v>
      </c>
      <c r="L750" t="s">
        <v>276</v>
      </c>
      <c r="M750" t="s">
        <v>27</v>
      </c>
      <c r="N750">
        <v>3.1033104278850893E-2</v>
      </c>
      <c r="O750" t="s">
        <v>6</v>
      </c>
    </row>
    <row r="751" spans="2:15" x14ac:dyDescent="0.45">
      <c r="B751" t="s">
        <v>274</v>
      </c>
      <c r="C751" t="s">
        <v>28</v>
      </c>
      <c r="D751">
        <v>0</v>
      </c>
      <c r="E751" t="s">
        <v>6</v>
      </c>
      <c r="G751" t="s">
        <v>275</v>
      </c>
      <c r="H751" t="s">
        <v>28</v>
      </c>
      <c r="I751">
        <v>4.1467247885997892E-2</v>
      </c>
      <c r="J751" t="s">
        <v>6</v>
      </c>
      <c r="L751" t="s">
        <v>276</v>
      </c>
      <c r="M751" t="s">
        <v>28</v>
      </c>
      <c r="N751">
        <v>4.3841193365529961E-2</v>
      </c>
      <c r="O751" t="s">
        <v>6</v>
      </c>
    </row>
    <row r="752" spans="2:15" x14ac:dyDescent="0.45">
      <c r="B752" t="s">
        <v>274</v>
      </c>
      <c r="C752" t="s">
        <v>29</v>
      </c>
      <c r="D752">
        <v>1.6758006719646765E-3</v>
      </c>
      <c r="E752" t="s">
        <v>6</v>
      </c>
      <c r="G752" t="s">
        <v>275</v>
      </c>
      <c r="H752" t="s">
        <v>29</v>
      </c>
      <c r="I752">
        <v>1.6760587065189868E-2</v>
      </c>
      <c r="J752" t="s">
        <v>6</v>
      </c>
      <c r="L752" t="s">
        <v>276</v>
      </c>
      <c r="M752" t="s">
        <v>29</v>
      </c>
      <c r="N752">
        <v>1.7543050826782237E-2</v>
      </c>
      <c r="O752" t="s">
        <v>6</v>
      </c>
    </row>
    <row r="753" spans="2:15" x14ac:dyDescent="0.45">
      <c r="B753" t="s">
        <v>274</v>
      </c>
      <c r="C753" t="s">
        <v>30</v>
      </c>
      <c r="D753">
        <v>2.0222923424236983E-2</v>
      </c>
      <c r="E753" t="s">
        <v>6</v>
      </c>
      <c r="G753" t="s">
        <v>275</v>
      </c>
      <c r="H753" t="s">
        <v>30</v>
      </c>
      <c r="I753">
        <v>1.6870219695411328E-2</v>
      </c>
      <c r="J753" t="s">
        <v>6</v>
      </c>
      <c r="L753" t="s">
        <v>276</v>
      </c>
      <c r="M753" t="s">
        <v>30</v>
      </c>
      <c r="N753">
        <v>1.7451255536528914E-2</v>
      </c>
      <c r="O753" t="s">
        <v>6</v>
      </c>
    </row>
    <row r="754" spans="2:15" x14ac:dyDescent="0.45">
      <c r="B754" t="s">
        <v>274</v>
      </c>
      <c r="C754" t="s">
        <v>31</v>
      </c>
      <c r="D754">
        <v>5.6386702835784043E-2</v>
      </c>
      <c r="E754" t="s">
        <v>6</v>
      </c>
      <c r="G754" t="s">
        <v>275</v>
      </c>
      <c r="H754" t="s">
        <v>31</v>
      </c>
      <c r="I754">
        <v>1.6926073756719669E-2</v>
      </c>
      <c r="J754" t="s">
        <v>6</v>
      </c>
      <c r="L754" t="s">
        <v>276</v>
      </c>
      <c r="M754" t="s">
        <v>31</v>
      </c>
      <c r="N754">
        <v>1.7130062310110401E-2</v>
      </c>
      <c r="O754" t="s">
        <v>6</v>
      </c>
    </row>
    <row r="755" spans="2:15" x14ac:dyDescent="0.45">
      <c r="B755" t="s">
        <v>274</v>
      </c>
      <c r="C755" t="s">
        <v>32</v>
      </c>
      <c r="D755">
        <v>8.0859137912240184E-2</v>
      </c>
      <c r="E755" t="s">
        <v>6</v>
      </c>
      <c r="G755" t="s">
        <v>275</v>
      </c>
      <c r="H755" t="s">
        <v>32</v>
      </c>
      <c r="I755">
        <v>1.7010277204425939E-2</v>
      </c>
      <c r="J755" t="s">
        <v>6</v>
      </c>
      <c r="L755" t="s">
        <v>276</v>
      </c>
      <c r="M755" t="s">
        <v>32</v>
      </c>
      <c r="N755">
        <v>1.7169242909089045E-2</v>
      </c>
      <c r="O755" t="s">
        <v>6</v>
      </c>
    </row>
    <row r="756" spans="2:15" x14ac:dyDescent="0.45">
      <c r="B756" t="s">
        <v>274</v>
      </c>
      <c r="C756" t="s">
        <v>33</v>
      </c>
      <c r="D756">
        <v>8.4413669140578559E-2</v>
      </c>
      <c r="E756" t="s">
        <v>6</v>
      </c>
      <c r="G756" t="s">
        <v>275</v>
      </c>
      <c r="H756" t="s">
        <v>33</v>
      </c>
      <c r="I756">
        <v>1.6866505015849527E-2</v>
      </c>
      <c r="J756" t="s">
        <v>6</v>
      </c>
      <c r="L756" t="s">
        <v>276</v>
      </c>
      <c r="M756" t="s">
        <v>33</v>
      </c>
      <c r="N756">
        <v>1.7142210534816234E-2</v>
      </c>
      <c r="O756" t="s">
        <v>6</v>
      </c>
    </row>
    <row r="757" spans="2:15" x14ac:dyDescent="0.45">
      <c r="B757" t="s">
        <v>274</v>
      </c>
      <c r="C757" t="s">
        <v>34</v>
      </c>
      <c r="D757">
        <v>7.0242724521259015E-2</v>
      </c>
      <c r="E757" t="s">
        <v>6</v>
      </c>
      <c r="G757" t="s">
        <v>275</v>
      </c>
      <c r="H757" t="s">
        <v>34</v>
      </c>
      <c r="I757">
        <v>1.6549403257643754E-2</v>
      </c>
      <c r="J757" t="s">
        <v>6</v>
      </c>
      <c r="L757" t="s">
        <v>276</v>
      </c>
      <c r="M757" t="s">
        <v>34</v>
      </c>
      <c r="N757">
        <v>1.7162104518431909E-2</v>
      </c>
      <c r="O757" t="s">
        <v>6</v>
      </c>
    </row>
    <row r="758" spans="2:15" x14ac:dyDescent="0.45">
      <c r="B758" t="s">
        <v>274</v>
      </c>
      <c r="C758" t="s">
        <v>35</v>
      </c>
      <c r="D758">
        <v>3.9087749445231988E-2</v>
      </c>
      <c r="E758" t="s">
        <v>6</v>
      </c>
      <c r="G758" t="s">
        <v>275</v>
      </c>
      <c r="H758" t="s">
        <v>35</v>
      </c>
      <c r="I758">
        <v>1.6410337810619943E-2</v>
      </c>
      <c r="J758" t="s">
        <v>6</v>
      </c>
      <c r="L758" t="s">
        <v>276</v>
      </c>
      <c r="M758" t="s">
        <v>35</v>
      </c>
      <c r="N758">
        <v>1.7223031790740299E-2</v>
      </c>
      <c r="O758" t="s">
        <v>6</v>
      </c>
    </row>
    <row r="759" spans="2:15" x14ac:dyDescent="0.45">
      <c r="B759" t="s">
        <v>274</v>
      </c>
      <c r="C759" t="s">
        <v>36</v>
      </c>
      <c r="D759">
        <v>7.1220396033934482E-3</v>
      </c>
      <c r="E759" t="s">
        <v>6</v>
      </c>
      <c r="G759" t="s">
        <v>275</v>
      </c>
      <c r="H759" t="s">
        <v>36</v>
      </c>
      <c r="I759">
        <v>1.6257676633502041E-2</v>
      </c>
      <c r="J759" t="s">
        <v>6</v>
      </c>
      <c r="L759" t="s">
        <v>276</v>
      </c>
      <c r="M759" t="s">
        <v>36</v>
      </c>
      <c r="N759">
        <v>1.7460168225223505E-2</v>
      </c>
      <c r="O759" t="s">
        <v>6</v>
      </c>
    </row>
    <row r="760" spans="2:15" x14ac:dyDescent="0.45">
      <c r="B760" t="s">
        <v>274</v>
      </c>
      <c r="C760" t="s">
        <v>37</v>
      </c>
      <c r="D760">
        <v>1.1474883317417523E-4</v>
      </c>
      <c r="E760" t="s">
        <v>6</v>
      </c>
      <c r="G760" t="s">
        <v>275</v>
      </c>
      <c r="H760" t="s">
        <v>37</v>
      </c>
      <c r="I760">
        <v>2.4465771252605746E-2</v>
      </c>
      <c r="J760" t="s">
        <v>6</v>
      </c>
      <c r="L760" t="s">
        <v>276</v>
      </c>
      <c r="M760" t="s">
        <v>37</v>
      </c>
      <c r="N760">
        <v>2.6004533636402077E-2</v>
      </c>
      <c r="O760" t="s">
        <v>6</v>
      </c>
    </row>
    <row r="761" spans="2:15" x14ac:dyDescent="0.45">
      <c r="B761" t="s">
        <v>274</v>
      </c>
      <c r="C761" t="s">
        <v>38</v>
      </c>
      <c r="D761">
        <v>0</v>
      </c>
      <c r="E761" t="s">
        <v>6</v>
      </c>
      <c r="G761" t="s">
        <v>275</v>
      </c>
      <c r="H761" t="s">
        <v>38</v>
      </c>
      <c r="I761">
        <v>5.8379714584376234E-2</v>
      </c>
      <c r="J761" t="s">
        <v>6</v>
      </c>
      <c r="L761" t="s">
        <v>276</v>
      </c>
      <c r="M761" t="s">
        <v>38</v>
      </c>
      <c r="N761">
        <v>5.5817490468705121E-2</v>
      </c>
      <c r="O761" t="s">
        <v>6</v>
      </c>
    </row>
    <row r="762" spans="2:15" x14ac:dyDescent="0.45">
      <c r="B762" t="s">
        <v>274</v>
      </c>
      <c r="C762" t="s">
        <v>39</v>
      </c>
      <c r="D762">
        <v>0</v>
      </c>
      <c r="E762" t="s">
        <v>6</v>
      </c>
      <c r="G762" t="s">
        <v>275</v>
      </c>
      <c r="H762" t="s">
        <v>39</v>
      </c>
      <c r="I762">
        <v>2.3351279732101913E-2</v>
      </c>
      <c r="J762" t="s">
        <v>6</v>
      </c>
      <c r="L762" t="s">
        <v>276</v>
      </c>
      <c r="M762" t="s">
        <v>39</v>
      </c>
      <c r="N762">
        <v>2.1973289877426513E-2</v>
      </c>
      <c r="O762" t="s">
        <v>6</v>
      </c>
    </row>
    <row r="763" spans="2:15" x14ac:dyDescent="0.45">
      <c r="B763" t="s">
        <v>274</v>
      </c>
      <c r="C763" t="s">
        <v>40</v>
      </c>
      <c r="D763">
        <v>3.1807204923064085E-3</v>
      </c>
      <c r="E763" t="s">
        <v>6</v>
      </c>
      <c r="G763" t="s">
        <v>275</v>
      </c>
      <c r="H763" t="s">
        <v>40</v>
      </c>
      <c r="I763">
        <v>2.3411140168982724E-2</v>
      </c>
      <c r="J763" t="s">
        <v>6</v>
      </c>
      <c r="L763" t="s">
        <v>276</v>
      </c>
      <c r="M763" t="s">
        <v>40</v>
      </c>
      <c r="N763">
        <v>2.1693871510105486E-2</v>
      </c>
      <c r="O763" t="s">
        <v>6</v>
      </c>
    </row>
    <row r="764" spans="2:15" x14ac:dyDescent="0.45">
      <c r="B764" t="s">
        <v>274</v>
      </c>
      <c r="C764" t="s">
        <v>41</v>
      </c>
      <c r="D764">
        <v>2.9436791083756426E-2</v>
      </c>
      <c r="E764" t="s">
        <v>6</v>
      </c>
      <c r="G764" t="s">
        <v>275</v>
      </c>
      <c r="H764" t="s">
        <v>41</v>
      </c>
      <c r="I764">
        <v>2.2778714261859699E-2</v>
      </c>
      <c r="J764" t="s">
        <v>6</v>
      </c>
      <c r="L764" t="s">
        <v>276</v>
      </c>
      <c r="M764" t="s">
        <v>41</v>
      </c>
      <c r="N764">
        <v>2.1529091306354543E-2</v>
      </c>
      <c r="O764" t="s">
        <v>6</v>
      </c>
    </row>
    <row r="765" spans="2:15" x14ac:dyDescent="0.45">
      <c r="B765" t="s">
        <v>274</v>
      </c>
      <c r="C765" t="s">
        <v>42</v>
      </c>
      <c r="D765">
        <v>5.4722531584279088E-2</v>
      </c>
      <c r="E765" t="s">
        <v>6</v>
      </c>
      <c r="G765" t="s">
        <v>275</v>
      </c>
      <c r="H765" t="s">
        <v>42</v>
      </c>
      <c r="I765">
        <v>2.2160912880562437E-2</v>
      </c>
      <c r="J765" t="s">
        <v>6</v>
      </c>
      <c r="L765" t="s">
        <v>276</v>
      </c>
      <c r="M765" t="s">
        <v>42</v>
      </c>
      <c r="N765">
        <v>2.1784807225425855E-2</v>
      </c>
      <c r="O765" t="s">
        <v>6</v>
      </c>
    </row>
    <row r="766" spans="2:15" x14ac:dyDescent="0.45">
      <c r="B766" t="s">
        <v>274</v>
      </c>
      <c r="C766" t="s">
        <v>43</v>
      </c>
      <c r="D766">
        <v>5.5821981322956953E-2</v>
      </c>
      <c r="E766" t="s">
        <v>6</v>
      </c>
      <c r="G766" t="s">
        <v>275</v>
      </c>
      <c r="H766" t="s">
        <v>43</v>
      </c>
      <c r="I766">
        <v>2.2097297052552273E-2</v>
      </c>
      <c r="J766" t="s">
        <v>6</v>
      </c>
      <c r="L766" t="s">
        <v>276</v>
      </c>
      <c r="M766" t="s">
        <v>43</v>
      </c>
      <c r="N766">
        <v>2.1829203716988401E-2</v>
      </c>
      <c r="O766" t="s">
        <v>6</v>
      </c>
    </row>
    <row r="767" spans="2:15" x14ac:dyDescent="0.45">
      <c r="B767" t="s">
        <v>274</v>
      </c>
      <c r="C767" t="s">
        <v>44</v>
      </c>
      <c r="D767">
        <v>3.5966813920383138E-2</v>
      </c>
      <c r="E767" t="s">
        <v>6</v>
      </c>
      <c r="G767" t="s">
        <v>275</v>
      </c>
      <c r="H767" t="s">
        <v>44</v>
      </c>
      <c r="I767">
        <v>2.2195554160603363E-2</v>
      </c>
      <c r="J767" t="s">
        <v>6</v>
      </c>
      <c r="L767" t="s">
        <v>276</v>
      </c>
      <c r="M767" t="s">
        <v>44</v>
      </c>
      <c r="N767">
        <v>2.1711859184116829E-2</v>
      </c>
      <c r="O767" t="s">
        <v>6</v>
      </c>
    </row>
    <row r="768" spans="2:15" x14ac:dyDescent="0.45">
      <c r="B768" t="s">
        <v>274</v>
      </c>
      <c r="C768" t="s">
        <v>45</v>
      </c>
      <c r="D768">
        <v>8.4284731990137366E-3</v>
      </c>
      <c r="E768" t="s">
        <v>6</v>
      </c>
      <c r="G768" t="s">
        <v>275</v>
      </c>
      <c r="H768" t="s">
        <v>45</v>
      </c>
      <c r="I768">
        <v>2.2681987883305686E-2</v>
      </c>
      <c r="J768" t="s">
        <v>6</v>
      </c>
      <c r="L768" t="s">
        <v>276</v>
      </c>
      <c r="M768" t="s">
        <v>45</v>
      </c>
      <c r="N768">
        <v>2.1626173297929038E-2</v>
      </c>
      <c r="O768" t="s">
        <v>6</v>
      </c>
    </row>
    <row r="769" spans="2:15" x14ac:dyDescent="0.45">
      <c r="B769" t="s">
        <v>274</v>
      </c>
      <c r="C769" t="s">
        <v>46</v>
      </c>
      <c r="D769">
        <v>8.2319271690969116E-5</v>
      </c>
      <c r="E769" t="s">
        <v>6</v>
      </c>
      <c r="G769" t="s">
        <v>275</v>
      </c>
      <c r="H769" t="s">
        <v>46</v>
      </c>
      <c r="I769">
        <v>2.3382623335208106E-2</v>
      </c>
      <c r="J769" t="s">
        <v>6</v>
      </c>
      <c r="L769" t="s">
        <v>276</v>
      </c>
      <c r="M769" t="s">
        <v>46</v>
      </c>
      <c r="N769">
        <v>2.1812502223839923E-2</v>
      </c>
      <c r="O769" t="s">
        <v>6</v>
      </c>
    </row>
    <row r="770" spans="2:15" x14ac:dyDescent="0.45">
      <c r="B770" t="s">
        <v>274</v>
      </c>
      <c r="C770" t="s">
        <v>47</v>
      </c>
      <c r="D770">
        <v>0</v>
      </c>
      <c r="E770" t="s">
        <v>6</v>
      </c>
      <c r="G770" t="s">
        <v>275</v>
      </c>
      <c r="H770" t="s">
        <v>47</v>
      </c>
      <c r="I770">
        <v>3.5052295562665488E-2</v>
      </c>
      <c r="J770" t="s">
        <v>6</v>
      </c>
      <c r="L770" t="s">
        <v>276</v>
      </c>
      <c r="M770" t="s">
        <v>47</v>
      </c>
      <c r="N770">
        <v>3.373310482264609E-2</v>
      </c>
      <c r="O770" t="s">
        <v>6</v>
      </c>
    </row>
    <row r="771" spans="2:15" x14ac:dyDescent="0.45">
      <c r="B771" t="s">
        <v>277</v>
      </c>
      <c r="C771" t="s">
        <v>5</v>
      </c>
      <c r="D771">
        <v>0</v>
      </c>
      <c r="E771" t="s">
        <v>6</v>
      </c>
      <c r="G771" t="s">
        <v>278</v>
      </c>
      <c r="H771" t="s">
        <v>5</v>
      </c>
      <c r="I771">
        <v>6.5276810541173999E-2</v>
      </c>
      <c r="J771" t="s">
        <v>6</v>
      </c>
      <c r="L771" t="s">
        <v>279</v>
      </c>
      <c r="M771" t="s">
        <v>5</v>
      </c>
      <c r="N771">
        <v>6.1160715899072994E-2</v>
      </c>
      <c r="O771" t="s">
        <v>6</v>
      </c>
    </row>
    <row r="772" spans="2:15" x14ac:dyDescent="0.45">
      <c r="B772" t="s">
        <v>277</v>
      </c>
      <c r="C772" t="s">
        <v>9</v>
      </c>
      <c r="D772">
        <v>0</v>
      </c>
      <c r="E772" t="s">
        <v>6</v>
      </c>
      <c r="G772" t="s">
        <v>278</v>
      </c>
      <c r="H772" t="s">
        <v>9</v>
      </c>
      <c r="I772">
        <v>2.5506037758625286E-2</v>
      </c>
      <c r="J772" t="s">
        <v>6</v>
      </c>
      <c r="L772" t="s">
        <v>279</v>
      </c>
      <c r="M772" t="s">
        <v>9</v>
      </c>
      <c r="N772">
        <v>2.4382085516727943E-2</v>
      </c>
      <c r="O772" t="s">
        <v>6</v>
      </c>
    </row>
    <row r="773" spans="2:15" x14ac:dyDescent="0.45">
      <c r="B773" t="s">
        <v>277</v>
      </c>
      <c r="C773" t="s">
        <v>10</v>
      </c>
      <c r="D773">
        <v>4.7556332519495083E-5</v>
      </c>
      <c r="E773" t="s">
        <v>6</v>
      </c>
      <c r="G773" t="s">
        <v>278</v>
      </c>
      <c r="H773" t="s">
        <v>10</v>
      </c>
      <c r="I773">
        <v>2.5025684718986807E-2</v>
      </c>
      <c r="J773" t="s">
        <v>6</v>
      </c>
      <c r="L773" t="s">
        <v>279</v>
      </c>
      <c r="M773" t="s">
        <v>10</v>
      </c>
      <c r="N773">
        <v>2.4917815773908565E-2</v>
      </c>
      <c r="O773" t="s">
        <v>6</v>
      </c>
    </row>
    <row r="774" spans="2:15" x14ac:dyDescent="0.45">
      <c r="B774" t="s">
        <v>277</v>
      </c>
      <c r="C774" t="s">
        <v>11</v>
      </c>
      <c r="D774">
        <v>1.0519115462269447E-2</v>
      </c>
      <c r="E774" t="s">
        <v>6</v>
      </c>
      <c r="G774" t="s">
        <v>278</v>
      </c>
      <c r="H774" t="s">
        <v>11</v>
      </c>
      <c r="I774">
        <v>2.4569868379859593E-2</v>
      </c>
      <c r="J774" t="s">
        <v>6</v>
      </c>
      <c r="L774" t="s">
        <v>279</v>
      </c>
      <c r="M774" t="s">
        <v>11</v>
      </c>
      <c r="N774">
        <v>2.5629500748186949E-2</v>
      </c>
      <c r="O774" t="s">
        <v>6</v>
      </c>
    </row>
    <row r="775" spans="2:15" x14ac:dyDescent="0.45">
      <c r="B775" t="s">
        <v>277</v>
      </c>
      <c r="C775" t="s">
        <v>12</v>
      </c>
      <c r="D775">
        <v>3.5762389630744303E-2</v>
      </c>
      <c r="E775" t="s">
        <v>6</v>
      </c>
      <c r="G775" t="s">
        <v>278</v>
      </c>
      <c r="H775" t="s">
        <v>12</v>
      </c>
      <c r="I775">
        <v>2.444841777249351E-2</v>
      </c>
      <c r="J775" t="s">
        <v>6</v>
      </c>
      <c r="L775" t="s">
        <v>279</v>
      </c>
      <c r="M775" t="s">
        <v>12</v>
      </c>
      <c r="N775">
        <v>2.5356727260604318E-2</v>
      </c>
      <c r="O775" t="s">
        <v>6</v>
      </c>
    </row>
    <row r="776" spans="2:15" x14ac:dyDescent="0.45">
      <c r="B776" t="s">
        <v>277</v>
      </c>
      <c r="C776" t="s">
        <v>13</v>
      </c>
      <c r="D776">
        <v>4.1065451604564103E-2</v>
      </c>
      <c r="E776" t="s">
        <v>6</v>
      </c>
      <c r="G776" t="s">
        <v>278</v>
      </c>
      <c r="H776" t="s">
        <v>13</v>
      </c>
      <c r="I776">
        <v>2.5022952926469066E-2</v>
      </c>
      <c r="J776" t="s">
        <v>6</v>
      </c>
      <c r="L776" t="s">
        <v>279</v>
      </c>
      <c r="M776" t="s">
        <v>13</v>
      </c>
      <c r="N776">
        <v>2.4194937124117438E-2</v>
      </c>
      <c r="O776" t="s">
        <v>6</v>
      </c>
    </row>
    <row r="777" spans="2:15" x14ac:dyDescent="0.45">
      <c r="B777" t="s">
        <v>277</v>
      </c>
      <c r="C777" t="s">
        <v>14</v>
      </c>
      <c r="D777">
        <v>2.2319933262109549E-2</v>
      </c>
      <c r="E777" t="s">
        <v>6</v>
      </c>
      <c r="G777" t="s">
        <v>278</v>
      </c>
      <c r="H777" t="s">
        <v>14</v>
      </c>
      <c r="I777">
        <v>2.5201564054618333E-2</v>
      </c>
      <c r="J777" t="s">
        <v>6</v>
      </c>
      <c r="L777" t="s">
        <v>279</v>
      </c>
      <c r="M777" t="s">
        <v>14</v>
      </c>
      <c r="N777">
        <v>2.3708803115810504E-2</v>
      </c>
      <c r="O777" t="s">
        <v>6</v>
      </c>
    </row>
    <row r="778" spans="2:15" x14ac:dyDescent="0.45">
      <c r="B778" t="s">
        <v>277</v>
      </c>
      <c r="C778" t="s">
        <v>15</v>
      </c>
      <c r="D778">
        <v>2.9014494615793155E-3</v>
      </c>
      <c r="E778" t="s">
        <v>6</v>
      </c>
      <c r="G778" t="s">
        <v>278</v>
      </c>
      <c r="H778" t="s">
        <v>15</v>
      </c>
      <c r="I778">
        <v>2.5703520832979748E-2</v>
      </c>
      <c r="J778" t="s">
        <v>6</v>
      </c>
      <c r="L778" t="s">
        <v>279</v>
      </c>
      <c r="M778" t="s">
        <v>15</v>
      </c>
      <c r="N778">
        <v>2.4296760367533941E-2</v>
      </c>
      <c r="O778" t="s">
        <v>6</v>
      </c>
    </row>
    <row r="779" spans="2:15" x14ac:dyDescent="0.45">
      <c r="B779" t="s">
        <v>277</v>
      </c>
      <c r="C779" t="s">
        <v>16</v>
      </c>
      <c r="D779">
        <v>0</v>
      </c>
      <c r="E779" t="s">
        <v>6</v>
      </c>
      <c r="G779" t="s">
        <v>278</v>
      </c>
      <c r="H779" t="s">
        <v>16</v>
      </c>
      <c r="I779">
        <v>2.6358785405669487E-2</v>
      </c>
      <c r="J779" t="s">
        <v>6</v>
      </c>
      <c r="L779" t="s">
        <v>279</v>
      </c>
      <c r="M779" t="s">
        <v>16</v>
      </c>
      <c r="N779">
        <v>2.4848610773664567E-2</v>
      </c>
      <c r="O779" t="s">
        <v>6</v>
      </c>
    </row>
    <row r="780" spans="2:15" x14ac:dyDescent="0.45">
      <c r="B780" t="s">
        <v>277</v>
      </c>
      <c r="C780" t="s">
        <v>17</v>
      </c>
      <c r="D780">
        <v>0</v>
      </c>
      <c r="E780" t="s">
        <v>6</v>
      </c>
      <c r="G780" t="s">
        <v>278</v>
      </c>
      <c r="H780" t="s">
        <v>17</v>
      </c>
      <c r="I780">
        <v>4.0077170228652897E-2</v>
      </c>
      <c r="J780" t="s">
        <v>6</v>
      </c>
      <c r="L780" t="s">
        <v>279</v>
      </c>
      <c r="M780" t="s">
        <v>17</v>
      </c>
      <c r="N780">
        <v>3.7171265014948975E-2</v>
      </c>
      <c r="O780" t="s">
        <v>6</v>
      </c>
    </row>
    <row r="781" spans="2:15" x14ac:dyDescent="0.45">
      <c r="B781" t="s">
        <v>277</v>
      </c>
      <c r="C781" t="s">
        <v>18</v>
      </c>
      <c r="D781">
        <v>0</v>
      </c>
      <c r="E781" t="s">
        <v>6</v>
      </c>
      <c r="G781" t="s">
        <v>278</v>
      </c>
      <c r="H781" t="s">
        <v>18</v>
      </c>
      <c r="I781">
        <v>4.7849700937642632E-2</v>
      </c>
      <c r="J781" t="s">
        <v>6</v>
      </c>
      <c r="L781" t="s">
        <v>279</v>
      </c>
      <c r="M781" t="s">
        <v>18</v>
      </c>
      <c r="N781">
        <v>4.8863400996199381E-2</v>
      </c>
      <c r="O781" t="s">
        <v>6</v>
      </c>
    </row>
    <row r="782" spans="2:15" x14ac:dyDescent="0.45">
      <c r="B782" t="s">
        <v>277</v>
      </c>
      <c r="C782" t="s">
        <v>19</v>
      </c>
      <c r="D782">
        <v>9.9903186584206693E-4</v>
      </c>
      <c r="E782" t="s">
        <v>6</v>
      </c>
      <c r="G782" t="s">
        <v>278</v>
      </c>
      <c r="H782" t="s">
        <v>19</v>
      </c>
      <c r="I782">
        <v>1.8693182543159294E-2</v>
      </c>
      <c r="J782" t="s">
        <v>6</v>
      </c>
      <c r="L782" t="s">
        <v>279</v>
      </c>
      <c r="M782" t="s">
        <v>19</v>
      </c>
      <c r="N782">
        <v>1.8870864400146972E-2</v>
      </c>
      <c r="O782" t="s">
        <v>6</v>
      </c>
    </row>
    <row r="783" spans="2:15" x14ac:dyDescent="0.45">
      <c r="B783" t="s">
        <v>277</v>
      </c>
      <c r="C783" t="s">
        <v>20</v>
      </c>
      <c r="D783">
        <v>1.7750736407479095E-2</v>
      </c>
      <c r="E783" t="s">
        <v>6</v>
      </c>
      <c r="G783" t="s">
        <v>278</v>
      </c>
      <c r="H783" t="s">
        <v>20</v>
      </c>
      <c r="I783">
        <v>1.9065977116807017E-2</v>
      </c>
      <c r="J783" t="s">
        <v>6</v>
      </c>
      <c r="L783" t="s">
        <v>279</v>
      </c>
      <c r="M783" t="s">
        <v>20</v>
      </c>
      <c r="N783">
        <v>1.8531909595665561E-2</v>
      </c>
      <c r="O783" t="s">
        <v>6</v>
      </c>
    </row>
    <row r="784" spans="2:15" x14ac:dyDescent="0.45">
      <c r="B784" t="s">
        <v>277</v>
      </c>
      <c r="C784" t="s">
        <v>21</v>
      </c>
      <c r="D784">
        <v>5.8546262461020369E-2</v>
      </c>
      <c r="E784" t="s">
        <v>6</v>
      </c>
      <c r="G784" t="s">
        <v>278</v>
      </c>
      <c r="H784" t="s">
        <v>21</v>
      </c>
      <c r="I784">
        <v>1.91352400612082E-2</v>
      </c>
      <c r="J784" t="s">
        <v>6</v>
      </c>
      <c r="L784" t="s">
        <v>279</v>
      </c>
      <c r="M784" t="s">
        <v>21</v>
      </c>
      <c r="N784">
        <v>1.8448399239625515E-2</v>
      </c>
      <c r="O784" t="s">
        <v>6</v>
      </c>
    </row>
    <row r="785" spans="2:15" x14ac:dyDescent="0.45">
      <c r="B785" t="s">
        <v>277</v>
      </c>
      <c r="C785" t="s">
        <v>22</v>
      </c>
      <c r="D785">
        <v>8.5742872631670047E-2</v>
      </c>
      <c r="E785" t="s">
        <v>6</v>
      </c>
      <c r="G785" t="s">
        <v>278</v>
      </c>
      <c r="H785" t="s">
        <v>22</v>
      </c>
      <c r="I785">
        <v>1.9480685474717933E-2</v>
      </c>
      <c r="J785" t="s">
        <v>6</v>
      </c>
      <c r="L785" t="s">
        <v>279</v>
      </c>
      <c r="M785" t="s">
        <v>22</v>
      </c>
      <c r="N785">
        <v>1.8664288954746588E-2</v>
      </c>
      <c r="O785" t="s">
        <v>6</v>
      </c>
    </row>
    <row r="786" spans="2:15" x14ac:dyDescent="0.45">
      <c r="B786" t="s">
        <v>277</v>
      </c>
      <c r="C786" t="s">
        <v>23</v>
      </c>
      <c r="D786">
        <v>8.6153962691273081E-2</v>
      </c>
      <c r="E786" t="s">
        <v>6</v>
      </c>
      <c r="G786" t="s">
        <v>278</v>
      </c>
      <c r="H786" t="s">
        <v>23</v>
      </c>
      <c r="I786">
        <v>2.0101087341070956E-2</v>
      </c>
      <c r="J786" t="s">
        <v>6</v>
      </c>
      <c r="L786" t="s">
        <v>279</v>
      </c>
      <c r="M786" t="s">
        <v>23</v>
      </c>
      <c r="N786">
        <v>1.9250004171202682E-2</v>
      </c>
      <c r="O786" t="s">
        <v>6</v>
      </c>
    </row>
    <row r="787" spans="2:15" x14ac:dyDescent="0.45">
      <c r="B787" t="s">
        <v>277</v>
      </c>
      <c r="C787" t="s">
        <v>24</v>
      </c>
      <c r="D787">
        <v>6.4987272092004111E-2</v>
      </c>
      <c r="E787" t="s">
        <v>6</v>
      </c>
      <c r="G787" t="s">
        <v>278</v>
      </c>
      <c r="H787" t="s">
        <v>24</v>
      </c>
      <c r="I787">
        <v>2.0594237424766754E-2</v>
      </c>
      <c r="J787" t="s">
        <v>6</v>
      </c>
      <c r="L787" t="s">
        <v>279</v>
      </c>
      <c r="M787" t="s">
        <v>24</v>
      </c>
      <c r="N787">
        <v>2.0067056336188046E-2</v>
      </c>
      <c r="O787" t="s">
        <v>6</v>
      </c>
    </row>
    <row r="788" spans="2:15" x14ac:dyDescent="0.45">
      <c r="B788" t="s">
        <v>277</v>
      </c>
      <c r="C788" t="s">
        <v>25</v>
      </c>
      <c r="D788">
        <v>3.0340154707079719E-2</v>
      </c>
      <c r="E788" t="s">
        <v>6</v>
      </c>
      <c r="G788" t="s">
        <v>278</v>
      </c>
      <c r="H788" t="s">
        <v>25</v>
      </c>
      <c r="I788">
        <v>2.0739428450633663E-2</v>
      </c>
      <c r="J788" t="s">
        <v>6</v>
      </c>
      <c r="L788" t="s">
        <v>279</v>
      </c>
      <c r="M788" t="s">
        <v>25</v>
      </c>
      <c r="N788">
        <v>2.0635179902000606E-2</v>
      </c>
      <c r="O788" t="s">
        <v>6</v>
      </c>
    </row>
    <row r="789" spans="2:15" x14ac:dyDescent="0.45">
      <c r="B789" t="s">
        <v>277</v>
      </c>
      <c r="C789" t="s">
        <v>26</v>
      </c>
      <c r="D789">
        <v>2.4888500801140251E-3</v>
      </c>
      <c r="E789" t="s">
        <v>6</v>
      </c>
      <c r="G789" t="s">
        <v>278</v>
      </c>
      <c r="H789" t="s">
        <v>26</v>
      </c>
      <c r="I789">
        <v>2.0749193981324583E-2</v>
      </c>
      <c r="J789" t="s">
        <v>6</v>
      </c>
      <c r="L789" t="s">
        <v>279</v>
      </c>
      <c r="M789" t="s">
        <v>26</v>
      </c>
      <c r="N789">
        <v>2.0974548533339982E-2</v>
      </c>
      <c r="O789" t="s">
        <v>6</v>
      </c>
    </row>
    <row r="790" spans="2:15" x14ac:dyDescent="0.45">
      <c r="B790" t="s">
        <v>277</v>
      </c>
      <c r="C790" t="s">
        <v>27</v>
      </c>
      <c r="D790">
        <v>2.0698098628117096E-6</v>
      </c>
      <c r="E790" t="s">
        <v>6</v>
      </c>
      <c r="G790" t="s">
        <v>278</v>
      </c>
      <c r="H790" t="s">
        <v>27</v>
      </c>
      <c r="I790">
        <v>3.04354393314057E-2</v>
      </c>
      <c r="J790" t="s">
        <v>6</v>
      </c>
      <c r="L790" t="s">
        <v>279</v>
      </c>
      <c r="M790" t="s">
        <v>27</v>
      </c>
      <c r="N790">
        <v>3.0770374115235172E-2</v>
      </c>
      <c r="O790" t="s">
        <v>6</v>
      </c>
    </row>
    <row r="791" spans="2:15" x14ac:dyDescent="0.45">
      <c r="B791" t="s">
        <v>277</v>
      </c>
      <c r="C791" t="s">
        <v>28</v>
      </c>
      <c r="D791">
        <v>0</v>
      </c>
      <c r="E791" t="s">
        <v>6</v>
      </c>
      <c r="G791" t="s">
        <v>278</v>
      </c>
      <c r="H791" t="s">
        <v>28</v>
      </c>
      <c r="I791">
        <v>4.0017046758391073E-2</v>
      </c>
      <c r="J791" t="s">
        <v>6</v>
      </c>
      <c r="L791" t="s">
        <v>279</v>
      </c>
      <c r="M791" t="s">
        <v>28</v>
      </c>
      <c r="N791">
        <v>4.386072594433614E-2</v>
      </c>
      <c r="O791" t="s">
        <v>6</v>
      </c>
    </row>
    <row r="792" spans="2:15" x14ac:dyDescent="0.45">
      <c r="B792" t="s">
        <v>277</v>
      </c>
      <c r="C792" t="s">
        <v>29</v>
      </c>
      <c r="D792">
        <v>2.4310241830909018E-3</v>
      </c>
      <c r="E792" t="s">
        <v>6</v>
      </c>
      <c r="G792" t="s">
        <v>278</v>
      </c>
      <c r="H792" t="s">
        <v>29</v>
      </c>
      <c r="I792">
        <v>1.5847649608980819E-2</v>
      </c>
      <c r="J792" t="s">
        <v>6</v>
      </c>
      <c r="L792" t="s">
        <v>279</v>
      </c>
      <c r="M792" t="s">
        <v>29</v>
      </c>
      <c r="N792">
        <v>1.7447578536705515E-2</v>
      </c>
      <c r="O792" t="s">
        <v>6</v>
      </c>
    </row>
    <row r="793" spans="2:15" x14ac:dyDescent="0.45">
      <c r="B793" t="s">
        <v>277</v>
      </c>
      <c r="C793" t="s">
        <v>30</v>
      </c>
      <c r="D793">
        <v>2.2527493675305207E-2</v>
      </c>
      <c r="E793" t="s">
        <v>6</v>
      </c>
      <c r="G793" t="s">
        <v>278</v>
      </c>
      <c r="H793" t="s">
        <v>30</v>
      </c>
      <c r="I793">
        <v>1.6109761438645488E-2</v>
      </c>
      <c r="J793" t="s">
        <v>6</v>
      </c>
      <c r="L793" t="s">
        <v>279</v>
      </c>
      <c r="M793" t="s">
        <v>30</v>
      </c>
      <c r="N793">
        <v>1.7146018467525295E-2</v>
      </c>
      <c r="O793" t="s">
        <v>6</v>
      </c>
    </row>
    <row r="794" spans="2:15" x14ac:dyDescent="0.45">
      <c r="B794" t="s">
        <v>277</v>
      </c>
      <c r="C794" t="s">
        <v>31</v>
      </c>
      <c r="D794">
        <v>5.658742637915342E-2</v>
      </c>
      <c r="E794" t="s">
        <v>6</v>
      </c>
      <c r="G794" t="s">
        <v>278</v>
      </c>
      <c r="H794" t="s">
        <v>31</v>
      </c>
      <c r="I794">
        <v>1.6164394015358487E-2</v>
      </c>
      <c r="J794" t="s">
        <v>6</v>
      </c>
      <c r="L794" t="s">
        <v>279</v>
      </c>
      <c r="M794" t="s">
        <v>31</v>
      </c>
      <c r="N794">
        <v>1.6959410180681679E-2</v>
      </c>
      <c r="O794" t="s">
        <v>6</v>
      </c>
    </row>
    <row r="795" spans="2:15" x14ac:dyDescent="0.45">
      <c r="B795" t="s">
        <v>277</v>
      </c>
      <c r="C795" t="s">
        <v>32</v>
      </c>
      <c r="D795">
        <v>8.0563961335083104E-2</v>
      </c>
      <c r="E795" t="s">
        <v>6</v>
      </c>
      <c r="G795" t="s">
        <v>278</v>
      </c>
      <c r="H795" t="s">
        <v>32</v>
      </c>
      <c r="I795">
        <v>1.6659520836025708E-2</v>
      </c>
      <c r="J795" t="s">
        <v>6</v>
      </c>
      <c r="L795" t="s">
        <v>279</v>
      </c>
      <c r="M795" t="s">
        <v>32</v>
      </c>
      <c r="N795">
        <v>1.7234544617309375E-2</v>
      </c>
      <c r="O795" t="s">
        <v>6</v>
      </c>
    </row>
    <row r="796" spans="2:15" x14ac:dyDescent="0.45">
      <c r="B796" t="s">
        <v>277</v>
      </c>
      <c r="C796" t="s">
        <v>33</v>
      </c>
      <c r="D796">
        <v>8.5332083518345966E-2</v>
      </c>
      <c r="E796" t="s">
        <v>6</v>
      </c>
      <c r="G796" t="s">
        <v>278</v>
      </c>
      <c r="H796" t="s">
        <v>33</v>
      </c>
      <c r="I796">
        <v>1.7082944050340554E-2</v>
      </c>
      <c r="J796" t="s">
        <v>6</v>
      </c>
      <c r="L796" t="s">
        <v>279</v>
      </c>
      <c r="M796" t="s">
        <v>33</v>
      </c>
      <c r="N796">
        <v>1.7537151941950182E-2</v>
      </c>
      <c r="O796" t="s">
        <v>6</v>
      </c>
    </row>
    <row r="797" spans="2:15" x14ac:dyDescent="0.45">
      <c r="B797" t="s">
        <v>277</v>
      </c>
      <c r="C797" t="s">
        <v>34</v>
      </c>
      <c r="D797">
        <v>7.0920609066661283E-2</v>
      </c>
      <c r="E797" t="s">
        <v>6</v>
      </c>
      <c r="G797" t="s">
        <v>278</v>
      </c>
      <c r="H797" t="s">
        <v>34</v>
      </c>
      <c r="I797">
        <v>1.7067845226776505E-2</v>
      </c>
      <c r="J797" t="s">
        <v>6</v>
      </c>
      <c r="L797" t="s">
        <v>279</v>
      </c>
      <c r="M797" t="s">
        <v>34</v>
      </c>
      <c r="N797">
        <v>1.7697322398115976E-2</v>
      </c>
      <c r="O797" t="s">
        <v>6</v>
      </c>
    </row>
    <row r="798" spans="2:15" x14ac:dyDescent="0.45">
      <c r="B798" t="s">
        <v>277</v>
      </c>
      <c r="C798" t="s">
        <v>35</v>
      </c>
      <c r="D798">
        <v>3.908126234722778E-2</v>
      </c>
      <c r="E798" t="s">
        <v>6</v>
      </c>
      <c r="G798" t="s">
        <v>278</v>
      </c>
      <c r="H798" t="s">
        <v>35</v>
      </c>
      <c r="I798">
        <v>1.6769068163789157E-2</v>
      </c>
      <c r="J798" t="s">
        <v>6</v>
      </c>
      <c r="L798" t="s">
        <v>279</v>
      </c>
      <c r="M798" t="s">
        <v>35</v>
      </c>
      <c r="N798">
        <v>1.7586416818143803E-2</v>
      </c>
      <c r="O798" t="s">
        <v>6</v>
      </c>
    </row>
    <row r="799" spans="2:15" x14ac:dyDescent="0.45">
      <c r="B799" t="s">
        <v>277</v>
      </c>
      <c r="C799" t="s">
        <v>36</v>
      </c>
      <c r="D799">
        <v>6.9838500899885797E-3</v>
      </c>
      <c r="E799" t="s">
        <v>6</v>
      </c>
      <c r="G799" t="s">
        <v>278</v>
      </c>
      <c r="H799" t="s">
        <v>36</v>
      </c>
      <c r="I799">
        <v>1.5952101519929148E-2</v>
      </c>
      <c r="J799" t="s">
        <v>6</v>
      </c>
      <c r="L799" t="s">
        <v>279</v>
      </c>
      <c r="M799" t="s">
        <v>36</v>
      </c>
      <c r="N799">
        <v>1.7539341911324269E-2</v>
      </c>
      <c r="O799" t="s">
        <v>6</v>
      </c>
    </row>
    <row r="800" spans="2:15" x14ac:dyDescent="0.45">
      <c r="B800" t="s">
        <v>277</v>
      </c>
      <c r="C800" t="s">
        <v>37</v>
      </c>
      <c r="D800">
        <v>1.2589935499987502E-4</v>
      </c>
      <c r="E800" t="s">
        <v>6</v>
      </c>
      <c r="G800" t="s">
        <v>278</v>
      </c>
      <c r="H800" t="s">
        <v>37</v>
      </c>
      <c r="I800">
        <v>2.3499328894602108E-2</v>
      </c>
      <c r="J800" t="s">
        <v>6</v>
      </c>
      <c r="L800" t="s">
        <v>279</v>
      </c>
      <c r="M800" t="s">
        <v>37</v>
      </c>
      <c r="N800">
        <v>2.6315032431892448E-2</v>
      </c>
      <c r="O800" t="s">
        <v>6</v>
      </c>
    </row>
    <row r="801" spans="2:15" x14ac:dyDescent="0.45">
      <c r="B801" t="s">
        <v>277</v>
      </c>
      <c r="C801" t="s">
        <v>38</v>
      </c>
      <c r="D801">
        <v>0</v>
      </c>
      <c r="E801" t="s">
        <v>6</v>
      </c>
      <c r="G801" t="s">
        <v>278</v>
      </c>
      <c r="H801" t="s">
        <v>38</v>
      </c>
      <c r="I801">
        <v>5.254263087830708E-2</v>
      </c>
      <c r="J801" t="s">
        <v>6</v>
      </c>
      <c r="L801" t="s">
        <v>279</v>
      </c>
      <c r="M801" t="s">
        <v>38</v>
      </c>
      <c r="N801">
        <v>5.5254465332005703E-2</v>
      </c>
      <c r="O801" t="s">
        <v>6</v>
      </c>
    </row>
    <row r="802" spans="2:15" x14ac:dyDescent="0.45">
      <c r="B802" t="s">
        <v>277</v>
      </c>
      <c r="C802" t="s">
        <v>39</v>
      </c>
      <c r="D802">
        <v>0</v>
      </c>
      <c r="E802" t="s">
        <v>6</v>
      </c>
      <c r="G802" t="s">
        <v>278</v>
      </c>
      <c r="H802" t="s">
        <v>39</v>
      </c>
      <c r="I802">
        <v>2.1354232356187105E-2</v>
      </c>
      <c r="J802" t="s">
        <v>6</v>
      </c>
      <c r="L802" t="s">
        <v>279</v>
      </c>
      <c r="M802" t="s">
        <v>39</v>
      </c>
      <c r="N802">
        <v>2.2042100273412593E-2</v>
      </c>
      <c r="O802" t="s">
        <v>6</v>
      </c>
    </row>
    <row r="803" spans="2:15" x14ac:dyDescent="0.45">
      <c r="B803" t="s">
        <v>277</v>
      </c>
      <c r="C803" t="s">
        <v>40</v>
      </c>
      <c r="D803">
        <v>3.7059376727843927E-3</v>
      </c>
      <c r="E803" t="s">
        <v>6</v>
      </c>
      <c r="G803" t="s">
        <v>278</v>
      </c>
      <c r="H803" t="s">
        <v>40</v>
      </c>
      <c r="I803">
        <v>2.1715428644018969E-2</v>
      </c>
      <c r="J803" t="s">
        <v>6</v>
      </c>
      <c r="L803" t="s">
        <v>279</v>
      </c>
      <c r="M803" t="s">
        <v>40</v>
      </c>
      <c r="N803">
        <v>2.1789737373114026E-2</v>
      </c>
      <c r="O803" t="s">
        <v>6</v>
      </c>
    </row>
    <row r="804" spans="2:15" x14ac:dyDescent="0.45">
      <c r="B804" t="s">
        <v>277</v>
      </c>
      <c r="C804" t="s">
        <v>41</v>
      </c>
      <c r="D804">
        <v>2.8211964399127203E-2</v>
      </c>
      <c r="E804" t="s">
        <v>6</v>
      </c>
      <c r="G804" t="s">
        <v>278</v>
      </c>
      <c r="H804" t="s">
        <v>41</v>
      </c>
      <c r="I804">
        <v>2.2022289110687571E-2</v>
      </c>
      <c r="J804" t="s">
        <v>6</v>
      </c>
      <c r="L804" t="s">
        <v>279</v>
      </c>
      <c r="M804" t="s">
        <v>41</v>
      </c>
      <c r="N804">
        <v>2.120955083545702E-2</v>
      </c>
      <c r="O804" t="s">
        <v>6</v>
      </c>
    </row>
    <row r="805" spans="2:15" x14ac:dyDescent="0.45">
      <c r="B805" t="s">
        <v>277</v>
      </c>
      <c r="C805" t="s">
        <v>42</v>
      </c>
      <c r="D805">
        <v>5.2161926377766517E-2</v>
      </c>
      <c r="E805" t="s">
        <v>6</v>
      </c>
      <c r="G805" t="s">
        <v>278</v>
      </c>
      <c r="H805" t="s">
        <v>42</v>
      </c>
      <c r="I805">
        <v>2.2282366956674855E-2</v>
      </c>
      <c r="J805" t="s">
        <v>6</v>
      </c>
      <c r="L805" t="s">
        <v>279</v>
      </c>
      <c r="M805" t="s">
        <v>42</v>
      </c>
      <c r="N805">
        <v>2.0764371010753832E-2</v>
      </c>
      <c r="O805" t="s">
        <v>6</v>
      </c>
    </row>
    <row r="806" spans="2:15" x14ac:dyDescent="0.45">
      <c r="B806" t="s">
        <v>277</v>
      </c>
      <c r="C806" t="s">
        <v>43</v>
      </c>
      <c r="D806">
        <v>5.1836133643025313E-2</v>
      </c>
      <c r="E806" t="s">
        <v>6</v>
      </c>
      <c r="G806" t="s">
        <v>278</v>
      </c>
      <c r="H806" t="s">
        <v>43</v>
      </c>
      <c r="I806">
        <v>2.2178574759746068E-2</v>
      </c>
      <c r="J806" t="s">
        <v>6</v>
      </c>
      <c r="L806" t="s">
        <v>279</v>
      </c>
      <c r="M806" t="s">
        <v>43</v>
      </c>
      <c r="N806">
        <v>2.1023890345428915E-2</v>
      </c>
      <c r="O806" t="s">
        <v>6</v>
      </c>
    </row>
    <row r="807" spans="2:15" x14ac:dyDescent="0.45">
      <c r="B807" t="s">
        <v>277</v>
      </c>
      <c r="C807" t="s">
        <v>44</v>
      </c>
      <c r="D807">
        <v>3.2714488207543184E-2</v>
      </c>
      <c r="E807" t="s">
        <v>6</v>
      </c>
      <c r="G807" t="s">
        <v>278</v>
      </c>
      <c r="H807" t="s">
        <v>44</v>
      </c>
      <c r="I807">
        <v>2.2162139197861912E-2</v>
      </c>
      <c r="J807" t="s">
        <v>6</v>
      </c>
      <c r="L807" t="s">
        <v>279</v>
      </c>
      <c r="M807" t="s">
        <v>44</v>
      </c>
      <c r="N807">
        <v>2.1167316665966364E-2</v>
      </c>
      <c r="O807" t="s">
        <v>6</v>
      </c>
    </row>
    <row r="808" spans="2:15" x14ac:dyDescent="0.45">
      <c r="B808" t="s">
        <v>277</v>
      </c>
      <c r="C808" t="s">
        <v>45</v>
      </c>
      <c r="D808">
        <v>7.1582508671451809E-3</v>
      </c>
      <c r="E808" t="s">
        <v>6</v>
      </c>
      <c r="G808" t="s">
        <v>278</v>
      </c>
      <c r="H808" t="s">
        <v>45</v>
      </c>
      <c r="I808">
        <v>2.201497747168717E-2</v>
      </c>
      <c r="J808" t="s">
        <v>6</v>
      </c>
      <c r="L808" t="s">
        <v>279</v>
      </c>
      <c r="M808" t="s">
        <v>45</v>
      </c>
      <c r="N808">
        <v>2.1600467472423238E-2</v>
      </c>
      <c r="O808" t="s">
        <v>6</v>
      </c>
    </row>
    <row r="809" spans="2:15" x14ac:dyDescent="0.45">
      <c r="B809" t="s">
        <v>277</v>
      </c>
      <c r="C809" t="s">
        <v>46</v>
      </c>
      <c r="D809">
        <v>3.0580382616730246E-5</v>
      </c>
      <c r="E809" t="s">
        <v>6</v>
      </c>
      <c r="G809" t="s">
        <v>278</v>
      </c>
      <c r="H809" t="s">
        <v>46</v>
      </c>
      <c r="I809">
        <v>2.1963573737476382E-2</v>
      </c>
      <c r="J809" t="s">
        <v>6</v>
      </c>
      <c r="L809" t="s">
        <v>279</v>
      </c>
      <c r="M809" t="s">
        <v>46</v>
      </c>
      <c r="N809">
        <v>2.2030378450309803E-2</v>
      </c>
      <c r="O809" t="s">
        <v>6</v>
      </c>
    </row>
    <row r="810" spans="2:15" x14ac:dyDescent="0.45">
      <c r="B810" t="s">
        <v>277</v>
      </c>
      <c r="C810" t="s">
        <v>47</v>
      </c>
      <c r="D810">
        <v>0</v>
      </c>
      <c r="E810" t="s">
        <v>6</v>
      </c>
      <c r="G810" t="s">
        <v>278</v>
      </c>
      <c r="H810" t="s">
        <v>47</v>
      </c>
      <c r="I810">
        <v>3.2559141092248257E-2</v>
      </c>
      <c r="J810" t="s">
        <v>6</v>
      </c>
      <c r="L810" t="s">
        <v>279</v>
      </c>
      <c r="M810" t="s">
        <v>47</v>
      </c>
      <c r="N810">
        <v>3.3050931154218782E-2</v>
      </c>
      <c r="O810" t="s">
        <v>6</v>
      </c>
    </row>
    <row r="811" spans="2:15" x14ac:dyDescent="0.45">
      <c r="B811" t="s">
        <v>280</v>
      </c>
      <c r="C811" t="s">
        <v>5</v>
      </c>
      <c r="D811">
        <v>0</v>
      </c>
      <c r="E811" t="s">
        <v>6</v>
      </c>
      <c r="G811" t="s">
        <v>281</v>
      </c>
      <c r="H811" t="s">
        <v>5</v>
      </c>
      <c r="I811">
        <v>6.5397194431838182E-2</v>
      </c>
      <c r="J811" t="s">
        <v>6</v>
      </c>
      <c r="L811" t="s">
        <v>282</v>
      </c>
      <c r="M811" t="s">
        <v>5</v>
      </c>
      <c r="N811">
        <v>6.0921424408060781E-2</v>
      </c>
      <c r="O811" t="s">
        <v>6</v>
      </c>
    </row>
    <row r="812" spans="2:15" x14ac:dyDescent="0.45">
      <c r="B812" t="s">
        <v>280</v>
      </c>
      <c r="C812" t="s">
        <v>9</v>
      </c>
      <c r="D812">
        <v>0</v>
      </c>
      <c r="E812" t="s">
        <v>6</v>
      </c>
      <c r="G812" t="s">
        <v>281</v>
      </c>
      <c r="H812" t="s">
        <v>9</v>
      </c>
      <c r="I812">
        <v>2.5813603101738882E-2</v>
      </c>
      <c r="J812" t="s">
        <v>6</v>
      </c>
      <c r="L812" t="s">
        <v>282</v>
      </c>
      <c r="M812" t="s">
        <v>9</v>
      </c>
      <c r="N812">
        <v>2.4111291511817026E-2</v>
      </c>
      <c r="O812" t="s">
        <v>6</v>
      </c>
    </row>
    <row r="813" spans="2:15" x14ac:dyDescent="0.45">
      <c r="B813" t="s">
        <v>280</v>
      </c>
      <c r="C813" t="s">
        <v>10</v>
      </c>
      <c r="D813">
        <v>1.1701930498228446E-6</v>
      </c>
      <c r="E813" t="s">
        <v>6</v>
      </c>
      <c r="G813" t="s">
        <v>281</v>
      </c>
      <c r="H813" t="s">
        <v>10</v>
      </c>
      <c r="I813">
        <v>2.5121039505735129E-2</v>
      </c>
      <c r="J813" t="s">
        <v>6</v>
      </c>
      <c r="L813" t="s">
        <v>282</v>
      </c>
      <c r="M813" t="s">
        <v>10</v>
      </c>
      <c r="N813">
        <v>2.4157455022801845E-2</v>
      </c>
      <c r="O813" t="s">
        <v>6</v>
      </c>
    </row>
    <row r="814" spans="2:15" x14ac:dyDescent="0.45">
      <c r="B814" t="s">
        <v>280</v>
      </c>
      <c r="C814" t="s">
        <v>11</v>
      </c>
      <c r="D814">
        <v>9.2611722371228229E-3</v>
      </c>
      <c r="E814" t="s">
        <v>6</v>
      </c>
      <c r="G814" t="s">
        <v>281</v>
      </c>
      <c r="H814" t="s">
        <v>11</v>
      </c>
      <c r="I814">
        <v>2.4779370540591553E-2</v>
      </c>
      <c r="J814" t="s">
        <v>6</v>
      </c>
      <c r="L814" t="s">
        <v>282</v>
      </c>
      <c r="M814" t="s">
        <v>11</v>
      </c>
      <c r="N814">
        <v>2.4609756962781264E-2</v>
      </c>
      <c r="O814" t="s">
        <v>6</v>
      </c>
    </row>
    <row r="815" spans="2:15" x14ac:dyDescent="0.45">
      <c r="B815" t="s">
        <v>280</v>
      </c>
      <c r="C815" t="s">
        <v>12</v>
      </c>
      <c r="D815">
        <v>3.1583447006505061E-2</v>
      </c>
      <c r="E815" t="s">
        <v>6</v>
      </c>
      <c r="G815" t="s">
        <v>281</v>
      </c>
      <c r="H815" t="s">
        <v>12</v>
      </c>
      <c r="I815">
        <v>2.4699122887730927E-2</v>
      </c>
      <c r="J815" t="s">
        <v>6</v>
      </c>
      <c r="L815" t="s">
        <v>282</v>
      </c>
      <c r="M815" t="s">
        <v>12</v>
      </c>
      <c r="N815">
        <v>2.511964658965947E-2</v>
      </c>
      <c r="O815" t="s">
        <v>6</v>
      </c>
    </row>
    <row r="816" spans="2:15" x14ac:dyDescent="0.45">
      <c r="B816" t="s">
        <v>280</v>
      </c>
      <c r="C816" t="s">
        <v>13</v>
      </c>
      <c r="D816">
        <v>3.8527237439547821E-2</v>
      </c>
      <c r="E816" t="s">
        <v>6</v>
      </c>
      <c r="G816" t="s">
        <v>281</v>
      </c>
      <c r="H816" t="s">
        <v>13</v>
      </c>
      <c r="I816">
        <v>2.5071626600730298E-2</v>
      </c>
      <c r="J816" t="s">
        <v>6</v>
      </c>
      <c r="L816" t="s">
        <v>282</v>
      </c>
      <c r="M816" t="s">
        <v>13</v>
      </c>
      <c r="N816">
        <v>2.520182396763113E-2</v>
      </c>
      <c r="O816" t="s">
        <v>6</v>
      </c>
    </row>
    <row r="817" spans="2:15" x14ac:dyDescent="0.45">
      <c r="B817" t="s">
        <v>280</v>
      </c>
      <c r="C817" t="s">
        <v>14</v>
      </c>
      <c r="D817">
        <v>2.2562662253095944E-2</v>
      </c>
      <c r="E817" t="s">
        <v>6</v>
      </c>
      <c r="G817" t="s">
        <v>281</v>
      </c>
      <c r="H817" t="s">
        <v>14</v>
      </c>
      <c r="I817">
        <v>2.5620849198767781E-2</v>
      </c>
      <c r="J817" t="s">
        <v>6</v>
      </c>
      <c r="L817" t="s">
        <v>282</v>
      </c>
      <c r="M817" t="s">
        <v>14</v>
      </c>
      <c r="N817">
        <v>2.4583972577483092E-2</v>
      </c>
      <c r="O817" t="s">
        <v>6</v>
      </c>
    </row>
    <row r="818" spans="2:15" x14ac:dyDescent="0.45">
      <c r="B818" t="s">
        <v>280</v>
      </c>
      <c r="C818" t="s">
        <v>15</v>
      </c>
      <c r="D818">
        <v>2.9588357181101576E-3</v>
      </c>
      <c r="E818" t="s">
        <v>6</v>
      </c>
      <c r="G818" t="s">
        <v>281</v>
      </c>
      <c r="H818" t="s">
        <v>15</v>
      </c>
      <c r="I818">
        <v>2.5899680393079362E-2</v>
      </c>
      <c r="J818" t="s">
        <v>6</v>
      </c>
      <c r="L818" t="s">
        <v>282</v>
      </c>
      <c r="M818" t="s">
        <v>15</v>
      </c>
      <c r="N818">
        <v>2.4473403970993974E-2</v>
      </c>
      <c r="O818" t="s">
        <v>6</v>
      </c>
    </row>
    <row r="819" spans="2:15" x14ac:dyDescent="0.45">
      <c r="B819" t="s">
        <v>280</v>
      </c>
      <c r="C819" t="s">
        <v>16</v>
      </c>
      <c r="D819">
        <v>0</v>
      </c>
      <c r="E819" t="s">
        <v>6</v>
      </c>
      <c r="G819" t="s">
        <v>281</v>
      </c>
      <c r="H819" t="s">
        <v>16</v>
      </c>
      <c r="I819">
        <v>2.6360882099209719E-2</v>
      </c>
      <c r="J819" t="s">
        <v>6</v>
      </c>
      <c r="L819" t="s">
        <v>282</v>
      </c>
      <c r="M819" t="s">
        <v>16</v>
      </c>
      <c r="N819">
        <v>2.461132694825546E-2</v>
      </c>
      <c r="O819" t="s">
        <v>6</v>
      </c>
    </row>
    <row r="820" spans="2:15" x14ac:dyDescent="0.45">
      <c r="B820" t="s">
        <v>280</v>
      </c>
      <c r="C820" t="s">
        <v>17</v>
      </c>
      <c r="D820">
        <v>0</v>
      </c>
      <c r="E820" t="s">
        <v>6</v>
      </c>
      <c r="G820" t="s">
        <v>281</v>
      </c>
      <c r="H820" t="s">
        <v>17</v>
      </c>
      <c r="I820">
        <v>3.9591768390391899E-2</v>
      </c>
      <c r="J820" t="s">
        <v>6</v>
      </c>
      <c r="L820" t="s">
        <v>282</v>
      </c>
      <c r="M820" t="s">
        <v>17</v>
      </c>
      <c r="N820">
        <v>3.7360588649952411E-2</v>
      </c>
      <c r="O820" t="s">
        <v>6</v>
      </c>
    </row>
    <row r="821" spans="2:15" x14ac:dyDescent="0.45">
      <c r="B821" t="s">
        <v>280</v>
      </c>
      <c r="C821" t="s">
        <v>18</v>
      </c>
      <c r="D821">
        <v>0</v>
      </c>
      <c r="E821" t="s">
        <v>6</v>
      </c>
      <c r="G821" t="s">
        <v>281</v>
      </c>
      <c r="H821" t="s">
        <v>18</v>
      </c>
      <c r="I821">
        <v>4.9403426492543395E-2</v>
      </c>
      <c r="J821" t="s">
        <v>6</v>
      </c>
      <c r="L821" t="s">
        <v>282</v>
      </c>
      <c r="M821" t="s">
        <v>18</v>
      </c>
      <c r="N821">
        <v>5.1789790166880414E-2</v>
      </c>
      <c r="O821" t="s">
        <v>6</v>
      </c>
    </row>
    <row r="822" spans="2:15" x14ac:dyDescent="0.45">
      <c r="B822" t="s">
        <v>280</v>
      </c>
      <c r="C822" t="s">
        <v>19</v>
      </c>
      <c r="D822">
        <v>6.6470072938595501E-4</v>
      </c>
      <c r="E822" t="s">
        <v>6</v>
      </c>
      <c r="G822" t="s">
        <v>281</v>
      </c>
      <c r="H822" t="s">
        <v>19</v>
      </c>
      <c r="I822">
        <v>1.9227234507117937E-2</v>
      </c>
      <c r="J822" t="s">
        <v>6</v>
      </c>
      <c r="L822" t="s">
        <v>282</v>
      </c>
      <c r="M822" t="s">
        <v>19</v>
      </c>
      <c r="N822">
        <v>2.0159008777956126E-2</v>
      </c>
      <c r="O822" t="s">
        <v>6</v>
      </c>
    </row>
    <row r="823" spans="2:15" x14ac:dyDescent="0.45">
      <c r="B823" t="s">
        <v>280</v>
      </c>
      <c r="C823" t="s">
        <v>20</v>
      </c>
      <c r="D823">
        <v>1.4592166349278053E-2</v>
      </c>
      <c r="E823" t="s">
        <v>6</v>
      </c>
      <c r="G823" t="s">
        <v>281</v>
      </c>
      <c r="H823" t="s">
        <v>20</v>
      </c>
      <c r="I823">
        <v>1.9776660161741115E-2</v>
      </c>
      <c r="J823" t="s">
        <v>6</v>
      </c>
      <c r="L823" t="s">
        <v>282</v>
      </c>
      <c r="M823" t="s">
        <v>20</v>
      </c>
      <c r="N823">
        <v>1.9953301706295844E-2</v>
      </c>
      <c r="O823" t="s">
        <v>6</v>
      </c>
    </row>
    <row r="824" spans="2:15" x14ac:dyDescent="0.45">
      <c r="B824" t="s">
        <v>280</v>
      </c>
      <c r="C824" t="s">
        <v>21</v>
      </c>
      <c r="D824">
        <v>5.3709477767016928E-2</v>
      </c>
      <c r="E824" t="s">
        <v>6</v>
      </c>
      <c r="G824" t="s">
        <v>281</v>
      </c>
      <c r="H824" t="s">
        <v>21</v>
      </c>
      <c r="I824">
        <v>1.9983080975382511E-2</v>
      </c>
      <c r="J824" t="s">
        <v>6</v>
      </c>
      <c r="L824" t="s">
        <v>282</v>
      </c>
      <c r="M824" t="s">
        <v>21</v>
      </c>
      <c r="N824">
        <v>1.973685618868928E-2</v>
      </c>
      <c r="O824" t="s">
        <v>6</v>
      </c>
    </row>
    <row r="825" spans="2:15" x14ac:dyDescent="0.45">
      <c r="B825" t="s">
        <v>280</v>
      </c>
      <c r="C825" t="s">
        <v>22</v>
      </c>
      <c r="D825">
        <v>8.3215102722181841E-2</v>
      </c>
      <c r="E825" t="s">
        <v>6</v>
      </c>
      <c r="G825" t="s">
        <v>281</v>
      </c>
      <c r="H825" t="s">
        <v>22</v>
      </c>
      <c r="I825">
        <v>2.0300007579894093E-2</v>
      </c>
      <c r="J825" t="s">
        <v>6</v>
      </c>
      <c r="L825" t="s">
        <v>282</v>
      </c>
      <c r="M825" t="s">
        <v>22</v>
      </c>
      <c r="N825">
        <v>1.9623542426990898E-2</v>
      </c>
      <c r="O825" t="s">
        <v>6</v>
      </c>
    </row>
    <row r="826" spans="2:15" x14ac:dyDescent="0.45">
      <c r="B826" t="s">
        <v>280</v>
      </c>
      <c r="C826" t="s">
        <v>23</v>
      </c>
      <c r="D826">
        <v>8.7978612425148678E-2</v>
      </c>
      <c r="E826" t="s">
        <v>6</v>
      </c>
      <c r="G826" t="s">
        <v>281</v>
      </c>
      <c r="H826" t="s">
        <v>23</v>
      </c>
      <c r="I826">
        <v>2.0468376363142766E-2</v>
      </c>
      <c r="J826" t="s">
        <v>6</v>
      </c>
      <c r="L826" t="s">
        <v>282</v>
      </c>
      <c r="M826" t="s">
        <v>23</v>
      </c>
      <c r="N826">
        <v>1.9417136053382498E-2</v>
      </c>
      <c r="O826" t="s">
        <v>6</v>
      </c>
    </row>
    <row r="827" spans="2:15" x14ac:dyDescent="0.45">
      <c r="B827" t="s">
        <v>280</v>
      </c>
      <c r="C827" t="s">
        <v>24</v>
      </c>
      <c r="D827">
        <v>6.9146600018512819E-2</v>
      </c>
      <c r="E827" t="s">
        <v>6</v>
      </c>
      <c r="G827" t="s">
        <v>281</v>
      </c>
      <c r="H827" t="s">
        <v>24</v>
      </c>
      <c r="I827">
        <v>2.0472397176247541E-2</v>
      </c>
      <c r="J827" t="s">
        <v>6</v>
      </c>
      <c r="L827" t="s">
        <v>282</v>
      </c>
      <c r="M827" t="s">
        <v>24</v>
      </c>
      <c r="N827">
        <v>1.9489323148303483E-2</v>
      </c>
      <c r="O827" t="s">
        <v>6</v>
      </c>
    </row>
    <row r="828" spans="2:15" x14ac:dyDescent="0.45">
      <c r="B828" t="s">
        <v>280</v>
      </c>
      <c r="C828" t="s">
        <v>25</v>
      </c>
      <c r="D828">
        <v>3.1610762516232946E-2</v>
      </c>
      <c r="E828" t="s">
        <v>6</v>
      </c>
      <c r="G828" t="s">
        <v>281</v>
      </c>
      <c r="H828" t="s">
        <v>25</v>
      </c>
      <c r="I828">
        <v>2.0653582538985749E-2</v>
      </c>
      <c r="J828" t="s">
        <v>6</v>
      </c>
      <c r="L828" t="s">
        <v>282</v>
      </c>
      <c r="M828" t="s">
        <v>25</v>
      </c>
      <c r="N828">
        <v>1.9948851483632034E-2</v>
      </c>
      <c r="O828" t="s">
        <v>6</v>
      </c>
    </row>
    <row r="829" spans="2:15" x14ac:dyDescent="0.45">
      <c r="B829" t="s">
        <v>280</v>
      </c>
      <c r="C829" t="s">
        <v>26</v>
      </c>
      <c r="D829">
        <v>2.8082683686296585E-3</v>
      </c>
      <c r="E829" t="s">
        <v>6</v>
      </c>
      <c r="G829" t="s">
        <v>281</v>
      </c>
      <c r="H829" t="s">
        <v>26</v>
      </c>
      <c r="I829">
        <v>2.0792743086800368E-2</v>
      </c>
      <c r="J829" t="s">
        <v>6</v>
      </c>
      <c r="L829" t="s">
        <v>282</v>
      </c>
      <c r="M829" t="s">
        <v>26</v>
      </c>
      <c r="N829">
        <v>2.0662111329454523E-2</v>
      </c>
      <c r="O829" t="s">
        <v>6</v>
      </c>
    </row>
    <row r="830" spans="2:15" x14ac:dyDescent="0.45">
      <c r="B830" t="s">
        <v>280</v>
      </c>
      <c r="C830" t="s">
        <v>27</v>
      </c>
      <c r="D830">
        <v>4.9791367764041591E-6</v>
      </c>
      <c r="E830" t="s">
        <v>6</v>
      </c>
      <c r="G830" t="s">
        <v>281</v>
      </c>
      <c r="H830" t="s">
        <v>27</v>
      </c>
      <c r="I830">
        <v>3.1013812177625673E-2</v>
      </c>
      <c r="J830" t="s">
        <v>6</v>
      </c>
      <c r="L830" t="s">
        <v>282</v>
      </c>
      <c r="M830" t="s">
        <v>27</v>
      </c>
      <c r="N830">
        <v>3.1725080885164951E-2</v>
      </c>
      <c r="O830" t="s">
        <v>6</v>
      </c>
    </row>
    <row r="831" spans="2:15" x14ac:dyDescent="0.45">
      <c r="B831" t="s">
        <v>280</v>
      </c>
      <c r="C831" t="s">
        <v>28</v>
      </c>
      <c r="D831">
        <v>0</v>
      </c>
      <c r="E831" t="s">
        <v>6</v>
      </c>
      <c r="G831" t="s">
        <v>281</v>
      </c>
      <c r="H831" t="s">
        <v>28</v>
      </c>
      <c r="I831">
        <v>3.8879315122307252E-2</v>
      </c>
      <c r="J831" t="s">
        <v>6</v>
      </c>
      <c r="L831" t="s">
        <v>282</v>
      </c>
      <c r="M831" t="s">
        <v>28</v>
      </c>
      <c r="N831">
        <v>4.176639240944012E-2</v>
      </c>
      <c r="O831" t="s">
        <v>6</v>
      </c>
    </row>
    <row r="832" spans="2:15" x14ac:dyDescent="0.45">
      <c r="B832" t="s">
        <v>280</v>
      </c>
      <c r="C832" t="s">
        <v>29</v>
      </c>
      <c r="D832">
        <v>1.8877840237279976E-3</v>
      </c>
      <c r="E832" t="s">
        <v>6</v>
      </c>
      <c r="G832" t="s">
        <v>281</v>
      </c>
      <c r="H832" t="s">
        <v>29</v>
      </c>
      <c r="I832">
        <v>1.5636644912239851E-2</v>
      </c>
      <c r="J832" t="s">
        <v>6</v>
      </c>
      <c r="L832" t="s">
        <v>282</v>
      </c>
      <c r="M832" t="s">
        <v>29</v>
      </c>
      <c r="N832">
        <v>1.6502171492903433E-2</v>
      </c>
      <c r="O832" t="s">
        <v>6</v>
      </c>
    </row>
    <row r="833" spans="2:15" x14ac:dyDescent="0.45">
      <c r="B833" t="s">
        <v>280</v>
      </c>
      <c r="C833" t="s">
        <v>30</v>
      </c>
      <c r="D833">
        <v>1.9964931042848938E-2</v>
      </c>
      <c r="E833" t="s">
        <v>6</v>
      </c>
      <c r="G833" t="s">
        <v>281</v>
      </c>
      <c r="H833" t="s">
        <v>30</v>
      </c>
      <c r="I833">
        <v>1.5637336532037454E-2</v>
      </c>
      <c r="J833" t="s">
        <v>6</v>
      </c>
      <c r="L833" t="s">
        <v>282</v>
      </c>
      <c r="M833" t="s">
        <v>30</v>
      </c>
      <c r="N833">
        <v>1.6798357254434491E-2</v>
      </c>
      <c r="O833" t="s">
        <v>6</v>
      </c>
    </row>
    <row r="834" spans="2:15" x14ac:dyDescent="0.45">
      <c r="B834" t="s">
        <v>280</v>
      </c>
      <c r="C834" t="s">
        <v>31</v>
      </c>
      <c r="D834">
        <v>5.5884361110436834E-2</v>
      </c>
      <c r="E834" t="s">
        <v>6</v>
      </c>
      <c r="G834" t="s">
        <v>281</v>
      </c>
      <c r="H834" t="s">
        <v>31</v>
      </c>
      <c r="I834">
        <v>1.5507351560884319E-2</v>
      </c>
      <c r="J834" t="s">
        <v>6</v>
      </c>
      <c r="L834" t="s">
        <v>282</v>
      </c>
      <c r="M834" t="s">
        <v>31</v>
      </c>
      <c r="N834">
        <v>1.7003134190131681E-2</v>
      </c>
      <c r="O834" t="s">
        <v>6</v>
      </c>
    </row>
    <row r="835" spans="2:15" x14ac:dyDescent="0.45">
      <c r="B835" t="s">
        <v>280</v>
      </c>
      <c r="C835" t="s">
        <v>32</v>
      </c>
      <c r="D835">
        <v>8.2889053131865092E-2</v>
      </c>
      <c r="E835" t="s">
        <v>6</v>
      </c>
      <c r="G835" t="s">
        <v>281</v>
      </c>
      <c r="H835" t="s">
        <v>32</v>
      </c>
      <c r="I835">
        <v>1.5799022919617874E-2</v>
      </c>
      <c r="J835" t="s">
        <v>6</v>
      </c>
      <c r="L835" t="s">
        <v>282</v>
      </c>
      <c r="M835" t="s">
        <v>32</v>
      </c>
      <c r="N835">
        <v>1.7516722987040937E-2</v>
      </c>
      <c r="O835" t="s">
        <v>6</v>
      </c>
    </row>
    <row r="836" spans="2:15" x14ac:dyDescent="0.45">
      <c r="B836" t="s">
        <v>280</v>
      </c>
      <c r="C836" t="s">
        <v>33</v>
      </c>
      <c r="D836">
        <v>8.8439200416612504E-2</v>
      </c>
      <c r="E836" t="s">
        <v>6</v>
      </c>
      <c r="G836" t="s">
        <v>281</v>
      </c>
      <c r="H836" t="s">
        <v>33</v>
      </c>
      <c r="I836">
        <v>1.5861600961445527E-2</v>
      </c>
      <c r="J836" t="s">
        <v>6</v>
      </c>
      <c r="L836" t="s">
        <v>282</v>
      </c>
      <c r="M836" t="s">
        <v>33</v>
      </c>
      <c r="N836">
        <v>1.8013331830297845E-2</v>
      </c>
      <c r="O836" t="s">
        <v>6</v>
      </c>
    </row>
    <row r="837" spans="2:15" x14ac:dyDescent="0.45">
      <c r="B837" t="s">
        <v>280</v>
      </c>
      <c r="C837" t="s">
        <v>34</v>
      </c>
      <c r="D837">
        <v>7.2903095205141447E-2</v>
      </c>
      <c r="E837" t="s">
        <v>6</v>
      </c>
      <c r="G837" t="s">
        <v>281</v>
      </c>
      <c r="H837" t="s">
        <v>34</v>
      </c>
      <c r="I837">
        <v>1.5757165707713124E-2</v>
      </c>
      <c r="J837" t="s">
        <v>6</v>
      </c>
      <c r="L837" t="s">
        <v>282</v>
      </c>
      <c r="M837" t="s">
        <v>34</v>
      </c>
      <c r="N837">
        <v>1.827050974200907E-2</v>
      </c>
      <c r="O837" t="s">
        <v>6</v>
      </c>
    </row>
    <row r="838" spans="2:15" x14ac:dyDescent="0.45">
      <c r="B838" t="s">
        <v>280</v>
      </c>
      <c r="C838" t="s">
        <v>35</v>
      </c>
      <c r="D838">
        <v>3.9623931479327634E-2</v>
      </c>
      <c r="E838" t="s">
        <v>6</v>
      </c>
      <c r="G838" t="s">
        <v>281</v>
      </c>
      <c r="H838" t="s">
        <v>35</v>
      </c>
      <c r="I838">
        <v>1.5525487604155031E-2</v>
      </c>
      <c r="J838" t="s">
        <v>6</v>
      </c>
      <c r="L838" t="s">
        <v>282</v>
      </c>
      <c r="M838" t="s">
        <v>35</v>
      </c>
      <c r="N838">
        <v>1.7981766368705524E-2</v>
      </c>
      <c r="O838" t="s">
        <v>6</v>
      </c>
    </row>
    <row r="839" spans="2:15" x14ac:dyDescent="0.45">
      <c r="B839" t="s">
        <v>280</v>
      </c>
      <c r="C839" t="s">
        <v>36</v>
      </c>
      <c r="D839">
        <v>7.0783364548918934E-3</v>
      </c>
      <c r="E839" t="s">
        <v>6</v>
      </c>
      <c r="G839" t="s">
        <v>281</v>
      </c>
      <c r="H839" t="s">
        <v>36</v>
      </c>
      <c r="I839">
        <v>1.5000647047687114E-2</v>
      </c>
      <c r="J839" t="s">
        <v>6</v>
      </c>
      <c r="L839" t="s">
        <v>282</v>
      </c>
      <c r="M839" t="s">
        <v>36</v>
      </c>
      <c r="N839">
        <v>1.7522871942222944E-2</v>
      </c>
      <c r="O839" t="s">
        <v>6</v>
      </c>
    </row>
    <row r="840" spans="2:15" x14ac:dyDescent="0.45">
      <c r="B840" t="s">
        <v>280</v>
      </c>
      <c r="C840" t="s">
        <v>37</v>
      </c>
      <c r="D840">
        <v>1.4537850129615928E-4</v>
      </c>
      <c r="E840" t="s">
        <v>6</v>
      </c>
      <c r="G840" t="s">
        <v>281</v>
      </c>
      <c r="H840" t="s">
        <v>37</v>
      </c>
      <c r="I840">
        <v>2.2716420767600724E-2</v>
      </c>
      <c r="J840" t="s">
        <v>6</v>
      </c>
      <c r="L840" t="s">
        <v>282</v>
      </c>
      <c r="M840" t="s">
        <v>37</v>
      </c>
      <c r="N840">
        <v>2.588492821227335E-2</v>
      </c>
      <c r="O840" t="s">
        <v>6</v>
      </c>
    </row>
    <row r="841" spans="2:15" x14ac:dyDescent="0.45">
      <c r="B841" t="s">
        <v>280</v>
      </c>
      <c r="C841" t="s">
        <v>38</v>
      </c>
      <c r="D841">
        <v>0</v>
      </c>
      <c r="E841" t="s">
        <v>6</v>
      </c>
      <c r="G841" t="s">
        <v>281</v>
      </c>
      <c r="H841" t="s">
        <v>38</v>
      </c>
      <c r="I841">
        <v>5.2566639229716286E-2</v>
      </c>
      <c r="J841" t="s">
        <v>6</v>
      </c>
      <c r="L841" t="s">
        <v>282</v>
      </c>
      <c r="M841" t="s">
        <v>38</v>
      </c>
      <c r="N841">
        <v>5.2281281165198284E-2</v>
      </c>
      <c r="O841" t="s">
        <v>6</v>
      </c>
    </row>
    <row r="842" spans="2:15" x14ac:dyDescent="0.45">
      <c r="B842" t="s">
        <v>280</v>
      </c>
      <c r="C842" t="s">
        <v>39</v>
      </c>
      <c r="D842">
        <v>0</v>
      </c>
      <c r="E842" t="s">
        <v>6</v>
      </c>
      <c r="G842" t="s">
        <v>281</v>
      </c>
      <c r="H842" t="s">
        <v>39</v>
      </c>
      <c r="I842">
        <v>2.1752706292934101E-2</v>
      </c>
      <c r="J842" t="s">
        <v>6</v>
      </c>
      <c r="L842" t="s">
        <v>282</v>
      </c>
      <c r="M842" t="s">
        <v>39</v>
      </c>
      <c r="N842">
        <v>2.1160712873398168E-2</v>
      </c>
      <c r="O842" t="s">
        <v>6</v>
      </c>
    </row>
    <row r="843" spans="2:15" x14ac:dyDescent="0.45">
      <c r="B843" t="s">
        <v>280</v>
      </c>
      <c r="C843" t="s">
        <v>40</v>
      </c>
      <c r="D843">
        <v>3.3629348575694518E-3</v>
      </c>
      <c r="E843" t="s">
        <v>6</v>
      </c>
      <c r="G843" t="s">
        <v>281</v>
      </c>
      <c r="H843" t="s">
        <v>40</v>
      </c>
      <c r="I843">
        <v>2.2290584109816824E-2</v>
      </c>
      <c r="J843" t="s">
        <v>6</v>
      </c>
      <c r="L843" t="s">
        <v>282</v>
      </c>
      <c r="M843" t="s">
        <v>40</v>
      </c>
      <c r="N843">
        <v>2.1406310065947586E-2</v>
      </c>
      <c r="O843" t="s">
        <v>6</v>
      </c>
    </row>
    <row r="844" spans="2:15" x14ac:dyDescent="0.45">
      <c r="B844" t="s">
        <v>280</v>
      </c>
      <c r="C844" t="s">
        <v>41</v>
      </c>
      <c r="D844">
        <v>2.7996855350230228E-2</v>
      </c>
      <c r="E844" t="s">
        <v>6</v>
      </c>
      <c r="G844" t="s">
        <v>281</v>
      </c>
      <c r="H844" t="s">
        <v>41</v>
      </c>
      <c r="I844">
        <v>2.2668623549302616E-2</v>
      </c>
      <c r="J844" t="s">
        <v>6</v>
      </c>
      <c r="L844" t="s">
        <v>282</v>
      </c>
      <c r="M844" t="s">
        <v>41</v>
      </c>
      <c r="N844">
        <v>2.1627568457953255E-2</v>
      </c>
      <c r="O844" t="s">
        <v>6</v>
      </c>
    </row>
    <row r="845" spans="2:15" x14ac:dyDescent="0.45">
      <c r="B845" t="s">
        <v>280</v>
      </c>
      <c r="C845" t="s">
        <v>42</v>
      </c>
      <c r="D845">
        <v>5.2835680252125428E-2</v>
      </c>
      <c r="E845" t="s">
        <v>6</v>
      </c>
      <c r="G845" t="s">
        <v>281</v>
      </c>
      <c r="H845" t="s">
        <v>42</v>
      </c>
      <c r="I845">
        <v>2.2675606989569032E-2</v>
      </c>
      <c r="J845" t="s">
        <v>6</v>
      </c>
      <c r="L845" t="s">
        <v>282</v>
      </c>
      <c r="M845" t="s">
        <v>42</v>
      </c>
      <c r="N845">
        <v>2.1827717437404928E-2</v>
      </c>
      <c r="O845" t="s">
        <v>6</v>
      </c>
    </row>
    <row r="846" spans="2:15" x14ac:dyDescent="0.45">
      <c r="B846" t="s">
        <v>280</v>
      </c>
      <c r="C846" t="s">
        <v>43</v>
      </c>
      <c r="D846">
        <v>5.5077171498482201E-2</v>
      </c>
      <c r="E846" t="s">
        <v>6</v>
      </c>
      <c r="G846" t="s">
        <v>281</v>
      </c>
      <c r="H846" t="s">
        <v>43</v>
      </c>
      <c r="I846">
        <v>2.2439542475574704E-2</v>
      </c>
      <c r="J846" t="s">
        <v>6</v>
      </c>
      <c r="L846" t="s">
        <v>282</v>
      </c>
      <c r="M846" t="s">
        <v>43</v>
      </c>
      <c r="N846">
        <v>2.1729980354014897E-2</v>
      </c>
      <c r="O846" t="s">
        <v>6</v>
      </c>
    </row>
    <row r="847" spans="2:15" x14ac:dyDescent="0.45">
      <c r="B847" t="s">
        <v>280</v>
      </c>
      <c r="C847" t="s">
        <v>44</v>
      </c>
      <c r="D847">
        <v>3.5192089856508978E-2</v>
      </c>
      <c r="E847" t="s">
        <v>6</v>
      </c>
      <c r="G847" t="s">
        <v>281</v>
      </c>
      <c r="H847" t="s">
        <v>44</v>
      </c>
      <c r="I847">
        <v>2.2411328441632558E-2</v>
      </c>
      <c r="J847" t="s">
        <v>6</v>
      </c>
      <c r="L847" t="s">
        <v>282</v>
      </c>
      <c r="M847" t="s">
        <v>44</v>
      </c>
      <c r="N847">
        <v>2.1339934039238888E-2</v>
      </c>
      <c r="O847" t="s">
        <v>6</v>
      </c>
    </row>
    <row r="848" spans="2:15" x14ac:dyDescent="0.45">
      <c r="B848" t="s">
        <v>280</v>
      </c>
      <c r="C848" t="s">
        <v>45</v>
      </c>
      <c r="D848">
        <v>8.038845563714361E-3</v>
      </c>
      <c r="E848" t="s">
        <v>6</v>
      </c>
      <c r="G848" t="s">
        <v>281</v>
      </c>
      <c r="H848" t="s">
        <v>45</v>
      </c>
      <c r="I848">
        <v>2.2417391168234779E-2</v>
      </c>
      <c r="J848" t="s">
        <v>6</v>
      </c>
      <c r="L848" t="s">
        <v>282</v>
      </c>
      <c r="M848" t="s">
        <v>45</v>
      </c>
      <c r="N848">
        <v>2.0813973170825954E-2</v>
      </c>
      <c r="O848" t="s">
        <v>6</v>
      </c>
    </row>
    <row r="849" spans="2:15" x14ac:dyDescent="0.45">
      <c r="B849" t="s">
        <v>280</v>
      </c>
      <c r="C849" t="s">
        <v>46</v>
      </c>
      <c r="D849">
        <v>5.5156374627669589E-5</v>
      </c>
      <c r="E849" t="s">
        <v>6</v>
      </c>
      <c r="G849" t="s">
        <v>281</v>
      </c>
      <c r="H849" t="s">
        <v>46</v>
      </c>
      <c r="I849">
        <v>2.2035030987197023E-2</v>
      </c>
      <c r="J849" t="s">
        <v>6</v>
      </c>
      <c r="L849" t="s">
        <v>282</v>
      </c>
      <c r="M849" t="s">
        <v>46</v>
      </c>
      <c r="N849">
        <v>2.093592413406456E-2</v>
      </c>
      <c r="O849" t="s">
        <v>6</v>
      </c>
    </row>
    <row r="850" spans="2:15" x14ac:dyDescent="0.45">
      <c r="B850" t="s">
        <v>280</v>
      </c>
      <c r="C850" t="s">
        <v>47</v>
      </c>
      <c r="D850">
        <v>0</v>
      </c>
      <c r="E850" t="s">
        <v>6</v>
      </c>
      <c r="G850" t="s">
        <v>281</v>
      </c>
      <c r="H850" t="s">
        <v>47</v>
      </c>
      <c r="I850">
        <v>3.1975095411036866E-2</v>
      </c>
      <c r="J850" t="s">
        <v>6</v>
      </c>
      <c r="L850" t="s">
        <v>282</v>
      </c>
      <c r="M850" t="s">
        <v>47</v>
      </c>
      <c r="N850">
        <v>3.1960719096304789E-2</v>
      </c>
      <c r="O850" t="s">
        <v>6</v>
      </c>
    </row>
    <row r="851" spans="2:15" x14ac:dyDescent="0.45">
      <c r="L851" t="s">
        <v>283</v>
      </c>
      <c r="M851" t="s">
        <v>5</v>
      </c>
      <c r="N851">
        <v>6.1658501832878444E-2</v>
      </c>
      <c r="O851" t="s">
        <v>6</v>
      </c>
    </row>
    <row r="852" spans="2:15" x14ac:dyDescent="0.45">
      <c r="L852" t="s">
        <v>283</v>
      </c>
      <c r="M852" t="s">
        <v>9</v>
      </c>
      <c r="N852">
        <v>2.3847359366026562E-2</v>
      </c>
      <c r="O852" t="s">
        <v>6</v>
      </c>
    </row>
    <row r="853" spans="2:15" x14ac:dyDescent="0.45">
      <c r="L853" t="s">
        <v>283</v>
      </c>
      <c r="M853" t="s">
        <v>10</v>
      </c>
      <c r="N853">
        <v>2.3790429993976615E-2</v>
      </c>
      <c r="O853" t="s">
        <v>6</v>
      </c>
    </row>
    <row r="854" spans="2:15" x14ac:dyDescent="0.45">
      <c r="L854" t="s">
        <v>283</v>
      </c>
      <c r="M854" t="s">
        <v>11</v>
      </c>
      <c r="N854">
        <v>2.4338800771926149E-2</v>
      </c>
      <c r="O854" t="s">
        <v>6</v>
      </c>
    </row>
    <row r="855" spans="2:15" x14ac:dyDescent="0.45">
      <c r="L855" t="s">
        <v>283</v>
      </c>
      <c r="M855" t="s">
        <v>12</v>
      </c>
      <c r="N855">
        <v>2.5097730286600284E-2</v>
      </c>
      <c r="O855" t="s">
        <v>6</v>
      </c>
    </row>
    <row r="856" spans="2:15" x14ac:dyDescent="0.45">
      <c r="L856" t="s">
        <v>283</v>
      </c>
      <c r="M856" t="s">
        <v>13</v>
      </c>
      <c r="N856">
        <v>2.4817921113686359E-2</v>
      </c>
      <c r="O856" t="s">
        <v>6</v>
      </c>
    </row>
    <row r="857" spans="2:15" x14ac:dyDescent="0.45">
      <c r="L857" t="s">
        <v>283</v>
      </c>
      <c r="M857" t="s">
        <v>14</v>
      </c>
      <c r="N857">
        <v>2.4032902274011753E-2</v>
      </c>
      <c r="O857" t="s">
        <v>6</v>
      </c>
    </row>
    <row r="858" spans="2:15" x14ac:dyDescent="0.45">
      <c r="L858" t="s">
        <v>283</v>
      </c>
      <c r="M858" t="s">
        <v>15</v>
      </c>
      <c r="N858">
        <v>2.3782158410697685E-2</v>
      </c>
      <c r="O858" t="s">
        <v>6</v>
      </c>
    </row>
    <row r="859" spans="2:15" x14ac:dyDescent="0.45">
      <c r="L859" t="s">
        <v>283</v>
      </c>
      <c r="M859" t="s">
        <v>16</v>
      </c>
      <c r="N859">
        <v>2.4336235542514312E-2</v>
      </c>
      <c r="O859" t="s">
        <v>6</v>
      </c>
    </row>
    <row r="860" spans="2:15" x14ac:dyDescent="0.45">
      <c r="L860" t="s">
        <v>283</v>
      </c>
      <c r="M860" t="s">
        <v>17</v>
      </c>
      <c r="N860">
        <v>3.7914453221927984E-2</v>
      </c>
      <c r="O860" t="s">
        <v>6</v>
      </c>
    </row>
    <row r="861" spans="2:15" x14ac:dyDescent="0.45">
      <c r="L861" t="s">
        <v>283</v>
      </c>
      <c r="M861" t="s">
        <v>18</v>
      </c>
      <c r="N861">
        <v>5.0291206412392639E-2</v>
      </c>
      <c r="O861" t="s">
        <v>6</v>
      </c>
    </row>
    <row r="862" spans="2:15" x14ac:dyDescent="0.45">
      <c r="L862" t="s">
        <v>283</v>
      </c>
      <c r="M862" t="s">
        <v>19</v>
      </c>
      <c r="N862">
        <v>1.9610319529921691E-2</v>
      </c>
      <c r="O862" t="s">
        <v>6</v>
      </c>
    </row>
    <row r="863" spans="2:15" x14ac:dyDescent="0.45">
      <c r="L863" t="s">
        <v>283</v>
      </c>
      <c r="M863" t="s">
        <v>20</v>
      </c>
      <c r="N863">
        <v>1.9425909505453892E-2</v>
      </c>
      <c r="O863" t="s">
        <v>6</v>
      </c>
    </row>
    <row r="864" spans="2:15" x14ac:dyDescent="0.45">
      <c r="L864" t="s">
        <v>283</v>
      </c>
      <c r="M864" t="s">
        <v>21</v>
      </c>
      <c r="N864">
        <v>1.9352051575806987E-2</v>
      </c>
      <c r="O864" t="s">
        <v>6</v>
      </c>
    </row>
    <row r="865" spans="12:15" x14ac:dyDescent="0.45">
      <c r="L865" t="s">
        <v>283</v>
      </c>
      <c r="M865" t="s">
        <v>22</v>
      </c>
      <c r="N865">
        <v>1.9286583334354866E-2</v>
      </c>
      <c r="O865" t="s">
        <v>6</v>
      </c>
    </row>
    <row r="866" spans="12:15" x14ac:dyDescent="0.45">
      <c r="L866" t="s">
        <v>283</v>
      </c>
      <c r="M866" t="s">
        <v>23</v>
      </c>
      <c r="N866">
        <v>1.9359013308037534E-2</v>
      </c>
      <c r="O866" t="s">
        <v>6</v>
      </c>
    </row>
    <row r="867" spans="12:15" x14ac:dyDescent="0.45">
      <c r="L867" t="s">
        <v>283</v>
      </c>
      <c r="M867" t="s">
        <v>24</v>
      </c>
      <c r="N867">
        <v>1.9654746704211242E-2</v>
      </c>
      <c r="O867" t="s">
        <v>6</v>
      </c>
    </row>
    <row r="868" spans="12:15" x14ac:dyDescent="0.45">
      <c r="L868" t="s">
        <v>283</v>
      </c>
      <c r="M868" t="s">
        <v>25</v>
      </c>
      <c r="N868">
        <v>2.0394630142565859E-2</v>
      </c>
      <c r="O868" t="s">
        <v>6</v>
      </c>
    </row>
    <row r="869" spans="12:15" x14ac:dyDescent="0.45">
      <c r="L869" t="s">
        <v>283</v>
      </c>
      <c r="M869" t="s">
        <v>26</v>
      </c>
      <c r="N869">
        <v>2.0977394432259079E-2</v>
      </c>
      <c r="O869" t="s">
        <v>6</v>
      </c>
    </row>
    <row r="870" spans="12:15" x14ac:dyDescent="0.45">
      <c r="L870" t="s">
        <v>283</v>
      </c>
      <c r="M870" t="s">
        <v>27</v>
      </c>
      <c r="N870">
        <v>3.0844981572907933E-2</v>
      </c>
      <c r="O870" t="s">
        <v>6</v>
      </c>
    </row>
    <row r="871" spans="12:15" x14ac:dyDescent="0.45">
      <c r="L871" t="s">
        <v>283</v>
      </c>
      <c r="M871" t="s">
        <v>28</v>
      </c>
      <c r="N871">
        <v>4.208506853727894E-2</v>
      </c>
      <c r="O871" t="s">
        <v>6</v>
      </c>
    </row>
    <row r="872" spans="12:15" x14ac:dyDescent="0.45">
      <c r="L872" t="s">
        <v>283</v>
      </c>
      <c r="M872" t="s">
        <v>29</v>
      </c>
      <c r="N872">
        <v>1.6731164807587798E-2</v>
      </c>
      <c r="O872" t="s">
        <v>6</v>
      </c>
    </row>
    <row r="873" spans="12:15" x14ac:dyDescent="0.45">
      <c r="L873" t="s">
        <v>283</v>
      </c>
      <c r="M873" t="s">
        <v>30</v>
      </c>
      <c r="N873">
        <v>1.7024293262209233E-2</v>
      </c>
      <c r="O873" t="s">
        <v>6</v>
      </c>
    </row>
    <row r="874" spans="12:15" x14ac:dyDescent="0.45">
      <c r="L874" t="s">
        <v>283</v>
      </c>
      <c r="M874" t="s">
        <v>31</v>
      </c>
      <c r="N874">
        <v>1.6821037198356228E-2</v>
      </c>
      <c r="O874" t="s">
        <v>6</v>
      </c>
    </row>
    <row r="875" spans="12:15" x14ac:dyDescent="0.45">
      <c r="L875" t="s">
        <v>283</v>
      </c>
      <c r="M875" t="s">
        <v>32</v>
      </c>
      <c r="N875">
        <v>1.6988500903002714E-2</v>
      </c>
      <c r="O875" t="s">
        <v>6</v>
      </c>
    </row>
    <row r="876" spans="12:15" x14ac:dyDescent="0.45">
      <c r="L876" t="s">
        <v>283</v>
      </c>
      <c r="M876" t="s">
        <v>33</v>
      </c>
      <c r="N876">
        <v>1.7348611470220574E-2</v>
      </c>
      <c r="O876" t="s">
        <v>6</v>
      </c>
    </row>
    <row r="877" spans="12:15" x14ac:dyDescent="0.45">
      <c r="L877" t="s">
        <v>283</v>
      </c>
      <c r="M877" t="s">
        <v>34</v>
      </c>
      <c r="N877">
        <v>1.7371495202409014E-2</v>
      </c>
      <c r="O877" t="s">
        <v>6</v>
      </c>
    </row>
    <row r="878" spans="12:15" x14ac:dyDescent="0.45">
      <c r="L878" t="s">
        <v>283</v>
      </c>
      <c r="M878" t="s">
        <v>35</v>
      </c>
      <c r="N878">
        <v>1.7310622270814945E-2</v>
      </c>
      <c r="O878" t="s">
        <v>6</v>
      </c>
    </row>
    <row r="879" spans="12:15" x14ac:dyDescent="0.45">
      <c r="L879" t="s">
        <v>283</v>
      </c>
      <c r="M879" t="s">
        <v>36</v>
      </c>
      <c r="N879">
        <v>1.7133011002000775E-2</v>
      </c>
      <c r="O879" t="s">
        <v>6</v>
      </c>
    </row>
    <row r="880" spans="12:15" x14ac:dyDescent="0.45">
      <c r="L880" t="s">
        <v>283</v>
      </c>
      <c r="M880" t="s">
        <v>37</v>
      </c>
      <c r="N880">
        <v>2.5779530283968777E-2</v>
      </c>
      <c r="O880" t="s">
        <v>6</v>
      </c>
    </row>
    <row r="881" spans="12:15" x14ac:dyDescent="0.45">
      <c r="L881" t="s">
        <v>283</v>
      </c>
      <c r="M881" t="s">
        <v>38</v>
      </c>
      <c r="N881">
        <v>5.4300473295337923E-2</v>
      </c>
      <c r="O881" t="s">
        <v>6</v>
      </c>
    </row>
    <row r="882" spans="12:15" x14ac:dyDescent="0.45">
      <c r="L882" t="s">
        <v>283</v>
      </c>
      <c r="M882" t="s">
        <v>39</v>
      </c>
      <c r="N882">
        <v>2.1820935658110115E-2</v>
      </c>
      <c r="O882" t="s">
        <v>6</v>
      </c>
    </row>
    <row r="883" spans="12:15" x14ac:dyDescent="0.45">
      <c r="L883" t="s">
        <v>283</v>
      </c>
      <c r="M883" t="s">
        <v>40</v>
      </c>
      <c r="N883">
        <v>2.2072695709979474E-2</v>
      </c>
      <c r="O883" t="s">
        <v>6</v>
      </c>
    </row>
    <row r="884" spans="12:15" x14ac:dyDescent="0.45">
      <c r="L884" t="s">
        <v>283</v>
      </c>
      <c r="M884" t="s">
        <v>41</v>
      </c>
      <c r="N884">
        <v>2.2308043696219991E-2</v>
      </c>
      <c r="O884" t="s">
        <v>6</v>
      </c>
    </row>
    <row r="885" spans="12:15" x14ac:dyDescent="0.45">
      <c r="L885" t="s">
        <v>283</v>
      </c>
      <c r="M885" t="s">
        <v>42</v>
      </c>
      <c r="N885">
        <v>2.199152917431306E-2</v>
      </c>
      <c r="O885" t="s">
        <v>6</v>
      </c>
    </row>
    <row r="886" spans="12:15" x14ac:dyDescent="0.45">
      <c r="L886" t="s">
        <v>283</v>
      </c>
      <c r="M886" t="s">
        <v>43</v>
      </c>
      <c r="N886">
        <v>2.1866784171077239E-2</v>
      </c>
      <c r="O886" t="s">
        <v>6</v>
      </c>
    </row>
    <row r="887" spans="12:15" x14ac:dyDescent="0.45">
      <c r="L887" t="s">
        <v>283</v>
      </c>
      <c r="M887" t="s">
        <v>44</v>
      </c>
      <c r="N887">
        <v>2.1497285880967401E-2</v>
      </c>
      <c r="O887" t="s">
        <v>6</v>
      </c>
    </row>
    <row r="888" spans="12:15" x14ac:dyDescent="0.45">
      <c r="L888" t="s">
        <v>283</v>
      </c>
      <c r="M888" t="s">
        <v>45</v>
      </c>
      <c r="N888">
        <v>2.1386344773787133E-2</v>
      </c>
      <c r="O888" t="s">
        <v>6</v>
      </c>
    </row>
    <row r="889" spans="12:15" x14ac:dyDescent="0.45">
      <c r="L889" t="s">
        <v>283</v>
      </c>
      <c r="M889" t="s">
        <v>46</v>
      </c>
      <c r="N889">
        <v>2.2074093841915277E-2</v>
      </c>
      <c r="O889" t="s">
        <v>6</v>
      </c>
    </row>
    <row r="890" spans="12:15" x14ac:dyDescent="0.45">
      <c r="L890" t="s">
        <v>283</v>
      </c>
      <c r="M890" t="s">
        <v>47</v>
      </c>
      <c r="N890">
        <v>3.3275149528283587E-2</v>
      </c>
      <c r="O890" t="s">
        <v>6</v>
      </c>
    </row>
    <row r="891" spans="12:15" x14ac:dyDescent="0.45">
      <c r="L891" t="s">
        <v>284</v>
      </c>
      <c r="M891" t="s">
        <v>5</v>
      </c>
      <c r="N891">
        <v>6.0606911139385967E-2</v>
      </c>
      <c r="O891" t="s">
        <v>6</v>
      </c>
    </row>
    <row r="892" spans="12:15" x14ac:dyDescent="0.45">
      <c r="L892" t="s">
        <v>284</v>
      </c>
      <c r="M892" t="s">
        <v>9</v>
      </c>
      <c r="N892">
        <v>2.4385633539295005E-2</v>
      </c>
      <c r="O892" t="s">
        <v>6</v>
      </c>
    </row>
    <row r="893" spans="12:15" x14ac:dyDescent="0.45">
      <c r="L893" t="s">
        <v>284</v>
      </c>
      <c r="M893" t="s">
        <v>10</v>
      </c>
      <c r="N893">
        <v>2.4016407032840983E-2</v>
      </c>
      <c r="O893" t="s">
        <v>6</v>
      </c>
    </row>
    <row r="894" spans="12:15" x14ac:dyDescent="0.45">
      <c r="L894" t="s">
        <v>284</v>
      </c>
      <c r="M894" t="s">
        <v>11</v>
      </c>
      <c r="N894">
        <v>2.3829869702815042E-2</v>
      </c>
      <c r="O894" t="s">
        <v>6</v>
      </c>
    </row>
    <row r="895" spans="12:15" x14ac:dyDescent="0.45">
      <c r="L895" t="s">
        <v>284</v>
      </c>
      <c r="M895" t="s">
        <v>12</v>
      </c>
      <c r="N895">
        <v>2.384461002784774E-2</v>
      </c>
      <c r="O895" t="s">
        <v>6</v>
      </c>
    </row>
    <row r="896" spans="12:15" x14ac:dyDescent="0.45">
      <c r="L896" t="s">
        <v>284</v>
      </c>
      <c r="M896" t="s">
        <v>13</v>
      </c>
      <c r="N896">
        <v>2.4054465984005378E-2</v>
      </c>
      <c r="O896" t="s">
        <v>6</v>
      </c>
    </row>
    <row r="897" spans="12:15" x14ac:dyDescent="0.45">
      <c r="L897" t="s">
        <v>284</v>
      </c>
      <c r="M897" t="s">
        <v>14</v>
      </c>
      <c r="N897">
        <v>2.3871532753941327E-2</v>
      </c>
      <c r="O897" t="s">
        <v>6</v>
      </c>
    </row>
    <row r="898" spans="12:15" x14ac:dyDescent="0.45">
      <c r="L898" t="s">
        <v>284</v>
      </c>
      <c r="M898" t="s">
        <v>15</v>
      </c>
      <c r="N898">
        <v>2.3471157036494623E-2</v>
      </c>
      <c r="O898" t="s">
        <v>6</v>
      </c>
    </row>
    <row r="899" spans="12:15" x14ac:dyDescent="0.45">
      <c r="L899" t="s">
        <v>284</v>
      </c>
      <c r="M899" t="s">
        <v>16</v>
      </c>
      <c r="N899">
        <v>2.3449544726391568E-2</v>
      </c>
      <c r="O899" t="s">
        <v>6</v>
      </c>
    </row>
    <row r="900" spans="12:15" x14ac:dyDescent="0.45">
      <c r="L900" t="s">
        <v>284</v>
      </c>
      <c r="M900" t="s">
        <v>17</v>
      </c>
      <c r="N900">
        <v>3.5198469094570028E-2</v>
      </c>
      <c r="O900" t="s">
        <v>6</v>
      </c>
    </row>
    <row r="901" spans="12:15" x14ac:dyDescent="0.45">
      <c r="L901" t="s">
        <v>284</v>
      </c>
      <c r="M901" t="s">
        <v>18</v>
      </c>
      <c r="N901">
        <v>5.0743615006175295E-2</v>
      </c>
      <c r="O901" t="s">
        <v>6</v>
      </c>
    </row>
    <row r="902" spans="12:15" x14ac:dyDescent="0.45">
      <c r="L902" t="s">
        <v>284</v>
      </c>
      <c r="M902" t="s">
        <v>19</v>
      </c>
      <c r="N902">
        <v>1.9662101835787902E-2</v>
      </c>
      <c r="O902" t="s">
        <v>6</v>
      </c>
    </row>
    <row r="903" spans="12:15" x14ac:dyDescent="0.45">
      <c r="L903" t="s">
        <v>284</v>
      </c>
      <c r="M903" t="s">
        <v>20</v>
      </c>
      <c r="N903">
        <v>1.9228110843503766E-2</v>
      </c>
      <c r="O903" t="s">
        <v>6</v>
      </c>
    </row>
    <row r="904" spans="12:15" x14ac:dyDescent="0.45">
      <c r="L904" t="s">
        <v>284</v>
      </c>
      <c r="M904" t="s">
        <v>21</v>
      </c>
      <c r="N904">
        <v>1.8577690739843781E-2</v>
      </c>
      <c r="O904" t="s">
        <v>6</v>
      </c>
    </row>
    <row r="905" spans="12:15" x14ac:dyDescent="0.45">
      <c r="L905" t="s">
        <v>284</v>
      </c>
      <c r="M905" t="s">
        <v>22</v>
      </c>
      <c r="N905">
        <v>1.7954245979210314E-2</v>
      </c>
      <c r="O905" t="s">
        <v>6</v>
      </c>
    </row>
    <row r="906" spans="12:15" x14ac:dyDescent="0.45">
      <c r="L906" t="s">
        <v>284</v>
      </c>
      <c r="M906" t="s">
        <v>23</v>
      </c>
      <c r="N906">
        <v>1.7708472363818988E-2</v>
      </c>
      <c r="O906" t="s">
        <v>6</v>
      </c>
    </row>
    <row r="907" spans="12:15" x14ac:dyDescent="0.45">
      <c r="L907" t="s">
        <v>284</v>
      </c>
      <c r="M907" t="s">
        <v>24</v>
      </c>
      <c r="N907">
        <v>1.8012915585638715E-2</v>
      </c>
      <c r="O907" t="s">
        <v>6</v>
      </c>
    </row>
    <row r="908" spans="12:15" x14ac:dyDescent="0.45">
      <c r="L908" t="s">
        <v>284</v>
      </c>
      <c r="M908" t="s">
        <v>25</v>
      </c>
      <c r="N908">
        <v>1.8949541679682606E-2</v>
      </c>
      <c r="O908" t="s">
        <v>6</v>
      </c>
    </row>
    <row r="909" spans="12:15" x14ac:dyDescent="0.45">
      <c r="L909" t="s">
        <v>284</v>
      </c>
      <c r="M909" t="s">
        <v>26</v>
      </c>
      <c r="N909">
        <v>2.0029360795683543E-2</v>
      </c>
      <c r="O909" t="s">
        <v>6</v>
      </c>
    </row>
    <row r="910" spans="12:15" x14ac:dyDescent="0.45">
      <c r="L910" t="s">
        <v>284</v>
      </c>
      <c r="M910" t="s">
        <v>27</v>
      </c>
      <c r="N910">
        <v>3.0593806889604211E-2</v>
      </c>
      <c r="O910" t="s">
        <v>6</v>
      </c>
    </row>
    <row r="911" spans="12:15" x14ac:dyDescent="0.45">
      <c r="L911" t="s">
        <v>284</v>
      </c>
      <c r="M911" t="s">
        <v>28</v>
      </c>
      <c r="N911">
        <v>4.2020289861731557E-2</v>
      </c>
      <c r="O911" t="s">
        <v>6</v>
      </c>
    </row>
    <row r="912" spans="12:15" x14ac:dyDescent="0.45">
      <c r="L912" t="s">
        <v>284</v>
      </c>
      <c r="M912" t="s">
        <v>29</v>
      </c>
      <c r="N912">
        <v>1.6934269640144241E-2</v>
      </c>
      <c r="O912" t="s">
        <v>6</v>
      </c>
    </row>
    <row r="913" spans="12:15" x14ac:dyDescent="0.45">
      <c r="L913" t="s">
        <v>284</v>
      </c>
      <c r="M913" t="s">
        <v>30</v>
      </c>
      <c r="N913">
        <v>1.7650971628084936E-2</v>
      </c>
      <c r="O913" t="s">
        <v>6</v>
      </c>
    </row>
    <row r="914" spans="12:15" x14ac:dyDescent="0.45">
      <c r="L914" t="s">
        <v>284</v>
      </c>
      <c r="M914" t="s">
        <v>31</v>
      </c>
      <c r="N914">
        <v>1.7983520953102034E-2</v>
      </c>
      <c r="O914" t="s">
        <v>6</v>
      </c>
    </row>
    <row r="915" spans="12:15" x14ac:dyDescent="0.45">
      <c r="L915" t="s">
        <v>284</v>
      </c>
      <c r="M915" t="s">
        <v>32</v>
      </c>
      <c r="N915">
        <v>1.8321984943035139E-2</v>
      </c>
      <c r="O915" t="s">
        <v>6</v>
      </c>
    </row>
    <row r="916" spans="12:15" x14ac:dyDescent="0.45">
      <c r="L916" t="s">
        <v>284</v>
      </c>
      <c r="M916" t="s">
        <v>33</v>
      </c>
      <c r="N916">
        <v>1.8664509514456942E-2</v>
      </c>
      <c r="O916" t="s">
        <v>6</v>
      </c>
    </row>
    <row r="917" spans="12:15" x14ac:dyDescent="0.45">
      <c r="L917" t="s">
        <v>284</v>
      </c>
      <c r="M917" t="s">
        <v>34</v>
      </c>
      <c r="N917">
        <v>1.8592280279920326E-2</v>
      </c>
      <c r="O917" t="s">
        <v>6</v>
      </c>
    </row>
    <row r="918" spans="12:15" x14ac:dyDescent="0.45">
      <c r="L918" t="s">
        <v>284</v>
      </c>
      <c r="M918" t="s">
        <v>35</v>
      </c>
      <c r="N918">
        <v>1.8257758676299959E-2</v>
      </c>
      <c r="O918" t="s">
        <v>6</v>
      </c>
    </row>
    <row r="919" spans="12:15" x14ac:dyDescent="0.45">
      <c r="L919" t="s">
        <v>284</v>
      </c>
      <c r="M919" t="s">
        <v>36</v>
      </c>
      <c r="N919">
        <v>1.7920918495756898E-2</v>
      </c>
      <c r="O919" t="s">
        <v>6</v>
      </c>
    </row>
    <row r="920" spans="12:15" x14ac:dyDescent="0.45">
      <c r="L920" t="s">
        <v>284</v>
      </c>
      <c r="M920" t="s">
        <v>37</v>
      </c>
      <c r="N920">
        <v>2.6473876102625839E-2</v>
      </c>
      <c r="O920" t="s">
        <v>6</v>
      </c>
    </row>
    <row r="921" spans="12:15" x14ac:dyDescent="0.45">
      <c r="L921" t="s">
        <v>284</v>
      </c>
      <c r="M921" t="s">
        <v>38</v>
      </c>
      <c r="N921">
        <v>5.6254831374511587E-2</v>
      </c>
      <c r="O921" t="s">
        <v>6</v>
      </c>
    </row>
    <row r="922" spans="12:15" x14ac:dyDescent="0.45">
      <c r="L922" t="s">
        <v>284</v>
      </c>
      <c r="M922" t="s">
        <v>39</v>
      </c>
      <c r="N922">
        <v>2.2303498572584547E-2</v>
      </c>
      <c r="O922" t="s">
        <v>6</v>
      </c>
    </row>
    <row r="923" spans="12:15" x14ac:dyDescent="0.45">
      <c r="L923" t="s">
        <v>284</v>
      </c>
      <c r="M923" t="s">
        <v>40</v>
      </c>
      <c r="N923">
        <v>2.2087867882388142E-2</v>
      </c>
      <c r="O923" t="s">
        <v>6</v>
      </c>
    </row>
    <row r="924" spans="12:15" x14ac:dyDescent="0.45">
      <c r="L924" t="s">
        <v>284</v>
      </c>
      <c r="M924" t="s">
        <v>41</v>
      </c>
      <c r="N924">
        <v>2.2171940348727544E-2</v>
      </c>
      <c r="O924" t="s">
        <v>6</v>
      </c>
    </row>
    <row r="925" spans="12:15" x14ac:dyDescent="0.45">
      <c r="L925" t="s">
        <v>284</v>
      </c>
      <c r="M925" t="s">
        <v>42</v>
      </c>
      <c r="N925">
        <v>2.2395022693782057E-2</v>
      </c>
      <c r="O925" t="s">
        <v>6</v>
      </c>
    </row>
    <row r="926" spans="12:15" x14ac:dyDescent="0.45">
      <c r="L926" t="s">
        <v>284</v>
      </c>
      <c r="M926" t="s">
        <v>43</v>
      </c>
      <c r="N926">
        <v>2.2760979559936778E-2</v>
      </c>
      <c r="O926" t="s">
        <v>6</v>
      </c>
    </row>
    <row r="927" spans="12:15" x14ac:dyDescent="0.45">
      <c r="L927" t="s">
        <v>284</v>
      </c>
      <c r="M927" t="s">
        <v>44</v>
      </c>
      <c r="N927">
        <v>2.26862222513157E-2</v>
      </c>
      <c r="O927" t="s">
        <v>6</v>
      </c>
    </row>
    <row r="928" spans="12:15" x14ac:dyDescent="0.45">
      <c r="L928" t="s">
        <v>284</v>
      </c>
      <c r="M928" t="s">
        <v>45</v>
      </c>
      <c r="N928">
        <v>2.2372383794053024E-2</v>
      </c>
      <c r="O928" t="s">
        <v>6</v>
      </c>
    </row>
    <row r="929" spans="12:15" x14ac:dyDescent="0.45">
      <c r="L929" t="s">
        <v>284</v>
      </c>
      <c r="M929" t="s">
        <v>46</v>
      </c>
      <c r="N929">
        <v>2.2323451710163412E-2</v>
      </c>
      <c r="O929" t="s">
        <v>6</v>
      </c>
    </row>
    <row r="930" spans="12:15" x14ac:dyDescent="0.45">
      <c r="L930" t="s">
        <v>284</v>
      </c>
      <c r="M930" t="s">
        <v>47</v>
      </c>
      <c r="N930">
        <v>3.363495896084704E-2</v>
      </c>
      <c r="O930" t="s">
        <v>6</v>
      </c>
    </row>
    <row r="931" spans="12:15" x14ac:dyDescent="0.45">
      <c r="L931" t="s">
        <v>285</v>
      </c>
      <c r="M931" t="s">
        <v>5</v>
      </c>
      <c r="N931">
        <v>6.0404923616862914E-2</v>
      </c>
      <c r="O931" t="s">
        <v>6</v>
      </c>
    </row>
    <row r="932" spans="12:15" x14ac:dyDescent="0.45">
      <c r="L932" t="s">
        <v>285</v>
      </c>
      <c r="M932" t="s">
        <v>9</v>
      </c>
      <c r="N932">
        <v>2.4416741544542334E-2</v>
      </c>
      <c r="O932" t="s">
        <v>6</v>
      </c>
    </row>
    <row r="933" spans="12:15" x14ac:dyDescent="0.45">
      <c r="L933" t="s">
        <v>285</v>
      </c>
      <c r="M933" t="s">
        <v>10</v>
      </c>
      <c r="N933">
        <v>2.3327496339689509E-2</v>
      </c>
      <c r="O933" t="s">
        <v>6</v>
      </c>
    </row>
    <row r="934" spans="12:15" x14ac:dyDescent="0.45">
      <c r="L934" t="s">
        <v>285</v>
      </c>
      <c r="M934" t="s">
        <v>11</v>
      </c>
      <c r="N934">
        <v>2.2557873741036009E-2</v>
      </c>
      <c r="O934" t="s">
        <v>6</v>
      </c>
    </row>
    <row r="935" spans="12:15" x14ac:dyDescent="0.45">
      <c r="L935" t="s">
        <v>285</v>
      </c>
      <c r="M935" t="s">
        <v>12</v>
      </c>
      <c r="N935">
        <v>2.2654617998587548E-2</v>
      </c>
      <c r="O935" t="s">
        <v>6</v>
      </c>
    </row>
    <row r="936" spans="12:15" x14ac:dyDescent="0.45">
      <c r="L936" t="s">
        <v>285</v>
      </c>
      <c r="M936" t="s">
        <v>13</v>
      </c>
      <c r="N936">
        <v>2.3374280905680528E-2</v>
      </c>
      <c r="O936" t="s">
        <v>6</v>
      </c>
    </row>
    <row r="937" spans="12:15" x14ac:dyDescent="0.45">
      <c r="L937" t="s">
        <v>285</v>
      </c>
      <c r="M937" t="s">
        <v>14</v>
      </c>
      <c r="N937">
        <v>2.3325145768927438E-2</v>
      </c>
      <c r="O937" t="s">
        <v>6</v>
      </c>
    </row>
    <row r="938" spans="12:15" x14ac:dyDescent="0.45">
      <c r="L938" t="s">
        <v>285</v>
      </c>
      <c r="M938" t="s">
        <v>15</v>
      </c>
      <c r="N938">
        <v>2.3170162014035076E-2</v>
      </c>
      <c r="O938" t="s">
        <v>6</v>
      </c>
    </row>
    <row r="939" spans="12:15" x14ac:dyDescent="0.45">
      <c r="L939" t="s">
        <v>285</v>
      </c>
      <c r="M939" t="s">
        <v>16</v>
      </c>
      <c r="N939">
        <v>2.3123701330850475E-2</v>
      </c>
      <c r="O939" t="s">
        <v>6</v>
      </c>
    </row>
    <row r="940" spans="12:15" x14ac:dyDescent="0.45">
      <c r="L940" t="s">
        <v>285</v>
      </c>
      <c r="M940" t="s">
        <v>17</v>
      </c>
      <c r="N940">
        <v>3.476690261528026E-2</v>
      </c>
      <c r="O940" t="s">
        <v>6</v>
      </c>
    </row>
    <row r="941" spans="12:15" x14ac:dyDescent="0.45">
      <c r="L941" t="s">
        <v>285</v>
      </c>
      <c r="M941" t="s">
        <v>18</v>
      </c>
      <c r="N941">
        <v>4.9624478268193419E-2</v>
      </c>
      <c r="O941" t="s">
        <v>6</v>
      </c>
    </row>
    <row r="942" spans="12:15" x14ac:dyDescent="0.45">
      <c r="L942" t="s">
        <v>285</v>
      </c>
      <c r="M942" t="s">
        <v>19</v>
      </c>
      <c r="N942">
        <v>1.9722265079409874E-2</v>
      </c>
      <c r="O942" t="s">
        <v>6</v>
      </c>
    </row>
    <row r="943" spans="12:15" x14ac:dyDescent="0.45">
      <c r="L943" t="s">
        <v>285</v>
      </c>
      <c r="M943" t="s">
        <v>20</v>
      </c>
      <c r="N943">
        <v>1.9348534595007755E-2</v>
      </c>
      <c r="O943" t="s">
        <v>6</v>
      </c>
    </row>
    <row r="944" spans="12:15" x14ac:dyDescent="0.45">
      <c r="L944" t="s">
        <v>285</v>
      </c>
      <c r="M944" t="s">
        <v>21</v>
      </c>
      <c r="N944">
        <v>1.8600095317749029E-2</v>
      </c>
      <c r="O944" t="s">
        <v>6</v>
      </c>
    </row>
    <row r="945" spans="12:15" x14ac:dyDescent="0.45">
      <c r="L945" t="s">
        <v>285</v>
      </c>
      <c r="M945" t="s">
        <v>22</v>
      </c>
      <c r="N945">
        <v>1.7808059315299839E-2</v>
      </c>
      <c r="O945" t="s">
        <v>6</v>
      </c>
    </row>
    <row r="946" spans="12:15" x14ac:dyDescent="0.45">
      <c r="L946" t="s">
        <v>285</v>
      </c>
      <c r="M946" t="s">
        <v>23</v>
      </c>
      <c r="N946">
        <v>1.758927174091313E-2</v>
      </c>
      <c r="O946" t="s">
        <v>6</v>
      </c>
    </row>
    <row r="947" spans="12:15" x14ac:dyDescent="0.45">
      <c r="L947" t="s">
        <v>285</v>
      </c>
      <c r="M947" t="s">
        <v>24</v>
      </c>
      <c r="N947">
        <v>1.7763884137811731E-2</v>
      </c>
      <c r="O947" t="s">
        <v>6</v>
      </c>
    </row>
    <row r="948" spans="12:15" x14ac:dyDescent="0.45">
      <c r="L948" t="s">
        <v>285</v>
      </c>
      <c r="M948" t="s">
        <v>25</v>
      </c>
      <c r="N948">
        <v>1.8487186703249156E-2</v>
      </c>
      <c r="O948" t="s">
        <v>6</v>
      </c>
    </row>
    <row r="949" spans="12:15" x14ac:dyDescent="0.45">
      <c r="L949" t="s">
        <v>285</v>
      </c>
      <c r="M949" t="s">
        <v>26</v>
      </c>
      <c r="N949">
        <v>1.9630377528340629E-2</v>
      </c>
      <c r="O949" t="s">
        <v>6</v>
      </c>
    </row>
    <row r="950" spans="12:15" x14ac:dyDescent="0.45">
      <c r="L950" t="s">
        <v>285</v>
      </c>
      <c r="M950" t="s">
        <v>27</v>
      </c>
      <c r="N950">
        <v>2.9851256986015835E-2</v>
      </c>
      <c r="O950" t="s">
        <v>6</v>
      </c>
    </row>
    <row r="951" spans="12:15" x14ac:dyDescent="0.45">
      <c r="L951" t="s">
        <v>285</v>
      </c>
      <c r="M951" t="s">
        <v>28</v>
      </c>
      <c r="N951">
        <v>4.1065613077005153E-2</v>
      </c>
      <c r="O951" t="s">
        <v>6</v>
      </c>
    </row>
    <row r="952" spans="12:15" x14ac:dyDescent="0.45">
      <c r="L952" t="s">
        <v>285</v>
      </c>
      <c r="M952" t="s">
        <v>29</v>
      </c>
      <c r="N952">
        <v>1.6812533148110858E-2</v>
      </c>
      <c r="O952" t="s">
        <v>6</v>
      </c>
    </row>
    <row r="953" spans="12:15" x14ac:dyDescent="0.45">
      <c r="L953" t="s">
        <v>285</v>
      </c>
      <c r="M953" t="s">
        <v>30</v>
      </c>
      <c r="N953">
        <v>1.7340859217517442E-2</v>
      </c>
      <c r="O953" t="s">
        <v>6</v>
      </c>
    </row>
    <row r="954" spans="12:15" x14ac:dyDescent="0.45">
      <c r="L954" t="s">
        <v>285</v>
      </c>
      <c r="M954" t="s">
        <v>31</v>
      </c>
      <c r="N954">
        <v>1.7917111863421566E-2</v>
      </c>
      <c r="O954" t="s">
        <v>6</v>
      </c>
    </row>
    <row r="955" spans="12:15" x14ac:dyDescent="0.45">
      <c r="L955" t="s">
        <v>285</v>
      </c>
      <c r="M955" t="s">
        <v>32</v>
      </c>
      <c r="N955">
        <v>1.8361756652359319E-2</v>
      </c>
      <c r="O955" t="s">
        <v>6</v>
      </c>
    </row>
    <row r="956" spans="12:15" x14ac:dyDescent="0.45">
      <c r="L956" t="s">
        <v>285</v>
      </c>
      <c r="M956" t="s">
        <v>33</v>
      </c>
      <c r="N956">
        <v>1.8799289685715877E-2</v>
      </c>
      <c r="O956" t="s">
        <v>6</v>
      </c>
    </row>
    <row r="957" spans="12:15" x14ac:dyDescent="0.45">
      <c r="L957" t="s">
        <v>285</v>
      </c>
      <c r="M957" t="s">
        <v>34</v>
      </c>
      <c r="N957">
        <v>1.8469585690138953E-2</v>
      </c>
      <c r="O957" t="s">
        <v>6</v>
      </c>
    </row>
    <row r="958" spans="12:15" x14ac:dyDescent="0.45">
      <c r="L958" t="s">
        <v>285</v>
      </c>
      <c r="M958" t="s">
        <v>35</v>
      </c>
      <c r="N958">
        <v>1.7659328285927055E-2</v>
      </c>
      <c r="O958" t="s">
        <v>6</v>
      </c>
    </row>
    <row r="959" spans="12:15" x14ac:dyDescent="0.45">
      <c r="L959" t="s">
        <v>285</v>
      </c>
      <c r="M959" t="s">
        <v>36</v>
      </c>
      <c r="N959">
        <v>1.6950924504196271E-2</v>
      </c>
      <c r="O959" t="s">
        <v>6</v>
      </c>
    </row>
    <row r="960" spans="12:15" x14ac:dyDescent="0.45">
      <c r="L960" t="s">
        <v>285</v>
      </c>
      <c r="M960" t="s">
        <v>37</v>
      </c>
      <c r="N960">
        <v>2.4870961687476559E-2</v>
      </c>
      <c r="O960" t="s">
        <v>6</v>
      </c>
    </row>
    <row r="961" spans="12:15" x14ac:dyDescent="0.45">
      <c r="L961" t="s">
        <v>285</v>
      </c>
      <c r="M961" t="s">
        <v>38</v>
      </c>
      <c r="N961">
        <v>5.9166502186340161E-2</v>
      </c>
      <c r="O961" t="s">
        <v>6</v>
      </c>
    </row>
    <row r="962" spans="12:15" x14ac:dyDescent="0.45">
      <c r="L962" t="s">
        <v>285</v>
      </c>
      <c r="M962" t="s">
        <v>39</v>
      </c>
      <c r="N962">
        <v>2.3944496436296769E-2</v>
      </c>
      <c r="O962" t="s">
        <v>6</v>
      </c>
    </row>
    <row r="963" spans="12:15" x14ac:dyDescent="0.45">
      <c r="L963" t="s">
        <v>285</v>
      </c>
      <c r="M963" t="s">
        <v>40</v>
      </c>
      <c r="N963">
        <v>2.324507775612162E-2</v>
      </c>
      <c r="O963" t="s">
        <v>6</v>
      </c>
    </row>
    <row r="964" spans="12:15" x14ac:dyDescent="0.45">
      <c r="L964" t="s">
        <v>285</v>
      </c>
      <c r="M964" t="s">
        <v>41</v>
      </c>
      <c r="N964">
        <v>2.2959794315331065E-2</v>
      </c>
      <c r="O964" t="s">
        <v>6</v>
      </c>
    </row>
    <row r="965" spans="12:15" x14ac:dyDescent="0.45">
      <c r="L965" t="s">
        <v>285</v>
      </c>
      <c r="M965" t="s">
        <v>42</v>
      </c>
      <c r="N965">
        <v>2.2787903924170363E-2</v>
      </c>
      <c r="O965" t="s">
        <v>6</v>
      </c>
    </row>
    <row r="966" spans="12:15" x14ac:dyDescent="0.45">
      <c r="L966" t="s">
        <v>285</v>
      </c>
      <c r="M966" t="s">
        <v>43</v>
      </c>
      <c r="N966">
        <v>2.339251014948672E-2</v>
      </c>
      <c r="O966" t="s">
        <v>6</v>
      </c>
    </row>
    <row r="967" spans="12:15" x14ac:dyDescent="0.45">
      <c r="L967" t="s">
        <v>285</v>
      </c>
      <c r="M967" t="s">
        <v>44</v>
      </c>
      <c r="N967">
        <v>2.3679158231096752E-2</v>
      </c>
      <c r="O967" t="s">
        <v>6</v>
      </c>
    </row>
    <row r="968" spans="12:15" x14ac:dyDescent="0.45">
      <c r="L968" t="s">
        <v>285</v>
      </c>
      <c r="M968" t="s">
        <v>45</v>
      </c>
      <c r="N968">
        <v>2.3705604896033919E-2</v>
      </c>
      <c r="O968" t="s">
        <v>6</v>
      </c>
    </row>
    <row r="969" spans="12:15" x14ac:dyDescent="0.45">
      <c r="L969" t="s">
        <v>285</v>
      </c>
      <c r="M969" t="s">
        <v>46</v>
      </c>
      <c r="N969">
        <v>2.4048963277943855E-2</v>
      </c>
      <c r="O969" t="s">
        <v>6</v>
      </c>
    </row>
    <row r="970" spans="12:15" x14ac:dyDescent="0.45">
      <c r="L970" t="s">
        <v>285</v>
      </c>
      <c r="M970" t="s">
        <v>47</v>
      </c>
      <c r="N970">
        <v>3.5274769467826254E-2</v>
      </c>
      <c r="O970" t="s">
        <v>6</v>
      </c>
    </row>
    <row r="971" spans="12:15" x14ac:dyDescent="0.45">
      <c r="L971" t="s">
        <v>286</v>
      </c>
      <c r="M971" t="s">
        <v>5</v>
      </c>
      <c r="N971">
        <v>6.2255536137613858E-2</v>
      </c>
      <c r="O971" t="s">
        <v>6</v>
      </c>
    </row>
    <row r="972" spans="12:15" x14ac:dyDescent="0.45">
      <c r="L972" t="s">
        <v>286</v>
      </c>
      <c r="M972" t="s">
        <v>9</v>
      </c>
      <c r="N972">
        <v>2.4029365489489352E-2</v>
      </c>
      <c r="O972" t="s">
        <v>6</v>
      </c>
    </row>
    <row r="973" spans="12:15" x14ac:dyDescent="0.45">
      <c r="L973" t="s">
        <v>286</v>
      </c>
      <c r="M973" t="s">
        <v>10</v>
      </c>
      <c r="N973">
        <v>2.3731395787021155E-2</v>
      </c>
      <c r="O973" t="s">
        <v>6</v>
      </c>
    </row>
    <row r="974" spans="12:15" x14ac:dyDescent="0.45">
      <c r="L974" t="s">
        <v>286</v>
      </c>
      <c r="M974" t="s">
        <v>11</v>
      </c>
      <c r="N974">
        <v>2.3420991031972153E-2</v>
      </c>
      <c r="O974" t="s">
        <v>6</v>
      </c>
    </row>
    <row r="975" spans="12:15" x14ac:dyDescent="0.45">
      <c r="L975" t="s">
        <v>286</v>
      </c>
      <c r="M975" t="s">
        <v>12</v>
      </c>
      <c r="N975">
        <v>2.3604482602156217E-2</v>
      </c>
      <c r="O975" t="s">
        <v>6</v>
      </c>
    </row>
    <row r="976" spans="12:15" x14ac:dyDescent="0.45">
      <c r="L976" t="s">
        <v>286</v>
      </c>
      <c r="M976" t="s">
        <v>13</v>
      </c>
      <c r="N976">
        <v>2.3876609763534673E-2</v>
      </c>
      <c r="O976" t="s">
        <v>6</v>
      </c>
    </row>
    <row r="977" spans="12:15" x14ac:dyDescent="0.45">
      <c r="L977" t="s">
        <v>286</v>
      </c>
      <c r="M977" t="s">
        <v>14</v>
      </c>
      <c r="N977">
        <v>2.3286495989286757E-2</v>
      </c>
      <c r="O977" t="s">
        <v>6</v>
      </c>
    </row>
    <row r="978" spans="12:15" x14ac:dyDescent="0.45">
      <c r="L978" t="s">
        <v>286</v>
      </c>
      <c r="M978" t="s">
        <v>15</v>
      </c>
      <c r="N978">
        <v>2.2985135925849172E-2</v>
      </c>
      <c r="O978" t="s">
        <v>6</v>
      </c>
    </row>
    <row r="979" spans="12:15" x14ac:dyDescent="0.45">
      <c r="L979" t="s">
        <v>286</v>
      </c>
      <c r="M979" t="s">
        <v>16</v>
      </c>
      <c r="N979">
        <v>2.3506700868353853E-2</v>
      </c>
      <c r="O979" t="s">
        <v>6</v>
      </c>
    </row>
    <row r="980" spans="12:15" x14ac:dyDescent="0.45">
      <c r="L980" t="s">
        <v>286</v>
      </c>
      <c r="M980" t="s">
        <v>17</v>
      </c>
      <c r="N980">
        <v>3.6725818107116046E-2</v>
      </c>
      <c r="O980" t="s">
        <v>6</v>
      </c>
    </row>
    <row r="981" spans="12:15" x14ac:dyDescent="0.45">
      <c r="L981" t="s">
        <v>286</v>
      </c>
      <c r="M981" t="s">
        <v>18</v>
      </c>
      <c r="N981">
        <v>5.0256665498961864E-2</v>
      </c>
      <c r="O981" t="s">
        <v>6</v>
      </c>
    </row>
    <row r="982" spans="12:15" x14ac:dyDescent="0.45">
      <c r="L982" t="s">
        <v>286</v>
      </c>
      <c r="M982" t="s">
        <v>19</v>
      </c>
      <c r="N982">
        <v>2.0113103769632747E-2</v>
      </c>
      <c r="O982" t="s">
        <v>6</v>
      </c>
    </row>
    <row r="983" spans="12:15" x14ac:dyDescent="0.45">
      <c r="L983" t="s">
        <v>286</v>
      </c>
      <c r="M983" t="s">
        <v>20</v>
      </c>
      <c r="N983">
        <v>1.9911640315690454E-2</v>
      </c>
      <c r="O983" t="s">
        <v>6</v>
      </c>
    </row>
    <row r="984" spans="12:15" x14ac:dyDescent="0.45">
      <c r="L984" t="s">
        <v>286</v>
      </c>
      <c r="M984" t="s">
        <v>21</v>
      </c>
      <c r="N984">
        <v>1.9336918455152431E-2</v>
      </c>
      <c r="O984" t="s">
        <v>6</v>
      </c>
    </row>
    <row r="985" spans="12:15" x14ac:dyDescent="0.45">
      <c r="L985" t="s">
        <v>286</v>
      </c>
      <c r="M985" t="s">
        <v>22</v>
      </c>
      <c r="N985">
        <v>1.9007152000524042E-2</v>
      </c>
      <c r="O985" t="s">
        <v>6</v>
      </c>
    </row>
    <row r="986" spans="12:15" x14ac:dyDescent="0.45">
      <c r="L986" t="s">
        <v>286</v>
      </c>
      <c r="M986" t="s">
        <v>23</v>
      </c>
      <c r="N986">
        <v>1.9135665680430666E-2</v>
      </c>
      <c r="O986" t="s">
        <v>6</v>
      </c>
    </row>
    <row r="987" spans="12:15" x14ac:dyDescent="0.45">
      <c r="L987" t="s">
        <v>286</v>
      </c>
      <c r="M987" t="s">
        <v>24</v>
      </c>
      <c r="N987">
        <v>1.9206277342918732E-2</v>
      </c>
      <c r="O987" t="s">
        <v>6</v>
      </c>
    </row>
    <row r="988" spans="12:15" x14ac:dyDescent="0.45">
      <c r="L988" t="s">
        <v>286</v>
      </c>
      <c r="M988" t="s">
        <v>25</v>
      </c>
      <c r="N988">
        <v>1.9564621694966037E-2</v>
      </c>
      <c r="O988" t="s">
        <v>6</v>
      </c>
    </row>
    <row r="989" spans="12:15" x14ac:dyDescent="0.45">
      <c r="L989" t="s">
        <v>286</v>
      </c>
      <c r="M989" t="s">
        <v>26</v>
      </c>
      <c r="N989">
        <v>2.0517154699316038E-2</v>
      </c>
      <c r="O989" t="s">
        <v>6</v>
      </c>
    </row>
    <row r="990" spans="12:15" x14ac:dyDescent="0.45">
      <c r="L990" t="s">
        <v>286</v>
      </c>
      <c r="M990" t="s">
        <v>27</v>
      </c>
      <c r="N990">
        <v>3.0579915437629803E-2</v>
      </c>
      <c r="O990" t="s">
        <v>6</v>
      </c>
    </row>
    <row r="991" spans="12:15" x14ac:dyDescent="0.45">
      <c r="L991" t="s">
        <v>286</v>
      </c>
      <c r="M991" t="s">
        <v>28</v>
      </c>
      <c r="N991">
        <v>4.0737971520461408E-2</v>
      </c>
      <c r="O991" t="s">
        <v>6</v>
      </c>
    </row>
    <row r="992" spans="12:15" x14ac:dyDescent="0.45">
      <c r="L992" t="s">
        <v>286</v>
      </c>
      <c r="M992" t="s">
        <v>29</v>
      </c>
      <c r="N992">
        <v>1.6577725724116699E-2</v>
      </c>
      <c r="O992" t="s">
        <v>6</v>
      </c>
    </row>
    <row r="993" spans="12:15" x14ac:dyDescent="0.45">
      <c r="L993" t="s">
        <v>286</v>
      </c>
      <c r="M993" t="s">
        <v>30</v>
      </c>
      <c r="N993">
        <v>1.7229677766279757E-2</v>
      </c>
      <c r="O993" t="s">
        <v>6</v>
      </c>
    </row>
    <row r="994" spans="12:15" x14ac:dyDescent="0.45">
      <c r="L994" t="s">
        <v>286</v>
      </c>
      <c r="M994" t="s">
        <v>31</v>
      </c>
      <c r="N994">
        <v>1.773324839335472E-2</v>
      </c>
      <c r="O994" t="s">
        <v>6</v>
      </c>
    </row>
    <row r="995" spans="12:15" x14ac:dyDescent="0.45">
      <c r="L995" t="s">
        <v>286</v>
      </c>
      <c r="M995" t="s">
        <v>32</v>
      </c>
      <c r="N995">
        <v>1.7882325850051586E-2</v>
      </c>
      <c r="O995" t="s">
        <v>6</v>
      </c>
    </row>
    <row r="996" spans="12:15" x14ac:dyDescent="0.45">
      <c r="L996" t="s">
        <v>286</v>
      </c>
      <c r="M996" t="s">
        <v>33</v>
      </c>
      <c r="N996">
        <v>1.7997648974762245E-2</v>
      </c>
      <c r="O996" t="s">
        <v>6</v>
      </c>
    </row>
    <row r="997" spans="12:15" x14ac:dyDescent="0.45">
      <c r="L997" t="s">
        <v>286</v>
      </c>
      <c r="M997" t="s">
        <v>34</v>
      </c>
      <c r="N997">
        <v>1.736901516322847E-2</v>
      </c>
      <c r="O997" t="s">
        <v>6</v>
      </c>
    </row>
    <row r="998" spans="12:15" x14ac:dyDescent="0.45">
      <c r="L998" t="s">
        <v>286</v>
      </c>
      <c r="M998" t="s">
        <v>35</v>
      </c>
      <c r="N998">
        <v>1.6546089280408398E-2</v>
      </c>
      <c r="O998" t="s">
        <v>6</v>
      </c>
    </row>
    <row r="999" spans="12:15" x14ac:dyDescent="0.45">
      <c r="L999" t="s">
        <v>286</v>
      </c>
      <c r="M999" t="s">
        <v>36</v>
      </c>
      <c r="N999">
        <v>1.5913729552391339E-2</v>
      </c>
      <c r="O999" t="s">
        <v>6</v>
      </c>
    </row>
    <row r="1000" spans="12:15" x14ac:dyDescent="0.45">
      <c r="L1000" t="s">
        <v>286</v>
      </c>
      <c r="M1000" t="s">
        <v>37</v>
      </c>
      <c r="N1000">
        <v>2.3849358709204019E-2</v>
      </c>
      <c r="O1000" t="s">
        <v>6</v>
      </c>
    </row>
    <row r="1001" spans="12:15" x14ac:dyDescent="0.45">
      <c r="L1001" t="s">
        <v>286</v>
      </c>
      <c r="M1001" t="s">
        <v>38</v>
      </c>
      <c r="N1001">
        <v>5.8044331866430064E-2</v>
      </c>
      <c r="O1001" t="s">
        <v>6</v>
      </c>
    </row>
    <row r="1002" spans="12:15" x14ac:dyDescent="0.45">
      <c r="L1002" t="s">
        <v>286</v>
      </c>
      <c r="M1002" t="s">
        <v>39</v>
      </c>
      <c r="N1002">
        <v>2.2679289880879739E-2</v>
      </c>
      <c r="O1002" t="s">
        <v>6</v>
      </c>
    </row>
    <row r="1003" spans="12:15" x14ac:dyDescent="0.45">
      <c r="L1003" t="s">
        <v>286</v>
      </c>
      <c r="M1003" t="s">
        <v>40</v>
      </c>
      <c r="N1003">
        <v>2.2290051866571244E-2</v>
      </c>
      <c r="O1003" t="s">
        <v>6</v>
      </c>
    </row>
    <row r="1004" spans="12:15" x14ac:dyDescent="0.45">
      <c r="L1004" t="s">
        <v>286</v>
      </c>
      <c r="M1004" t="s">
        <v>41</v>
      </c>
      <c r="N1004">
        <v>2.2292210238047793E-2</v>
      </c>
      <c r="O1004" t="s">
        <v>6</v>
      </c>
    </row>
    <row r="1005" spans="12:15" x14ac:dyDescent="0.45">
      <c r="L1005" t="s">
        <v>286</v>
      </c>
      <c r="M1005" t="s">
        <v>42</v>
      </c>
      <c r="N1005">
        <v>2.2156916541325046E-2</v>
      </c>
      <c r="O1005" t="s">
        <v>6</v>
      </c>
    </row>
    <row r="1006" spans="12:15" x14ac:dyDescent="0.45">
      <c r="L1006" t="s">
        <v>286</v>
      </c>
      <c r="M1006" t="s">
        <v>43</v>
      </c>
      <c r="N1006">
        <v>2.2791199019020946E-2</v>
      </c>
      <c r="O1006" t="s">
        <v>6</v>
      </c>
    </row>
    <row r="1007" spans="12:15" x14ac:dyDescent="0.45">
      <c r="L1007" t="s">
        <v>286</v>
      </c>
      <c r="M1007" t="s">
        <v>44</v>
      </c>
      <c r="N1007">
        <v>2.274168527275712E-2</v>
      </c>
      <c r="O1007" t="s">
        <v>6</v>
      </c>
    </row>
    <row r="1008" spans="12:15" x14ac:dyDescent="0.45">
      <c r="L1008" t="s">
        <v>286</v>
      </c>
      <c r="M1008" t="s">
        <v>45</v>
      </c>
      <c r="N1008">
        <v>2.252698320507053E-2</v>
      </c>
      <c r="O1008" t="s">
        <v>6</v>
      </c>
    </row>
    <row r="1009" spans="12:15" x14ac:dyDescent="0.45">
      <c r="L1009" t="s">
        <v>286</v>
      </c>
      <c r="M1009" t="s">
        <v>46</v>
      </c>
      <c r="N1009">
        <v>2.3048761845346172E-2</v>
      </c>
      <c r="O1009" t="s">
        <v>6</v>
      </c>
    </row>
    <row r="1010" spans="12:15" x14ac:dyDescent="0.45">
      <c r="L1010" t="s">
        <v>286</v>
      </c>
      <c r="M1010" t="s">
        <v>47</v>
      </c>
      <c r="N1010">
        <v>3.4540132732673701E-2</v>
      </c>
      <c r="O1010" t="s">
        <v>6</v>
      </c>
    </row>
    <row r="1011" spans="12:15" x14ac:dyDescent="0.45">
      <c r="L1011" t="s">
        <v>287</v>
      </c>
      <c r="M1011" t="s">
        <v>5</v>
      </c>
      <c r="N1011">
        <v>6.0731721078857541E-2</v>
      </c>
      <c r="O1011" t="s">
        <v>6</v>
      </c>
    </row>
    <row r="1012" spans="12:15" x14ac:dyDescent="0.45">
      <c r="L1012" t="s">
        <v>287</v>
      </c>
      <c r="M1012" t="s">
        <v>9</v>
      </c>
      <c r="N1012">
        <v>2.4396385039107411E-2</v>
      </c>
      <c r="O1012" t="s">
        <v>6</v>
      </c>
    </row>
    <row r="1013" spans="12:15" x14ac:dyDescent="0.45">
      <c r="L1013" t="s">
        <v>287</v>
      </c>
      <c r="M1013" t="s">
        <v>10</v>
      </c>
      <c r="N1013">
        <v>2.4056505187341926E-2</v>
      </c>
      <c r="O1013" t="s">
        <v>6</v>
      </c>
    </row>
    <row r="1014" spans="12:15" x14ac:dyDescent="0.45">
      <c r="L1014" t="s">
        <v>287</v>
      </c>
      <c r="M1014" t="s">
        <v>11</v>
      </c>
      <c r="N1014">
        <v>2.3938476817718123E-2</v>
      </c>
      <c r="O1014" t="s">
        <v>6</v>
      </c>
    </row>
    <row r="1015" spans="12:15" x14ac:dyDescent="0.45">
      <c r="L1015" t="s">
        <v>287</v>
      </c>
      <c r="M1015" t="s">
        <v>12</v>
      </c>
      <c r="N1015">
        <v>2.380308238672527E-2</v>
      </c>
      <c r="O1015" t="s">
        <v>6</v>
      </c>
    </row>
    <row r="1016" spans="12:15" x14ac:dyDescent="0.45">
      <c r="L1016" t="s">
        <v>287</v>
      </c>
      <c r="M1016" t="s">
        <v>13</v>
      </c>
      <c r="N1016">
        <v>2.3597136299395905E-2</v>
      </c>
      <c r="O1016" t="s">
        <v>6</v>
      </c>
    </row>
    <row r="1017" spans="12:15" x14ac:dyDescent="0.45">
      <c r="L1017" t="s">
        <v>287</v>
      </c>
      <c r="M1017" t="s">
        <v>14</v>
      </c>
      <c r="N1017">
        <v>2.3565439466085046E-2</v>
      </c>
      <c r="O1017" t="s">
        <v>6</v>
      </c>
    </row>
    <row r="1018" spans="12:15" x14ac:dyDescent="0.45">
      <c r="L1018" t="s">
        <v>287</v>
      </c>
      <c r="M1018" t="s">
        <v>15</v>
      </c>
      <c r="N1018">
        <v>2.4340526364534015E-2</v>
      </c>
      <c r="O1018" t="s">
        <v>6</v>
      </c>
    </row>
    <row r="1019" spans="12:15" x14ac:dyDescent="0.45">
      <c r="L1019" t="s">
        <v>287</v>
      </c>
      <c r="M1019" t="s">
        <v>16</v>
      </c>
      <c r="N1019">
        <v>2.5132067672781547E-2</v>
      </c>
      <c r="O1019" t="s">
        <v>6</v>
      </c>
    </row>
    <row r="1020" spans="12:15" x14ac:dyDescent="0.45">
      <c r="L1020" t="s">
        <v>287</v>
      </c>
      <c r="M1020" t="s">
        <v>17</v>
      </c>
      <c r="N1020">
        <v>3.7594522255162223E-2</v>
      </c>
      <c r="O1020" t="s">
        <v>6</v>
      </c>
    </row>
    <row r="1021" spans="12:15" x14ac:dyDescent="0.45">
      <c r="L1021" t="s">
        <v>287</v>
      </c>
      <c r="M1021" t="s">
        <v>18</v>
      </c>
      <c r="N1021">
        <v>5.4450110000429638E-2</v>
      </c>
      <c r="O1021" t="s">
        <v>6</v>
      </c>
    </row>
    <row r="1022" spans="12:15" x14ac:dyDescent="0.45">
      <c r="L1022" t="s">
        <v>287</v>
      </c>
      <c r="M1022" t="s">
        <v>19</v>
      </c>
      <c r="N1022">
        <v>2.2257493087126164E-2</v>
      </c>
      <c r="O1022" t="s">
        <v>6</v>
      </c>
    </row>
    <row r="1023" spans="12:15" x14ac:dyDescent="0.45">
      <c r="L1023" t="s">
        <v>287</v>
      </c>
      <c r="M1023" t="s">
        <v>20</v>
      </c>
      <c r="N1023">
        <v>2.2674981564470131E-2</v>
      </c>
      <c r="O1023" t="s">
        <v>6</v>
      </c>
    </row>
    <row r="1024" spans="12:15" x14ac:dyDescent="0.45">
      <c r="L1024" t="s">
        <v>287</v>
      </c>
      <c r="M1024" t="s">
        <v>21</v>
      </c>
      <c r="N1024">
        <v>2.1980563164833565E-2</v>
      </c>
      <c r="O1024" t="s">
        <v>6</v>
      </c>
    </row>
    <row r="1025" spans="12:15" x14ac:dyDescent="0.45">
      <c r="L1025" t="s">
        <v>287</v>
      </c>
      <c r="M1025" t="s">
        <v>22</v>
      </c>
      <c r="N1025">
        <v>2.1414052843922751E-2</v>
      </c>
      <c r="O1025" t="s">
        <v>6</v>
      </c>
    </row>
    <row r="1026" spans="12:15" x14ac:dyDescent="0.45">
      <c r="L1026" t="s">
        <v>287</v>
      </c>
      <c r="M1026" t="s">
        <v>23</v>
      </c>
      <c r="N1026">
        <v>2.1633287459368482E-2</v>
      </c>
      <c r="O1026" t="s">
        <v>6</v>
      </c>
    </row>
    <row r="1027" spans="12:15" x14ac:dyDescent="0.45">
      <c r="L1027" t="s">
        <v>287</v>
      </c>
      <c r="M1027" t="s">
        <v>24</v>
      </c>
      <c r="N1027">
        <v>2.214362796577235E-2</v>
      </c>
      <c r="O1027" t="s">
        <v>6</v>
      </c>
    </row>
    <row r="1028" spans="12:15" x14ac:dyDescent="0.45">
      <c r="L1028" t="s">
        <v>287</v>
      </c>
      <c r="M1028" t="s">
        <v>25</v>
      </c>
      <c r="N1028">
        <v>2.2578432423883712E-2</v>
      </c>
      <c r="O1028" t="s">
        <v>6</v>
      </c>
    </row>
    <row r="1029" spans="12:15" x14ac:dyDescent="0.45">
      <c r="L1029" t="s">
        <v>287</v>
      </c>
      <c r="M1029" t="s">
        <v>26</v>
      </c>
      <c r="N1029">
        <v>2.2656655528166723E-2</v>
      </c>
      <c r="O1029" t="s">
        <v>6</v>
      </c>
    </row>
    <row r="1030" spans="12:15" x14ac:dyDescent="0.45">
      <c r="L1030" t="s">
        <v>287</v>
      </c>
      <c r="M1030" t="s">
        <v>27</v>
      </c>
      <c r="N1030">
        <v>3.3221691610143989E-2</v>
      </c>
      <c r="O1030" t="s">
        <v>6</v>
      </c>
    </row>
    <row r="1031" spans="12:15" x14ac:dyDescent="0.45">
      <c r="L1031" t="s">
        <v>287</v>
      </c>
      <c r="M1031" t="s">
        <v>28</v>
      </c>
      <c r="N1031">
        <v>3.7573502000527857E-2</v>
      </c>
      <c r="O1031" t="s">
        <v>6</v>
      </c>
    </row>
    <row r="1032" spans="12:15" x14ac:dyDescent="0.45">
      <c r="L1032" t="s">
        <v>287</v>
      </c>
      <c r="M1032" t="s">
        <v>29</v>
      </c>
      <c r="N1032">
        <v>1.4515712333784602E-2</v>
      </c>
      <c r="O1032" t="s">
        <v>6</v>
      </c>
    </row>
    <row r="1033" spans="12:15" x14ac:dyDescent="0.45">
      <c r="L1033" t="s">
        <v>287</v>
      </c>
      <c r="M1033" t="s">
        <v>30</v>
      </c>
      <c r="N1033">
        <v>1.409524269615561E-2</v>
      </c>
      <c r="O1033" t="s">
        <v>6</v>
      </c>
    </row>
    <row r="1034" spans="12:15" x14ac:dyDescent="0.45">
      <c r="L1034" t="s">
        <v>287</v>
      </c>
      <c r="M1034" t="s">
        <v>31</v>
      </c>
      <c r="N1034">
        <v>1.3053088264890085E-2</v>
      </c>
      <c r="O1034" t="s">
        <v>6</v>
      </c>
    </row>
    <row r="1035" spans="12:15" x14ac:dyDescent="0.45">
      <c r="L1035" t="s">
        <v>287</v>
      </c>
      <c r="M1035" t="s">
        <v>32</v>
      </c>
      <c r="N1035">
        <v>1.2055051525629971E-2</v>
      </c>
      <c r="O1035" t="s">
        <v>6</v>
      </c>
    </row>
    <row r="1036" spans="12:15" x14ac:dyDescent="0.45">
      <c r="L1036" t="s">
        <v>287</v>
      </c>
      <c r="M1036" t="s">
        <v>33</v>
      </c>
      <c r="N1036">
        <v>1.2185648119815361E-2</v>
      </c>
      <c r="O1036" t="s">
        <v>6</v>
      </c>
    </row>
    <row r="1037" spans="12:15" x14ac:dyDescent="0.45">
      <c r="L1037" t="s">
        <v>287</v>
      </c>
      <c r="M1037" t="s">
        <v>34</v>
      </c>
      <c r="N1037">
        <v>1.2578061845294914E-2</v>
      </c>
      <c r="O1037" t="s">
        <v>6</v>
      </c>
    </row>
    <row r="1038" spans="12:15" x14ac:dyDescent="0.45">
      <c r="L1038" t="s">
        <v>287</v>
      </c>
      <c r="M1038" t="s">
        <v>35</v>
      </c>
      <c r="N1038">
        <v>1.2857302012364789E-2</v>
      </c>
      <c r="O1038" t="s">
        <v>6</v>
      </c>
    </row>
    <row r="1039" spans="12:15" x14ac:dyDescent="0.45">
      <c r="L1039" t="s">
        <v>287</v>
      </c>
      <c r="M1039" t="s">
        <v>36</v>
      </c>
      <c r="N1039">
        <v>1.3275162974676558E-2</v>
      </c>
      <c r="O1039" t="s">
        <v>6</v>
      </c>
    </row>
    <row r="1040" spans="12:15" x14ac:dyDescent="0.45">
      <c r="L1040" t="s">
        <v>287</v>
      </c>
      <c r="M1040" t="s">
        <v>37</v>
      </c>
      <c r="N1040">
        <v>2.116646326211458E-2</v>
      </c>
      <c r="O1040" t="s">
        <v>6</v>
      </c>
    </row>
    <row r="1041" spans="12:15" x14ac:dyDescent="0.45">
      <c r="L1041" t="s">
        <v>287</v>
      </c>
      <c r="M1041" t="s">
        <v>38</v>
      </c>
      <c r="N1041">
        <v>5.9058023144431662E-2</v>
      </c>
      <c r="O1041" t="s">
        <v>6</v>
      </c>
    </row>
    <row r="1042" spans="12:15" x14ac:dyDescent="0.45">
      <c r="L1042" t="s">
        <v>287</v>
      </c>
      <c r="M1042" t="s">
        <v>39</v>
      </c>
      <c r="N1042">
        <v>2.3170186555843224E-2</v>
      </c>
      <c r="O1042" t="s">
        <v>6</v>
      </c>
    </row>
    <row r="1043" spans="12:15" x14ac:dyDescent="0.45">
      <c r="L1043" t="s">
        <v>287</v>
      </c>
      <c r="M1043" t="s">
        <v>40</v>
      </c>
      <c r="N1043">
        <v>2.3459867328373084E-2</v>
      </c>
      <c r="O1043" t="s">
        <v>6</v>
      </c>
    </row>
    <row r="1044" spans="12:15" x14ac:dyDescent="0.45">
      <c r="L1044" t="s">
        <v>287</v>
      </c>
      <c r="M1044" t="s">
        <v>41</v>
      </c>
      <c r="N1044">
        <v>2.3303305954447687E-2</v>
      </c>
      <c r="O1044" t="s">
        <v>6</v>
      </c>
    </row>
    <row r="1045" spans="12:15" x14ac:dyDescent="0.45">
      <c r="L1045" t="s">
        <v>287</v>
      </c>
      <c r="M1045" t="s">
        <v>42</v>
      </c>
      <c r="N1045">
        <v>2.2906529139060067E-2</v>
      </c>
      <c r="O1045" t="s">
        <v>6</v>
      </c>
    </row>
    <row r="1046" spans="12:15" x14ac:dyDescent="0.45">
      <c r="L1046" t="s">
        <v>287</v>
      </c>
      <c r="M1046" t="s">
        <v>43</v>
      </c>
      <c r="N1046">
        <v>2.3191629491824756E-2</v>
      </c>
      <c r="O1046" t="s">
        <v>6</v>
      </c>
    </row>
    <row r="1047" spans="12:15" x14ac:dyDescent="0.45">
      <c r="L1047" t="s">
        <v>287</v>
      </c>
      <c r="M1047" t="s">
        <v>44</v>
      </c>
      <c r="N1047">
        <v>2.3549900873593408E-2</v>
      </c>
      <c r="O1047" t="s">
        <v>6</v>
      </c>
    </row>
    <row r="1048" spans="12:15" x14ac:dyDescent="0.45">
      <c r="L1048" t="s">
        <v>287</v>
      </c>
      <c r="M1048" t="s">
        <v>45</v>
      </c>
      <c r="N1048">
        <v>2.3540786231677931E-2</v>
      </c>
      <c r="O1048" t="s">
        <v>6</v>
      </c>
    </row>
    <row r="1049" spans="12:15" x14ac:dyDescent="0.45">
      <c r="L1049" t="s">
        <v>287</v>
      </c>
      <c r="M1049" t="s">
        <v>46</v>
      </c>
      <c r="N1049">
        <v>2.3447424017203112E-2</v>
      </c>
      <c r="O1049" t="s">
        <v>6</v>
      </c>
    </row>
    <row r="1050" spans="12:15" x14ac:dyDescent="0.45">
      <c r="L1050" t="s">
        <v>287</v>
      </c>
      <c r="M1050" t="s">
        <v>47</v>
      </c>
      <c r="N1050">
        <v>3.4850354012463947E-2</v>
      </c>
      <c r="O1050" t="s">
        <v>6</v>
      </c>
    </row>
    <row r="1051" spans="12:15" x14ac:dyDescent="0.45">
      <c r="L1051" t="s">
        <v>288</v>
      </c>
      <c r="M1051" t="s">
        <v>5</v>
      </c>
      <c r="N1051">
        <v>6.413812990706641E-2</v>
      </c>
      <c r="O1051" t="s">
        <v>6</v>
      </c>
    </row>
    <row r="1052" spans="12:15" x14ac:dyDescent="0.45">
      <c r="L1052" t="s">
        <v>288</v>
      </c>
      <c r="M1052" t="s">
        <v>9</v>
      </c>
      <c r="N1052">
        <v>2.5402543227419541E-2</v>
      </c>
      <c r="O1052" t="s">
        <v>6</v>
      </c>
    </row>
    <row r="1053" spans="12:15" x14ac:dyDescent="0.45">
      <c r="L1053" t="s">
        <v>288</v>
      </c>
      <c r="M1053" t="s">
        <v>10</v>
      </c>
      <c r="N1053">
        <v>2.5044669795204533E-2</v>
      </c>
      <c r="O1053" t="s">
        <v>6</v>
      </c>
    </row>
    <row r="1054" spans="12:15" x14ac:dyDescent="0.45">
      <c r="L1054" t="s">
        <v>288</v>
      </c>
      <c r="M1054" t="s">
        <v>11</v>
      </c>
      <c r="N1054">
        <v>2.5215162298572111E-2</v>
      </c>
      <c r="O1054" t="s">
        <v>6</v>
      </c>
    </row>
    <row r="1055" spans="12:15" x14ac:dyDescent="0.45">
      <c r="L1055" t="s">
        <v>288</v>
      </c>
      <c r="M1055" t="s">
        <v>12</v>
      </c>
      <c r="N1055">
        <v>2.5401998807200406E-2</v>
      </c>
      <c r="O1055" t="s">
        <v>6</v>
      </c>
    </row>
    <row r="1056" spans="12:15" x14ac:dyDescent="0.45">
      <c r="L1056" t="s">
        <v>288</v>
      </c>
      <c r="M1056" t="s">
        <v>13</v>
      </c>
      <c r="N1056">
        <v>2.4976023803731914E-2</v>
      </c>
      <c r="O1056" t="s">
        <v>6</v>
      </c>
    </row>
    <row r="1057" spans="12:15" x14ac:dyDescent="0.45">
      <c r="L1057" t="s">
        <v>288</v>
      </c>
      <c r="M1057" t="s">
        <v>14</v>
      </c>
      <c r="N1057">
        <v>2.491493797578552E-2</v>
      </c>
      <c r="O1057" t="s">
        <v>6</v>
      </c>
    </row>
    <row r="1058" spans="12:15" x14ac:dyDescent="0.45">
      <c r="L1058" t="s">
        <v>288</v>
      </c>
      <c r="M1058" t="s">
        <v>15</v>
      </c>
      <c r="N1058">
        <v>2.5729489803460633E-2</v>
      </c>
      <c r="O1058" t="s">
        <v>6</v>
      </c>
    </row>
    <row r="1059" spans="12:15" x14ac:dyDescent="0.45">
      <c r="L1059" t="s">
        <v>288</v>
      </c>
      <c r="M1059" t="s">
        <v>16</v>
      </c>
      <c r="N1059">
        <v>2.6492654668187305E-2</v>
      </c>
      <c r="O1059" t="s">
        <v>6</v>
      </c>
    </row>
    <row r="1060" spans="12:15" x14ac:dyDescent="0.45">
      <c r="L1060" t="s">
        <v>288</v>
      </c>
      <c r="M1060" t="s">
        <v>17</v>
      </c>
      <c r="N1060">
        <v>3.9574387270515779E-2</v>
      </c>
      <c r="O1060" t="s">
        <v>6</v>
      </c>
    </row>
    <row r="1061" spans="12:15" x14ac:dyDescent="0.45">
      <c r="L1061" t="s">
        <v>288</v>
      </c>
      <c r="M1061" t="s">
        <v>18</v>
      </c>
      <c r="N1061">
        <v>5.5212136733711843E-2</v>
      </c>
      <c r="O1061" t="s">
        <v>6</v>
      </c>
    </row>
    <row r="1062" spans="12:15" x14ac:dyDescent="0.45">
      <c r="L1062" t="s">
        <v>288</v>
      </c>
      <c r="M1062" t="s">
        <v>19</v>
      </c>
      <c r="N1062">
        <v>2.2742302676612799E-2</v>
      </c>
      <c r="O1062" t="s">
        <v>6</v>
      </c>
    </row>
    <row r="1063" spans="12:15" x14ac:dyDescent="0.45">
      <c r="L1063" t="s">
        <v>288</v>
      </c>
      <c r="M1063" t="s">
        <v>20</v>
      </c>
      <c r="N1063">
        <v>2.3213290575315092E-2</v>
      </c>
      <c r="O1063" t="s">
        <v>6</v>
      </c>
    </row>
    <row r="1064" spans="12:15" x14ac:dyDescent="0.45">
      <c r="L1064" t="s">
        <v>288</v>
      </c>
      <c r="M1064" t="s">
        <v>21</v>
      </c>
      <c r="N1064">
        <v>2.2805580457991713E-2</v>
      </c>
      <c r="O1064" t="s">
        <v>6</v>
      </c>
    </row>
    <row r="1065" spans="12:15" x14ac:dyDescent="0.45">
      <c r="L1065" t="s">
        <v>288</v>
      </c>
      <c r="M1065" t="s">
        <v>22</v>
      </c>
      <c r="N1065">
        <v>2.2116367379617079E-2</v>
      </c>
      <c r="O1065" t="s">
        <v>6</v>
      </c>
    </row>
    <row r="1066" spans="12:15" x14ac:dyDescent="0.45">
      <c r="L1066" t="s">
        <v>288</v>
      </c>
      <c r="M1066" t="s">
        <v>23</v>
      </c>
      <c r="N1066">
        <v>2.1604101014670189E-2</v>
      </c>
      <c r="O1066" t="s">
        <v>6</v>
      </c>
    </row>
    <row r="1067" spans="12:15" x14ac:dyDescent="0.45">
      <c r="L1067" t="s">
        <v>288</v>
      </c>
      <c r="M1067" t="s">
        <v>24</v>
      </c>
      <c r="N1067">
        <v>2.1501460527052183E-2</v>
      </c>
      <c r="O1067" t="s">
        <v>6</v>
      </c>
    </row>
    <row r="1068" spans="12:15" x14ac:dyDescent="0.45">
      <c r="L1068" t="s">
        <v>288</v>
      </c>
      <c r="M1068" t="s">
        <v>25</v>
      </c>
      <c r="N1068">
        <v>2.145094924190118E-2</v>
      </c>
      <c r="O1068" t="s">
        <v>6</v>
      </c>
    </row>
    <row r="1069" spans="12:15" x14ac:dyDescent="0.45">
      <c r="L1069" t="s">
        <v>288</v>
      </c>
      <c r="M1069" t="s">
        <v>26</v>
      </c>
      <c r="N1069">
        <v>2.160977798936221E-2</v>
      </c>
      <c r="O1069" t="s">
        <v>6</v>
      </c>
    </row>
    <row r="1070" spans="12:15" x14ac:dyDescent="0.45">
      <c r="L1070" t="s">
        <v>288</v>
      </c>
      <c r="M1070" t="s">
        <v>27</v>
      </c>
      <c r="N1070">
        <v>3.2923352167674232E-2</v>
      </c>
      <c r="O1070" t="s">
        <v>6</v>
      </c>
    </row>
    <row r="1071" spans="12:15" x14ac:dyDescent="0.45">
      <c r="L1071" t="s">
        <v>288</v>
      </c>
      <c r="M1071" t="s">
        <v>28</v>
      </c>
      <c r="N1071">
        <v>3.0504114085113422E-2</v>
      </c>
      <c r="O1071" t="s">
        <v>6</v>
      </c>
    </row>
    <row r="1072" spans="12:15" x14ac:dyDescent="0.45">
      <c r="L1072" t="s">
        <v>288</v>
      </c>
      <c r="M1072" t="s">
        <v>29</v>
      </c>
      <c r="N1072">
        <v>1.1495541607193269E-2</v>
      </c>
      <c r="O1072" t="s">
        <v>6</v>
      </c>
    </row>
    <row r="1073" spans="12:15" x14ac:dyDescent="0.45">
      <c r="L1073" t="s">
        <v>288</v>
      </c>
      <c r="M1073" t="s">
        <v>30</v>
      </c>
      <c r="N1073">
        <v>1.141658749357654E-2</v>
      </c>
      <c r="O1073" t="s">
        <v>6</v>
      </c>
    </row>
    <row r="1074" spans="12:15" x14ac:dyDescent="0.45">
      <c r="L1074" t="s">
        <v>288</v>
      </c>
      <c r="M1074" t="s">
        <v>31</v>
      </c>
      <c r="N1074">
        <v>1.0944976519150038E-2</v>
      </c>
      <c r="O1074" t="s">
        <v>6</v>
      </c>
    </row>
    <row r="1075" spans="12:15" x14ac:dyDescent="0.45">
      <c r="L1075" t="s">
        <v>288</v>
      </c>
      <c r="M1075" t="s">
        <v>32</v>
      </c>
      <c r="N1075">
        <v>1.0071507640147971E-2</v>
      </c>
      <c r="O1075" t="s">
        <v>6</v>
      </c>
    </row>
    <row r="1076" spans="12:15" x14ac:dyDescent="0.45">
      <c r="L1076" t="s">
        <v>288</v>
      </c>
      <c r="M1076" t="s">
        <v>33</v>
      </c>
      <c r="N1076">
        <v>1.0192018548018648E-2</v>
      </c>
      <c r="O1076" t="s">
        <v>6</v>
      </c>
    </row>
    <row r="1077" spans="12:15" x14ac:dyDescent="0.45">
      <c r="L1077" t="s">
        <v>288</v>
      </c>
      <c r="M1077" t="s">
        <v>34</v>
      </c>
      <c r="N1077">
        <v>1.1078359431465455E-2</v>
      </c>
      <c r="O1077" t="s">
        <v>6</v>
      </c>
    </row>
    <row r="1078" spans="12:15" x14ac:dyDescent="0.45">
      <c r="L1078" t="s">
        <v>288</v>
      </c>
      <c r="M1078" t="s">
        <v>35</v>
      </c>
      <c r="N1078">
        <v>1.173492367104075E-2</v>
      </c>
      <c r="O1078" t="s">
        <v>6</v>
      </c>
    </row>
    <row r="1079" spans="12:15" x14ac:dyDescent="0.45">
      <c r="L1079" t="s">
        <v>288</v>
      </c>
      <c r="M1079" t="s">
        <v>36</v>
      </c>
      <c r="N1079">
        <v>1.2272325200098883E-2</v>
      </c>
      <c r="O1079" t="s">
        <v>6</v>
      </c>
    </row>
    <row r="1080" spans="12:15" x14ac:dyDescent="0.45">
      <c r="L1080" t="s">
        <v>288</v>
      </c>
      <c r="M1080" t="s">
        <v>37</v>
      </c>
      <c r="N1080">
        <v>1.9160006700276868E-2</v>
      </c>
      <c r="O1080" t="s">
        <v>6</v>
      </c>
    </row>
    <row r="1081" spans="12:15" x14ac:dyDescent="0.45">
      <c r="L1081" t="s">
        <v>288</v>
      </c>
      <c r="M1081" t="s">
        <v>38</v>
      </c>
      <c r="N1081">
        <v>6.1520484764877342E-2</v>
      </c>
      <c r="O1081" t="s">
        <v>6</v>
      </c>
    </row>
    <row r="1082" spans="12:15" x14ac:dyDescent="0.45">
      <c r="L1082" t="s">
        <v>288</v>
      </c>
      <c r="M1082" t="s">
        <v>39</v>
      </c>
      <c r="N1082">
        <v>2.3474442781707825E-2</v>
      </c>
      <c r="O1082" t="s">
        <v>6</v>
      </c>
    </row>
    <row r="1083" spans="12:15" x14ac:dyDescent="0.45">
      <c r="L1083" t="s">
        <v>288</v>
      </c>
      <c r="M1083" t="s">
        <v>40</v>
      </c>
      <c r="N1083">
        <v>2.2987890697306793E-2</v>
      </c>
      <c r="O1083" t="s">
        <v>6</v>
      </c>
    </row>
    <row r="1084" spans="12:15" x14ac:dyDescent="0.45">
      <c r="L1084" t="s">
        <v>288</v>
      </c>
      <c r="M1084" t="s">
        <v>41</v>
      </c>
      <c r="N1084">
        <v>2.3081472009021081E-2</v>
      </c>
      <c r="O1084" t="s">
        <v>6</v>
      </c>
    </row>
    <row r="1085" spans="12:15" x14ac:dyDescent="0.45">
      <c r="L1085" t="s">
        <v>288</v>
      </c>
      <c r="M1085" t="s">
        <v>42</v>
      </c>
      <c r="N1085">
        <v>2.3341227018473795E-2</v>
      </c>
      <c r="O1085" t="s">
        <v>6</v>
      </c>
    </row>
    <row r="1086" spans="12:15" x14ac:dyDescent="0.45">
      <c r="L1086" t="s">
        <v>288</v>
      </c>
      <c r="M1086" t="s">
        <v>43</v>
      </c>
      <c r="N1086">
        <v>2.3681171465208671E-2</v>
      </c>
      <c r="O1086" t="s">
        <v>6</v>
      </c>
    </row>
    <row r="1087" spans="12:15" x14ac:dyDescent="0.45">
      <c r="L1087" t="s">
        <v>288</v>
      </c>
      <c r="M1087" t="s">
        <v>44</v>
      </c>
      <c r="N1087">
        <v>2.3877275456091474E-2</v>
      </c>
      <c r="O1087" t="s">
        <v>6</v>
      </c>
    </row>
    <row r="1088" spans="12:15" x14ac:dyDescent="0.45">
      <c r="L1088" t="s">
        <v>288</v>
      </c>
      <c r="M1088" t="s">
        <v>45</v>
      </c>
      <c r="N1088">
        <v>2.4596973935975909E-2</v>
      </c>
      <c r="O1088" t="s">
        <v>6</v>
      </c>
    </row>
    <row r="1089" spans="12:15" x14ac:dyDescent="0.45">
      <c r="L1089" t="s">
        <v>288</v>
      </c>
      <c r="M1089" t="s">
        <v>46</v>
      </c>
      <c r="N1089">
        <v>2.4771320018582288E-2</v>
      </c>
      <c r="O1089" t="s">
        <v>6</v>
      </c>
    </row>
    <row r="1090" spans="12:15" x14ac:dyDescent="0.45">
      <c r="L1090" t="s">
        <v>288</v>
      </c>
      <c r="M1090" t="s">
        <v>47</v>
      </c>
      <c r="N1090">
        <v>3.7728064635617752E-2</v>
      </c>
      <c r="O1090" t="s">
        <v>6</v>
      </c>
    </row>
    <row r="1091" spans="12:15" x14ac:dyDescent="0.45">
      <c r="L1091" t="s">
        <v>289</v>
      </c>
      <c r="M1091" t="s">
        <v>5</v>
      </c>
      <c r="N1091">
        <v>6.1999262031071922E-2</v>
      </c>
      <c r="O1091" t="s">
        <v>6</v>
      </c>
    </row>
    <row r="1092" spans="12:15" x14ac:dyDescent="0.45">
      <c r="L1092" t="s">
        <v>289</v>
      </c>
      <c r="M1092" t="s">
        <v>9</v>
      </c>
      <c r="N1092">
        <v>2.4306215039823314E-2</v>
      </c>
      <c r="O1092" t="s">
        <v>6</v>
      </c>
    </row>
    <row r="1093" spans="12:15" x14ac:dyDescent="0.45">
      <c r="L1093" t="s">
        <v>289</v>
      </c>
      <c r="M1093" t="s">
        <v>10</v>
      </c>
      <c r="N1093">
        <v>2.4078151080595214E-2</v>
      </c>
      <c r="O1093" t="s">
        <v>6</v>
      </c>
    </row>
    <row r="1094" spans="12:15" x14ac:dyDescent="0.45">
      <c r="L1094" t="s">
        <v>289</v>
      </c>
      <c r="M1094" t="s">
        <v>11</v>
      </c>
      <c r="N1094">
        <v>2.4098493270095705E-2</v>
      </c>
      <c r="O1094" t="s">
        <v>6</v>
      </c>
    </row>
    <row r="1095" spans="12:15" x14ac:dyDescent="0.45">
      <c r="L1095" t="s">
        <v>289</v>
      </c>
      <c r="M1095" t="s">
        <v>12</v>
      </c>
      <c r="N1095">
        <v>2.4248949245552241E-2</v>
      </c>
      <c r="O1095" t="s">
        <v>6</v>
      </c>
    </row>
    <row r="1096" spans="12:15" x14ac:dyDescent="0.45">
      <c r="L1096" t="s">
        <v>289</v>
      </c>
      <c r="M1096" t="s">
        <v>13</v>
      </c>
      <c r="N1096">
        <v>2.3878251686420306E-2</v>
      </c>
      <c r="O1096" t="s">
        <v>6</v>
      </c>
    </row>
    <row r="1097" spans="12:15" x14ac:dyDescent="0.45">
      <c r="L1097" t="s">
        <v>289</v>
      </c>
      <c r="M1097" t="s">
        <v>14</v>
      </c>
      <c r="N1097">
        <v>2.3868841822727489E-2</v>
      </c>
      <c r="O1097" t="s">
        <v>6</v>
      </c>
    </row>
    <row r="1098" spans="12:15" x14ac:dyDescent="0.45">
      <c r="L1098" t="s">
        <v>289</v>
      </c>
      <c r="M1098" t="s">
        <v>15</v>
      </c>
      <c r="N1098">
        <v>2.4368685212623236E-2</v>
      </c>
      <c r="O1098" t="s">
        <v>6</v>
      </c>
    </row>
    <row r="1099" spans="12:15" x14ac:dyDescent="0.45">
      <c r="L1099" t="s">
        <v>289</v>
      </c>
      <c r="M1099" t="s">
        <v>16</v>
      </c>
      <c r="N1099">
        <v>2.4975103956889129E-2</v>
      </c>
      <c r="O1099" t="s">
        <v>6</v>
      </c>
    </row>
    <row r="1100" spans="12:15" x14ac:dyDescent="0.45">
      <c r="L1100" t="s">
        <v>289</v>
      </c>
      <c r="M1100" t="s">
        <v>17</v>
      </c>
      <c r="N1100">
        <v>3.7896610513634105E-2</v>
      </c>
      <c r="O1100" t="s">
        <v>6</v>
      </c>
    </row>
    <row r="1101" spans="12:15" x14ac:dyDescent="0.45">
      <c r="L1101" t="s">
        <v>289</v>
      </c>
      <c r="M1101" t="s">
        <v>18</v>
      </c>
      <c r="N1101">
        <v>5.4688507705798174E-2</v>
      </c>
      <c r="O1101" t="s">
        <v>6</v>
      </c>
    </row>
    <row r="1102" spans="12:15" x14ac:dyDescent="0.45">
      <c r="L1102" t="s">
        <v>289</v>
      </c>
      <c r="M1102" t="s">
        <v>19</v>
      </c>
      <c r="N1102">
        <v>2.256962397398567E-2</v>
      </c>
      <c r="O1102" t="s">
        <v>6</v>
      </c>
    </row>
    <row r="1103" spans="12:15" x14ac:dyDescent="0.45">
      <c r="L1103" t="s">
        <v>289</v>
      </c>
      <c r="M1103" t="s">
        <v>20</v>
      </c>
      <c r="N1103">
        <v>2.3079179698492634E-2</v>
      </c>
      <c r="O1103" t="s">
        <v>6</v>
      </c>
    </row>
    <row r="1104" spans="12:15" x14ac:dyDescent="0.45">
      <c r="L1104" t="s">
        <v>289</v>
      </c>
      <c r="M1104" t="s">
        <v>21</v>
      </c>
      <c r="N1104">
        <v>2.2840055300214206E-2</v>
      </c>
      <c r="O1104" t="s">
        <v>6</v>
      </c>
    </row>
    <row r="1105" spans="12:15" x14ac:dyDescent="0.45">
      <c r="L1105" t="s">
        <v>289</v>
      </c>
      <c r="M1105" t="s">
        <v>22</v>
      </c>
      <c r="N1105">
        <v>2.2268315527264628E-2</v>
      </c>
      <c r="O1105" t="s">
        <v>6</v>
      </c>
    </row>
    <row r="1106" spans="12:15" x14ac:dyDescent="0.45">
      <c r="L1106" t="s">
        <v>289</v>
      </c>
      <c r="M1106" t="s">
        <v>23</v>
      </c>
      <c r="N1106">
        <v>2.1747279362354797E-2</v>
      </c>
      <c r="O1106" t="s">
        <v>6</v>
      </c>
    </row>
    <row r="1107" spans="12:15" x14ac:dyDescent="0.45">
      <c r="L1107" t="s">
        <v>289</v>
      </c>
      <c r="M1107" t="s">
        <v>24</v>
      </c>
      <c r="N1107">
        <v>2.1683591212767844E-2</v>
      </c>
      <c r="O1107" t="s">
        <v>6</v>
      </c>
    </row>
    <row r="1108" spans="12:15" x14ac:dyDescent="0.45">
      <c r="L1108" t="s">
        <v>289</v>
      </c>
      <c r="M1108" t="s">
        <v>25</v>
      </c>
      <c r="N1108">
        <v>2.1813767250472127E-2</v>
      </c>
      <c r="O1108" t="s">
        <v>6</v>
      </c>
    </row>
    <row r="1109" spans="12:15" x14ac:dyDescent="0.45">
      <c r="L1109" t="s">
        <v>289</v>
      </c>
      <c r="M1109" t="s">
        <v>26</v>
      </c>
      <c r="N1109">
        <v>2.2041738529593752E-2</v>
      </c>
      <c r="O1109" t="s">
        <v>6</v>
      </c>
    </row>
    <row r="1110" spans="12:15" x14ac:dyDescent="0.45">
      <c r="L1110" t="s">
        <v>289</v>
      </c>
      <c r="M1110" t="s">
        <v>27</v>
      </c>
      <c r="N1110">
        <v>3.3122580954787199E-2</v>
      </c>
      <c r="O1110" t="s">
        <v>6</v>
      </c>
    </row>
    <row r="1111" spans="12:15" x14ac:dyDescent="0.45">
      <c r="L1111" t="s">
        <v>289</v>
      </c>
      <c r="M1111" t="s">
        <v>28</v>
      </c>
      <c r="N1111">
        <v>3.400025035960097E-2</v>
      </c>
      <c r="O1111" t="s">
        <v>6</v>
      </c>
    </row>
    <row r="1112" spans="12:15" x14ac:dyDescent="0.45">
      <c r="L1112" t="s">
        <v>289</v>
      </c>
      <c r="M1112" t="s">
        <v>29</v>
      </c>
      <c r="N1112">
        <v>1.2983853557580133E-2</v>
      </c>
      <c r="O1112" t="s">
        <v>6</v>
      </c>
    </row>
    <row r="1113" spans="12:15" x14ac:dyDescent="0.45">
      <c r="L1113" t="s">
        <v>289</v>
      </c>
      <c r="M1113" t="s">
        <v>30</v>
      </c>
      <c r="N1113">
        <v>1.2774276865635901E-2</v>
      </c>
      <c r="O1113" t="s">
        <v>6</v>
      </c>
    </row>
    <row r="1114" spans="12:15" x14ac:dyDescent="0.45">
      <c r="L1114" t="s">
        <v>289</v>
      </c>
      <c r="M1114" t="s">
        <v>31</v>
      </c>
      <c r="N1114">
        <v>1.2203470801431531E-2</v>
      </c>
      <c r="O1114" t="s">
        <v>6</v>
      </c>
    </row>
    <row r="1115" spans="12:15" x14ac:dyDescent="0.45">
      <c r="L1115" t="s">
        <v>289</v>
      </c>
      <c r="M1115" t="s">
        <v>32</v>
      </c>
      <c r="N1115">
        <v>1.1479234351057971E-2</v>
      </c>
      <c r="O1115" t="s">
        <v>6</v>
      </c>
    </row>
    <row r="1116" spans="12:15" x14ac:dyDescent="0.45">
      <c r="L1116" t="s">
        <v>289</v>
      </c>
      <c r="M1116" t="s">
        <v>33</v>
      </c>
      <c r="N1116">
        <v>1.1335428650668904E-2</v>
      </c>
      <c r="O1116" t="s">
        <v>6</v>
      </c>
    </row>
    <row r="1117" spans="12:15" x14ac:dyDescent="0.45">
      <c r="L1117" t="s">
        <v>289</v>
      </c>
      <c r="M1117" t="s">
        <v>34</v>
      </c>
      <c r="N1117">
        <v>1.1536261031169467E-2</v>
      </c>
      <c r="O1117" t="s">
        <v>6</v>
      </c>
    </row>
    <row r="1118" spans="12:15" x14ac:dyDescent="0.45">
      <c r="L1118" t="s">
        <v>289</v>
      </c>
      <c r="M1118" t="s">
        <v>35</v>
      </c>
      <c r="N1118">
        <v>1.2099518844843862E-2</v>
      </c>
      <c r="O1118" t="s">
        <v>6</v>
      </c>
    </row>
    <row r="1119" spans="12:15" x14ac:dyDescent="0.45">
      <c r="L1119" t="s">
        <v>289</v>
      </c>
      <c r="M1119" t="s">
        <v>36</v>
      </c>
      <c r="N1119">
        <v>1.2910909699139781E-2</v>
      </c>
      <c r="O1119" t="s">
        <v>6</v>
      </c>
    </row>
    <row r="1120" spans="12:15" x14ac:dyDescent="0.45">
      <c r="L1120" t="s">
        <v>289</v>
      </c>
      <c r="M1120" t="s">
        <v>37</v>
      </c>
      <c r="N1120">
        <v>2.0527544794817092E-2</v>
      </c>
      <c r="O1120" t="s">
        <v>6</v>
      </c>
    </row>
    <row r="1121" spans="12:15" x14ac:dyDescent="0.45">
      <c r="L1121" t="s">
        <v>289</v>
      </c>
      <c r="M1121" t="s">
        <v>38</v>
      </c>
      <c r="N1121">
        <v>6.1194514496952145E-2</v>
      </c>
      <c r="O1121" t="s">
        <v>6</v>
      </c>
    </row>
    <row r="1122" spans="12:15" x14ac:dyDescent="0.45">
      <c r="L1122" t="s">
        <v>289</v>
      </c>
      <c r="M1122" t="s">
        <v>39</v>
      </c>
      <c r="N1122">
        <v>2.3738595921330045E-2</v>
      </c>
      <c r="O1122" t="s">
        <v>6</v>
      </c>
    </row>
    <row r="1123" spans="12:15" x14ac:dyDescent="0.45">
      <c r="L1123" t="s">
        <v>289</v>
      </c>
      <c r="M1123" t="s">
        <v>40</v>
      </c>
      <c r="N1123">
        <v>2.3411587060121707E-2</v>
      </c>
      <c r="O1123" t="s">
        <v>6</v>
      </c>
    </row>
    <row r="1124" spans="12:15" x14ac:dyDescent="0.45">
      <c r="L1124" t="s">
        <v>289</v>
      </c>
      <c r="M1124" t="s">
        <v>41</v>
      </c>
      <c r="N1124">
        <v>2.3477243396160283E-2</v>
      </c>
      <c r="O1124" t="s">
        <v>6</v>
      </c>
    </row>
    <row r="1125" spans="12:15" x14ac:dyDescent="0.45">
      <c r="L1125" t="s">
        <v>289</v>
      </c>
      <c r="M1125" t="s">
        <v>42</v>
      </c>
      <c r="N1125">
        <v>2.3729338191930849E-2</v>
      </c>
      <c r="O1125" t="s">
        <v>6</v>
      </c>
    </row>
    <row r="1126" spans="12:15" x14ac:dyDescent="0.45">
      <c r="L1126" t="s">
        <v>289</v>
      </c>
      <c r="M1126" t="s">
        <v>43</v>
      </c>
      <c r="N1126">
        <v>2.3742754643417609E-2</v>
      </c>
      <c r="O1126" t="s">
        <v>6</v>
      </c>
    </row>
    <row r="1127" spans="12:15" x14ac:dyDescent="0.45">
      <c r="L1127" t="s">
        <v>289</v>
      </c>
      <c r="M1127" t="s">
        <v>44</v>
      </c>
      <c r="N1127">
        <v>2.3617373137325409E-2</v>
      </c>
      <c r="O1127" t="s">
        <v>6</v>
      </c>
    </row>
    <row r="1128" spans="12:15" x14ac:dyDescent="0.45">
      <c r="L1128" t="s">
        <v>289</v>
      </c>
      <c r="M1128" t="s">
        <v>45</v>
      </c>
      <c r="N1128">
        <v>2.3890486398392936E-2</v>
      </c>
      <c r="O1128" t="s">
        <v>6</v>
      </c>
    </row>
    <row r="1129" spans="12:15" x14ac:dyDescent="0.45">
      <c r="L1129" t="s">
        <v>289</v>
      </c>
      <c r="M1129" t="s">
        <v>46</v>
      </c>
      <c r="N1129">
        <v>2.4328490691540278E-2</v>
      </c>
      <c r="O1129" t="s">
        <v>6</v>
      </c>
    </row>
    <row r="1130" spans="12:15" x14ac:dyDescent="0.45">
      <c r="L1130" t="s">
        <v>289</v>
      </c>
      <c r="M1130" t="s">
        <v>47</v>
      </c>
      <c r="N1130">
        <v>3.7445663731722173E-2</v>
      </c>
      <c r="O1130" t="s">
        <v>6</v>
      </c>
    </row>
    <row r="1131" spans="12:15" x14ac:dyDescent="0.45">
      <c r="L1131" t="s">
        <v>290</v>
      </c>
      <c r="M1131" t="s">
        <v>5</v>
      </c>
      <c r="N1131">
        <v>6.1169640879698145E-2</v>
      </c>
      <c r="O1131" t="s">
        <v>6</v>
      </c>
    </row>
    <row r="1132" spans="12:15" x14ac:dyDescent="0.45">
      <c r="L1132" t="s">
        <v>290</v>
      </c>
      <c r="M1132" t="s">
        <v>9</v>
      </c>
      <c r="N1132">
        <v>2.4445152288671636E-2</v>
      </c>
      <c r="O1132" t="s">
        <v>6</v>
      </c>
    </row>
    <row r="1133" spans="12:15" x14ac:dyDescent="0.45">
      <c r="L1133" t="s">
        <v>290</v>
      </c>
      <c r="M1133" t="s">
        <v>10</v>
      </c>
      <c r="N1133">
        <v>2.4685041692486209E-2</v>
      </c>
      <c r="O1133" t="s">
        <v>6</v>
      </c>
    </row>
    <row r="1134" spans="12:15" x14ac:dyDescent="0.45">
      <c r="L1134" t="s">
        <v>290</v>
      </c>
      <c r="M1134" t="s">
        <v>11</v>
      </c>
      <c r="N1134">
        <v>2.5003800069433479E-2</v>
      </c>
      <c r="O1134" t="s">
        <v>6</v>
      </c>
    </row>
    <row r="1135" spans="12:15" x14ac:dyDescent="0.45">
      <c r="L1135" t="s">
        <v>290</v>
      </c>
      <c r="M1135" t="s">
        <v>12</v>
      </c>
      <c r="N1135">
        <v>2.5113262130231129E-2</v>
      </c>
      <c r="O1135" t="s">
        <v>6</v>
      </c>
    </row>
    <row r="1136" spans="12:15" x14ac:dyDescent="0.45">
      <c r="L1136" t="s">
        <v>290</v>
      </c>
      <c r="M1136" t="s">
        <v>13</v>
      </c>
      <c r="N1136">
        <v>2.4870267255864602E-2</v>
      </c>
      <c r="O1136" t="s">
        <v>6</v>
      </c>
    </row>
    <row r="1137" spans="12:15" x14ac:dyDescent="0.45">
      <c r="L1137" t="s">
        <v>290</v>
      </c>
      <c r="M1137" t="s">
        <v>14</v>
      </c>
      <c r="N1137">
        <v>2.4328250325556151E-2</v>
      </c>
      <c r="O1137" t="s">
        <v>6</v>
      </c>
    </row>
    <row r="1138" spans="12:15" x14ac:dyDescent="0.45">
      <c r="L1138" t="s">
        <v>290</v>
      </c>
      <c r="M1138" t="s">
        <v>15</v>
      </c>
      <c r="N1138">
        <v>2.4034338459041727E-2</v>
      </c>
      <c r="O1138" t="s">
        <v>6</v>
      </c>
    </row>
    <row r="1139" spans="12:15" x14ac:dyDescent="0.45">
      <c r="L1139" t="s">
        <v>290</v>
      </c>
      <c r="M1139" t="s">
        <v>16</v>
      </c>
      <c r="N1139">
        <v>2.3825102540065337E-2</v>
      </c>
      <c r="O1139" t="s">
        <v>6</v>
      </c>
    </row>
    <row r="1140" spans="12:15" x14ac:dyDescent="0.45">
      <c r="L1140" t="s">
        <v>290</v>
      </c>
      <c r="M1140" t="s">
        <v>17</v>
      </c>
      <c r="N1140">
        <v>3.5167688586079333E-2</v>
      </c>
      <c r="O1140" t="s">
        <v>6</v>
      </c>
    </row>
    <row r="1141" spans="12:15" x14ac:dyDescent="0.45">
      <c r="L1141" t="s">
        <v>290</v>
      </c>
      <c r="M1141" t="s">
        <v>18</v>
      </c>
      <c r="N1141">
        <v>5.5062596919801192E-2</v>
      </c>
      <c r="O1141" t="s">
        <v>6</v>
      </c>
    </row>
    <row r="1142" spans="12:15" x14ac:dyDescent="0.45">
      <c r="L1142" t="s">
        <v>290</v>
      </c>
      <c r="M1142" t="s">
        <v>19</v>
      </c>
      <c r="N1142">
        <v>2.2487125529078129E-2</v>
      </c>
      <c r="O1142" t="s">
        <v>6</v>
      </c>
    </row>
    <row r="1143" spans="12:15" x14ac:dyDescent="0.45">
      <c r="L1143" t="s">
        <v>290</v>
      </c>
      <c r="M1143" t="s">
        <v>20</v>
      </c>
      <c r="N1143">
        <v>2.2663360607607218E-2</v>
      </c>
      <c r="O1143" t="s">
        <v>6</v>
      </c>
    </row>
    <row r="1144" spans="12:15" x14ac:dyDescent="0.45">
      <c r="L1144" t="s">
        <v>290</v>
      </c>
      <c r="M1144" t="s">
        <v>21</v>
      </c>
      <c r="N1144">
        <v>2.2320362374785373E-2</v>
      </c>
      <c r="O1144" t="s">
        <v>6</v>
      </c>
    </row>
    <row r="1145" spans="12:15" x14ac:dyDescent="0.45">
      <c r="L1145" t="s">
        <v>290</v>
      </c>
      <c r="M1145" t="s">
        <v>22</v>
      </c>
      <c r="N1145">
        <v>2.1626502061770088E-2</v>
      </c>
      <c r="O1145" t="s">
        <v>6</v>
      </c>
    </row>
    <row r="1146" spans="12:15" x14ac:dyDescent="0.45">
      <c r="L1146" t="s">
        <v>290</v>
      </c>
      <c r="M1146" t="s">
        <v>23</v>
      </c>
      <c r="N1146">
        <v>2.1078893047282922E-2</v>
      </c>
      <c r="O1146" t="s">
        <v>6</v>
      </c>
    </row>
    <row r="1147" spans="12:15" x14ac:dyDescent="0.45">
      <c r="L1147" t="s">
        <v>290</v>
      </c>
      <c r="M1147" t="s">
        <v>24</v>
      </c>
      <c r="N1147">
        <v>2.0660350700088335E-2</v>
      </c>
      <c r="O1147" t="s">
        <v>6</v>
      </c>
    </row>
    <row r="1148" spans="12:15" x14ac:dyDescent="0.45">
      <c r="L1148" t="s">
        <v>290</v>
      </c>
      <c r="M1148" t="s">
        <v>25</v>
      </c>
      <c r="N1148">
        <v>2.0853619525987941E-2</v>
      </c>
      <c r="O1148" t="s">
        <v>6</v>
      </c>
    </row>
    <row r="1149" spans="12:15" x14ac:dyDescent="0.45">
      <c r="L1149" t="s">
        <v>290</v>
      </c>
      <c r="M1149" t="s">
        <v>26</v>
      </c>
      <c r="N1149">
        <v>2.134693840862718E-2</v>
      </c>
      <c r="O1149" t="s">
        <v>6</v>
      </c>
    </row>
    <row r="1150" spans="12:15" x14ac:dyDescent="0.45">
      <c r="L1150" t="s">
        <v>290</v>
      </c>
      <c r="M1150" t="s">
        <v>27</v>
      </c>
      <c r="N1150">
        <v>3.2761262373754062E-2</v>
      </c>
      <c r="O1150" t="s">
        <v>6</v>
      </c>
    </row>
    <row r="1151" spans="12:15" x14ac:dyDescent="0.45">
      <c r="L1151" t="s">
        <v>290</v>
      </c>
      <c r="M1151" t="s">
        <v>28</v>
      </c>
      <c r="N1151">
        <v>3.38361554974499E-2</v>
      </c>
      <c r="O1151" t="s">
        <v>6</v>
      </c>
    </row>
    <row r="1152" spans="12:15" x14ac:dyDescent="0.45">
      <c r="L1152" t="s">
        <v>290</v>
      </c>
      <c r="M1152" t="s">
        <v>29</v>
      </c>
      <c r="N1152">
        <v>1.3193098956625854E-2</v>
      </c>
      <c r="O1152" t="s">
        <v>6</v>
      </c>
    </row>
    <row r="1153" spans="12:15" x14ac:dyDescent="0.45">
      <c r="L1153" t="s">
        <v>290</v>
      </c>
      <c r="M1153" t="s">
        <v>30</v>
      </c>
      <c r="N1153">
        <v>1.3642685838409893E-2</v>
      </c>
      <c r="O1153" t="s">
        <v>6</v>
      </c>
    </row>
    <row r="1154" spans="12:15" x14ac:dyDescent="0.45">
      <c r="L1154" t="s">
        <v>290</v>
      </c>
      <c r="M1154" t="s">
        <v>31</v>
      </c>
      <c r="N1154">
        <v>1.3425317550469372E-2</v>
      </c>
      <c r="O1154" t="s">
        <v>6</v>
      </c>
    </row>
    <row r="1155" spans="12:15" x14ac:dyDescent="0.45">
      <c r="L1155" t="s">
        <v>290</v>
      </c>
      <c r="M1155" t="s">
        <v>32</v>
      </c>
      <c r="N1155">
        <v>1.2833189001590257E-2</v>
      </c>
      <c r="O1155" t="s">
        <v>6</v>
      </c>
    </row>
    <row r="1156" spans="12:15" x14ac:dyDescent="0.45">
      <c r="L1156" t="s">
        <v>290</v>
      </c>
      <c r="M1156" t="s">
        <v>33</v>
      </c>
      <c r="N1156">
        <v>1.2639585048198993E-2</v>
      </c>
      <c r="O1156" t="s">
        <v>6</v>
      </c>
    </row>
    <row r="1157" spans="12:15" x14ac:dyDescent="0.45">
      <c r="L1157" t="s">
        <v>290</v>
      </c>
      <c r="M1157" t="s">
        <v>34</v>
      </c>
      <c r="N1157">
        <v>1.2649527987405804E-2</v>
      </c>
      <c r="O1157" t="s">
        <v>6</v>
      </c>
    </row>
    <row r="1158" spans="12:15" x14ac:dyDescent="0.45">
      <c r="L1158" t="s">
        <v>290</v>
      </c>
      <c r="M1158" t="s">
        <v>35</v>
      </c>
      <c r="N1158">
        <v>1.2945424373016129E-2</v>
      </c>
      <c r="O1158" t="s">
        <v>6</v>
      </c>
    </row>
    <row r="1159" spans="12:15" x14ac:dyDescent="0.45">
      <c r="L1159" t="s">
        <v>290</v>
      </c>
      <c r="M1159" t="s">
        <v>36</v>
      </c>
      <c r="N1159">
        <v>1.358819970794886E-2</v>
      </c>
      <c r="O1159" t="s">
        <v>6</v>
      </c>
    </row>
    <row r="1160" spans="12:15" x14ac:dyDescent="0.45">
      <c r="L1160" t="s">
        <v>290</v>
      </c>
      <c r="M1160" t="s">
        <v>37</v>
      </c>
      <c r="N1160">
        <v>2.1079412963282283E-2</v>
      </c>
      <c r="O1160" t="s">
        <v>6</v>
      </c>
    </row>
    <row r="1161" spans="12:15" x14ac:dyDescent="0.45">
      <c r="L1161" t="s">
        <v>290</v>
      </c>
      <c r="M1161" t="s">
        <v>38</v>
      </c>
      <c r="N1161">
        <v>6.0785039148758595E-2</v>
      </c>
      <c r="O1161" t="s">
        <v>6</v>
      </c>
    </row>
    <row r="1162" spans="12:15" x14ac:dyDescent="0.45">
      <c r="L1162" t="s">
        <v>290</v>
      </c>
      <c r="M1162" t="s">
        <v>39</v>
      </c>
      <c r="N1162">
        <v>2.3754408196609903E-2</v>
      </c>
      <c r="O1162" t="s">
        <v>6</v>
      </c>
    </row>
    <row r="1163" spans="12:15" x14ac:dyDescent="0.45">
      <c r="L1163" t="s">
        <v>290</v>
      </c>
      <c r="M1163" t="s">
        <v>40</v>
      </c>
      <c r="N1163">
        <v>2.3000865027240351E-2</v>
      </c>
      <c r="O1163" t="s">
        <v>6</v>
      </c>
    </row>
    <row r="1164" spans="12:15" x14ac:dyDescent="0.45">
      <c r="L1164" t="s">
        <v>290</v>
      </c>
      <c r="M1164" t="s">
        <v>41</v>
      </c>
      <c r="N1164">
        <v>2.2579810796604653E-2</v>
      </c>
      <c r="O1164" t="s">
        <v>6</v>
      </c>
    </row>
    <row r="1165" spans="12:15" x14ac:dyDescent="0.45">
      <c r="L1165" t="s">
        <v>290</v>
      </c>
      <c r="M1165" t="s">
        <v>42</v>
      </c>
      <c r="N1165">
        <v>2.2773453506474989E-2</v>
      </c>
      <c r="O1165" t="s">
        <v>6</v>
      </c>
    </row>
    <row r="1166" spans="12:15" x14ac:dyDescent="0.45">
      <c r="L1166" t="s">
        <v>290</v>
      </c>
      <c r="M1166" t="s">
        <v>43</v>
      </c>
      <c r="N1166">
        <v>2.3393702313406546E-2</v>
      </c>
      <c r="O1166" t="s">
        <v>6</v>
      </c>
    </row>
    <row r="1167" spans="12:15" x14ac:dyDescent="0.45">
      <c r="L1167" t="s">
        <v>290</v>
      </c>
      <c r="M1167" t="s">
        <v>44</v>
      </c>
      <c r="N1167">
        <v>2.3813387604602079E-2</v>
      </c>
      <c r="O1167" t="s">
        <v>6</v>
      </c>
    </row>
    <row r="1168" spans="12:15" x14ac:dyDescent="0.45">
      <c r="L1168" t="s">
        <v>290</v>
      </c>
      <c r="M1168" t="s">
        <v>45</v>
      </c>
      <c r="N1168">
        <v>2.4188510644323244E-2</v>
      </c>
      <c r="O1168" t="s">
        <v>6</v>
      </c>
    </row>
    <row r="1169" spans="12:15" x14ac:dyDescent="0.45">
      <c r="L1169" t="s">
        <v>290</v>
      </c>
      <c r="M1169" t="s">
        <v>46</v>
      </c>
      <c r="N1169">
        <v>2.4895002052744124E-2</v>
      </c>
      <c r="O1169" t="s">
        <v>6</v>
      </c>
    </row>
    <row r="1170" spans="12:15" x14ac:dyDescent="0.45">
      <c r="L1170" t="s">
        <v>290</v>
      </c>
      <c r="M1170" t="s">
        <v>47</v>
      </c>
      <c r="N1170">
        <v>3.7479668008928199E-2</v>
      </c>
      <c r="O1170" t="s">
        <v>6</v>
      </c>
    </row>
    <row r="1171" spans="12:15" x14ac:dyDescent="0.45">
      <c r="L1171" t="s">
        <v>291</v>
      </c>
      <c r="M1171" t="s">
        <v>5</v>
      </c>
      <c r="N1171">
        <v>6.1893010950649606E-2</v>
      </c>
      <c r="O1171" t="s">
        <v>6</v>
      </c>
    </row>
    <row r="1172" spans="12:15" x14ac:dyDescent="0.45">
      <c r="L1172" t="s">
        <v>291</v>
      </c>
      <c r="M1172" t="s">
        <v>9</v>
      </c>
      <c r="N1172">
        <v>2.4677954425643193E-2</v>
      </c>
      <c r="O1172" t="s">
        <v>6</v>
      </c>
    </row>
    <row r="1173" spans="12:15" x14ac:dyDescent="0.45">
      <c r="L1173" t="s">
        <v>291</v>
      </c>
      <c r="M1173" t="s">
        <v>10</v>
      </c>
      <c r="N1173">
        <v>2.450249612266386E-2</v>
      </c>
      <c r="O1173" t="s">
        <v>6</v>
      </c>
    </row>
    <row r="1174" spans="12:15" x14ac:dyDescent="0.45">
      <c r="L1174" t="s">
        <v>291</v>
      </c>
      <c r="M1174" t="s">
        <v>11</v>
      </c>
      <c r="N1174">
        <v>2.4506431885764509E-2</v>
      </c>
      <c r="O1174" t="s">
        <v>6</v>
      </c>
    </row>
    <row r="1175" spans="12:15" x14ac:dyDescent="0.45">
      <c r="L1175" t="s">
        <v>291</v>
      </c>
      <c r="M1175" t="s">
        <v>12</v>
      </c>
      <c r="N1175">
        <v>2.4183554226171276E-2</v>
      </c>
      <c r="O1175" t="s">
        <v>6</v>
      </c>
    </row>
    <row r="1176" spans="12:15" x14ac:dyDescent="0.45">
      <c r="L1176" t="s">
        <v>291</v>
      </c>
      <c r="M1176" t="s">
        <v>13</v>
      </c>
      <c r="N1176">
        <v>2.3803724270000635E-2</v>
      </c>
      <c r="O1176" t="s">
        <v>6</v>
      </c>
    </row>
    <row r="1177" spans="12:15" x14ac:dyDescent="0.45">
      <c r="L1177" t="s">
        <v>291</v>
      </c>
      <c r="M1177" t="s">
        <v>14</v>
      </c>
      <c r="N1177">
        <v>2.3398227007948448E-2</v>
      </c>
      <c r="O1177" t="s">
        <v>6</v>
      </c>
    </row>
    <row r="1178" spans="12:15" x14ac:dyDescent="0.45">
      <c r="L1178" t="s">
        <v>291</v>
      </c>
      <c r="M1178" t="s">
        <v>15</v>
      </c>
      <c r="N1178">
        <v>2.3216571919201574E-2</v>
      </c>
      <c r="O1178" t="s">
        <v>6</v>
      </c>
    </row>
    <row r="1179" spans="12:15" x14ac:dyDescent="0.45">
      <c r="L1179" t="s">
        <v>291</v>
      </c>
      <c r="M1179" t="s">
        <v>16</v>
      </c>
      <c r="N1179">
        <v>2.3392248599475304E-2</v>
      </c>
      <c r="O1179" t="s">
        <v>6</v>
      </c>
    </row>
    <row r="1180" spans="12:15" x14ac:dyDescent="0.45">
      <c r="L1180" t="s">
        <v>291</v>
      </c>
      <c r="M1180" t="s">
        <v>17</v>
      </c>
      <c r="N1180">
        <v>3.5380932762543373E-2</v>
      </c>
      <c r="O1180" t="s">
        <v>6</v>
      </c>
    </row>
    <row r="1181" spans="12:15" x14ac:dyDescent="0.45">
      <c r="L1181" t="s">
        <v>291</v>
      </c>
      <c r="M1181" t="s">
        <v>18</v>
      </c>
      <c r="N1181">
        <v>5.3098856799500972E-2</v>
      </c>
      <c r="O1181" t="s">
        <v>6</v>
      </c>
    </row>
    <row r="1182" spans="12:15" x14ac:dyDescent="0.45">
      <c r="L1182" t="s">
        <v>291</v>
      </c>
      <c r="M1182" t="s">
        <v>19</v>
      </c>
      <c r="N1182">
        <v>2.1804528488203502E-2</v>
      </c>
      <c r="O1182" t="s">
        <v>6</v>
      </c>
    </row>
    <row r="1183" spans="12:15" x14ac:dyDescent="0.45">
      <c r="L1183" t="s">
        <v>291</v>
      </c>
      <c r="M1183" t="s">
        <v>20</v>
      </c>
      <c r="N1183">
        <v>2.1718192063194093E-2</v>
      </c>
      <c r="O1183" t="s">
        <v>6</v>
      </c>
    </row>
    <row r="1184" spans="12:15" x14ac:dyDescent="0.45">
      <c r="L1184" t="s">
        <v>291</v>
      </c>
      <c r="M1184" t="s">
        <v>21</v>
      </c>
      <c r="N1184">
        <v>2.0688979262777303E-2</v>
      </c>
      <c r="O1184" t="s">
        <v>6</v>
      </c>
    </row>
    <row r="1185" spans="12:15" x14ac:dyDescent="0.45">
      <c r="L1185" t="s">
        <v>291</v>
      </c>
      <c r="M1185" t="s">
        <v>22</v>
      </c>
      <c r="N1185">
        <v>1.9761889913364094E-2</v>
      </c>
      <c r="O1185" t="s">
        <v>6</v>
      </c>
    </row>
    <row r="1186" spans="12:15" x14ac:dyDescent="0.45">
      <c r="L1186" t="s">
        <v>291</v>
      </c>
      <c r="M1186" t="s">
        <v>23</v>
      </c>
      <c r="N1186">
        <v>1.9537090547829629E-2</v>
      </c>
      <c r="O1186" t="s">
        <v>6</v>
      </c>
    </row>
    <row r="1187" spans="12:15" x14ac:dyDescent="0.45">
      <c r="L1187" t="s">
        <v>291</v>
      </c>
      <c r="M1187" t="s">
        <v>24</v>
      </c>
      <c r="N1187">
        <v>1.963995630597478E-2</v>
      </c>
      <c r="O1187" t="s">
        <v>6</v>
      </c>
    </row>
    <row r="1188" spans="12:15" x14ac:dyDescent="0.45">
      <c r="L1188" t="s">
        <v>291</v>
      </c>
      <c r="M1188" t="s">
        <v>25</v>
      </c>
      <c r="N1188">
        <v>2.0266688214564697E-2</v>
      </c>
      <c r="O1188" t="s">
        <v>6</v>
      </c>
    </row>
    <row r="1189" spans="12:15" x14ac:dyDescent="0.45">
      <c r="L1189" t="s">
        <v>291</v>
      </c>
      <c r="M1189" t="s">
        <v>26</v>
      </c>
      <c r="N1189">
        <v>2.1057815870807052E-2</v>
      </c>
      <c r="O1189" t="s">
        <v>6</v>
      </c>
    </row>
    <row r="1190" spans="12:15" x14ac:dyDescent="0.45">
      <c r="L1190" t="s">
        <v>291</v>
      </c>
      <c r="M1190" t="s">
        <v>27</v>
      </c>
      <c r="N1190">
        <v>3.1690394400678883E-2</v>
      </c>
      <c r="O1190" t="s">
        <v>6</v>
      </c>
    </row>
    <row r="1191" spans="12:15" x14ac:dyDescent="0.45">
      <c r="L1191" t="s">
        <v>291</v>
      </c>
      <c r="M1191" t="s">
        <v>28</v>
      </c>
      <c r="N1191">
        <v>3.6302569734551177E-2</v>
      </c>
      <c r="O1191" t="s">
        <v>6</v>
      </c>
    </row>
    <row r="1192" spans="12:15" x14ac:dyDescent="0.45">
      <c r="L1192" t="s">
        <v>291</v>
      </c>
      <c r="M1192" t="s">
        <v>29</v>
      </c>
      <c r="N1192">
        <v>1.5012645309375509E-2</v>
      </c>
      <c r="O1192" t="s">
        <v>6</v>
      </c>
    </row>
    <row r="1193" spans="12:15" x14ac:dyDescent="0.45">
      <c r="L1193" t="s">
        <v>291</v>
      </c>
      <c r="M1193" t="s">
        <v>30</v>
      </c>
      <c r="N1193">
        <v>1.5659353856269737E-2</v>
      </c>
      <c r="O1193" t="s">
        <v>6</v>
      </c>
    </row>
    <row r="1194" spans="12:15" x14ac:dyDescent="0.45">
      <c r="L1194" t="s">
        <v>291</v>
      </c>
      <c r="M1194" t="s">
        <v>31</v>
      </c>
      <c r="N1194">
        <v>1.6143988599027555E-2</v>
      </c>
      <c r="O1194" t="s">
        <v>6</v>
      </c>
    </row>
    <row r="1195" spans="12:15" x14ac:dyDescent="0.45">
      <c r="L1195" t="s">
        <v>291</v>
      </c>
      <c r="M1195" t="s">
        <v>32</v>
      </c>
      <c r="N1195">
        <v>1.6195219172377508E-2</v>
      </c>
      <c r="O1195" t="s">
        <v>6</v>
      </c>
    </row>
    <row r="1196" spans="12:15" x14ac:dyDescent="0.45">
      <c r="L1196" t="s">
        <v>291</v>
      </c>
      <c r="M1196" t="s">
        <v>33</v>
      </c>
      <c r="N1196">
        <v>1.5703894343368881E-2</v>
      </c>
      <c r="O1196" t="s">
        <v>6</v>
      </c>
    </row>
    <row r="1197" spans="12:15" x14ac:dyDescent="0.45">
      <c r="L1197" t="s">
        <v>291</v>
      </c>
      <c r="M1197" t="s">
        <v>34</v>
      </c>
      <c r="N1197">
        <v>1.4699467349277863E-2</v>
      </c>
      <c r="O1197" t="s">
        <v>6</v>
      </c>
    </row>
    <row r="1198" spans="12:15" x14ac:dyDescent="0.45">
      <c r="L1198" t="s">
        <v>291</v>
      </c>
      <c r="M1198" t="s">
        <v>35</v>
      </c>
      <c r="N1198">
        <v>1.396337758032966E-2</v>
      </c>
      <c r="O1198" t="s">
        <v>6</v>
      </c>
    </row>
    <row r="1199" spans="12:15" x14ac:dyDescent="0.45">
      <c r="L1199" t="s">
        <v>291</v>
      </c>
      <c r="M1199" t="s">
        <v>36</v>
      </c>
      <c r="N1199">
        <v>1.3752740509791915E-2</v>
      </c>
      <c r="O1199" t="s">
        <v>6</v>
      </c>
    </row>
    <row r="1200" spans="12:15" x14ac:dyDescent="0.45">
      <c r="L1200" t="s">
        <v>291</v>
      </c>
      <c r="M1200" t="s">
        <v>37</v>
      </c>
      <c r="N1200">
        <v>2.1013870400903616E-2</v>
      </c>
      <c r="O1200" t="s">
        <v>6</v>
      </c>
    </row>
    <row r="1201" spans="12:15" x14ac:dyDescent="0.45">
      <c r="L1201" t="s">
        <v>291</v>
      </c>
      <c r="M1201" t="s">
        <v>38</v>
      </c>
      <c r="N1201">
        <v>6.0148220388441469E-2</v>
      </c>
      <c r="O1201" t="s">
        <v>6</v>
      </c>
    </row>
    <row r="1202" spans="12:15" x14ac:dyDescent="0.45">
      <c r="L1202" t="s">
        <v>291</v>
      </c>
      <c r="M1202" t="s">
        <v>39</v>
      </c>
      <c r="N1202">
        <v>2.3458661959656651E-2</v>
      </c>
      <c r="O1202" t="s">
        <v>6</v>
      </c>
    </row>
    <row r="1203" spans="12:15" x14ac:dyDescent="0.45">
      <c r="L1203" t="s">
        <v>291</v>
      </c>
      <c r="M1203" t="s">
        <v>40</v>
      </c>
      <c r="N1203">
        <v>2.286764154915347E-2</v>
      </c>
      <c r="O1203" t="s">
        <v>6</v>
      </c>
    </row>
    <row r="1204" spans="12:15" x14ac:dyDescent="0.45">
      <c r="L1204" t="s">
        <v>291</v>
      </c>
      <c r="M1204" t="s">
        <v>41</v>
      </c>
      <c r="N1204">
        <v>2.2785337573200674E-2</v>
      </c>
      <c r="O1204" t="s">
        <v>6</v>
      </c>
    </row>
    <row r="1205" spans="12:15" x14ac:dyDescent="0.45">
      <c r="L1205" t="s">
        <v>291</v>
      </c>
      <c r="M1205" t="s">
        <v>42</v>
      </c>
      <c r="N1205">
        <v>2.2822577884510278E-2</v>
      </c>
      <c r="O1205" t="s">
        <v>6</v>
      </c>
    </row>
    <row r="1206" spans="12:15" x14ac:dyDescent="0.45">
      <c r="L1206" t="s">
        <v>291</v>
      </c>
      <c r="M1206" t="s">
        <v>43</v>
      </c>
      <c r="N1206">
        <v>2.3201711260479804E-2</v>
      </c>
      <c r="O1206" t="s">
        <v>6</v>
      </c>
    </row>
    <row r="1207" spans="12:15" x14ac:dyDescent="0.45">
      <c r="L1207" t="s">
        <v>291</v>
      </c>
      <c r="M1207" t="s">
        <v>44</v>
      </c>
      <c r="N1207">
        <v>2.357121834663661E-2</v>
      </c>
      <c r="O1207" t="s">
        <v>6</v>
      </c>
    </row>
    <row r="1208" spans="12:15" x14ac:dyDescent="0.45">
      <c r="L1208" t="s">
        <v>291</v>
      </c>
      <c r="M1208" t="s">
        <v>45</v>
      </c>
      <c r="N1208">
        <v>2.3783079389951507E-2</v>
      </c>
      <c r="O1208" t="s">
        <v>6</v>
      </c>
    </row>
    <row r="1209" spans="12:15" x14ac:dyDescent="0.45">
      <c r="L1209" t="s">
        <v>291</v>
      </c>
      <c r="M1209" t="s">
        <v>46</v>
      </c>
      <c r="N1209">
        <v>2.4237156806233087E-2</v>
      </c>
      <c r="O1209" t="s">
        <v>6</v>
      </c>
    </row>
    <row r="1210" spans="12:15" x14ac:dyDescent="0.45">
      <c r="L1210" t="s">
        <v>291</v>
      </c>
      <c r="M1210" t="s">
        <v>47</v>
      </c>
      <c r="N1210">
        <v>3.6457723949504542E-2</v>
      </c>
      <c r="O1210" t="s">
        <v>6</v>
      </c>
    </row>
    <row r="1211" spans="12:15" x14ac:dyDescent="0.45">
      <c r="L1211" t="s">
        <v>292</v>
      </c>
      <c r="M1211" t="s">
        <v>5</v>
      </c>
      <c r="N1211">
        <v>6.3429750359128859E-2</v>
      </c>
      <c r="O1211" t="s">
        <v>6</v>
      </c>
    </row>
    <row r="1212" spans="12:15" x14ac:dyDescent="0.45">
      <c r="L1212" t="s">
        <v>292</v>
      </c>
      <c r="M1212" t="s">
        <v>9</v>
      </c>
      <c r="N1212">
        <v>2.4931565401661498E-2</v>
      </c>
      <c r="O1212" t="s">
        <v>6</v>
      </c>
    </row>
    <row r="1213" spans="12:15" x14ac:dyDescent="0.45">
      <c r="L1213" t="s">
        <v>292</v>
      </c>
      <c r="M1213" t="s">
        <v>10</v>
      </c>
      <c r="N1213">
        <v>2.5087254530431338E-2</v>
      </c>
      <c r="O1213" t="s">
        <v>6</v>
      </c>
    </row>
    <row r="1214" spans="12:15" x14ac:dyDescent="0.45">
      <c r="L1214" t="s">
        <v>292</v>
      </c>
      <c r="M1214" t="s">
        <v>11</v>
      </c>
      <c r="N1214">
        <v>2.5435167754783192E-2</v>
      </c>
      <c r="O1214" t="s">
        <v>6</v>
      </c>
    </row>
    <row r="1215" spans="12:15" x14ac:dyDescent="0.45">
      <c r="L1215" t="s">
        <v>292</v>
      </c>
      <c r="M1215" t="s">
        <v>12</v>
      </c>
      <c r="N1215">
        <v>2.5395609964073633E-2</v>
      </c>
      <c r="O1215" t="s">
        <v>6</v>
      </c>
    </row>
    <row r="1216" spans="12:15" x14ac:dyDescent="0.45">
      <c r="L1216" t="s">
        <v>292</v>
      </c>
      <c r="M1216" t="s">
        <v>13</v>
      </c>
      <c r="N1216">
        <v>2.5089412049831436E-2</v>
      </c>
      <c r="O1216" t="s">
        <v>6</v>
      </c>
    </row>
    <row r="1217" spans="12:15" x14ac:dyDescent="0.45">
      <c r="L1217" t="s">
        <v>292</v>
      </c>
      <c r="M1217" t="s">
        <v>14</v>
      </c>
      <c r="N1217">
        <v>2.4938838364727905E-2</v>
      </c>
      <c r="O1217" t="s">
        <v>6</v>
      </c>
    </row>
    <row r="1218" spans="12:15" x14ac:dyDescent="0.45">
      <c r="L1218" t="s">
        <v>292</v>
      </c>
      <c r="M1218" t="s">
        <v>15</v>
      </c>
      <c r="N1218">
        <v>2.5062166529334781E-2</v>
      </c>
      <c r="O1218" t="s">
        <v>6</v>
      </c>
    </row>
    <row r="1219" spans="12:15" x14ac:dyDescent="0.45">
      <c r="L1219" t="s">
        <v>292</v>
      </c>
      <c r="M1219" t="s">
        <v>16</v>
      </c>
      <c r="N1219">
        <v>2.5258123030382357E-2</v>
      </c>
      <c r="O1219" t="s">
        <v>6</v>
      </c>
    </row>
    <row r="1220" spans="12:15" x14ac:dyDescent="0.45">
      <c r="L1220" t="s">
        <v>292</v>
      </c>
      <c r="M1220" t="s">
        <v>17</v>
      </c>
      <c r="N1220">
        <v>3.8172975994211787E-2</v>
      </c>
      <c r="O1220" t="s">
        <v>6</v>
      </c>
    </row>
    <row r="1221" spans="12:15" x14ac:dyDescent="0.45">
      <c r="L1221" t="s">
        <v>292</v>
      </c>
      <c r="M1221" t="s">
        <v>18</v>
      </c>
      <c r="N1221">
        <v>5.2982414335080531E-2</v>
      </c>
      <c r="O1221" t="s">
        <v>6</v>
      </c>
    </row>
    <row r="1222" spans="12:15" x14ac:dyDescent="0.45">
      <c r="L1222" t="s">
        <v>292</v>
      </c>
      <c r="M1222" t="s">
        <v>19</v>
      </c>
      <c r="N1222">
        <v>2.1745951080896286E-2</v>
      </c>
      <c r="O1222" t="s">
        <v>6</v>
      </c>
    </row>
    <row r="1223" spans="12:15" x14ac:dyDescent="0.45">
      <c r="L1223" t="s">
        <v>292</v>
      </c>
      <c r="M1223" t="s">
        <v>20</v>
      </c>
      <c r="N1223">
        <v>2.204153331338499E-2</v>
      </c>
      <c r="O1223" t="s">
        <v>6</v>
      </c>
    </row>
    <row r="1224" spans="12:15" x14ac:dyDescent="0.45">
      <c r="L1224" t="s">
        <v>292</v>
      </c>
      <c r="M1224" t="s">
        <v>21</v>
      </c>
      <c r="N1224">
        <v>2.1750291150977642E-2</v>
      </c>
      <c r="O1224" t="s">
        <v>6</v>
      </c>
    </row>
    <row r="1225" spans="12:15" x14ac:dyDescent="0.45">
      <c r="L1225" t="s">
        <v>292</v>
      </c>
      <c r="M1225" t="s">
        <v>22</v>
      </c>
      <c r="N1225">
        <v>2.1058911979512238E-2</v>
      </c>
      <c r="O1225" t="s">
        <v>6</v>
      </c>
    </row>
    <row r="1226" spans="12:15" x14ac:dyDescent="0.45">
      <c r="L1226" t="s">
        <v>292</v>
      </c>
      <c r="M1226" t="s">
        <v>23</v>
      </c>
      <c r="N1226">
        <v>2.0696438211369596E-2</v>
      </c>
      <c r="O1226" t="s">
        <v>6</v>
      </c>
    </row>
    <row r="1227" spans="12:15" x14ac:dyDescent="0.45">
      <c r="L1227" t="s">
        <v>292</v>
      </c>
      <c r="M1227" t="s">
        <v>24</v>
      </c>
      <c r="N1227">
        <v>2.072509060647329E-2</v>
      </c>
      <c r="O1227" t="s">
        <v>6</v>
      </c>
    </row>
    <row r="1228" spans="12:15" x14ac:dyDescent="0.45">
      <c r="L1228" t="s">
        <v>292</v>
      </c>
      <c r="M1228" t="s">
        <v>25</v>
      </c>
      <c r="N1228">
        <v>2.0939301801362005E-2</v>
      </c>
      <c r="O1228" t="s">
        <v>6</v>
      </c>
    </row>
    <row r="1229" spans="12:15" x14ac:dyDescent="0.45">
      <c r="L1229" t="s">
        <v>292</v>
      </c>
      <c r="M1229" t="s">
        <v>26</v>
      </c>
      <c r="N1229">
        <v>2.1310110454163297E-2</v>
      </c>
      <c r="O1229" t="s">
        <v>6</v>
      </c>
    </row>
    <row r="1230" spans="12:15" x14ac:dyDescent="0.45">
      <c r="L1230" t="s">
        <v>292</v>
      </c>
      <c r="M1230" t="s">
        <v>27</v>
      </c>
      <c r="N1230">
        <v>3.2668423067230133E-2</v>
      </c>
      <c r="O1230" t="s">
        <v>6</v>
      </c>
    </row>
    <row r="1231" spans="12:15" x14ac:dyDescent="0.45">
      <c r="L1231" t="s">
        <v>292</v>
      </c>
      <c r="M1231" t="s">
        <v>28</v>
      </c>
      <c r="N1231">
        <v>3.2172558458497362E-2</v>
      </c>
      <c r="O1231" t="s">
        <v>6</v>
      </c>
    </row>
    <row r="1232" spans="12:15" x14ac:dyDescent="0.45">
      <c r="L1232" t="s">
        <v>292</v>
      </c>
      <c r="M1232" t="s">
        <v>29</v>
      </c>
      <c r="N1232">
        <v>1.224519789752716E-2</v>
      </c>
      <c r="O1232" t="s">
        <v>6</v>
      </c>
    </row>
    <row r="1233" spans="12:15" x14ac:dyDescent="0.45">
      <c r="L1233" t="s">
        <v>292</v>
      </c>
      <c r="M1233" t="s">
        <v>30</v>
      </c>
      <c r="N1233">
        <v>1.1907334541999921E-2</v>
      </c>
      <c r="O1233" t="s">
        <v>6</v>
      </c>
    </row>
    <row r="1234" spans="12:15" x14ac:dyDescent="0.45">
      <c r="L1234" t="s">
        <v>292</v>
      </c>
      <c r="M1234" t="s">
        <v>31</v>
      </c>
      <c r="N1234">
        <v>1.128678081442851E-2</v>
      </c>
      <c r="O1234" t="s">
        <v>6</v>
      </c>
    </row>
    <row r="1235" spans="12:15" x14ac:dyDescent="0.45">
      <c r="L1235" t="s">
        <v>292</v>
      </c>
      <c r="M1235" t="s">
        <v>32</v>
      </c>
      <c r="N1235">
        <v>1.0754010934826783E-2</v>
      </c>
      <c r="O1235" t="s">
        <v>6</v>
      </c>
    </row>
    <row r="1236" spans="12:15" x14ac:dyDescent="0.45">
      <c r="L1236" t="s">
        <v>292</v>
      </c>
      <c r="M1236" t="s">
        <v>33</v>
      </c>
      <c r="N1236">
        <v>1.1138183912422188E-2</v>
      </c>
      <c r="O1236" t="s">
        <v>6</v>
      </c>
    </row>
    <row r="1237" spans="12:15" x14ac:dyDescent="0.45">
      <c r="L1237" t="s">
        <v>292</v>
      </c>
      <c r="M1237" t="s">
        <v>34</v>
      </c>
      <c r="N1237">
        <v>1.2521415626410497E-2</v>
      </c>
      <c r="O1237" t="s">
        <v>6</v>
      </c>
    </row>
    <row r="1238" spans="12:15" x14ac:dyDescent="0.45">
      <c r="L1238" t="s">
        <v>292</v>
      </c>
      <c r="M1238" t="s">
        <v>35</v>
      </c>
      <c r="N1238">
        <v>1.4086901342704265E-2</v>
      </c>
      <c r="O1238" t="s">
        <v>6</v>
      </c>
    </row>
    <row r="1239" spans="12:15" x14ac:dyDescent="0.45">
      <c r="L1239" t="s">
        <v>292</v>
      </c>
      <c r="M1239" t="s">
        <v>36</v>
      </c>
      <c r="N1239">
        <v>1.4895665531527455E-2</v>
      </c>
      <c r="O1239" t="s">
        <v>6</v>
      </c>
    </row>
    <row r="1240" spans="12:15" x14ac:dyDescent="0.45">
      <c r="L1240" t="s">
        <v>292</v>
      </c>
      <c r="M1240" t="s">
        <v>37</v>
      </c>
      <c r="N1240">
        <v>2.1798535069415457E-2</v>
      </c>
      <c r="O1240" t="s">
        <v>6</v>
      </c>
    </row>
    <row r="1241" spans="12:15" x14ac:dyDescent="0.45">
      <c r="L1241" t="s">
        <v>292</v>
      </c>
      <c r="M1241" t="s">
        <v>38</v>
      </c>
      <c r="N1241">
        <v>6.1474563813033872E-2</v>
      </c>
      <c r="O1241" t="s">
        <v>6</v>
      </c>
    </row>
    <row r="1242" spans="12:15" x14ac:dyDescent="0.45">
      <c r="L1242" t="s">
        <v>292</v>
      </c>
      <c r="M1242" t="s">
        <v>39</v>
      </c>
      <c r="N1242">
        <v>2.3446826692093956E-2</v>
      </c>
      <c r="O1242" t="s">
        <v>6</v>
      </c>
    </row>
    <row r="1243" spans="12:15" x14ac:dyDescent="0.45">
      <c r="L1243" t="s">
        <v>292</v>
      </c>
      <c r="M1243" t="s">
        <v>40</v>
      </c>
      <c r="N1243">
        <v>2.3023489610122294E-2</v>
      </c>
      <c r="O1243" t="s">
        <v>6</v>
      </c>
    </row>
    <row r="1244" spans="12:15" x14ac:dyDescent="0.45">
      <c r="L1244" t="s">
        <v>292</v>
      </c>
      <c r="M1244" t="s">
        <v>41</v>
      </c>
      <c r="N1244">
        <v>2.3120779882006386E-2</v>
      </c>
      <c r="O1244" t="s">
        <v>6</v>
      </c>
    </row>
    <row r="1245" spans="12:15" x14ac:dyDescent="0.45">
      <c r="L1245" t="s">
        <v>292</v>
      </c>
      <c r="M1245" t="s">
        <v>42</v>
      </c>
      <c r="N1245">
        <v>2.3392650250569844E-2</v>
      </c>
      <c r="O1245" t="s">
        <v>6</v>
      </c>
    </row>
    <row r="1246" spans="12:15" x14ac:dyDescent="0.45">
      <c r="L1246" t="s">
        <v>292</v>
      </c>
      <c r="M1246" t="s">
        <v>43</v>
      </c>
      <c r="N1246">
        <v>2.3555154030178219E-2</v>
      </c>
      <c r="O1246" t="s">
        <v>6</v>
      </c>
    </row>
    <row r="1247" spans="12:15" x14ac:dyDescent="0.45">
      <c r="L1247" t="s">
        <v>292</v>
      </c>
      <c r="M1247" t="s">
        <v>44</v>
      </c>
      <c r="N1247">
        <v>2.3586590564853561E-2</v>
      </c>
      <c r="O1247" t="s">
        <v>6</v>
      </c>
    </row>
    <row r="1248" spans="12:15" x14ac:dyDescent="0.45">
      <c r="L1248" t="s">
        <v>292</v>
      </c>
      <c r="M1248" t="s">
        <v>45</v>
      </c>
      <c r="N1248">
        <v>2.4193146607091702E-2</v>
      </c>
      <c r="O1248" t="s">
        <v>6</v>
      </c>
    </row>
    <row r="1249" spans="12:15" x14ac:dyDescent="0.45">
      <c r="L1249" t="s">
        <v>292</v>
      </c>
      <c r="M1249" t="s">
        <v>46</v>
      </c>
      <c r="N1249">
        <v>2.4914494429631711E-2</v>
      </c>
      <c r="O1249" t="s">
        <v>6</v>
      </c>
    </row>
    <row r="1250" spans="12:15" x14ac:dyDescent="0.45">
      <c r="L1250" t="s">
        <v>292</v>
      </c>
      <c r="M1250" t="s">
        <v>47</v>
      </c>
      <c r="N1250">
        <v>3.7766390011644384E-2</v>
      </c>
      <c r="O1250" t="s">
        <v>6</v>
      </c>
    </row>
    <row r="1251" spans="12:15" x14ac:dyDescent="0.45">
      <c r="L1251" t="s">
        <v>293</v>
      </c>
      <c r="M1251" t="s">
        <v>5</v>
      </c>
      <c r="N1251">
        <v>6.4222947088904234E-2</v>
      </c>
      <c r="O1251" t="s">
        <v>6</v>
      </c>
    </row>
    <row r="1252" spans="12:15" x14ac:dyDescent="0.45">
      <c r="L1252" t="s">
        <v>293</v>
      </c>
      <c r="M1252" t="s">
        <v>9</v>
      </c>
      <c r="N1252">
        <v>2.5477256292833202E-2</v>
      </c>
      <c r="O1252" t="s">
        <v>6</v>
      </c>
    </row>
    <row r="1253" spans="12:15" x14ac:dyDescent="0.45">
      <c r="L1253" t="s">
        <v>293</v>
      </c>
      <c r="M1253" t="s">
        <v>10</v>
      </c>
      <c r="N1253">
        <v>2.5892396901364297E-2</v>
      </c>
      <c r="O1253" t="s">
        <v>6</v>
      </c>
    </row>
    <row r="1254" spans="12:15" x14ac:dyDescent="0.45">
      <c r="L1254" t="s">
        <v>293</v>
      </c>
      <c r="M1254" t="s">
        <v>11</v>
      </c>
      <c r="N1254">
        <v>2.5629974566644162E-2</v>
      </c>
      <c r="O1254" t="s">
        <v>6</v>
      </c>
    </row>
    <row r="1255" spans="12:15" x14ac:dyDescent="0.45">
      <c r="L1255" t="s">
        <v>293</v>
      </c>
      <c r="M1255" t="s">
        <v>12</v>
      </c>
      <c r="N1255">
        <v>2.472670121577402E-2</v>
      </c>
      <c r="O1255" t="s">
        <v>6</v>
      </c>
    </row>
    <row r="1256" spans="12:15" x14ac:dyDescent="0.45">
      <c r="L1256" t="s">
        <v>293</v>
      </c>
      <c r="M1256" t="s">
        <v>13</v>
      </c>
      <c r="N1256">
        <v>2.4547758158322847E-2</v>
      </c>
      <c r="O1256" t="s">
        <v>6</v>
      </c>
    </row>
    <row r="1257" spans="12:15" x14ac:dyDescent="0.45">
      <c r="L1257" t="s">
        <v>293</v>
      </c>
      <c r="M1257" t="s">
        <v>14</v>
      </c>
      <c r="N1257">
        <v>2.4292417891621513E-2</v>
      </c>
      <c r="O1257" t="s">
        <v>6</v>
      </c>
    </row>
    <row r="1258" spans="12:15" x14ac:dyDescent="0.45">
      <c r="L1258" t="s">
        <v>293</v>
      </c>
      <c r="M1258" t="s">
        <v>15</v>
      </c>
      <c r="N1258">
        <v>2.469544430445705E-2</v>
      </c>
      <c r="O1258" t="s">
        <v>6</v>
      </c>
    </row>
    <row r="1259" spans="12:15" x14ac:dyDescent="0.45">
      <c r="L1259" t="s">
        <v>293</v>
      </c>
      <c r="M1259" t="s">
        <v>16</v>
      </c>
      <c r="N1259">
        <v>2.5360302779218347E-2</v>
      </c>
      <c r="O1259" t="s">
        <v>6</v>
      </c>
    </row>
    <row r="1260" spans="12:15" x14ac:dyDescent="0.45">
      <c r="L1260" t="s">
        <v>293</v>
      </c>
      <c r="M1260" t="s">
        <v>17</v>
      </c>
      <c r="N1260">
        <v>3.8437975256157865E-2</v>
      </c>
      <c r="O1260" t="s">
        <v>6</v>
      </c>
    </row>
    <row r="1261" spans="12:15" x14ac:dyDescent="0.45">
      <c r="L1261" t="s">
        <v>293</v>
      </c>
      <c r="M1261" t="s">
        <v>18</v>
      </c>
      <c r="N1261">
        <v>5.0422068539874257E-2</v>
      </c>
      <c r="O1261" t="s">
        <v>6</v>
      </c>
    </row>
    <row r="1262" spans="12:15" x14ac:dyDescent="0.45">
      <c r="L1262" t="s">
        <v>293</v>
      </c>
      <c r="M1262" t="s">
        <v>19</v>
      </c>
      <c r="N1262">
        <v>1.9007472912283434E-2</v>
      </c>
      <c r="O1262" t="s">
        <v>6</v>
      </c>
    </row>
    <row r="1263" spans="12:15" x14ac:dyDescent="0.45">
      <c r="L1263" t="s">
        <v>293</v>
      </c>
      <c r="M1263" t="s">
        <v>20</v>
      </c>
      <c r="N1263">
        <v>1.8485351597915135E-2</v>
      </c>
      <c r="O1263" t="s">
        <v>6</v>
      </c>
    </row>
    <row r="1264" spans="12:15" x14ac:dyDescent="0.45">
      <c r="L1264" t="s">
        <v>293</v>
      </c>
      <c r="M1264" t="s">
        <v>21</v>
      </c>
      <c r="N1264">
        <v>1.8256608905127068E-2</v>
      </c>
      <c r="O1264" t="s">
        <v>6</v>
      </c>
    </row>
    <row r="1265" spans="12:15" x14ac:dyDescent="0.45">
      <c r="L1265" t="s">
        <v>293</v>
      </c>
      <c r="M1265" t="s">
        <v>22</v>
      </c>
      <c r="N1265">
        <v>1.8359691915652405E-2</v>
      </c>
      <c r="O1265" t="s">
        <v>6</v>
      </c>
    </row>
    <row r="1266" spans="12:15" x14ac:dyDescent="0.45">
      <c r="L1266" t="s">
        <v>293</v>
      </c>
      <c r="M1266" t="s">
        <v>23</v>
      </c>
      <c r="N1266">
        <v>1.9077115207726571E-2</v>
      </c>
      <c r="O1266" t="s">
        <v>6</v>
      </c>
    </row>
    <row r="1267" spans="12:15" x14ac:dyDescent="0.45">
      <c r="L1267" t="s">
        <v>293</v>
      </c>
      <c r="M1267" t="s">
        <v>24</v>
      </c>
      <c r="N1267">
        <v>2.0077766656327545E-2</v>
      </c>
      <c r="O1267" t="s">
        <v>6</v>
      </c>
    </row>
    <row r="1268" spans="12:15" x14ac:dyDescent="0.45">
      <c r="L1268" t="s">
        <v>293</v>
      </c>
      <c r="M1268" t="s">
        <v>25</v>
      </c>
      <c r="N1268">
        <v>2.0861747839870999E-2</v>
      </c>
      <c r="O1268" t="s">
        <v>6</v>
      </c>
    </row>
    <row r="1269" spans="12:15" x14ac:dyDescent="0.45">
      <c r="L1269" t="s">
        <v>293</v>
      </c>
      <c r="M1269" t="s">
        <v>26</v>
      </c>
      <c r="N1269">
        <v>2.11044884992703E-2</v>
      </c>
      <c r="O1269" t="s">
        <v>6</v>
      </c>
    </row>
    <row r="1270" spans="12:15" x14ac:dyDescent="0.45">
      <c r="L1270" t="s">
        <v>293</v>
      </c>
      <c r="M1270" t="s">
        <v>27</v>
      </c>
      <c r="N1270">
        <v>3.1468267218777442E-2</v>
      </c>
      <c r="O1270" t="s">
        <v>6</v>
      </c>
    </row>
    <row r="1271" spans="12:15" x14ac:dyDescent="0.45">
      <c r="L1271" t="s">
        <v>293</v>
      </c>
      <c r="M1271" t="s">
        <v>28</v>
      </c>
      <c r="N1271">
        <v>3.6226571131988079E-2</v>
      </c>
      <c r="O1271" t="s">
        <v>6</v>
      </c>
    </row>
    <row r="1272" spans="12:15" x14ac:dyDescent="0.45">
      <c r="L1272" t="s">
        <v>293</v>
      </c>
      <c r="M1272" t="s">
        <v>29</v>
      </c>
      <c r="N1272">
        <v>1.4770146292648372E-2</v>
      </c>
      <c r="O1272" t="s">
        <v>6</v>
      </c>
    </row>
    <row r="1273" spans="12:15" x14ac:dyDescent="0.45">
      <c r="L1273" t="s">
        <v>293</v>
      </c>
      <c r="M1273" t="s">
        <v>30</v>
      </c>
      <c r="N1273">
        <v>1.4930187090505649E-2</v>
      </c>
      <c r="O1273" t="s">
        <v>6</v>
      </c>
    </row>
    <row r="1274" spans="12:15" x14ac:dyDescent="0.45">
      <c r="L1274" t="s">
        <v>293</v>
      </c>
      <c r="M1274" t="s">
        <v>31</v>
      </c>
      <c r="N1274">
        <v>1.4859203427916773E-2</v>
      </c>
      <c r="O1274" t="s">
        <v>6</v>
      </c>
    </row>
    <row r="1275" spans="12:15" x14ac:dyDescent="0.45">
      <c r="L1275" t="s">
        <v>293</v>
      </c>
      <c r="M1275" t="s">
        <v>32</v>
      </c>
      <c r="N1275">
        <v>1.464464647465195E-2</v>
      </c>
      <c r="O1275" t="s">
        <v>6</v>
      </c>
    </row>
    <row r="1276" spans="12:15" x14ac:dyDescent="0.45">
      <c r="L1276" t="s">
        <v>293</v>
      </c>
      <c r="M1276" t="s">
        <v>33</v>
      </c>
      <c r="N1276">
        <v>1.4569588316512259E-2</v>
      </c>
      <c r="O1276" t="s">
        <v>6</v>
      </c>
    </row>
    <row r="1277" spans="12:15" x14ac:dyDescent="0.45">
      <c r="L1277" t="s">
        <v>293</v>
      </c>
      <c r="M1277" t="s">
        <v>34</v>
      </c>
      <c r="N1277">
        <v>1.481761240433397E-2</v>
      </c>
      <c r="O1277" t="s">
        <v>6</v>
      </c>
    </row>
    <row r="1278" spans="12:15" x14ac:dyDescent="0.45">
      <c r="L1278" t="s">
        <v>293</v>
      </c>
      <c r="M1278" t="s">
        <v>35</v>
      </c>
      <c r="N1278">
        <v>1.4997467154351589E-2</v>
      </c>
      <c r="O1278" t="s">
        <v>6</v>
      </c>
    </row>
    <row r="1279" spans="12:15" x14ac:dyDescent="0.45">
      <c r="L1279" t="s">
        <v>293</v>
      </c>
      <c r="M1279" t="s">
        <v>36</v>
      </c>
      <c r="N1279">
        <v>1.4984027621641765E-2</v>
      </c>
      <c r="O1279" t="s">
        <v>6</v>
      </c>
    </row>
    <row r="1280" spans="12:15" x14ac:dyDescent="0.45">
      <c r="L1280" t="s">
        <v>293</v>
      </c>
      <c r="M1280" t="s">
        <v>37</v>
      </c>
      <c r="N1280">
        <v>2.1895016542535579E-2</v>
      </c>
      <c r="O1280" t="s">
        <v>6</v>
      </c>
    </row>
    <row r="1281" spans="12:15" x14ac:dyDescent="0.45">
      <c r="L1281" t="s">
        <v>293</v>
      </c>
      <c r="M1281" t="s">
        <v>38</v>
      </c>
      <c r="N1281">
        <v>5.9605682761976531E-2</v>
      </c>
      <c r="O1281" t="s">
        <v>6</v>
      </c>
    </row>
    <row r="1282" spans="12:15" x14ac:dyDescent="0.45">
      <c r="L1282" t="s">
        <v>293</v>
      </c>
      <c r="M1282" t="s">
        <v>39</v>
      </c>
      <c r="N1282">
        <v>2.331318334645718E-2</v>
      </c>
      <c r="O1282" t="s">
        <v>6</v>
      </c>
    </row>
    <row r="1283" spans="12:15" x14ac:dyDescent="0.45">
      <c r="L1283" t="s">
        <v>293</v>
      </c>
      <c r="M1283" t="s">
        <v>40</v>
      </c>
      <c r="N1283">
        <v>2.3328113899355733E-2</v>
      </c>
      <c r="O1283" t="s">
        <v>6</v>
      </c>
    </row>
    <row r="1284" spans="12:15" x14ac:dyDescent="0.45">
      <c r="L1284" t="s">
        <v>293</v>
      </c>
      <c r="M1284" t="s">
        <v>41</v>
      </c>
      <c r="N1284">
        <v>2.3059852576897855E-2</v>
      </c>
      <c r="O1284" t="s">
        <v>6</v>
      </c>
    </row>
    <row r="1285" spans="12:15" x14ac:dyDescent="0.45">
      <c r="L1285" t="s">
        <v>293</v>
      </c>
      <c r="M1285" t="s">
        <v>42</v>
      </c>
      <c r="N1285">
        <v>2.2914258620718275E-2</v>
      </c>
      <c r="O1285" t="s">
        <v>6</v>
      </c>
    </row>
    <row r="1286" spans="12:15" x14ac:dyDescent="0.45">
      <c r="L1286" t="s">
        <v>293</v>
      </c>
      <c r="M1286" t="s">
        <v>43</v>
      </c>
      <c r="N1286">
        <v>2.3053108026554532E-2</v>
      </c>
      <c r="O1286" t="s">
        <v>6</v>
      </c>
    </row>
    <row r="1287" spans="12:15" x14ac:dyDescent="0.45">
      <c r="L1287" t="s">
        <v>293</v>
      </c>
      <c r="M1287" t="s">
        <v>44</v>
      </c>
      <c r="N1287">
        <v>2.3072331033082753E-2</v>
      </c>
      <c r="O1287" t="s">
        <v>6</v>
      </c>
    </row>
    <row r="1288" spans="12:15" x14ac:dyDescent="0.45">
      <c r="L1288" t="s">
        <v>293</v>
      </c>
      <c r="M1288" t="s">
        <v>45</v>
      </c>
      <c r="N1288">
        <v>2.3540189090543496E-2</v>
      </c>
      <c r="O1288" t="s">
        <v>6</v>
      </c>
    </row>
    <row r="1289" spans="12:15" x14ac:dyDescent="0.45">
      <c r="L1289" t="s">
        <v>293</v>
      </c>
      <c r="M1289" t="s">
        <v>46</v>
      </c>
      <c r="N1289">
        <v>2.430430995117764E-2</v>
      </c>
      <c r="O1289" t="s">
        <v>6</v>
      </c>
    </row>
    <row r="1290" spans="12:15" x14ac:dyDescent="0.45">
      <c r="L1290" t="s">
        <v>293</v>
      </c>
      <c r="M1290" t="s">
        <v>47</v>
      </c>
      <c r="N1290">
        <v>3.6710750488025912E-2</v>
      </c>
      <c r="O1290" t="s">
        <v>6</v>
      </c>
    </row>
    <row r="1291" spans="12:15" x14ac:dyDescent="0.45">
      <c r="L1291" t="s">
        <v>294</v>
      </c>
      <c r="M1291" t="s">
        <v>5</v>
      </c>
      <c r="N1291">
        <v>6.1193495851470707E-2</v>
      </c>
      <c r="O1291" t="s">
        <v>6</v>
      </c>
    </row>
    <row r="1292" spans="12:15" x14ac:dyDescent="0.45">
      <c r="L1292" t="s">
        <v>294</v>
      </c>
      <c r="M1292" t="s">
        <v>9</v>
      </c>
      <c r="N1292">
        <v>2.3658112087039312E-2</v>
      </c>
      <c r="O1292" t="s">
        <v>6</v>
      </c>
    </row>
    <row r="1293" spans="12:15" x14ac:dyDescent="0.45">
      <c r="L1293" t="s">
        <v>294</v>
      </c>
      <c r="M1293" t="s">
        <v>10</v>
      </c>
      <c r="N1293">
        <v>2.441334790989929E-2</v>
      </c>
      <c r="O1293" t="s">
        <v>6</v>
      </c>
    </row>
    <row r="1294" spans="12:15" x14ac:dyDescent="0.45">
      <c r="L1294" t="s">
        <v>294</v>
      </c>
      <c r="M1294" t="s">
        <v>11</v>
      </c>
      <c r="N1294">
        <v>2.4633514184378744E-2</v>
      </c>
      <c r="O1294" t="s">
        <v>6</v>
      </c>
    </row>
    <row r="1295" spans="12:15" x14ac:dyDescent="0.45">
      <c r="L1295" t="s">
        <v>294</v>
      </c>
      <c r="M1295" t="s">
        <v>12</v>
      </c>
      <c r="N1295">
        <v>2.4444168151296724E-2</v>
      </c>
      <c r="O1295" t="s">
        <v>6</v>
      </c>
    </row>
    <row r="1296" spans="12:15" x14ac:dyDescent="0.45">
      <c r="L1296" t="s">
        <v>294</v>
      </c>
      <c r="M1296" t="s">
        <v>13</v>
      </c>
      <c r="N1296">
        <v>2.4055894253001208E-2</v>
      </c>
      <c r="O1296" t="s">
        <v>6</v>
      </c>
    </row>
    <row r="1297" spans="12:15" x14ac:dyDescent="0.45">
      <c r="L1297" t="s">
        <v>294</v>
      </c>
      <c r="M1297" t="s">
        <v>14</v>
      </c>
      <c r="N1297">
        <v>2.3816539159268672E-2</v>
      </c>
      <c r="O1297" t="s">
        <v>6</v>
      </c>
    </row>
    <row r="1298" spans="12:15" x14ac:dyDescent="0.45">
      <c r="L1298" t="s">
        <v>294</v>
      </c>
      <c r="M1298" t="s">
        <v>15</v>
      </c>
      <c r="N1298">
        <v>2.3708956889951439E-2</v>
      </c>
      <c r="O1298" t="s">
        <v>6</v>
      </c>
    </row>
    <row r="1299" spans="12:15" x14ac:dyDescent="0.45">
      <c r="L1299" t="s">
        <v>294</v>
      </c>
      <c r="M1299" t="s">
        <v>16</v>
      </c>
      <c r="N1299">
        <v>2.4512047431793374E-2</v>
      </c>
      <c r="O1299" t="s">
        <v>6</v>
      </c>
    </row>
    <row r="1300" spans="12:15" x14ac:dyDescent="0.45">
      <c r="L1300" t="s">
        <v>294</v>
      </c>
      <c r="M1300" t="s">
        <v>17</v>
      </c>
      <c r="N1300">
        <v>3.7877249024216228E-2</v>
      </c>
      <c r="O1300" t="s">
        <v>6</v>
      </c>
    </row>
    <row r="1301" spans="12:15" x14ac:dyDescent="0.45">
      <c r="L1301" t="s">
        <v>294</v>
      </c>
      <c r="M1301" t="s">
        <v>18</v>
      </c>
      <c r="N1301">
        <v>5.1805783438742398E-2</v>
      </c>
      <c r="O1301" t="s">
        <v>6</v>
      </c>
    </row>
    <row r="1302" spans="12:15" x14ac:dyDescent="0.45">
      <c r="L1302" t="s">
        <v>294</v>
      </c>
      <c r="M1302" t="s">
        <v>19</v>
      </c>
      <c r="N1302">
        <v>1.9999931330850595E-2</v>
      </c>
      <c r="O1302" t="s">
        <v>6</v>
      </c>
    </row>
    <row r="1303" spans="12:15" x14ac:dyDescent="0.45">
      <c r="L1303" t="s">
        <v>294</v>
      </c>
      <c r="M1303" t="s">
        <v>20</v>
      </c>
      <c r="N1303">
        <v>1.934636295162636E-2</v>
      </c>
      <c r="O1303" t="s">
        <v>6</v>
      </c>
    </row>
    <row r="1304" spans="12:15" x14ac:dyDescent="0.45">
      <c r="L1304" t="s">
        <v>294</v>
      </c>
      <c r="M1304" t="s">
        <v>21</v>
      </c>
      <c r="N1304">
        <v>1.8895649070012628E-2</v>
      </c>
      <c r="O1304" t="s">
        <v>6</v>
      </c>
    </row>
    <row r="1305" spans="12:15" x14ac:dyDescent="0.45">
      <c r="L1305" t="s">
        <v>294</v>
      </c>
      <c r="M1305" t="s">
        <v>22</v>
      </c>
      <c r="N1305">
        <v>1.8547944806062724E-2</v>
      </c>
      <c r="O1305" t="s">
        <v>6</v>
      </c>
    </row>
    <row r="1306" spans="12:15" x14ac:dyDescent="0.45">
      <c r="L1306" t="s">
        <v>294</v>
      </c>
      <c r="M1306" t="s">
        <v>23</v>
      </c>
      <c r="N1306">
        <v>1.8788092712386528E-2</v>
      </c>
      <c r="O1306" t="s">
        <v>6</v>
      </c>
    </row>
    <row r="1307" spans="12:15" x14ac:dyDescent="0.45">
      <c r="L1307" t="s">
        <v>294</v>
      </c>
      <c r="M1307" t="s">
        <v>24</v>
      </c>
      <c r="N1307">
        <v>1.9586182660381514E-2</v>
      </c>
      <c r="O1307" t="s">
        <v>6</v>
      </c>
    </row>
    <row r="1308" spans="12:15" x14ac:dyDescent="0.45">
      <c r="L1308" t="s">
        <v>294</v>
      </c>
      <c r="M1308" t="s">
        <v>25</v>
      </c>
      <c r="N1308">
        <v>2.0478456123007131E-2</v>
      </c>
      <c r="O1308" t="s">
        <v>6</v>
      </c>
    </row>
    <row r="1309" spans="12:15" x14ac:dyDescent="0.45">
      <c r="L1309" t="s">
        <v>294</v>
      </c>
      <c r="M1309" t="s">
        <v>26</v>
      </c>
      <c r="N1309">
        <v>2.0931258566907415E-2</v>
      </c>
      <c r="O1309" t="s">
        <v>6</v>
      </c>
    </row>
    <row r="1310" spans="12:15" x14ac:dyDescent="0.45">
      <c r="L1310" t="s">
        <v>294</v>
      </c>
      <c r="M1310" t="s">
        <v>27</v>
      </c>
      <c r="N1310">
        <v>3.1544643765063454E-2</v>
      </c>
      <c r="O1310" t="s">
        <v>6</v>
      </c>
    </row>
    <row r="1311" spans="12:15" x14ac:dyDescent="0.45">
      <c r="L1311" t="s">
        <v>294</v>
      </c>
      <c r="M1311" t="s">
        <v>28</v>
      </c>
      <c r="N1311">
        <v>3.915080843402443E-2</v>
      </c>
      <c r="O1311" t="s">
        <v>6</v>
      </c>
    </row>
    <row r="1312" spans="12:15" x14ac:dyDescent="0.45">
      <c r="L1312" t="s">
        <v>294</v>
      </c>
      <c r="M1312" t="s">
        <v>29</v>
      </c>
      <c r="N1312">
        <v>1.5914559045703137E-2</v>
      </c>
      <c r="O1312" t="s">
        <v>6</v>
      </c>
    </row>
    <row r="1313" spans="12:15" x14ac:dyDescent="0.45">
      <c r="L1313" t="s">
        <v>294</v>
      </c>
      <c r="M1313" t="s">
        <v>30</v>
      </c>
      <c r="N1313">
        <v>1.6233813271840297E-2</v>
      </c>
      <c r="O1313" t="s">
        <v>6</v>
      </c>
    </row>
    <row r="1314" spans="12:15" x14ac:dyDescent="0.45">
      <c r="L1314" t="s">
        <v>294</v>
      </c>
      <c r="M1314" t="s">
        <v>31</v>
      </c>
      <c r="N1314">
        <v>1.6190916012271451E-2</v>
      </c>
      <c r="O1314" t="s">
        <v>6</v>
      </c>
    </row>
    <row r="1315" spans="12:15" x14ac:dyDescent="0.45">
      <c r="L1315" t="s">
        <v>294</v>
      </c>
      <c r="M1315" t="s">
        <v>32</v>
      </c>
      <c r="N1315">
        <v>1.6169835634096304E-2</v>
      </c>
      <c r="O1315" t="s">
        <v>6</v>
      </c>
    </row>
    <row r="1316" spans="12:15" x14ac:dyDescent="0.45">
      <c r="L1316" t="s">
        <v>294</v>
      </c>
      <c r="M1316" t="s">
        <v>33</v>
      </c>
      <c r="N1316">
        <v>1.6108328268394395E-2</v>
      </c>
      <c r="O1316" t="s">
        <v>6</v>
      </c>
    </row>
    <row r="1317" spans="12:15" x14ac:dyDescent="0.45">
      <c r="L1317" t="s">
        <v>294</v>
      </c>
      <c r="M1317" t="s">
        <v>34</v>
      </c>
      <c r="N1317">
        <v>1.5405597828496769E-2</v>
      </c>
      <c r="O1317" t="s">
        <v>6</v>
      </c>
    </row>
    <row r="1318" spans="12:15" x14ac:dyDescent="0.45">
      <c r="L1318" t="s">
        <v>294</v>
      </c>
      <c r="M1318" t="s">
        <v>35</v>
      </c>
      <c r="N1318">
        <v>1.5048987717339165E-2</v>
      </c>
      <c r="O1318" t="s">
        <v>6</v>
      </c>
    </row>
    <row r="1319" spans="12:15" x14ac:dyDescent="0.45">
      <c r="L1319" t="s">
        <v>294</v>
      </c>
      <c r="M1319" t="s">
        <v>36</v>
      </c>
      <c r="N1319">
        <v>1.5160818627139288E-2</v>
      </c>
      <c r="O1319" t="s">
        <v>6</v>
      </c>
    </row>
    <row r="1320" spans="12:15" x14ac:dyDescent="0.45">
      <c r="L1320" t="s">
        <v>294</v>
      </c>
      <c r="M1320" t="s">
        <v>37</v>
      </c>
      <c r="N1320">
        <v>2.3285083617512504E-2</v>
      </c>
      <c r="O1320" t="s">
        <v>6</v>
      </c>
    </row>
    <row r="1321" spans="12:15" x14ac:dyDescent="0.45">
      <c r="L1321" t="s">
        <v>294</v>
      </c>
      <c r="M1321" t="s">
        <v>38</v>
      </c>
      <c r="N1321">
        <v>5.9715591490070052E-2</v>
      </c>
      <c r="O1321" t="s">
        <v>6</v>
      </c>
    </row>
    <row r="1322" spans="12:15" x14ac:dyDescent="0.45">
      <c r="L1322" t="s">
        <v>294</v>
      </c>
      <c r="M1322" t="s">
        <v>39</v>
      </c>
      <c r="N1322">
        <v>2.3414587465370791E-2</v>
      </c>
      <c r="O1322" t="s">
        <v>6</v>
      </c>
    </row>
    <row r="1323" spans="12:15" x14ac:dyDescent="0.45">
      <c r="L1323" t="s">
        <v>294</v>
      </c>
      <c r="M1323" t="s">
        <v>40</v>
      </c>
      <c r="N1323">
        <v>2.3622924293938061E-2</v>
      </c>
      <c r="O1323" t="s">
        <v>6</v>
      </c>
    </row>
    <row r="1324" spans="12:15" x14ac:dyDescent="0.45">
      <c r="L1324" t="s">
        <v>294</v>
      </c>
      <c r="M1324" t="s">
        <v>41</v>
      </c>
      <c r="N1324">
        <v>2.314634389052906E-2</v>
      </c>
      <c r="O1324" t="s">
        <v>6</v>
      </c>
    </row>
    <row r="1325" spans="12:15" x14ac:dyDescent="0.45">
      <c r="L1325" t="s">
        <v>294</v>
      </c>
      <c r="M1325" t="s">
        <v>42</v>
      </c>
      <c r="N1325">
        <v>2.2337668613015345E-2</v>
      </c>
      <c r="O1325" t="s">
        <v>6</v>
      </c>
    </row>
    <row r="1326" spans="12:15" x14ac:dyDescent="0.45">
      <c r="L1326" t="s">
        <v>294</v>
      </c>
      <c r="M1326" t="s">
        <v>43</v>
      </c>
      <c r="N1326">
        <v>2.2228154719481107E-2</v>
      </c>
      <c r="O1326" t="s">
        <v>6</v>
      </c>
    </row>
    <row r="1327" spans="12:15" x14ac:dyDescent="0.45">
      <c r="L1327" t="s">
        <v>294</v>
      </c>
      <c r="M1327" t="s">
        <v>44</v>
      </c>
      <c r="N1327">
        <v>2.2627382133383538E-2</v>
      </c>
      <c r="O1327" t="s">
        <v>6</v>
      </c>
    </row>
    <row r="1328" spans="12:15" x14ac:dyDescent="0.45">
      <c r="L1328" t="s">
        <v>294</v>
      </c>
      <c r="M1328" t="s">
        <v>45</v>
      </c>
      <c r="N1328">
        <v>2.2895304564869823E-2</v>
      </c>
      <c r="O1328" t="s">
        <v>6</v>
      </c>
    </row>
    <row r="1329" spans="12:15" x14ac:dyDescent="0.45">
      <c r="L1329" t="s">
        <v>294</v>
      </c>
      <c r="M1329" t="s">
        <v>46</v>
      </c>
      <c r="N1329">
        <v>2.3597855714799193E-2</v>
      </c>
      <c r="O1329" t="s">
        <v>6</v>
      </c>
    </row>
    <row r="1330" spans="12:15" x14ac:dyDescent="0.45">
      <c r="L1330" t="s">
        <v>294</v>
      </c>
      <c r="M1330" t="s">
        <v>47</v>
      </c>
      <c r="N1330">
        <v>3.5507808290368433E-2</v>
      </c>
      <c r="O1330" t="s">
        <v>6</v>
      </c>
    </row>
    <row r="1331" spans="12:15" x14ac:dyDescent="0.45">
      <c r="L1331" t="s">
        <v>295</v>
      </c>
      <c r="M1331" t="s">
        <v>5</v>
      </c>
      <c r="N1331">
        <v>6.3868493723405043E-2</v>
      </c>
      <c r="O1331" t="s">
        <v>6</v>
      </c>
    </row>
    <row r="1332" spans="12:15" x14ac:dyDescent="0.45">
      <c r="L1332" t="s">
        <v>295</v>
      </c>
      <c r="M1332" t="s">
        <v>9</v>
      </c>
      <c r="N1332">
        <v>2.5327535022184024E-2</v>
      </c>
      <c r="O1332" t="s">
        <v>6</v>
      </c>
    </row>
    <row r="1333" spans="12:15" x14ac:dyDescent="0.45">
      <c r="L1333" t="s">
        <v>295</v>
      </c>
      <c r="M1333" t="s">
        <v>10</v>
      </c>
      <c r="N1333">
        <v>2.5730803304513807E-2</v>
      </c>
      <c r="O1333" t="s">
        <v>6</v>
      </c>
    </row>
    <row r="1334" spans="12:15" x14ac:dyDescent="0.45">
      <c r="L1334" t="s">
        <v>295</v>
      </c>
      <c r="M1334" t="s">
        <v>11</v>
      </c>
      <c r="N1334">
        <v>2.5835639977664224E-2</v>
      </c>
      <c r="O1334" t="s">
        <v>6</v>
      </c>
    </row>
    <row r="1335" spans="12:15" x14ac:dyDescent="0.45">
      <c r="L1335" t="s">
        <v>295</v>
      </c>
      <c r="M1335" t="s">
        <v>12</v>
      </c>
      <c r="N1335">
        <v>2.5427659367007444E-2</v>
      </c>
      <c r="O1335" t="s">
        <v>6</v>
      </c>
    </row>
    <row r="1336" spans="12:15" x14ac:dyDescent="0.45">
      <c r="L1336" t="s">
        <v>295</v>
      </c>
      <c r="M1336" t="s">
        <v>13</v>
      </c>
      <c r="N1336">
        <v>2.4738965250295834E-2</v>
      </c>
      <c r="O1336" t="s">
        <v>6</v>
      </c>
    </row>
    <row r="1337" spans="12:15" x14ac:dyDescent="0.45">
      <c r="L1337" t="s">
        <v>295</v>
      </c>
      <c r="M1337" t="s">
        <v>14</v>
      </c>
      <c r="N1337">
        <v>2.4352375903099462E-2</v>
      </c>
      <c r="O1337" t="s">
        <v>6</v>
      </c>
    </row>
    <row r="1338" spans="12:15" x14ac:dyDescent="0.45">
      <c r="L1338" t="s">
        <v>295</v>
      </c>
      <c r="M1338" t="s">
        <v>15</v>
      </c>
      <c r="N1338">
        <v>2.4496790498121958E-2</v>
      </c>
      <c r="O1338" t="s">
        <v>6</v>
      </c>
    </row>
    <row r="1339" spans="12:15" x14ac:dyDescent="0.45">
      <c r="L1339" t="s">
        <v>295</v>
      </c>
      <c r="M1339" t="s">
        <v>16</v>
      </c>
      <c r="N1339">
        <v>2.4819834326949598E-2</v>
      </c>
      <c r="O1339" t="s">
        <v>6</v>
      </c>
    </row>
    <row r="1340" spans="12:15" x14ac:dyDescent="0.45">
      <c r="L1340" t="s">
        <v>295</v>
      </c>
      <c r="M1340" t="s">
        <v>17</v>
      </c>
      <c r="N1340">
        <v>3.7701008084154462E-2</v>
      </c>
      <c r="O1340" t="s">
        <v>6</v>
      </c>
    </row>
    <row r="1341" spans="12:15" x14ac:dyDescent="0.45">
      <c r="L1341" t="s">
        <v>295</v>
      </c>
      <c r="M1341" t="s">
        <v>18</v>
      </c>
      <c r="N1341">
        <v>5.314923981525279E-2</v>
      </c>
      <c r="O1341" t="s">
        <v>6</v>
      </c>
    </row>
    <row r="1342" spans="12:15" x14ac:dyDescent="0.45">
      <c r="L1342" t="s">
        <v>295</v>
      </c>
      <c r="M1342" t="s">
        <v>19</v>
      </c>
      <c r="N1342">
        <v>2.0867189782736512E-2</v>
      </c>
      <c r="O1342" t="s">
        <v>6</v>
      </c>
    </row>
    <row r="1343" spans="12:15" x14ac:dyDescent="0.45">
      <c r="L1343" t="s">
        <v>295</v>
      </c>
      <c r="M1343" t="s">
        <v>20</v>
      </c>
      <c r="N1343">
        <v>2.0491785039055698E-2</v>
      </c>
      <c r="O1343" t="s">
        <v>6</v>
      </c>
    </row>
    <row r="1344" spans="12:15" x14ac:dyDescent="0.45">
      <c r="L1344" t="s">
        <v>295</v>
      </c>
      <c r="M1344" t="s">
        <v>21</v>
      </c>
      <c r="N1344">
        <v>2.0075223445657656E-2</v>
      </c>
      <c r="O1344" t="s">
        <v>6</v>
      </c>
    </row>
    <row r="1345" spans="12:15" x14ac:dyDescent="0.45">
      <c r="L1345" t="s">
        <v>295</v>
      </c>
      <c r="M1345" t="s">
        <v>22</v>
      </c>
      <c r="N1345">
        <v>1.9641429832130339E-2</v>
      </c>
      <c r="O1345" t="s">
        <v>6</v>
      </c>
    </row>
    <row r="1346" spans="12:15" x14ac:dyDescent="0.45">
      <c r="L1346" t="s">
        <v>295</v>
      </c>
      <c r="M1346" t="s">
        <v>23</v>
      </c>
      <c r="N1346">
        <v>1.9664286049267808E-2</v>
      </c>
      <c r="O1346" t="s">
        <v>6</v>
      </c>
    </row>
    <row r="1347" spans="12:15" x14ac:dyDescent="0.45">
      <c r="L1347" t="s">
        <v>295</v>
      </c>
      <c r="M1347" t="s">
        <v>24</v>
      </c>
      <c r="N1347">
        <v>1.9835315987295061E-2</v>
      </c>
      <c r="O1347" t="s">
        <v>6</v>
      </c>
    </row>
    <row r="1348" spans="12:15" x14ac:dyDescent="0.45">
      <c r="L1348" t="s">
        <v>295</v>
      </c>
      <c r="M1348" t="s">
        <v>25</v>
      </c>
      <c r="N1348">
        <v>2.0280571163191489E-2</v>
      </c>
      <c r="O1348" t="s">
        <v>6</v>
      </c>
    </row>
    <row r="1349" spans="12:15" x14ac:dyDescent="0.45">
      <c r="L1349" t="s">
        <v>295</v>
      </c>
      <c r="M1349" t="s">
        <v>26</v>
      </c>
      <c r="N1349">
        <v>2.1178585935776092E-2</v>
      </c>
      <c r="O1349" t="s">
        <v>6</v>
      </c>
    </row>
    <row r="1350" spans="12:15" x14ac:dyDescent="0.45">
      <c r="L1350" t="s">
        <v>295</v>
      </c>
      <c r="M1350" t="s">
        <v>27</v>
      </c>
      <c r="N1350">
        <v>3.2249320743331381E-2</v>
      </c>
      <c r="O1350" t="s">
        <v>6</v>
      </c>
    </row>
    <row r="1351" spans="12:15" x14ac:dyDescent="0.45">
      <c r="L1351" t="s">
        <v>295</v>
      </c>
      <c r="M1351" t="s">
        <v>28</v>
      </c>
      <c r="N1351">
        <v>3.3718568297803751E-2</v>
      </c>
      <c r="O1351" t="s">
        <v>6</v>
      </c>
    </row>
    <row r="1352" spans="12:15" x14ac:dyDescent="0.45">
      <c r="L1352" t="s">
        <v>295</v>
      </c>
      <c r="M1352" t="s">
        <v>29</v>
      </c>
      <c r="N1352">
        <v>1.3788088072921333E-2</v>
      </c>
      <c r="O1352" t="s">
        <v>6</v>
      </c>
    </row>
    <row r="1353" spans="12:15" x14ac:dyDescent="0.45">
      <c r="L1353" t="s">
        <v>295</v>
      </c>
      <c r="M1353" t="s">
        <v>30</v>
      </c>
      <c r="N1353">
        <v>1.4270338489628687E-2</v>
      </c>
      <c r="O1353" t="s">
        <v>6</v>
      </c>
    </row>
    <row r="1354" spans="12:15" x14ac:dyDescent="0.45">
      <c r="L1354" t="s">
        <v>295</v>
      </c>
      <c r="M1354" t="s">
        <v>31</v>
      </c>
      <c r="N1354">
        <v>1.4068648980732845E-2</v>
      </c>
      <c r="O1354" t="s">
        <v>6</v>
      </c>
    </row>
    <row r="1355" spans="12:15" x14ac:dyDescent="0.45">
      <c r="L1355" t="s">
        <v>295</v>
      </c>
      <c r="M1355" t="s">
        <v>32</v>
      </c>
      <c r="N1355">
        <v>1.3153648770372875E-2</v>
      </c>
      <c r="O1355" t="s">
        <v>6</v>
      </c>
    </row>
    <row r="1356" spans="12:15" x14ac:dyDescent="0.45">
      <c r="L1356" t="s">
        <v>295</v>
      </c>
      <c r="M1356" t="s">
        <v>33</v>
      </c>
      <c r="N1356">
        <v>1.2670160046359926E-2</v>
      </c>
      <c r="O1356" t="s">
        <v>6</v>
      </c>
    </row>
    <row r="1357" spans="12:15" x14ac:dyDescent="0.45">
      <c r="L1357" t="s">
        <v>295</v>
      </c>
      <c r="M1357" t="s">
        <v>34</v>
      </c>
      <c r="N1357">
        <v>1.2998081044267957E-2</v>
      </c>
      <c r="O1357" t="s">
        <v>6</v>
      </c>
    </row>
    <row r="1358" spans="12:15" x14ac:dyDescent="0.45">
      <c r="L1358" t="s">
        <v>295</v>
      </c>
      <c r="M1358" t="s">
        <v>35</v>
      </c>
      <c r="N1358">
        <v>1.3622683554690988E-2</v>
      </c>
      <c r="O1358" t="s">
        <v>6</v>
      </c>
    </row>
    <row r="1359" spans="12:15" x14ac:dyDescent="0.45">
      <c r="L1359" t="s">
        <v>295</v>
      </c>
      <c r="M1359" t="s">
        <v>36</v>
      </c>
      <c r="N1359">
        <v>1.4135203101877453E-2</v>
      </c>
      <c r="O1359" t="s">
        <v>6</v>
      </c>
    </row>
    <row r="1360" spans="12:15" x14ac:dyDescent="0.45">
      <c r="L1360" t="s">
        <v>295</v>
      </c>
      <c r="M1360" t="s">
        <v>37</v>
      </c>
      <c r="N1360">
        <v>2.1143002428524106E-2</v>
      </c>
      <c r="O1360" t="s">
        <v>6</v>
      </c>
    </row>
    <row r="1361" spans="12:15" x14ac:dyDescent="0.45">
      <c r="L1361" t="s">
        <v>295</v>
      </c>
      <c r="M1361" t="s">
        <v>38</v>
      </c>
      <c r="N1361">
        <v>6.0580295584882406E-2</v>
      </c>
      <c r="O1361" t="s">
        <v>6</v>
      </c>
    </row>
    <row r="1362" spans="12:15" x14ac:dyDescent="0.45">
      <c r="L1362" t="s">
        <v>295</v>
      </c>
      <c r="M1362" t="s">
        <v>39</v>
      </c>
      <c r="N1362">
        <v>2.3435844571351942E-2</v>
      </c>
      <c r="O1362" t="s">
        <v>6</v>
      </c>
    </row>
    <row r="1363" spans="12:15" x14ac:dyDescent="0.45">
      <c r="L1363" t="s">
        <v>295</v>
      </c>
      <c r="M1363" t="s">
        <v>40</v>
      </c>
      <c r="N1363">
        <v>2.3144887758347207E-2</v>
      </c>
      <c r="O1363" t="s">
        <v>6</v>
      </c>
    </row>
    <row r="1364" spans="12:15" x14ac:dyDescent="0.45">
      <c r="L1364" t="s">
        <v>295</v>
      </c>
      <c r="M1364" t="s">
        <v>41</v>
      </c>
      <c r="N1364">
        <v>2.2948919461668105E-2</v>
      </c>
      <c r="O1364" t="s">
        <v>6</v>
      </c>
    </row>
    <row r="1365" spans="12:15" x14ac:dyDescent="0.45">
      <c r="L1365" t="s">
        <v>295</v>
      </c>
      <c r="M1365" t="s">
        <v>42</v>
      </c>
      <c r="N1365">
        <v>2.3281159265780595E-2</v>
      </c>
      <c r="O1365" t="s">
        <v>6</v>
      </c>
    </row>
    <row r="1366" spans="12:15" x14ac:dyDescent="0.45">
      <c r="L1366" t="s">
        <v>295</v>
      </c>
      <c r="M1366" t="s">
        <v>43</v>
      </c>
      <c r="N1366">
        <v>2.3722767398359448E-2</v>
      </c>
      <c r="O1366" t="s">
        <v>6</v>
      </c>
    </row>
    <row r="1367" spans="12:15" x14ac:dyDescent="0.45">
      <c r="L1367" t="s">
        <v>295</v>
      </c>
      <c r="M1367" t="s">
        <v>44</v>
      </c>
      <c r="N1367">
        <v>2.3791456267915206E-2</v>
      </c>
      <c r="O1367" t="s">
        <v>6</v>
      </c>
    </row>
    <row r="1368" spans="12:15" x14ac:dyDescent="0.45">
      <c r="L1368" t="s">
        <v>295</v>
      </c>
      <c r="M1368" t="s">
        <v>45</v>
      </c>
      <c r="N1368">
        <v>2.4138048085324902E-2</v>
      </c>
      <c r="O1368" t="s">
        <v>6</v>
      </c>
    </row>
    <row r="1369" spans="12:15" x14ac:dyDescent="0.45">
      <c r="L1369" t="s">
        <v>295</v>
      </c>
      <c r="M1369" t="s">
        <v>46</v>
      </c>
      <c r="N1369">
        <v>2.4725500626374509E-2</v>
      </c>
      <c r="O1369" t="s">
        <v>6</v>
      </c>
    </row>
    <row r="1370" spans="12:15" x14ac:dyDescent="0.45">
      <c r="L1370" t="s">
        <v>295</v>
      </c>
      <c r="M1370" t="s">
        <v>47</v>
      </c>
      <c r="N1370">
        <v>3.6930644941724183E-2</v>
      </c>
      <c r="O1370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4D10-06DE-4611-A5CF-0A43791CCA19}">
  <dimension ref="B9:FT86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region=GBR")</f>
        <v>~TFM_DINS-TSL: attribute=FLO_EMIS; other_indexes=ACT; region=GBR</v>
      </c>
      <c r="AS9" t="str">
        <f>IF(A11="x","DeActivated","~TFM_INS-TSL: attribute=FLO_SHAR; limtype=FX; region=GBR")</f>
        <v>~TFM_INS-TSL: attribute=FLO_SHAR; limtype=FX; region=GBR</v>
      </c>
      <c r="CJ9" t="str">
        <f>IF(A11="x","DeActivated","~TFM_INS-TSL: attribute=FLO_SHAR; limtype=FX; region=GBR")</f>
        <v>~TFM_INS-TSL: attribute=FLO_SHAR; limtype=FX; region=GBR</v>
      </c>
      <c r="EA9" t="str">
        <f>IF(A11="x","DeActivated","~TFM_DINS-TSL: attribute=NCAP_PKCNT; region=GBR")</f>
        <v>~TFM_DINS-TSL: attribute=NCAP_PKCNT; region=GBR</v>
      </c>
      <c r="FQ9" t="str">
        <f>IF(A11="x","DeActivated","~TFM_DINS-AT: region=GBR")</f>
        <v>~TFM_DINS-AT: region=GBR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296</v>
      </c>
      <c r="C11" t="s">
        <v>123</v>
      </c>
      <c r="D11">
        <v>0</v>
      </c>
      <c r="E11">
        <v>0</v>
      </c>
      <c r="F11">
        <v>0.9595156106151751</v>
      </c>
      <c r="G11">
        <v>0.49123225412410465</v>
      </c>
      <c r="H11">
        <v>0.31715539142382876</v>
      </c>
      <c r="I11">
        <v>0.31643623931514819</v>
      </c>
      <c r="J11">
        <v>0.39578761187723049</v>
      </c>
      <c r="K11">
        <v>0.80260504442591774</v>
      </c>
      <c r="L11">
        <v>0</v>
      </c>
      <c r="M11">
        <v>0</v>
      </c>
      <c r="N11">
        <v>0</v>
      </c>
      <c r="O11">
        <v>0.7347977234111106</v>
      </c>
      <c r="P11">
        <v>0.3626828904011038</v>
      </c>
      <c r="Q11">
        <v>0.21655012514725167</v>
      </c>
      <c r="R11">
        <v>0.18304898711766274</v>
      </c>
      <c r="S11">
        <v>0.17954590441767218</v>
      </c>
      <c r="T11">
        <v>0.19159645959480523</v>
      </c>
      <c r="U11">
        <v>0.25949464975403924</v>
      </c>
      <c r="V11">
        <v>0.58043775522306751</v>
      </c>
      <c r="W11">
        <v>0</v>
      </c>
      <c r="X11">
        <v>0</v>
      </c>
      <c r="Y11">
        <v>0.5129175698845555</v>
      </c>
      <c r="Z11">
        <v>0.25554347987219528</v>
      </c>
      <c r="AA11">
        <v>0.17363156504990965</v>
      </c>
      <c r="AB11">
        <v>0.13847979166213828</v>
      </c>
      <c r="AC11">
        <v>0.1322789217585483</v>
      </c>
      <c r="AD11">
        <v>0.14651902378045387</v>
      </c>
      <c r="AE11">
        <v>0.1934648725296863</v>
      </c>
      <c r="AF11">
        <v>0.34874242215995549</v>
      </c>
      <c r="AG11">
        <v>0.93734091828155397</v>
      </c>
      <c r="AH11">
        <v>0</v>
      </c>
      <c r="AI11">
        <v>0</v>
      </c>
      <c r="AJ11">
        <v>0.6112547256642451</v>
      </c>
      <c r="AK11">
        <v>0.29188360893233689</v>
      </c>
      <c r="AL11">
        <v>0.21027939592714931</v>
      </c>
      <c r="AM11">
        <v>0.21138651910460618</v>
      </c>
      <c r="AN11">
        <v>0.2870027793066911</v>
      </c>
      <c r="AO11">
        <v>0.59592550011756107</v>
      </c>
      <c r="AP11">
        <v>0.94505494505494503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0.85246807277815129</v>
      </c>
      <c r="AX11">
        <v>0.28976290436712876</v>
      </c>
      <c r="AY11">
        <v>0.15666098561642977</v>
      </c>
      <c r="AZ11">
        <v>4.8016090948060711E-2</v>
      </c>
      <c r="BA11">
        <v>6.2634754242805639E-3</v>
      </c>
      <c r="BB11">
        <v>2.417558775736298E-2</v>
      </c>
      <c r="BC11">
        <v>0</v>
      </c>
      <c r="BD11">
        <v>0</v>
      </c>
      <c r="BE11">
        <v>0.96551984877126662</v>
      </c>
      <c r="BF11">
        <v>0.56330136932969821</v>
      </c>
      <c r="BG11">
        <v>0.22131648968027798</v>
      </c>
      <c r="BH11">
        <v>9.0630897118224016E-2</v>
      </c>
      <c r="BI11">
        <v>4.6096137593344369E-2</v>
      </c>
      <c r="BJ11">
        <v>1.5855687278166893E-2</v>
      </c>
      <c r="BK11">
        <v>5.1396742255560603E-3</v>
      </c>
      <c r="BL11">
        <v>2.9362378370485318E-2</v>
      </c>
      <c r="BM11">
        <v>0.19645578603205416</v>
      </c>
      <c r="BN11">
        <v>0.55178951737247206</v>
      </c>
      <c r="BO11">
        <v>0.86432743156973402</v>
      </c>
      <c r="BP11">
        <v>0.31675481608951261</v>
      </c>
      <c r="BQ11">
        <v>0.14617289825090612</v>
      </c>
      <c r="BR11">
        <v>7.7595468274085949E-2</v>
      </c>
      <c r="BS11">
        <v>5.8496510009981115E-2</v>
      </c>
      <c r="BT11">
        <v>1.3784160017773507E-2</v>
      </c>
      <c r="BU11">
        <v>2.1282598194908588E-3</v>
      </c>
      <c r="BV11">
        <v>1.630014838280797E-2</v>
      </c>
      <c r="BW11">
        <v>0.14759777970018742</v>
      </c>
      <c r="BX11">
        <v>0.67047741115584913</v>
      </c>
      <c r="BY11">
        <v>0</v>
      </c>
      <c r="BZ11">
        <v>0.94451647236635727</v>
      </c>
      <c r="CA11">
        <v>0.43097366929458586</v>
      </c>
      <c r="CB11">
        <v>0.1488620607879218</v>
      </c>
      <c r="CC11">
        <v>7.4441749535609933E-2</v>
      </c>
      <c r="CD11">
        <v>2.6391741791244195E-2</v>
      </c>
      <c r="CE11">
        <v>1.3938790385102639E-2</v>
      </c>
      <c r="CF11">
        <v>6.9372139219504761E-2</v>
      </c>
      <c r="CG11">
        <v>0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0.1015758114340566</v>
      </c>
      <c r="CR11">
        <v>0.22020934554833319</v>
      </c>
      <c r="CS11">
        <v>0.59674251536353995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9.6280960636682573E-3</v>
      </c>
      <c r="CZ11">
        <v>2.8171656058601727E-2</v>
      </c>
      <c r="DA11">
        <v>5.1686867977071442E-2</v>
      </c>
      <c r="DB11">
        <v>5.7344923058723345E-2</v>
      </c>
      <c r="DC11">
        <v>6.3665991661309679E-2</v>
      </c>
      <c r="DD11">
        <v>4.1840563366625727E-2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4.2659387542747377E-3</v>
      </c>
      <c r="DK11">
        <v>4.795209267293913E-2</v>
      </c>
      <c r="DL11">
        <v>6.6076759972136898E-2</v>
      </c>
      <c r="DM11">
        <v>8.3719893390963251E-2</v>
      </c>
      <c r="DN11">
        <v>1.0012789514534434E-2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2.2386725469907238E-2</v>
      </c>
      <c r="DU11">
        <v>6.8118410313563693E-2</v>
      </c>
      <c r="DV11">
        <v>0.11763845227600274</v>
      </c>
      <c r="DW11">
        <v>0.18406115111557436</v>
      </c>
      <c r="DX11">
        <v>0.1573617420303064</v>
      </c>
      <c r="DY11">
        <v>0</v>
      </c>
      <c r="EA11" t="s">
        <v>296</v>
      </c>
      <c r="EB11">
        <v>0</v>
      </c>
      <c r="EC11">
        <v>0</v>
      </c>
      <c r="ED11">
        <v>1.1045390396967429E-3</v>
      </c>
      <c r="EE11">
        <v>8.1687026804455692E-2</v>
      </c>
      <c r="EF11">
        <v>0.21897701421709231</v>
      </c>
      <c r="EG11">
        <v>0.2365677411452228</v>
      </c>
      <c r="EH11">
        <v>0.13565763978636272</v>
      </c>
      <c r="EI11">
        <v>1.7052130138924239E-2</v>
      </c>
      <c r="EJ11">
        <v>0</v>
      </c>
      <c r="EK11">
        <v>0</v>
      </c>
      <c r="EL11">
        <v>0</v>
      </c>
      <c r="EM11">
        <v>4.1522105613762041E-3</v>
      </c>
      <c r="EN11">
        <v>9.7100454973896078E-2</v>
      </c>
      <c r="EO11">
        <v>0.31802681706235048</v>
      </c>
      <c r="EP11">
        <v>0.45574772322459722</v>
      </c>
      <c r="EQ11">
        <v>0.46807904142157358</v>
      </c>
      <c r="ER11">
        <v>0.36417287325881292</v>
      </c>
      <c r="ES11">
        <v>0.16394925198163582</v>
      </c>
      <c r="ET11">
        <v>9.3298008536608461E-3</v>
      </c>
      <c r="EU11">
        <v>0</v>
      </c>
      <c r="EV11">
        <v>0</v>
      </c>
      <c r="EW11">
        <v>1.0369626758322616E-2</v>
      </c>
      <c r="EX11">
        <v>0.12813123518226613</v>
      </c>
      <c r="EY11">
        <v>0.34306925336756655</v>
      </c>
      <c r="EZ11">
        <v>0.49383572894469369</v>
      </c>
      <c r="FA11">
        <v>0.5058058612103572</v>
      </c>
      <c r="FB11">
        <v>0.40962961630698896</v>
      </c>
      <c r="FC11">
        <v>0.20844650612777441</v>
      </c>
      <c r="FD11">
        <v>2.7209249814155557E-2</v>
      </c>
      <c r="FE11">
        <v>1.3130290503163737E-5</v>
      </c>
      <c r="FF11">
        <v>0</v>
      </c>
      <c r="FG11">
        <v>0</v>
      </c>
      <c r="FH11">
        <v>2.2342513468755602E-2</v>
      </c>
      <c r="FI11">
        <v>0.15802552818451698</v>
      </c>
      <c r="FJ11">
        <v>0.29483792005655013</v>
      </c>
      <c r="FK11">
        <v>0.30877398593169592</v>
      </c>
      <c r="FL11">
        <v>0.18825369517915533</v>
      </c>
      <c r="FM11">
        <v>3.7986739967114165E-2</v>
      </c>
      <c r="FN11">
        <v>2.10417036562497E-4</v>
      </c>
      <c r="FO11">
        <v>0</v>
      </c>
      <c r="FQ11" t="s">
        <v>296</v>
      </c>
      <c r="FR11" t="s">
        <v>127</v>
      </c>
      <c r="FS11" t="s">
        <v>128</v>
      </c>
      <c r="FT11">
        <v>0.43826551812153292</v>
      </c>
    </row>
    <row r="12" spans="2:176" x14ac:dyDescent="0.45">
      <c r="B12" t="s">
        <v>297</v>
      </c>
      <c r="C12" t="s">
        <v>123</v>
      </c>
      <c r="D12">
        <v>0</v>
      </c>
      <c r="E12">
        <v>0</v>
      </c>
      <c r="F12">
        <v>0.94164892126626298</v>
      </c>
      <c r="G12">
        <v>0.41819491607367948</v>
      </c>
      <c r="H12">
        <v>0.26778518178098981</v>
      </c>
      <c r="I12">
        <v>0.26376023046460562</v>
      </c>
      <c r="J12">
        <v>0.3375392678385129</v>
      </c>
      <c r="K12">
        <v>0.7703085926686486</v>
      </c>
      <c r="L12">
        <v>0</v>
      </c>
      <c r="M12">
        <v>0</v>
      </c>
      <c r="N12">
        <v>0</v>
      </c>
      <c r="O12">
        <v>0.75975816903129523</v>
      </c>
      <c r="P12">
        <v>0.35669945168499773</v>
      </c>
      <c r="Q12">
        <v>0.19387023084118263</v>
      </c>
      <c r="R12">
        <v>0.16473887648032934</v>
      </c>
      <c r="S12">
        <v>0.16326739679918284</v>
      </c>
      <c r="T12">
        <v>0.19440128506835647</v>
      </c>
      <c r="U12">
        <v>0.26510664589954591</v>
      </c>
      <c r="V12">
        <v>0.6043938934315638</v>
      </c>
      <c r="W12">
        <v>0</v>
      </c>
      <c r="X12">
        <v>0</v>
      </c>
      <c r="Y12">
        <v>0.5695961055206622</v>
      </c>
      <c r="Z12">
        <v>0.26320077388675672</v>
      </c>
      <c r="AA12">
        <v>0.15927673661502112</v>
      </c>
      <c r="AB12">
        <v>0.13321898794258077</v>
      </c>
      <c r="AC12">
        <v>0.12303564012637093</v>
      </c>
      <c r="AD12">
        <v>0.1293427959937965</v>
      </c>
      <c r="AE12">
        <v>0.18301654841066808</v>
      </c>
      <c r="AF12">
        <v>0.36369173950435091</v>
      </c>
      <c r="AG12">
        <v>0</v>
      </c>
      <c r="AH12">
        <v>0</v>
      </c>
      <c r="AI12">
        <v>0</v>
      </c>
      <c r="AJ12">
        <v>0.59352565133843249</v>
      </c>
      <c r="AK12">
        <v>0.27268662285469203</v>
      </c>
      <c r="AL12">
        <v>0.21753668010710511</v>
      </c>
      <c r="AM12">
        <v>0.2166673904368476</v>
      </c>
      <c r="AN12">
        <v>0.28901366252053545</v>
      </c>
      <c r="AO12">
        <v>0.57413000758873245</v>
      </c>
      <c r="AP12">
        <v>0.94505494505494514</v>
      </c>
      <c r="AQ12">
        <v>0</v>
      </c>
      <c r="AS12" t="s">
        <v>130</v>
      </c>
      <c r="AT12" t="s">
        <v>125</v>
      </c>
      <c r="AU12">
        <v>9.6480757030567013E-4</v>
      </c>
      <c r="AV12">
        <v>1.5212371480395079E-3</v>
      </c>
      <c r="AW12">
        <v>1.2879738386217545E-3</v>
      </c>
      <c r="AX12">
        <v>0</v>
      </c>
      <c r="AY12">
        <v>1.7726133358531227E-4</v>
      </c>
      <c r="AZ12">
        <v>2.4928002487615794E-4</v>
      </c>
      <c r="BA12">
        <v>0</v>
      </c>
      <c r="BB12">
        <v>2.9410145966354689E-3</v>
      </c>
      <c r="BC12">
        <v>4.8057182627135858E-3</v>
      </c>
      <c r="BD12">
        <v>3.051995170592371E-3</v>
      </c>
      <c r="BE12">
        <v>2.8907693738719768E-3</v>
      </c>
      <c r="BF12">
        <v>8.9205190910500833E-4</v>
      </c>
      <c r="BG12">
        <v>2.058121430545404E-3</v>
      </c>
      <c r="BH12">
        <v>2.5459167132427796E-3</v>
      </c>
      <c r="BI12">
        <v>4.6576608902931405E-3</v>
      </c>
      <c r="BJ12">
        <v>3.9135513993435221E-3</v>
      </c>
      <c r="BK12">
        <v>2.1024584163248237E-4</v>
      </c>
      <c r="BL12">
        <v>0</v>
      </c>
      <c r="BM12">
        <v>4.1611646892562106E-4</v>
      </c>
      <c r="BN12">
        <v>1.1303944213320954E-3</v>
      </c>
      <c r="BO12">
        <v>2.8280505046601075E-3</v>
      </c>
      <c r="BP12">
        <v>2.7340034939217347E-3</v>
      </c>
      <c r="BQ12">
        <v>4.9045566474758585E-3</v>
      </c>
      <c r="BR12">
        <v>2.7911082870215606E-3</v>
      </c>
      <c r="BS12">
        <v>0</v>
      </c>
      <c r="BT12">
        <v>0</v>
      </c>
      <c r="BU12">
        <v>1.1160497000834932E-3</v>
      </c>
      <c r="BV12">
        <v>1.7017864457450906E-3</v>
      </c>
      <c r="BW12">
        <v>2.290673326037431E-3</v>
      </c>
      <c r="BX12">
        <v>1.2702059031556185E-2</v>
      </c>
      <c r="BY12">
        <v>7.1145046174351896E-3</v>
      </c>
      <c r="BZ12">
        <v>8.3093681387621816E-4</v>
      </c>
      <c r="CA12">
        <v>4.0161888453958466E-3</v>
      </c>
      <c r="CB12">
        <v>8.2540717156144687E-3</v>
      </c>
      <c r="CC12">
        <v>2.3989107303243398E-2</v>
      </c>
      <c r="CD12">
        <v>5.4040126084588811E-3</v>
      </c>
      <c r="CE12">
        <v>1.3175920806414831E-3</v>
      </c>
      <c r="CF12">
        <v>0</v>
      </c>
      <c r="CG12">
        <v>1.1727406363002087E-3</v>
      </c>
      <c r="CH12">
        <v>4.4932781698496698E-3</v>
      </c>
      <c r="CJ12" t="s">
        <v>130</v>
      </c>
      <c r="CK12" t="s">
        <v>126</v>
      </c>
      <c r="CL12">
        <v>8.0586818976694976E-3</v>
      </c>
      <c r="CM12">
        <v>4.937254873971059E-3</v>
      </c>
      <c r="CN12">
        <v>7.4949053673909896E-3</v>
      </c>
      <c r="CO12">
        <v>9.8665866423734844E-3</v>
      </c>
      <c r="CP12">
        <v>4.7523021263506807E-3</v>
      </c>
      <c r="CQ12">
        <v>2.9217436645014977E-3</v>
      </c>
      <c r="CR12">
        <v>2.3209292011064924E-3</v>
      </c>
      <c r="CS12">
        <v>5.2591098207016695E-3</v>
      </c>
      <c r="CT12">
        <v>7.1247147403532629E-3</v>
      </c>
      <c r="CU12">
        <v>1.3152929505253244E-2</v>
      </c>
      <c r="CV12">
        <v>7.4555492302885535E-3</v>
      </c>
      <c r="CW12">
        <v>1.5487582884998505E-2</v>
      </c>
      <c r="CX12">
        <v>4.9129589171939842E-3</v>
      </c>
      <c r="CY12">
        <v>5.7695500409190269E-3</v>
      </c>
      <c r="CZ12">
        <v>9.3581574346331201E-3</v>
      </c>
      <c r="DA12">
        <v>1.6434387264199716E-2</v>
      </c>
      <c r="DB12">
        <v>1.3511016687995888E-2</v>
      </c>
      <c r="DC12">
        <v>1.1470223545191992E-2</v>
      </c>
      <c r="DD12">
        <v>4.1265502002643568E-3</v>
      </c>
      <c r="DE12">
        <v>3.6259168623268997E-4</v>
      </c>
      <c r="DF12">
        <v>3.2163481288168067E-2</v>
      </c>
      <c r="DG12">
        <v>2.3379334101702939E-2</v>
      </c>
      <c r="DH12">
        <v>1.8715975993516879E-2</v>
      </c>
      <c r="DI12">
        <v>1.5967448957452286E-2</v>
      </c>
      <c r="DJ12">
        <v>2.512640770186662E-2</v>
      </c>
      <c r="DK12">
        <v>1.0964371364028148E-2</v>
      </c>
      <c r="DL12">
        <v>0</v>
      </c>
      <c r="DM12">
        <v>8.2947146150431537E-4</v>
      </c>
      <c r="DN12">
        <v>3.3996240787304084E-3</v>
      </c>
      <c r="DO12">
        <v>4.7758870187724336E-3</v>
      </c>
      <c r="DP12">
        <v>1.5071210676574534E-2</v>
      </c>
      <c r="DQ12">
        <v>2.2368777478913256E-2</v>
      </c>
      <c r="DR12">
        <v>2.2697720267731033E-2</v>
      </c>
      <c r="DS12">
        <v>1.9944236015372603E-2</v>
      </c>
      <c r="DT12">
        <v>1.1266577895485562E-2</v>
      </c>
      <c r="DU12">
        <v>3.6194165973319453E-2</v>
      </c>
      <c r="DV12">
        <v>3.9341415996847019E-2</v>
      </c>
      <c r="DW12">
        <v>3.1318380083091187E-2</v>
      </c>
      <c r="DX12">
        <v>4.217954785063315E-3</v>
      </c>
      <c r="DY12">
        <v>4.6793335432212422E-3</v>
      </c>
      <c r="EA12" t="s">
        <v>297</v>
      </c>
      <c r="EB12">
        <v>0</v>
      </c>
      <c r="EC12">
        <v>0</v>
      </c>
      <c r="ED12">
        <v>1.786671826949952E-3</v>
      </c>
      <c r="EE12">
        <v>0.10158123916288733</v>
      </c>
      <c r="EF12">
        <v>0.25661221566970638</v>
      </c>
      <c r="EG12">
        <v>0.27068343156092406</v>
      </c>
      <c r="EH12">
        <v>0.15122789388462959</v>
      </c>
      <c r="EI12">
        <v>1.6779182713220493E-2</v>
      </c>
      <c r="EJ12">
        <v>0</v>
      </c>
      <c r="EK12">
        <v>0</v>
      </c>
      <c r="EL12">
        <v>0</v>
      </c>
      <c r="EM12">
        <v>3.90073491597043E-3</v>
      </c>
      <c r="EN12">
        <v>9.9883513008510075E-2</v>
      </c>
      <c r="EO12">
        <v>0.32977694213856584</v>
      </c>
      <c r="EP12">
        <v>0.46629815128460317</v>
      </c>
      <c r="EQ12">
        <v>0.47111417605221495</v>
      </c>
      <c r="ER12">
        <v>0.35604957806094406</v>
      </c>
      <c r="ES12">
        <v>0.15497358915634663</v>
      </c>
      <c r="ET12">
        <v>8.3949508080072115E-3</v>
      </c>
      <c r="EU12">
        <v>0</v>
      </c>
      <c r="EV12">
        <v>0</v>
      </c>
      <c r="EW12">
        <v>9.1315654252205319E-3</v>
      </c>
      <c r="EX12">
        <v>0.1297598188194535</v>
      </c>
      <c r="EY12">
        <v>0.36646078203444371</v>
      </c>
      <c r="EZ12">
        <v>0.52393086024795732</v>
      </c>
      <c r="FA12">
        <v>0.55361852728420247</v>
      </c>
      <c r="FB12">
        <v>0.44353187196967914</v>
      </c>
      <c r="FC12">
        <v>0.21785307377142349</v>
      </c>
      <c r="FD12">
        <v>2.5163838132011812E-2</v>
      </c>
      <c r="FE12">
        <v>0</v>
      </c>
      <c r="FF12">
        <v>0</v>
      </c>
      <c r="FG12">
        <v>0</v>
      </c>
      <c r="FH12">
        <v>2.6803280457722772E-2</v>
      </c>
      <c r="FI12">
        <v>0.18970410654191208</v>
      </c>
      <c r="FJ12">
        <v>0.33434518637862826</v>
      </c>
      <c r="FK12">
        <v>0.34890758666470578</v>
      </c>
      <c r="FL12">
        <v>0.21787185037107834</v>
      </c>
      <c r="FM12">
        <v>4.6133651074931843E-2</v>
      </c>
      <c r="FN12">
        <v>2.1364051054126678E-4</v>
      </c>
      <c r="FO12">
        <v>0</v>
      </c>
      <c r="FQ12" t="s">
        <v>297</v>
      </c>
      <c r="FR12" t="s">
        <v>127</v>
      </c>
      <c r="FS12" t="s">
        <v>128</v>
      </c>
      <c r="FT12">
        <v>0.47728745545298196</v>
      </c>
    </row>
    <row r="13" spans="2:176" x14ac:dyDescent="0.45">
      <c r="B13" t="s">
        <v>298</v>
      </c>
      <c r="C13" t="s">
        <v>123</v>
      </c>
      <c r="D13">
        <v>0</v>
      </c>
      <c r="E13">
        <v>0</v>
      </c>
      <c r="F13">
        <v>0.94879190699422888</v>
      </c>
      <c r="G13">
        <v>0.45439092129180803</v>
      </c>
      <c r="H13">
        <v>0.28456732249898053</v>
      </c>
      <c r="I13">
        <v>0.2734806507330752</v>
      </c>
      <c r="J13">
        <v>0.36263808343361331</v>
      </c>
      <c r="K13">
        <v>0.77501778110033448</v>
      </c>
      <c r="L13">
        <v>0</v>
      </c>
      <c r="M13">
        <v>0</v>
      </c>
      <c r="N13">
        <v>0</v>
      </c>
      <c r="O13">
        <v>0.74768620793488827</v>
      </c>
      <c r="P13">
        <v>0.34641022400680088</v>
      </c>
      <c r="Q13">
        <v>0.20593041169671211</v>
      </c>
      <c r="R13">
        <v>0.17373123118874015</v>
      </c>
      <c r="S13">
        <v>0.17290915323725775</v>
      </c>
      <c r="T13">
        <v>0.18341387228052897</v>
      </c>
      <c r="U13">
        <v>0.25296961487577729</v>
      </c>
      <c r="V13">
        <v>0.5895895246750269</v>
      </c>
      <c r="W13">
        <v>0</v>
      </c>
      <c r="X13">
        <v>0</v>
      </c>
      <c r="Y13">
        <v>0.53324693742832185</v>
      </c>
      <c r="Z13">
        <v>0.24536223021044476</v>
      </c>
      <c r="AA13">
        <v>0.15810692105521643</v>
      </c>
      <c r="AB13">
        <v>0.13789109429686017</v>
      </c>
      <c r="AC13">
        <v>0.12645973909427721</v>
      </c>
      <c r="AD13">
        <v>0.13179443912387284</v>
      </c>
      <c r="AE13">
        <v>0.18186885713398424</v>
      </c>
      <c r="AF13">
        <v>0.35501467440616247</v>
      </c>
      <c r="AG13">
        <v>0.95237395881190101</v>
      </c>
      <c r="AH13">
        <v>0</v>
      </c>
      <c r="AI13">
        <v>0</v>
      </c>
      <c r="AJ13">
        <v>0.595437354910203</v>
      </c>
      <c r="AK13">
        <v>0.27592696781847881</v>
      </c>
      <c r="AL13">
        <v>0.20684726000285317</v>
      </c>
      <c r="AM13">
        <v>0.2023577833868217</v>
      </c>
      <c r="AN13">
        <v>0.2705385334247104</v>
      </c>
      <c r="AO13">
        <v>0.574791971458817</v>
      </c>
      <c r="AP13">
        <v>0.94495471101820572</v>
      </c>
      <c r="AQ13">
        <v>0</v>
      </c>
      <c r="AS13" t="s">
        <v>132</v>
      </c>
      <c r="AT13" t="s">
        <v>125</v>
      </c>
      <c r="AU13">
        <v>2.648799094210637E-3</v>
      </c>
      <c r="AV13">
        <v>1.5265374891899428E-3</v>
      </c>
      <c r="AW13">
        <v>2.0336070615181567E-3</v>
      </c>
      <c r="AX13">
        <v>3.2273621721936228E-3</v>
      </c>
      <c r="AY13">
        <v>7.2356195600336811E-4</v>
      </c>
      <c r="AZ13">
        <v>2.8452381794579294E-3</v>
      </c>
      <c r="BA13">
        <v>5.663762462909843E-4</v>
      </c>
      <c r="BB13">
        <v>0</v>
      </c>
      <c r="BC13">
        <v>6.7579779489594313E-4</v>
      </c>
      <c r="BD13">
        <v>1.774537966503655E-3</v>
      </c>
      <c r="BE13">
        <v>8.7394995497479526E-4</v>
      </c>
      <c r="BF13">
        <v>1.1158388834138825E-3</v>
      </c>
      <c r="BG13">
        <v>2.3377622482038748E-4</v>
      </c>
      <c r="BH13">
        <v>1.3888940628000944E-3</v>
      </c>
      <c r="BI13">
        <v>0</v>
      </c>
      <c r="BJ13">
        <v>6.817035347126307E-4</v>
      </c>
      <c r="BK13">
        <v>2.3595403281971902E-3</v>
      </c>
      <c r="BL13">
        <v>1.1911499292906738E-3</v>
      </c>
      <c r="BM13">
        <v>1.6981214518700872E-4</v>
      </c>
      <c r="BN13">
        <v>2.5830974881136258E-3</v>
      </c>
      <c r="BO13">
        <v>2.6286490138872566E-3</v>
      </c>
      <c r="BP13">
        <v>0</v>
      </c>
      <c r="BQ13">
        <v>1.5869840337269961E-4</v>
      </c>
      <c r="BR13">
        <v>9.8144423293191284E-4</v>
      </c>
      <c r="BS13">
        <v>0</v>
      </c>
      <c r="BT13">
        <v>0</v>
      </c>
      <c r="BU13">
        <v>0</v>
      </c>
      <c r="BV13">
        <v>0</v>
      </c>
      <c r="BW13">
        <v>1.1097436792458019E-4</v>
      </c>
      <c r="BX13">
        <v>3.8128508392528808E-4</v>
      </c>
      <c r="BY13">
        <v>3.6758756933958229E-3</v>
      </c>
      <c r="BZ13">
        <v>1.6875307619982714E-3</v>
      </c>
      <c r="CA13">
        <v>6.5092554347100022E-5</v>
      </c>
      <c r="CB13">
        <v>1.2867007375468053E-3</v>
      </c>
      <c r="CC13">
        <v>1.5777542215325709E-3</v>
      </c>
      <c r="CD13">
        <v>3.0769032449481106E-3</v>
      </c>
      <c r="CE13">
        <v>1.2236672070509668E-3</v>
      </c>
      <c r="CF13">
        <v>1.2692372185376796E-3</v>
      </c>
      <c r="CG13">
        <v>1.0532244436554609E-3</v>
      </c>
      <c r="CH13">
        <v>8.7322906584931298E-4</v>
      </c>
      <c r="CJ13" t="s">
        <v>132</v>
      </c>
      <c r="CK13" t="s">
        <v>126</v>
      </c>
      <c r="CL13">
        <v>3.2488265977665578E-3</v>
      </c>
      <c r="CM13">
        <v>4.1470518357046432E-3</v>
      </c>
      <c r="CN13">
        <v>7.6545151834104853E-3</v>
      </c>
      <c r="CO13">
        <v>8.392523794612158E-3</v>
      </c>
      <c r="CP13">
        <v>8.0643674642915247E-3</v>
      </c>
      <c r="CQ13">
        <v>6.1115751237098143E-3</v>
      </c>
      <c r="CR13">
        <v>5.8299091740920779E-3</v>
      </c>
      <c r="CS13">
        <v>6.1756649098819259E-3</v>
      </c>
      <c r="CT13">
        <v>3.9106399504208579E-3</v>
      </c>
      <c r="CU13">
        <v>1.6418102966505451E-3</v>
      </c>
      <c r="CV13">
        <v>7.0415495303021184E-3</v>
      </c>
      <c r="CW13">
        <v>7.4179907466091063E-3</v>
      </c>
      <c r="CX13">
        <v>7.0138189303898856E-3</v>
      </c>
      <c r="CY13">
        <v>3.1016645895352453E-3</v>
      </c>
      <c r="CZ13">
        <v>2.9596814832065989E-3</v>
      </c>
      <c r="DA13">
        <v>2.2638753650344994E-3</v>
      </c>
      <c r="DB13">
        <v>3.3126951731233486E-3</v>
      </c>
      <c r="DC13">
        <v>7.4291697849672858E-3</v>
      </c>
      <c r="DD13">
        <v>1.0465624513663081E-2</v>
      </c>
      <c r="DE13">
        <v>4.9395149511798154E-3</v>
      </c>
      <c r="DF13">
        <v>7.6931173223486783E-3</v>
      </c>
      <c r="DG13">
        <v>1.9021214267275054E-2</v>
      </c>
      <c r="DH13">
        <v>1.2052994390811575E-2</v>
      </c>
      <c r="DI13">
        <v>5.0082746044796478E-3</v>
      </c>
      <c r="DJ13">
        <v>9.0146529300838829E-3</v>
      </c>
      <c r="DK13">
        <v>5.1007355835782945E-3</v>
      </c>
      <c r="DL13">
        <v>2.8950835610245416E-3</v>
      </c>
      <c r="DM13">
        <v>0</v>
      </c>
      <c r="DN13">
        <v>0</v>
      </c>
      <c r="DO13">
        <v>9.7825054528609919E-5</v>
      </c>
      <c r="DP13">
        <v>5.6913567688632967E-3</v>
      </c>
      <c r="DQ13">
        <v>1.0859402811155614E-2</v>
      </c>
      <c r="DR13">
        <v>7.8361786768257786E-3</v>
      </c>
      <c r="DS13">
        <v>5.3157907156064681E-3</v>
      </c>
      <c r="DT13">
        <v>1.064980108668303E-3</v>
      </c>
      <c r="DU13">
        <v>2.1184950425931835E-3</v>
      </c>
      <c r="DV13">
        <v>7.3162124119714638E-3</v>
      </c>
      <c r="DW13">
        <v>6.4845382372259912E-3</v>
      </c>
      <c r="DX13">
        <v>6.6390579875698769E-3</v>
      </c>
      <c r="DY13">
        <v>6.6984958023455655E-3</v>
      </c>
      <c r="EA13" t="s">
        <v>298</v>
      </c>
      <c r="EB13">
        <v>0</v>
      </c>
      <c r="EC13">
        <v>0</v>
      </c>
      <c r="ED13">
        <v>1.5872839211457852E-3</v>
      </c>
      <c r="EE13">
        <v>9.0165876179910218E-2</v>
      </c>
      <c r="EF13">
        <v>0.23829626147873675</v>
      </c>
      <c r="EG13">
        <v>0.25931949822245198</v>
      </c>
      <c r="EH13">
        <v>0.1494658843355825</v>
      </c>
      <c r="EI13">
        <v>1.7196326606635774E-2</v>
      </c>
      <c r="EJ13">
        <v>0</v>
      </c>
      <c r="EK13">
        <v>0</v>
      </c>
      <c r="EL13">
        <v>0</v>
      </c>
      <c r="EM13">
        <v>4.2617148491055374E-3</v>
      </c>
      <c r="EN13">
        <v>0.10251855801930167</v>
      </c>
      <c r="EO13">
        <v>0.33143276802101396</v>
      </c>
      <c r="EP13">
        <v>0.47392882762611682</v>
      </c>
      <c r="EQ13">
        <v>0.4742569424644561</v>
      </c>
      <c r="ER13">
        <v>0.37024173751437528</v>
      </c>
      <c r="ES13">
        <v>0.1618793946046882</v>
      </c>
      <c r="ET13">
        <v>8.8772156107261371E-3</v>
      </c>
      <c r="EU13">
        <v>0</v>
      </c>
      <c r="EV13">
        <v>0</v>
      </c>
      <c r="EW13">
        <v>1.0084534334986319E-2</v>
      </c>
      <c r="EX13">
        <v>0.13398041449589848</v>
      </c>
      <c r="EY13">
        <v>0.35693481263061977</v>
      </c>
      <c r="EZ13">
        <v>0.50065269839187831</v>
      </c>
      <c r="FA13">
        <v>0.52023069649744969</v>
      </c>
      <c r="FB13">
        <v>0.42590762976827984</v>
      </c>
      <c r="FC13">
        <v>0.21468818534594261</v>
      </c>
      <c r="FD13">
        <v>2.6114169455857955E-2</v>
      </c>
      <c r="FE13">
        <v>2.5885132944266251E-7</v>
      </c>
      <c r="FF13">
        <v>0</v>
      </c>
      <c r="FG13">
        <v>0</v>
      </c>
      <c r="FH13">
        <v>2.4909849994552587E-2</v>
      </c>
      <c r="FI13">
        <v>0.17474269293293948</v>
      </c>
      <c r="FJ13">
        <v>0.3176573079597067</v>
      </c>
      <c r="FK13">
        <v>0.33456916560758443</v>
      </c>
      <c r="FL13">
        <v>0.20584064693442714</v>
      </c>
      <c r="FM13">
        <v>4.1812307164033585E-2</v>
      </c>
      <c r="FN13">
        <v>2.3196672909670872E-4</v>
      </c>
      <c r="FO13">
        <v>0</v>
      </c>
      <c r="FQ13" t="s">
        <v>298</v>
      </c>
      <c r="FR13" t="s">
        <v>127</v>
      </c>
      <c r="FS13" t="s">
        <v>128</v>
      </c>
      <c r="FT13">
        <v>0.42773578045704297</v>
      </c>
    </row>
    <row r="14" spans="2:176" x14ac:dyDescent="0.45">
      <c r="B14" t="s">
        <v>299</v>
      </c>
      <c r="C14" t="s">
        <v>123</v>
      </c>
      <c r="D14">
        <v>0</v>
      </c>
      <c r="E14">
        <v>0</v>
      </c>
      <c r="F14">
        <v>0.9431375740489224</v>
      </c>
      <c r="G14">
        <v>0.42264408113107199</v>
      </c>
      <c r="H14">
        <v>0.27241129388611451</v>
      </c>
      <c r="I14">
        <v>0.2773714381894542</v>
      </c>
      <c r="J14">
        <v>0.39399582834723679</v>
      </c>
      <c r="K14">
        <v>0.84670997988345487</v>
      </c>
      <c r="L14">
        <v>0</v>
      </c>
      <c r="M14">
        <v>0</v>
      </c>
      <c r="N14">
        <v>0</v>
      </c>
      <c r="O14">
        <v>0.67817904656708061</v>
      </c>
      <c r="P14">
        <v>0.35213601166299391</v>
      </c>
      <c r="Q14">
        <v>0.21999688041999674</v>
      </c>
      <c r="R14">
        <v>0.1933429806308897</v>
      </c>
      <c r="S14">
        <v>0.18594269037135014</v>
      </c>
      <c r="T14">
        <v>0.19533905657436273</v>
      </c>
      <c r="U14">
        <v>0.28161439502292512</v>
      </c>
      <c r="V14">
        <v>0.63554207469046664</v>
      </c>
      <c r="W14">
        <v>0</v>
      </c>
      <c r="X14">
        <v>0</v>
      </c>
      <c r="Y14">
        <v>0.4132062280503499</v>
      </c>
      <c r="Z14">
        <v>0.23280358015943331</v>
      </c>
      <c r="AA14">
        <v>0.15617668369231497</v>
      </c>
      <c r="AB14">
        <v>0.12844244517201414</v>
      </c>
      <c r="AC14">
        <v>0.12932408623131839</v>
      </c>
      <c r="AD14">
        <v>0.14540075497544527</v>
      </c>
      <c r="AE14">
        <v>0.19163064566115917</v>
      </c>
      <c r="AF14">
        <v>0.34655130887380109</v>
      </c>
      <c r="AG14">
        <v>0.98138117402403291</v>
      </c>
      <c r="AH14">
        <v>0</v>
      </c>
      <c r="AI14">
        <v>0.97252747252747218</v>
      </c>
      <c r="AJ14">
        <v>0.58225605314519668</v>
      </c>
      <c r="AK14">
        <v>0.30980671123412157</v>
      </c>
      <c r="AL14">
        <v>0.24253146820450827</v>
      </c>
      <c r="AM14">
        <v>0.23231423644640256</v>
      </c>
      <c r="AN14">
        <v>0.28731445788710919</v>
      </c>
      <c r="AO14">
        <v>0.61271590252705588</v>
      </c>
      <c r="AP14">
        <v>0.96758424035008472</v>
      </c>
      <c r="AQ14">
        <v>0</v>
      </c>
      <c r="EA14" t="s">
        <v>299</v>
      </c>
      <c r="EB14">
        <v>0</v>
      </c>
      <c r="EC14">
        <v>0</v>
      </c>
      <c r="ED14">
        <v>1.6628131435250507E-3</v>
      </c>
      <c r="EE14">
        <v>9.2528573331142422E-2</v>
      </c>
      <c r="EF14">
        <v>0.24823803039382158</v>
      </c>
      <c r="EG14">
        <v>0.24284049256819812</v>
      </c>
      <c r="EH14">
        <v>0.11634610554481296</v>
      </c>
      <c r="EI14">
        <v>1.101879890302564E-2</v>
      </c>
      <c r="EJ14">
        <v>0</v>
      </c>
      <c r="EK14">
        <v>0</v>
      </c>
      <c r="EL14">
        <v>0</v>
      </c>
      <c r="EM14">
        <v>6.0401039662038893E-3</v>
      </c>
      <c r="EN14">
        <v>0.11025011946368539</v>
      </c>
      <c r="EO14">
        <v>0.31627180606750988</v>
      </c>
      <c r="EP14">
        <v>0.42668152764017303</v>
      </c>
      <c r="EQ14">
        <v>0.4112378614042852</v>
      </c>
      <c r="ER14">
        <v>0.31068996026463819</v>
      </c>
      <c r="ES14">
        <v>0.12353558432072159</v>
      </c>
      <c r="ET14">
        <v>6.9118347234974585E-3</v>
      </c>
      <c r="EU14">
        <v>0</v>
      </c>
      <c r="EV14">
        <v>0</v>
      </c>
      <c r="EW14">
        <v>1.4713194882565362E-2</v>
      </c>
      <c r="EX14">
        <v>0.14559294533156808</v>
      </c>
      <c r="EY14">
        <v>0.35730086080482393</v>
      </c>
      <c r="EZ14">
        <v>0.46535520286327836</v>
      </c>
      <c r="FA14">
        <v>0.46060228232625672</v>
      </c>
      <c r="FB14">
        <v>0.35030543620997456</v>
      </c>
      <c r="FC14">
        <v>0.17233494137693353</v>
      </c>
      <c r="FD14">
        <v>2.1107369509154598E-2</v>
      </c>
      <c r="FE14">
        <v>4.8838994362706069E-8</v>
      </c>
      <c r="FF14">
        <v>0</v>
      </c>
      <c r="FG14">
        <v>2.5130292005170056E-5</v>
      </c>
      <c r="FH14">
        <v>3.3588061568642538E-2</v>
      </c>
      <c r="FI14">
        <v>0.18694303706977852</v>
      </c>
      <c r="FJ14">
        <v>0.30725136751780491</v>
      </c>
      <c r="FK14">
        <v>0.29908697143228635</v>
      </c>
      <c r="FL14">
        <v>0.17646862654620052</v>
      </c>
      <c r="FM14">
        <v>2.9403086436475722E-2</v>
      </c>
      <c r="FN14">
        <v>8.1626156644459225E-5</v>
      </c>
      <c r="FO14">
        <v>0</v>
      </c>
      <c r="FQ14" t="s">
        <v>299</v>
      </c>
      <c r="FR14" t="s">
        <v>127</v>
      </c>
      <c r="FS14" t="s">
        <v>128</v>
      </c>
      <c r="FT14">
        <v>0.38627954054051084</v>
      </c>
    </row>
    <row r="15" spans="2:176" x14ac:dyDescent="0.45">
      <c r="B15" t="s">
        <v>300</v>
      </c>
      <c r="C15" t="s">
        <v>123</v>
      </c>
      <c r="D15">
        <v>0</v>
      </c>
      <c r="E15">
        <v>0</v>
      </c>
      <c r="F15">
        <v>0.91886285815748903</v>
      </c>
      <c r="G15">
        <v>0.35234116483483535</v>
      </c>
      <c r="H15">
        <v>0.23463982286834303</v>
      </c>
      <c r="I15">
        <v>0.25089997290860488</v>
      </c>
      <c r="J15">
        <v>0.40149334944269149</v>
      </c>
      <c r="K15">
        <v>0.86017623524771747</v>
      </c>
      <c r="L15">
        <v>0</v>
      </c>
      <c r="M15">
        <v>0</v>
      </c>
      <c r="N15">
        <v>0</v>
      </c>
      <c r="O15">
        <v>0.64804180836830783</v>
      </c>
      <c r="P15">
        <v>0.32715746287427649</v>
      </c>
      <c r="Q15">
        <v>0.19876429211873448</v>
      </c>
      <c r="R15">
        <v>0.1671968544438065</v>
      </c>
      <c r="S15">
        <v>0.15585065991066033</v>
      </c>
      <c r="T15">
        <v>0.17985316568210349</v>
      </c>
      <c r="U15">
        <v>0.29417661874748607</v>
      </c>
      <c r="V15">
        <v>0.66988257745183588</v>
      </c>
      <c r="W15">
        <v>0</v>
      </c>
      <c r="X15">
        <v>0</v>
      </c>
      <c r="Y15">
        <v>0.39204220946605323</v>
      </c>
      <c r="Z15">
        <v>0.21898866551538945</v>
      </c>
      <c r="AA15">
        <v>0.14240934831046473</v>
      </c>
      <c r="AB15">
        <v>0.11875792247814754</v>
      </c>
      <c r="AC15">
        <v>0.11585573082780128</v>
      </c>
      <c r="AD15">
        <v>0.13734270646443161</v>
      </c>
      <c r="AE15">
        <v>0.19871246215225574</v>
      </c>
      <c r="AF15">
        <v>0.38207103922970825</v>
      </c>
      <c r="AG15">
        <v>0</v>
      </c>
      <c r="AH15">
        <v>0</v>
      </c>
      <c r="AI15">
        <v>0.95604395604395609</v>
      </c>
      <c r="AJ15">
        <v>0.50952017103747105</v>
      </c>
      <c r="AK15">
        <v>0.26308541430950566</v>
      </c>
      <c r="AL15">
        <v>0.20679622679515805</v>
      </c>
      <c r="AM15">
        <v>0.22251857334069136</v>
      </c>
      <c r="AN15">
        <v>0.30104186386168474</v>
      </c>
      <c r="AO15">
        <v>0.64689283449076296</v>
      </c>
      <c r="AP15">
        <v>0.9780219780219781</v>
      </c>
      <c r="AQ15">
        <v>0</v>
      </c>
      <c r="EA15" t="s">
        <v>300</v>
      </c>
      <c r="EB15">
        <v>0</v>
      </c>
      <c r="EC15">
        <v>0</v>
      </c>
      <c r="ED15">
        <v>2.3265588947983889E-3</v>
      </c>
      <c r="EE15">
        <v>0.11253017137053127</v>
      </c>
      <c r="EF15">
        <v>0.26628760626975689</v>
      </c>
      <c r="EG15">
        <v>0.2648767720549442</v>
      </c>
      <c r="EH15">
        <v>0.1192014064389945</v>
      </c>
      <c r="EI15">
        <v>7.8270232969987856E-3</v>
      </c>
      <c r="EJ15">
        <v>0</v>
      </c>
      <c r="EK15">
        <v>0</v>
      </c>
      <c r="EL15">
        <v>0</v>
      </c>
      <c r="EM15">
        <v>7.6166261413626981E-3</v>
      </c>
      <c r="EN15">
        <v>0.13016685520464663</v>
      </c>
      <c r="EO15">
        <v>0.34917185300026926</v>
      </c>
      <c r="EP15">
        <v>0.48680082371932754</v>
      </c>
      <c r="EQ15">
        <v>0.4873494586085913</v>
      </c>
      <c r="ER15">
        <v>0.34326740305274961</v>
      </c>
      <c r="ES15">
        <v>0.12075341341569824</v>
      </c>
      <c r="ET15">
        <v>5.4910952648858985E-3</v>
      </c>
      <c r="EU15">
        <v>0</v>
      </c>
      <c r="EV15">
        <v>0</v>
      </c>
      <c r="EW15">
        <v>1.7083440975594243E-2</v>
      </c>
      <c r="EX15">
        <v>0.16511280622885721</v>
      </c>
      <c r="EY15">
        <v>0.39164027752013458</v>
      </c>
      <c r="EZ15">
        <v>0.52212205911865051</v>
      </c>
      <c r="FA15">
        <v>0.51006334077751969</v>
      </c>
      <c r="FB15">
        <v>0.37692386242532122</v>
      </c>
      <c r="FC15">
        <v>0.16804313912744759</v>
      </c>
      <c r="FD15">
        <v>1.7747199301547615E-2</v>
      </c>
      <c r="FE15">
        <v>0</v>
      </c>
      <c r="FF15">
        <v>0</v>
      </c>
      <c r="FG15">
        <v>8.2765742230090321E-5</v>
      </c>
      <c r="FH15">
        <v>4.9058587046225975E-2</v>
      </c>
      <c r="FI15">
        <v>0.23262194397270483</v>
      </c>
      <c r="FJ15">
        <v>0.35059759778135458</v>
      </c>
      <c r="FK15">
        <v>0.32552045567587662</v>
      </c>
      <c r="FL15">
        <v>0.180873688055672</v>
      </c>
      <c r="FM15">
        <v>2.670426056328877E-2</v>
      </c>
      <c r="FN15">
        <v>2.3195073571424568E-5</v>
      </c>
      <c r="FO15">
        <v>0</v>
      </c>
      <c r="FQ15" t="s">
        <v>300</v>
      </c>
      <c r="FR15" t="s">
        <v>127</v>
      </c>
      <c r="FS15" t="s">
        <v>128</v>
      </c>
      <c r="FT15">
        <v>0.45097051224214324</v>
      </c>
    </row>
    <row r="16" spans="2:176" x14ac:dyDescent="0.45">
      <c r="B16" t="s">
        <v>301</v>
      </c>
      <c r="C16" t="s">
        <v>123</v>
      </c>
      <c r="D16">
        <v>0</v>
      </c>
      <c r="E16">
        <v>0</v>
      </c>
      <c r="F16">
        <v>0.91889126972303292</v>
      </c>
      <c r="G16">
        <v>0.36922480125344631</v>
      </c>
      <c r="H16">
        <v>0.28885455897909279</v>
      </c>
      <c r="I16">
        <v>0.31081156777924168</v>
      </c>
      <c r="J16">
        <v>0.38895212425248044</v>
      </c>
      <c r="K16">
        <v>0.84809690791982928</v>
      </c>
      <c r="L16">
        <v>0</v>
      </c>
      <c r="M16">
        <v>0</v>
      </c>
      <c r="N16">
        <v>0</v>
      </c>
      <c r="O16">
        <v>0.69617664358796505</v>
      </c>
      <c r="P16">
        <v>0.35056557399658966</v>
      </c>
      <c r="Q16">
        <v>0.21230096716375618</v>
      </c>
      <c r="R16">
        <v>0.17765684496902376</v>
      </c>
      <c r="S16">
        <v>0.19223984817839257</v>
      </c>
      <c r="T16">
        <v>0.20355659869356857</v>
      </c>
      <c r="U16">
        <v>0.28924916848529353</v>
      </c>
      <c r="V16">
        <v>0.69236736709277558</v>
      </c>
      <c r="W16">
        <v>0</v>
      </c>
      <c r="X16">
        <v>0</v>
      </c>
      <c r="Y16">
        <v>0.45076000787278536</v>
      </c>
      <c r="Z16">
        <v>0.22695230530425414</v>
      </c>
      <c r="AA16">
        <v>0.15381729600170588</v>
      </c>
      <c r="AB16">
        <v>0.1294569135618622</v>
      </c>
      <c r="AC16">
        <v>0.14267106924606687</v>
      </c>
      <c r="AD16">
        <v>0.15728911717110169</v>
      </c>
      <c r="AE16">
        <v>0.20953158558033175</v>
      </c>
      <c r="AF16">
        <v>0.40418194317969958</v>
      </c>
      <c r="AG16">
        <v>0</v>
      </c>
      <c r="AH16">
        <v>0</v>
      </c>
      <c r="AI16">
        <v>0.97137559505092097</v>
      </c>
      <c r="AJ16">
        <v>0.5266982547271114</v>
      </c>
      <c r="AK16">
        <v>0.28680756556873255</v>
      </c>
      <c r="AL16">
        <v>0.26500434109573384</v>
      </c>
      <c r="AM16">
        <v>0.26407837450363852</v>
      </c>
      <c r="AN16">
        <v>0.29590265190082493</v>
      </c>
      <c r="AO16">
        <v>0.61987620657054576</v>
      </c>
      <c r="AP16">
        <v>0.98351648351648346</v>
      </c>
      <c r="AQ16">
        <v>0</v>
      </c>
      <c r="EA16" t="s">
        <v>301</v>
      </c>
      <c r="EB16">
        <v>0</v>
      </c>
      <c r="EC16">
        <v>0</v>
      </c>
      <c r="ED16">
        <v>3.1283291410057058E-3</v>
      </c>
      <c r="EE16">
        <v>0.11628907893691355</v>
      </c>
      <c r="EF16">
        <v>0.24249080476094848</v>
      </c>
      <c r="EG16">
        <v>0.24229857059325927</v>
      </c>
      <c r="EH16">
        <v>0.12530881002951047</v>
      </c>
      <c r="EI16">
        <v>1.0162243055659152E-2</v>
      </c>
      <c r="EJ16">
        <v>0</v>
      </c>
      <c r="EK16">
        <v>0</v>
      </c>
      <c r="EL16">
        <v>0</v>
      </c>
      <c r="EM16">
        <v>6.2241988051148509E-3</v>
      </c>
      <c r="EN16">
        <v>0.12147189298981599</v>
      </c>
      <c r="EO16">
        <v>0.334636066700155</v>
      </c>
      <c r="EP16">
        <v>0.44965462737099532</v>
      </c>
      <c r="EQ16">
        <v>0.43052399444093187</v>
      </c>
      <c r="ER16">
        <v>0.31595700410932059</v>
      </c>
      <c r="ES16">
        <v>0.11853975466429133</v>
      </c>
      <c r="ET16">
        <v>5.283892753316987E-3</v>
      </c>
      <c r="EU16">
        <v>0</v>
      </c>
      <c r="EV16">
        <v>0</v>
      </c>
      <c r="EW16">
        <v>1.4720195878967808E-2</v>
      </c>
      <c r="EX16">
        <v>0.15912425764616686</v>
      </c>
      <c r="EY16">
        <v>0.3890209557730297</v>
      </c>
      <c r="EZ16">
        <v>0.52289528516556505</v>
      </c>
      <c r="FA16">
        <v>0.50826246565980893</v>
      </c>
      <c r="FB16">
        <v>0.38686388505132779</v>
      </c>
      <c r="FC16">
        <v>0.17922928277669717</v>
      </c>
      <c r="FD16">
        <v>1.6631073766039867E-2</v>
      </c>
      <c r="FE16">
        <v>0</v>
      </c>
      <c r="FF16">
        <v>0</v>
      </c>
      <c r="FG16">
        <v>4.5016897363741343E-5</v>
      </c>
      <c r="FH16">
        <v>4.6946604393665076E-2</v>
      </c>
      <c r="FI16">
        <v>0.22310781202251323</v>
      </c>
      <c r="FJ16">
        <v>0.33516894136628084</v>
      </c>
      <c r="FK16">
        <v>0.30993197930717309</v>
      </c>
      <c r="FL16">
        <v>0.17857030109848365</v>
      </c>
      <c r="FM16">
        <v>2.9784190819936704E-2</v>
      </c>
      <c r="FN16">
        <v>2.3904770082664673E-5</v>
      </c>
      <c r="FO16">
        <v>0</v>
      </c>
      <c r="FQ16" t="s">
        <v>301</v>
      </c>
      <c r="FR16" t="s">
        <v>127</v>
      </c>
      <c r="FS16" t="s">
        <v>128</v>
      </c>
      <c r="FT16">
        <v>0.48563988673459535</v>
      </c>
    </row>
    <row r="17" spans="2:176" x14ac:dyDescent="0.45">
      <c r="B17" t="s">
        <v>302</v>
      </c>
      <c r="C17" t="s">
        <v>123</v>
      </c>
      <c r="D17">
        <v>0</v>
      </c>
      <c r="E17">
        <v>0</v>
      </c>
      <c r="F17">
        <v>0.92222222222222217</v>
      </c>
      <c r="G17">
        <v>0.38210449941149766</v>
      </c>
      <c r="H17">
        <v>0.29165757741401549</v>
      </c>
      <c r="I17">
        <v>0.28688410787457491</v>
      </c>
      <c r="J17">
        <v>0.34557037144963859</v>
      </c>
      <c r="K17">
        <v>0.80356627530439761</v>
      </c>
      <c r="L17">
        <v>0</v>
      </c>
      <c r="M17">
        <v>0</v>
      </c>
      <c r="N17">
        <v>0</v>
      </c>
      <c r="O17">
        <v>0.72472366561530599</v>
      </c>
      <c r="P17">
        <v>0.34312397841052616</v>
      </c>
      <c r="Q17">
        <v>0.20586679530930754</v>
      </c>
      <c r="R17">
        <v>0.17567828821046172</v>
      </c>
      <c r="S17">
        <v>0.17159740459702444</v>
      </c>
      <c r="T17">
        <v>0.19501686577016183</v>
      </c>
      <c r="U17">
        <v>0.27635683166549235</v>
      </c>
      <c r="V17">
        <v>0.63804615067858439</v>
      </c>
      <c r="W17">
        <v>0</v>
      </c>
      <c r="X17">
        <v>0</v>
      </c>
      <c r="Y17">
        <v>0.50444619104696764</v>
      </c>
      <c r="Z17">
        <v>0.23858945304411597</v>
      </c>
      <c r="AA17">
        <v>0.15537488560440613</v>
      </c>
      <c r="AB17">
        <v>0.13975133916164648</v>
      </c>
      <c r="AC17">
        <v>0.13306567191021129</v>
      </c>
      <c r="AD17">
        <v>0.13876979699961334</v>
      </c>
      <c r="AE17">
        <v>0.18987760615771526</v>
      </c>
      <c r="AF17">
        <v>0.36673621785916666</v>
      </c>
      <c r="AG17">
        <v>0</v>
      </c>
      <c r="AH17">
        <v>0</v>
      </c>
      <c r="AI17">
        <v>0.98351648351648335</v>
      </c>
      <c r="AJ17">
        <v>0.56898014094938965</v>
      </c>
      <c r="AK17">
        <v>0.28416541586233574</v>
      </c>
      <c r="AL17">
        <v>0.23473830414508007</v>
      </c>
      <c r="AM17">
        <v>0.22299871965780396</v>
      </c>
      <c r="AN17">
        <v>0.28846318128606596</v>
      </c>
      <c r="AO17">
        <v>0.59900347989232028</v>
      </c>
      <c r="AP17">
        <v>0.9560439560439562</v>
      </c>
      <c r="AQ17">
        <v>0</v>
      </c>
      <c r="EA17" t="s">
        <v>302</v>
      </c>
      <c r="EB17">
        <v>0</v>
      </c>
      <c r="EC17">
        <v>0</v>
      </c>
      <c r="ED17">
        <v>2.3946857259233545E-3</v>
      </c>
      <c r="EE17">
        <v>0.10387244592447209</v>
      </c>
      <c r="EF17">
        <v>0.25165998015092611</v>
      </c>
      <c r="EG17">
        <v>0.25270552271917451</v>
      </c>
      <c r="EH17">
        <v>0.13324144679719049</v>
      </c>
      <c r="EI17">
        <v>1.3444374754713127E-2</v>
      </c>
      <c r="EJ17">
        <v>0</v>
      </c>
      <c r="EK17">
        <v>0</v>
      </c>
      <c r="EL17">
        <v>0</v>
      </c>
      <c r="EM17">
        <v>4.7042170274471185E-3</v>
      </c>
      <c r="EN17">
        <v>0.11084537360734459</v>
      </c>
      <c r="EO17">
        <v>0.32501497202048396</v>
      </c>
      <c r="EP17">
        <v>0.42285934808610309</v>
      </c>
      <c r="EQ17">
        <v>0.41751222153575301</v>
      </c>
      <c r="ER17">
        <v>0.31188403830078132</v>
      </c>
      <c r="ES17">
        <v>0.1277078315506959</v>
      </c>
      <c r="ET17">
        <v>6.6202911091196026E-3</v>
      </c>
      <c r="EU17">
        <v>0</v>
      </c>
      <c r="EV17">
        <v>0</v>
      </c>
      <c r="EW17">
        <v>1.1222133129089073E-2</v>
      </c>
      <c r="EX17">
        <v>0.14317429448799746</v>
      </c>
      <c r="EY17">
        <v>0.37271332083807751</v>
      </c>
      <c r="EZ17">
        <v>0.50551016120746506</v>
      </c>
      <c r="FA17">
        <v>0.507743982319249</v>
      </c>
      <c r="FB17">
        <v>0.40192941856285652</v>
      </c>
      <c r="FC17">
        <v>0.1925135818516856</v>
      </c>
      <c r="FD17">
        <v>2.0686253207734765E-2</v>
      </c>
      <c r="FE17">
        <v>0</v>
      </c>
      <c r="FF17">
        <v>0</v>
      </c>
      <c r="FG17">
        <v>4.3434883858237765E-6</v>
      </c>
      <c r="FH17">
        <v>3.1985817735419794E-2</v>
      </c>
      <c r="FI17">
        <v>0.19871304250402202</v>
      </c>
      <c r="FJ17">
        <v>0.32278283743063158</v>
      </c>
      <c r="FK17">
        <v>0.3140506795374704</v>
      </c>
      <c r="FL17">
        <v>0.19518218236316329</v>
      </c>
      <c r="FM17">
        <v>3.8935755773609609E-2</v>
      </c>
      <c r="FN17">
        <v>1.2291415107913703E-4</v>
      </c>
      <c r="FO17">
        <v>0</v>
      </c>
      <c r="FQ17" t="s">
        <v>302</v>
      </c>
      <c r="FR17" t="s">
        <v>127</v>
      </c>
      <c r="FS17" t="s">
        <v>128</v>
      </c>
      <c r="FT17">
        <v>0.42444578686410406</v>
      </c>
    </row>
    <row r="18" spans="2:176" x14ac:dyDescent="0.45">
      <c r="B18" t="s">
        <v>303</v>
      </c>
      <c r="C18" t="s">
        <v>123</v>
      </c>
      <c r="D18">
        <v>0</v>
      </c>
      <c r="E18">
        <v>0</v>
      </c>
      <c r="F18">
        <v>0.94429899757446345</v>
      </c>
      <c r="G18">
        <v>0.4476578419296986</v>
      </c>
      <c r="H18">
        <v>0.31145684489694103</v>
      </c>
      <c r="I18">
        <v>0.30368125844849825</v>
      </c>
      <c r="J18">
        <v>0.36222850107930654</v>
      </c>
      <c r="K18">
        <v>0.82268207844694397</v>
      </c>
      <c r="L18">
        <v>0</v>
      </c>
      <c r="M18">
        <v>0</v>
      </c>
      <c r="N18">
        <v>0</v>
      </c>
      <c r="O18">
        <v>0.71050745353505562</v>
      </c>
      <c r="P18">
        <v>0.35102684727707972</v>
      </c>
      <c r="Q18">
        <v>0.2084255252047891</v>
      </c>
      <c r="R18">
        <v>0.18935285915132127</v>
      </c>
      <c r="S18">
        <v>0.18204650225321498</v>
      </c>
      <c r="T18">
        <v>0.19771828482699425</v>
      </c>
      <c r="U18">
        <v>0.28035962604202957</v>
      </c>
      <c r="V18">
        <v>0.62104643957505723</v>
      </c>
      <c r="W18">
        <v>0</v>
      </c>
      <c r="X18">
        <v>0</v>
      </c>
      <c r="Y18">
        <v>0.48103936814440978</v>
      </c>
      <c r="Z18">
        <v>0.25130816801401029</v>
      </c>
      <c r="AA18">
        <v>0.16608637398338508</v>
      </c>
      <c r="AB18">
        <v>0.16134146301017141</v>
      </c>
      <c r="AC18">
        <v>0.1644186294276701</v>
      </c>
      <c r="AD18">
        <v>0.16821850236033428</v>
      </c>
      <c r="AE18">
        <v>0.19312134327182798</v>
      </c>
      <c r="AF18">
        <v>0.35819944043157481</v>
      </c>
      <c r="AG18">
        <v>0</v>
      </c>
      <c r="AH18">
        <v>0</v>
      </c>
      <c r="AI18">
        <v>0</v>
      </c>
      <c r="AJ18">
        <v>0.61182019216405559</v>
      </c>
      <c r="AK18">
        <v>0.30478764605478853</v>
      </c>
      <c r="AL18">
        <v>0.24423692661998392</v>
      </c>
      <c r="AM18">
        <v>0.22666203803156973</v>
      </c>
      <c r="AN18">
        <v>0.29019804503116831</v>
      </c>
      <c r="AO18">
        <v>0.59847274438840548</v>
      </c>
      <c r="AP18">
        <v>0.95604395604395609</v>
      </c>
      <c r="AQ18">
        <v>0</v>
      </c>
      <c r="EA18" t="s">
        <v>303</v>
      </c>
      <c r="EB18">
        <v>0</v>
      </c>
      <c r="EC18">
        <v>0</v>
      </c>
      <c r="ED18">
        <v>1.4556997702787522E-3</v>
      </c>
      <c r="EE18">
        <v>8.8929957691148739E-2</v>
      </c>
      <c r="EF18">
        <v>0.23790281205734651</v>
      </c>
      <c r="EG18">
        <v>0.23871250456104515</v>
      </c>
      <c r="EH18">
        <v>0.13099021200449945</v>
      </c>
      <c r="EI18">
        <v>1.3864544092320092E-2</v>
      </c>
      <c r="EJ18">
        <v>0</v>
      </c>
      <c r="EK18">
        <v>0</v>
      </c>
      <c r="EL18">
        <v>0</v>
      </c>
      <c r="EM18">
        <v>5.1075006180307933E-3</v>
      </c>
      <c r="EN18">
        <v>0.11031508268274628</v>
      </c>
      <c r="EO18">
        <v>0.31725594636091564</v>
      </c>
      <c r="EP18">
        <v>0.4105164996278291</v>
      </c>
      <c r="EQ18">
        <v>0.41202674580170634</v>
      </c>
      <c r="ER18">
        <v>0.31455258968553423</v>
      </c>
      <c r="ES18">
        <v>0.13303766791667501</v>
      </c>
      <c r="ET18">
        <v>7.5094920399151732E-3</v>
      </c>
      <c r="EU18">
        <v>0</v>
      </c>
      <c r="EV18">
        <v>0</v>
      </c>
      <c r="EW18">
        <v>1.2667891077065355E-2</v>
      </c>
      <c r="EX18">
        <v>0.13994956889494939</v>
      </c>
      <c r="EY18">
        <v>0.3489013635237887</v>
      </c>
      <c r="EZ18">
        <v>0.46358847441485163</v>
      </c>
      <c r="FA18">
        <v>0.45036405676524754</v>
      </c>
      <c r="FB18">
        <v>0.35151218951653934</v>
      </c>
      <c r="FC18">
        <v>0.18060668306758576</v>
      </c>
      <c r="FD18">
        <v>2.2279501520958381E-2</v>
      </c>
      <c r="FE18">
        <v>0</v>
      </c>
      <c r="FF18">
        <v>0</v>
      </c>
      <c r="FG18">
        <v>0</v>
      </c>
      <c r="FH18">
        <v>2.6784052022864487E-2</v>
      </c>
      <c r="FI18">
        <v>0.16760975216951787</v>
      </c>
      <c r="FJ18">
        <v>0.29594563665287077</v>
      </c>
      <c r="FK18">
        <v>0.30804400571635582</v>
      </c>
      <c r="FL18">
        <v>0.18341947790474167</v>
      </c>
      <c r="FM18">
        <v>3.5847207275252077E-2</v>
      </c>
      <c r="FN18">
        <v>1.314132726323716E-4</v>
      </c>
      <c r="FO18">
        <v>0</v>
      </c>
      <c r="FQ18" t="s">
        <v>303</v>
      </c>
      <c r="FR18" t="s">
        <v>127</v>
      </c>
      <c r="FS18" t="s">
        <v>128</v>
      </c>
      <c r="FT18">
        <v>0.36307252404434631</v>
      </c>
    </row>
    <row r="19" spans="2:176" x14ac:dyDescent="0.45">
      <c r="B19" t="s">
        <v>304</v>
      </c>
      <c r="C19" t="s">
        <v>123</v>
      </c>
      <c r="D19">
        <v>0</v>
      </c>
      <c r="E19">
        <v>0</v>
      </c>
      <c r="F19">
        <v>0.9288471813154322</v>
      </c>
      <c r="G19">
        <v>0.39095345784452695</v>
      </c>
      <c r="H19">
        <v>0.27351707526400482</v>
      </c>
      <c r="I19">
        <v>0.28689892007307943</v>
      </c>
      <c r="J19">
        <v>0.35837785984458298</v>
      </c>
      <c r="K19">
        <v>0.8335640989969948</v>
      </c>
      <c r="L19">
        <v>0</v>
      </c>
      <c r="M19">
        <v>0</v>
      </c>
      <c r="N19">
        <v>0</v>
      </c>
      <c r="O19">
        <v>0.69256568784702643</v>
      </c>
      <c r="P19">
        <v>0.34774326456330235</v>
      </c>
      <c r="Q19">
        <v>0.21008463829305779</v>
      </c>
      <c r="R19">
        <v>0.17679335333411925</v>
      </c>
      <c r="S19">
        <v>0.1656182428072068</v>
      </c>
      <c r="T19">
        <v>0.19465848522671356</v>
      </c>
      <c r="U19">
        <v>0.2841163315518378</v>
      </c>
      <c r="V19">
        <v>0.65290610791631998</v>
      </c>
      <c r="W19">
        <v>0</v>
      </c>
      <c r="X19">
        <v>0</v>
      </c>
      <c r="Y19">
        <v>0.45562009750055832</v>
      </c>
      <c r="Z19">
        <v>0.24242794229002401</v>
      </c>
      <c r="AA19">
        <v>0.16653489139397096</v>
      </c>
      <c r="AB19">
        <v>0.14334631180202442</v>
      </c>
      <c r="AC19">
        <v>0.147639625024758</v>
      </c>
      <c r="AD19">
        <v>0.16647272403945435</v>
      </c>
      <c r="AE19">
        <v>0.20113381372767611</v>
      </c>
      <c r="AF19">
        <v>0.36988791938595045</v>
      </c>
      <c r="AG19">
        <v>0</v>
      </c>
      <c r="AH19">
        <v>0</v>
      </c>
      <c r="AI19">
        <v>0.98351648351648324</v>
      </c>
      <c r="AJ19">
        <v>0.56343630381607768</v>
      </c>
      <c r="AK19">
        <v>0.30059652347448612</v>
      </c>
      <c r="AL19">
        <v>0.25084705972700855</v>
      </c>
      <c r="AM19">
        <v>0.23116712071433618</v>
      </c>
      <c r="AN19">
        <v>0.28066391999794954</v>
      </c>
      <c r="AO19">
        <v>0.61565036726084843</v>
      </c>
      <c r="AP19">
        <v>0.96497609471256895</v>
      </c>
      <c r="AQ19">
        <v>0</v>
      </c>
      <c r="EA19" t="s">
        <v>304</v>
      </c>
      <c r="EB19">
        <v>0</v>
      </c>
      <c r="EC19">
        <v>0</v>
      </c>
      <c r="ED19">
        <v>2.3521144971848534E-3</v>
      </c>
      <c r="EE19">
        <v>0.10405448191995235</v>
      </c>
      <c r="EF19">
        <v>0.24957755057794684</v>
      </c>
      <c r="EG19">
        <v>0.24581430942096816</v>
      </c>
      <c r="EH19">
        <v>0.12412483826016919</v>
      </c>
      <c r="EI19">
        <v>1.1487246488494283E-2</v>
      </c>
      <c r="EJ19">
        <v>0</v>
      </c>
      <c r="EK19">
        <v>0</v>
      </c>
      <c r="EL19">
        <v>0</v>
      </c>
      <c r="EM19">
        <v>5.4382203168284113E-3</v>
      </c>
      <c r="EN19">
        <v>0.11534903567659525</v>
      </c>
      <c r="EO19">
        <v>0.32263477680819164</v>
      </c>
      <c r="EP19">
        <v>0.42293619740693517</v>
      </c>
      <c r="EQ19">
        <v>0.41508808152618865</v>
      </c>
      <c r="ER19">
        <v>0.30330136930785484</v>
      </c>
      <c r="ES19">
        <v>0.11920649416248195</v>
      </c>
      <c r="ET19">
        <v>6.2190678836090913E-3</v>
      </c>
      <c r="EU19">
        <v>0</v>
      </c>
      <c r="EV19">
        <v>0</v>
      </c>
      <c r="EW19">
        <v>1.3736220982530283E-2</v>
      </c>
      <c r="EX19">
        <v>0.14529107579468759</v>
      </c>
      <c r="EY19">
        <v>0.3575752724937149</v>
      </c>
      <c r="EZ19">
        <v>0.47007231864669663</v>
      </c>
      <c r="FA19">
        <v>0.4643416374110837</v>
      </c>
      <c r="FB19">
        <v>0.34842395333958182</v>
      </c>
      <c r="FC19">
        <v>0.17105007003188372</v>
      </c>
      <c r="FD19">
        <v>1.9327612261456989E-2</v>
      </c>
      <c r="FE19">
        <v>0</v>
      </c>
      <c r="FF19">
        <v>0</v>
      </c>
      <c r="FG19">
        <v>1.9500703816946123E-5</v>
      </c>
      <c r="FH19">
        <v>3.4909822277392144E-2</v>
      </c>
      <c r="FI19">
        <v>0.18961746630308055</v>
      </c>
      <c r="FJ19">
        <v>0.30678562413691746</v>
      </c>
      <c r="FK19">
        <v>0.29909826442977289</v>
      </c>
      <c r="FL19">
        <v>0.17537859101430997</v>
      </c>
      <c r="FM19">
        <v>2.9785133573274974E-2</v>
      </c>
      <c r="FN19">
        <v>6.5658295703103714E-5</v>
      </c>
      <c r="FO19">
        <v>0</v>
      </c>
      <c r="FQ19" t="s">
        <v>304</v>
      </c>
      <c r="FR19" t="s">
        <v>127</v>
      </c>
      <c r="FS19" t="s">
        <v>128</v>
      </c>
      <c r="FT19">
        <v>0.41395433169847723</v>
      </c>
    </row>
    <row r="20" spans="2:176" x14ac:dyDescent="0.45">
      <c r="B20" t="s">
        <v>305</v>
      </c>
      <c r="C20" t="s">
        <v>123</v>
      </c>
      <c r="D20">
        <v>0</v>
      </c>
      <c r="E20">
        <v>0</v>
      </c>
      <c r="F20">
        <v>0</v>
      </c>
      <c r="G20">
        <v>0.61572000646566638</v>
      </c>
      <c r="H20">
        <v>0.39302903585808219</v>
      </c>
      <c r="I20">
        <v>0.38638179510093762</v>
      </c>
      <c r="J20">
        <v>0.46279127182634711</v>
      </c>
      <c r="K20">
        <v>0.80971757887583784</v>
      </c>
      <c r="L20">
        <v>0</v>
      </c>
      <c r="M20">
        <v>0</v>
      </c>
      <c r="N20">
        <v>0</v>
      </c>
      <c r="O20">
        <v>0.72837836768434283</v>
      </c>
      <c r="P20">
        <v>0.39924319836305322</v>
      </c>
      <c r="Q20">
        <v>0.21705777593200945</v>
      </c>
      <c r="R20">
        <v>0.18056154212865486</v>
      </c>
      <c r="S20">
        <v>0.17393581898679375</v>
      </c>
      <c r="T20">
        <v>0.19133319601599791</v>
      </c>
      <c r="U20">
        <v>0.2574927985955614</v>
      </c>
      <c r="V20">
        <v>0.52818399705217334</v>
      </c>
      <c r="W20">
        <v>0.94309527387123526</v>
      </c>
      <c r="X20">
        <v>0</v>
      </c>
      <c r="Y20">
        <v>0.48027128180563478</v>
      </c>
      <c r="Z20">
        <v>0.27195421629825595</v>
      </c>
      <c r="AA20">
        <v>0.19029218674772261</v>
      </c>
      <c r="AB20">
        <v>0.16094708541750008</v>
      </c>
      <c r="AC20">
        <v>0.15141632902340835</v>
      </c>
      <c r="AD20">
        <v>0.18513228190533126</v>
      </c>
      <c r="AE20">
        <v>0.20542072373437753</v>
      </c>
      <c r="AF20">
        <v>0.32871040563883358</v>
      </c>
      <c r="AG20">
        <v>0.80801997236337009</v>
      </c>
      <c r="AH20">
        <v>0</v>
      </c>
      <c r="AI20">
        <v>0</v>
      </c>
      <c r="AJ20">
        <v>0.6947456392515442</v>
      </c>
      <c r="AK20">
        <v>0.3626933472548135</v>
      </c>
      <c r="AL20">
        <v>0.28463584565429417</v>
      </c>
      <c r="AM20">
        <v>0.25897375716994225</v>
      </c>
      <c r="AN20">
        <v>0.29619234063703404</v>
      </c>
      <c r="AO20">
        <v>0.58169130901680266</v>
      </c>
      <c r="AP20">
        <v>0.92023495863340499</v>
      </c>
      <c r="AQ20">
        <v>0</v>
      </c>
      <c r="EA20" t="s">
        <v>305</v>
      </c>
      <c r="EB20">
        <v>0</v>
      </c>
      <c r="EC20">
        <v>0</v>
      </c>
      <c r="ED20">
        <v>0</v>
      </c>
      <c r="EE20">
        <v>3.7156112864844985E-2</v>
      </c>
      <c r="EF20">
        <v>0.14452901178487293</v>
      </c>
      <c r="EG20">
        <v>0.17551300623291144</v>
      </c>
      <c r="EH20">
        <v>0.10201399419233013</v>
      </c>
      <c r="EI20">
        <v>1.4323516585425487E-2</v>
      </c>
      <c r="EJ20">
        <v>0</v>
      </c>
      <c r="EK20">
        <v>0</v>
      </c>
      <c r="EL20">
        <v>0</v>
      </c>
      <c r="EM20">
        <v>3.9333385635306238E-3</v>
      </c>
      <c r="EN20">
        <v>8.09493187386265E-2</v>
      </c>
      <c r="EO20">
        <v>0.30600631763966857</v>
      </c>
      <c r="EP20">
        <v>0.47681302678049731</v>
      </c>
      <c r="EQ20">
        <v>0.50392131016797126</v>
      </c>
      <c r="ER20">
        <v>0.38944316512409433</v>
      </c>
      <c r="ES20">
        <v>0.18346846508891801</v>
      </c>
      <c r="ET20">
        <v>1.8260816015263581E-2</v>
      </c>
      <c r="EU20">
        <v>9.0053608968254485E-5</v>
      </c>
      <c r="EV20">
        <v>0</v>
      </c>
      <c r="EW20">
        <v>9.9515886748483967E-3</v>
      </c>
      <c r="EX20">
        <v>0.10332920365832172</v>
      </c>
      <c r="EY20">
        <v>0.28508843847779874</v>
      </c>
      <c r="EZ20">
        <v>0.42918285675030099</v>
      </c>
      <c r="FA20">
        <v>0.47294207424405088</v>
      </c>
      <c r="FB20">
        <v>0.39444128025490122</v>
      </c>
      <c r="FC20">
        <v>0.22234584248261699</v>
      </c>
      <c r="FD20">
        <v>4.4961437791187706E-2</v>
      </c>
      <c r="FE20">
        <v>1.2861407026954065E-3</v>
      </c>
      <c r="FF20">
        <v>0</v>
      </c>
      <c r="FG20">
        <v>0</v>
      </c>
      <c r="FH20">
        <v>1.4121216095396707E-2</v>
      </c>
      <c r="FI20">
        <v>0.12746791438807895</v>
      </c>
      <c r="FJ20">
        <v>0.25848007886350333</v>
      </c>
      <c r="FK20">
        <v>0.27991684200300632</v>
      </c>
      <c r="FL20">
        <v>0.18078019556145203</v>
      </c>
      <c r="FM20">
        <v>4.2751010868157913E-2</v>
      </c>
      <c r="FN20">
        <v>4.7714525659286734E-4</v>
      </c>
      <c r="FO20">
        <v>0</v>
      </c>
      <c r="FQ20" t="s">
        <v>305</v>
      </c>
      <c r="FR20" t="s">
        <v>127</v>
      </c>
      <c r="FS20" t="s">
        <v>128</v>
      </c>
      <c r="FT20">
        <v>0.45903914350325542</v>
      </c>
    </row>
    <row r="21" spans="2:176" x14ac:dyDescent="0.45">
      <c r="B21" t="s">
        <v>306</v>
      </c>
      <c r="C21" t="s">
        <v>123</v>
      </c>
      <c r="D21">
        <v>0</v>
      </c>
      <c r="E21">
        <v>0</v>
      </c>
      <c r="F21">
        <v>0</v>
      </c>
      <c r="G21">
        <v>0.62845990480141312</v>
      </c>
      <c r="H21">
        <v>0.36904341333885626</v>
      </c>
      <c r="I21">
        <v>0.37349968100477904</v>
      </c>
      <c r="J21">
        <v>0.50474399830129713</v>
      </c>
      <c r="K21">
        <v>0.84374791832496243</v>
      </c>
      <c r="L21">
        <v>0</v>
      </c>
      <c r="M21">
        <v>0</v>
      </c>
      <c r="N21">
        <v>0</v>
      </c>
      <c r="O21">
        <v>0.69810912823816262</v>
      </c>
      <c r="P21">
        <v>0.3874118824345687</v>
      </c>
      <c r="Q21">
        <v>0.21612619607119715</v>
      </c>
      <c r="R21">
        <v>0.1643737114458092</v>
      </c>
      <c r="S21">
        <v>0.1580974234956917</v>
      </c>
      <c r="T21">
        <v>0.17369976084197258</v>
      </c>
      <c r="U21">
        <v>0.244767374475892</v>
      </c>
      <c r="V21">
        <v>0.52116507963782921</v>
      </c>
      <c r="W21">
        <v>0.94451296824927244</v>
      </c>
      <c r="X21">
        <v>0</v>
      </c>
      <c r="Y21">
        <v>0.44105541706030588</v>
      </c>
      <c r="Z21">
        <v>0.26385521738059792</v>
      </c>
      <c r="AA21">
        <v>0.19795901995385071</v>
      </c>
      <c r="AB21">
        <v>0.17380988731652047</v>
      </c>
      <c r="AC21">
        <v>0.14908752235128209</v>
      </c>
      <c r="AD21">
        <v>0.16194966054689866</v>
      </c>
      <c r="AE21">
        <v>0.20033014852281783</v>
      </c>
      <c r="AF21">
        <v>0.32111684788456185</v>
      </c>
      <c r="AG21">
        <v>0.79576552511194021</v>
      </c>
      <c r="AH21">
        <v>0</v>
      </c>
      <c r="AI21">
        <v>0</v>
      </c>
      <c r="AJ21">
        <v>0.69431905831362206</v>
      </c>
      <c r="AK21">
        <v>0.37478754316048141</v>
      </c>
      <c r="AL21">
        <v>0.27651905604532839</v>
      </c>
      <c r="AM21">
        <v>0.26258902229250403</v>
      </c>
      <c r="AN21">
        <v>0.32902306240725732</v>
      </c>
      <c r="AO21">
        <v>0.60651914677751362</v>
      </c>
      <c r="AP21">
        <v>0.91727478465719314</v>
      </c>
      <c r="AQ21">
        <v>0</v>
      </c>
      <c r="EA21" t="s">
        <v>306</v>
      </c>
      <c r="EB21">
        <v>0</v>
      </c>
      <c r="EC21">
        <v>0</v>
      </c>
      <c r="ED21">
        <v>0</v>
      </c>
      <c r="EE21">
        <v>4.128731452158399E-2</v>
      </c>
      <c r="EF21">
        <v>0.1598994737873545</v>
      </c>
      <c r="EG21">
        <v>0.18755174616304643</v>
      </c>
      <c r="EH21">
        <v>0.10058412735732611</v>
      </c>
      <c r="EI21">
        <v>1.3672668436401416E-2</v>
      </c>
      <c r="EJ21">
        <v>0</v>
      </c>
      <c r="EK21">
        <v>0</v>
      </c>
      <c r="EL21">
        <v>0</v>
      </c>
      <c r="EM21">
        <v>4.6691007904200894E-3</v>
      </c>
      <c r="EN21">
        <v>8.6175436837973185E-2</v>
      </c>
      <c r="EO21">
        <v>0.30975828542491052</v>
      </c>
      <c r="EP21">
        <v>0.48738029401748523</v>
      </c>
      <c r="EQ21">
        <v>0.50799384224940081</v>
      </c>
      <c r="ER21">
        <v>0.39565321131430964</v>
      </c>
      <c r="ES21">
        <v>0.17997966981772268</v>
      </c>
      <c r="ET21">
        <v>1.7451942984413948E-2</v>
      </c>
      <c r="EU21">
        <v>1.1441171674282587E-4</v>
      </c>
      <c r="EV21">
        <v>0</v>
      </c>
      <c r="EW21">
        <v>1.1611898081551286E-2</v>
      </c>
      <c r="EX21">
        <v>0.10177737316299919</v>
      </c>
      <c r="EY21">
        <v>0.26980082452967757</v>
      </c>
      <c r="EZ21">
        <v>0.40110954330291237</v>
      </c>
      <c r="FA21">
        <v>0.44904515364272696</v>
      </c>
      <c r="FB21">
        <v>0.37163811693253079</v>
      </c>
      <c r="FC21">
        <v>0.20381370360291515</v>
      </c>
      <c r="FD21">
        <v>4.201116090367947E-2</v>
      </c>
      <c r="FE21">
        <v>1.2628360038971726E-3</v>
      </c>
      <c r="FF21">
        <v>0</v>
      </c>
      <c r="FG21">
        <v>0</v>
      </c>
      <c r="FH21">
        <v>1.5014046185120854E-2</v>
      </c>
      <c r="FI21">
        <v>0.11782602696535845</v>
      </c>
      <c r="FJ21">
        <v>0.23821526263433468</v>
      </c>
      <c r="FK21">
        <v>0.25715704874160872</v>
      </c>
      <c r="FL21">
        <v>0.1577412160495526</v>
      </c>
      <c r="FM21">
        <v>3.7966853891477616E-2</v>
      </c>
      <c r="FN21">
        <v>3.3045035334920659E-4</v>
      </c>
      <c r="FO21">
        <v>0</v>
      </c>
      <c r="FQ21" t="s">
        <v>306</v>
      </c>
      <c r="FR21" t="s">
        <v>127</v>
      </c>
      <c r="FS21" t="s">
        <v>128</v>
      </c>
      <c r="FT21">
        <v>0.45520708100140073</v>
      </c>
    </row>
    <row r="22" spans="2:176" x14ac:dyDescent="0.45">
      <c r="B22" t="s">
        <v>307</v>
      </c>
      <c r="C22" t="s">
        <v>123</v>
      </c>
      <c r="D22">
        <v>0</v>
      </c>
      <c r="E22">
        <v>0</v>
      </c>
      <c r="F22">
        <v>0.97777777777777775</v>
      </c>
      <c r="G22">
        <v>0.55191308236153303</v>
      </c>
      <c r="H22">
        <v>0.31694707264238164</v>
      </c>
      <c r="I22">
        <v>0.32746067839650222</v>
      </c>
      <c r="J22">
        <v>0.48582084648183216</v>
      </c>
      <c r="K22">
        <v>0.88185027443753283</v>
      </c>
      <c r="L22">
        <v>0</v>
      </c>
      <c r="M22">
        <v>0</v>
      </c>
      <c r="N22">
        <v>0.9826086956521739</v>
      </c>
      <c r="O22">
        <v>0.6417654939444869</v>
      </c>
      <c r="P22">
        <v>0.34892755986598134</v>
      </c>
      <c r="Q22">
        <v>0.19492498192264671</v>
      </c>
      <c r="R22">
        <v>0.15333556231123746</v>
      </c>
      <c r="S22">
        <v>0.14949821832816532</v>
      </c>
      <c r="T22">
        <v>0.17428511165586438</v>
      </c>
      <c r="U22">
        <v>0.27615086154531626</v>
      </c>
      <c r="V22">
        <v>0.56222407622351733</v>
      </c>
      <c r="W22">
        <v>0.96282724867994951</v>
      </c>
      <c r="X22">
        <v>0.92116807179539728</v>
      </c>
      <c r="Y22">
        <v>0.35955898527169905</v>
      </c>
      <c r="Z22">
        <v>0.22784804004748777</v>
      </c>
      <c r="AA22">
        <v>0.16497627475520285</v>
      </c>
      <c r="AB22">
        <v>0.15116081429463332</v>
      </c>
      <c r="AC22">
        <v>0.14695323092270052</v>
      </c>
      <c r="AD22">
        <v>0.14940430046664832</v>
      </c>
      <c r="AE22">
        <v>0.18576884377723998</v>
      </c>
      <c r="AF22">
        <v>0.31695034800679284</v>
      </c>
      <c r="AG22">
        <v>0.81100460779211736</v>
      </c>
      <c r="AH22">
        <v>0</v>
      </c>
      <c r="AI22">
        <v>0.97821856483861247</v>
      </c>
      <c r="AJ22">
        <v>0.6589217685644666</v>
      </c>
      <c r="AK22">
        <v>0.35361445647307072</v>
      </c>
      <c r="AL22">
        <v>0.27026084410216228</v>
      </c>
      <c r="AM22">
        <v>0.26689296077598113</v>
      </c>
      <c r="AN22">
        <v>0.38790199987230267</v>
      </c>
      <c r="AO22">
        <v>0.65350966974781322</v>
      </c>
      <c r="AP22">
        <v>0.95563561940020492</v>
      </c>
      <c r="AQ22">
        <v>0</v>
      </c>
      <c r="EA22" t="s">
        <v>307</v>
      </c>
      <c r="EB22">
        <v>0</v>
      </c>
      <c r="EC22">
        <v>0</v>
      </c>
      <c r="ED22">
        <v>3.6207932369165683E-4</v>
      </c>
      <c r="EE22">
        <v>5.1195167857084306E-2</v>
      </c>
      <c r="EF22">
        <v>0.17823159710661271</v>
      </c>
      <c r="EG22">
        <v>0.19918369949525555</v>
      </c>
      <c r="EH22">
        <v>9.5197937057237766E-2</v>
      </c>
      <c r="EI22">
        <v>9.0702678548933002E-3</v>
      </c>
      <c r="EJ22">
        <v>0</v>
      </c>
      <c r="EK22">
        <v>0</v>
      </c>
      <c r="EL22">
        <v>8.4186203023495016E-7</v>
      </c>
      <c r="EM22">
        <v>7.5351934227796558E-3</v>
      </c>
      <c r="EN22">
        <v>0.10960495463961303</v>
      </c>
      <c r="EO22">
        <v>0.33740522268404388</v>
      </c>
      <c r="EP22">
        <v>0.49736645410320646</v>
      </c>
      <c r="EQ22">
        <v>0.5133689343265333</v>
      </c>
      <c r="ER22">
        <v>0.38422936321604872</v>
      </c>
      <c r="ES22">
        <v>0.15883867295079018</v>
      </c>
      <c r="ET22">
        <v>1.1579891427191217E-2</v>
      </c>
      <c r="EU22">
        <v>6.5150223212528591E-5</v>
      </c>
      <c r="EV22">
        <v>4.5197029910043912E-5</v>
      </c>
      <c r="EW22">
        <v>1.8326842337778333E-2</v>
      </c>
      <c r="EX22">
        <v>0.12999181186074701</v>
      </c>
      <c r="EY22">
        <v>0.30458885108123079</v>
      </c>
      <c r="EZ22">
        <v>0.42036877169901998</v>
      </c>
      <c r="FA22">
        <v>0.45411689450515463</v>
      </c>
      <c r="FB22">
        <v>0.37810588120218958</v>
      </c>
      <c r="FC22">
        <v>0.19440716110593698</v>
      </c>
      <c r="FD22">
        <v>3.3656962497451155E-2</v>
      </c>
      <c r="FE22">
        <v>8.4776410032434105E-4</v>
      </c>
      <c r="FF22">
        <v>0</v>
      </c>
      <c r="FG22">
        <v>2.8019540006348974E-6</v>
      </c>
      <c r="FH22">
        <v>1.8625455993364123E-2</v>
      </c>
      <c r="FI22">
        <v>0.12843203897123109</v>
      </c>
      <c r="FJ22">
        <v>0.24241144730080239</v>
      </c>
      <c r="FK22">
        <v>0.25348661404225059</v>
      </c>
      <c r="FL22">
        <v>0.14368833765497907</v>
      </c>
      <c r="FM22">
        <v>2.9285168778618625E-2</v>
      </c>
      <c r="FN22">
        <v>1.5233375337642206E-4</v>
      </c>
      <c r="FO22">
        <v>0</v>
      </c>
      <c r="FQ22" t="s">
        <v>307</v>
      </c>
      <c r="FR22" t="s">
        <v>127</v>
      </c>
      <c r="FS22" t="s">
        <v>128</v>
      </c>
      <c r="FT22">
        <v>0.46633377666831466</v>
      </c>
    </row>
    <row r="23" spans="2:176" x14ac:dyDescent="0.45">
      <c r="B23" t="s">
        <v>308</v>
      </c>
      <c r="C23" t="s">
        <v>123</v>
      </c>
      <c r="D23">
        <v>0</v>
      </c>
      <c r="E23">
        <v>0</v>
      </c>
      <c r="F23">
        <v>0.98888888888888893</v>
      </c>
      <c r="G23">
        <v>0.58660418666392888</v>
      </c>
      <c r="H23">
        <v>0.38332711754206206</v>
      </c>
      <c r="I23">
        <v>0.37309949630251138</v>
      </c>
      <c r="J23">
        <v>0.49944853802855282</v>
      </c>
      <c r="K23">
        <v>0.84885709005761656</v>
      </c>
      <c r="L23">
        <v>0</v>
      </c>
      <c r="M23">
        <v>0</v>
      </c>
      <c r="N23">
        <v>0</v>
      </c>
      <c r="O23">
        <v>0.69936566158237456</v>
      </c>
      <c r="P23">
        <v>0.39396288567747551</v>
      </c>
      <c r="Q23">
        <v>0.23095721626073754</v>
      </c>
      <c r="R23">
        <v>0.18981462782038466</v>
      </c>
      <c r="S23">
        <v>0.18660767607654738</v>
      </c>
      <c r="T23">
        <v>0.19836449304865772</v>
      </c>
      <c r="U23">
        <v>0.26028666414568336</v>
      </c>
      <c r="V23">
        <v>0.56670895968158763</v>
      </c>
      <c r="W23">
        <v>0.96500596308507791</v>
      </c>
      <c r="X23">
        <v>0</v>
      </c>
      <c r="Y23">
        <v>0.44142990411006078</v>
      </c>
      <c r="Z23">
        <v>0.26983669490217826</v>
      </c>
      <c r="AA23">
        <v>0.19846644811801739</v>
      </c>
      <c r="AB23">
        <v>0.19535415032450545</v>
      </c>
      <c r="AC23">
        <v>0.18596228480907959</v>
      </c>
      <c r="AD23">
        <v>0.18686199509077212</v>
      </c>
      <c r="AE23">
        <v>0.22403745977147954</v>
      </c>
      <c r="AF23">
        <v>0.32777504360015297</v>
      </c>
      <c r="AG23">
        <v>0.82719413477157788</v>
      </c>
      <c r="AH23">
        <v>0</v>
      </c>
      <c r="AI23">
        <v>0</v>
      </c>
      <c r="AJ23">
        <v>0.67877599636144248</v>
      </c>
      <c r="AK23">
        <v>0.36449683615235096</v>
      </c>
      <c r="AL23">
        <v>0.26293429713078387</v>
      </c>
      <c r="AM23">
        <v>0.26921929901285013</v>
      </c>
      <c r="AN23">
        <v>0.3631301664154668</v>
      </c>
      <c r="AO23">
        <v>0.6297594576102209</v>
      </c>
      <c r="AP23">
        <v>0.94189262579641486</v>
      </c>
      <c r="AQ23">
        <v>0</v>
      </c>
      <c r="EA23" t="s">
        <v>308</v>
      </c>
      <c r="EB23">
        <v>0</v>
      </c>
      <c r="EC23">
        <v>0</v>
      </c>
      <c r="ED23">
        <v>2.918411369850748E-4</v>
      </c>
      <c r="EE23">
        <v>4.547416818845932E-2</v>
      </c>
      <c r="EF23">
        <v>0.15707640029239742</v>
      </c>
      <c r="EG23">
        <v>0.1932033519380133</v>
      </c>
      <c r="EH23">
        <v>0.10180411312732865</v>
      </c>
      <c r="EI23">
        <v>1.2393557790379447E-2</v>
      </c>
      <c r="EJ23">
        <v>0</v>
      </c>
      <c r="EK23">
        <v>0</v>
      </c>
      <c r="EL23">
        <v>0</v>
      </c>
      <c r="EM23">
        <v>5.3839335110138897E-3</v>
      </c>
      <c r="EN23">
        <v>8.5186583239694705E-2</v>
      </c>
      <c r="EO23">
        <v>0.27634353770737524</v>
      </c>
      <c r="EP23">
        <v>0.40987820959181631</v>
      </c>
      <c r="EQ23">
        <v>0.41034969858130582</v>
      </c>
      <c r="ER23">
        <v>0.31180438324147375</v>
      </c>
      <c r="ES23">
        <v>0.13976151030757467</v>
      </c>
      <c r="ET23">
        <v>1.2267057298522505E-2</v>
      </c>
      <c r="EU23">
        <v>2.5934694131492136E-5</v>
      </c>
      <c r="EV23">
        <v>0</v>
      </c>
      <c r="EW23">
        <v>1.339582819488744E-2</v>
      </c>
      <c r="EX23">
        <v>0.11206884600259501</v>
      </c>
      <c r="EY23">
        <v>0.27810428525580838</v>
      </c>
      <c r="EZ23">
        <v>0.38566866019589441</v>
      </c>
      <c r="FA23">
        <v>0.40116627510972119</v>
      </c>
      <c r="FB23">
        <v>0.32988677774600222</v>
      </c>
      <c r="FC23">
        <v>0.1742226970592472</v>
      </c>
      <c r="FD23">
        <v>3.4408932614043694E-2</v>
      </c>
      <c r="FE23">
        <v>5.9901785989791261E-4</v>
      </c>
      <c r="FF23">
        <v>0</v>
      </c>
      <c r="FG23">
        <v>0</v>
      </c>
      <c r="FH23">
        <v>1.6317213980661164E-2</v>
      </c>
      <c r="FI23">
        <v>0.12315326664494848</v>
      </c>
      <c r="FJ23">
        <v>0.2350593687158854</v>
      </c>
      <c r="FK23">
        <v>0.23064493892284738</v>
      </c>
      <c r="FL23">
        <v>0.13716143580414281</v>
      </c>
      <c r="FM23">
        <v>3.0189658193244581E-2</v>
      </c>
      <c r="FN23">
        <v>1.5546275316921101E-4</v>
      </c>
      <c r="FO23">
        <v>0</v>
      </c>
      <c r="FQ23" t="s">
        <v>308</v>
      </c>
      <c r="FR23" t="s">
        <v>127</v>
      </c>
      <c r="FS23" t="s">
        <v>128</v>
      </c>
      <c r="FT23">
        <v>0.3813452077388147</v>
      </c>
    </row>
    <row r="24" spans="2:176" x14ac:dyDescent="0.45">
      <c r="B24" t="s">
        <v>309</v>
      </c>
      <c r="C24" t="s">
        <v>123</v>
      </c>
      <c r="D24">
        <v>0</v>
      </c>
      <c r="E24">
        <v>0</v>
      </c>
      <c r="F24">
        <v>0.98333333333333361</v>
      </c>
      <c r="G24">
        <v>0.54207146797156269</v>
      </c>
      <c r="H24">
        <v>0.31431082697190377</v>
      </c>
      <c r="I24">
        <v>0.31923659306183522</v>
      </c>
      <c r="J24">
        <v>0.4668038581254953</v>
      </c>
      <c r="K24">
        <v>0.86292834142717367</v>
      </c>
      <c r="L24">
        <v>0</v>
      </c>
      <c r="M24">
        <v>0</v>
      </c>
      <c r="N24">
        <v>0</v>
      </c>
      <c r="O24">
        <v>0.65881586834678785</v>
      </c>
      <c r="P24">
        <v>0.35277760647670819</v>
      </c>
      <c r="Q24">
        <v>0.20084703560760334</v>
      </c>
      <c r="R24">
        <v>0.16232384740669756</v>
      </c>
      <c r="S24">
        <v>0.1718819386016962</v>
      </c>
      <c r="T24">
        <v>0.18779239861412056</v>
      </c>
      <c r="U24">
        <v>0.25681905007399958</v>
      </c>
      <c r="V24">
        <v>0.56246239738309589</v>
      </c>
      <c r="W24">
        <v>0.96148973859871567</v>
      </c>
      <c r="X24">
        <v>0.96862647988328432</v>
      </c>
      <c r="Y24">
        <v>0.38332901660751578</v>
      </c>
      <c r="Z24">
        <v>0.2426753024120612</v>
      </c>
      <c r="AA24">
        <v>0.16044363317581137</v>
      </c>
      <c r="AB24">
        <v>0.15419608700292611</v>
      </c>
      <c r="AC24">
        <v>0.14730353285087311</v>
      </c>
      <c r="AD24">
        <v>0.15653548493913189</v>
      </c>
      <c r="AE24">
        <v>0.19788726906869167</v>
      </c>
      <c r="AF24">
        <v>0.31386062078829563</v>
      </c>
      <c r="AG24">
        <v>0.80798446003437918</v>
      </c>
      <c r="AH24">
        <v>0</v>
      </c>
      <c r="AI24">
        <v>0.99450549450549441</v>
      </c>
      <c r="AJ24">
        <v>0.67252353628933825</v>
      </c>
      <c r="AK24">
        <v>0.35017673830005602</v>
      </c>
      <c r="AL24">
        <v>0.26119369595398839</v>
      </c>
      <c r="AM24">
        <v>0.25383399888114683</v>
      </c>
      <c r="AN24">
        <v>0.36986657890386637</v>
      </c>
      <c r="AO24">
        <v>0.62439118066341304</v>
      </c>
      <c r="AP24">
        <v>0.94207106576053734</v>
      </c>
      <c r="AQ24">
        <v>0</v>
      </c>
      <c r="EA24" t="s">
        <v>309</v>
      </c>
      <c r="EB24">
        <v>0</v>
      </c>
      <c r="EC24">
        <v>0</v>
      </c>
      <c r="ED24">
        <v>1.6724771129174239E-4</v>
      </c>
      <c r="EE24">
        <v>5.4074820980261458E-2</v>
      </c>
      <c r="EF24">
        <v>0.18513692543516136</v>
      </c>
      <c r="EG24">
        <v>0.2089075324804405</v>
      </c>
      <c r="EH24">
        <v>0.10313657608568233</v>
      </c>
      <c r="EI24">
        <v>1.097178983235955E-2</v>
      </c>
      <c r="EJ24">
        <v>0</v>
      </c>
      <c r="EK24">
        <v>0</v>
      </c>
      <c r="EL24">
        <v>0</v>
      </c>
      <c r="EM24">
        <v>6.5517360644170072E-3</v>
      </c>
      <c r="EN24">
        <v>0.10111199891857033</v>
      </c>
      <c r="EO24">
        <v>0.31756232995613798</v>
      </c>
      <c r="EP24">
        <v>0.45622892902980483</v>
      </c>
      <c r="EQ24">
        <v>0.46528317150655024</v>
      </c>
      <c r="ER24">
        <v>0.35193922467311844</v>
      </c>
      <c r="ES24">
        <v>0.15311060707883828</v>
      </c>
      <c r="ET24">
        <v>1.2735662627495889E-2</v>
      </c>
      <c r="EU24">
        <v>6.6205117314313395E-5</v>
      </c>
      <c r="EV24">
        <v>4.1832386445250131E-6</v>
      </c>
      <c r="EW24">
        <v>1.602135484206587E-2</v>
      </c>
      <c r="EX24">
        <v>0.12449749883315128</v>
      </c>
      <c r="EY24">
        <v>0.30269359563699877</v>
      </c>
      <c r="EZ24">
        <v>0.41250338620916099</v>
      </c>
      <c r="FA24">
        <v>0.43968760428833326</v>
      </c>
      <c r="FB24">
        <v>0.36443032608707482</v>
      </c>
      <c r="FC24">
        <v>0.1877991809103613</v>
      </c>
      <c r="FD24">
        <v>3.449320684396761E-2</v>
      </c>
      <c r="FE24">
        <v>8.5653941878509451E-4</v>
      </c>
      <c r="FF24">
        <v>0</v>
      </c>
      <c r="FG24">
        <v>6.5779465291020823E-9</v>
      </c>
      <c r="FH24">
        <v>1.9012703770877746E-2</v>
      </c>
      <c r="FI24">
        <v>0.13734011558384221</v>
      </c>
      <c r="FJ24">
        <v>0.25971449129008534</v>
      </c>
      <c r="FK24">
        <v>0.26133475360466207</v>
      </c>
      <c r="FL24">
        <v>0.14824594729235269</v>
      </c>
      <c r="FM24">
        <v>3.1958990204264896E-2</v>
      </c>
      <c r="FN24">
        <v>1.8622708176610714E-4</v>
      </c>
      <c r="FO24">
        <v>0</v>
      </c>
      <c r="FQ24" t="s">
        <v>309</v>
      </c>
      <c r="FR24" t="s">
        <v>127</v>
      </c>
      <c r="FS24" t="s">
        <v>128</v>
      </c>
      <c r="FT24">
        <v>0.41406741591755636</v>
      </c>
    </row>
    <row r="25" spans="2:176" x14ac:dyDescent="0.45">
      <c r="B25" t="s">
        <v>310</v>
      </c>
      <c r="C25" t="s">
        <v>123</v>
      </c>
      <c r="D25">
        <v>0</v>
      </c>
      <c r="E25">
        <v>0</v>
      </c>
      <c r="F25">
        <v>0.97222222222222221</v>
      </c>
      <c r="G25">
        <v>0.52348594245621394</v>
      </c>
      <c r="H25">
        <v>0.3073570184066482</v>
      </c>
      <c r="I25">
        <v>0.30548386409828349</v>
      </c>
      <c r="J25">
        <v>0.44062838176362684</v>
      </c>
      <c r="K25">
        <v>0.84984454075983917</v>
      </c>
      <c r="L25">
        <v>0</v>
      </c>
      <c r="M25">
        <v>0</v>
      </c>
      <c r="N25">
        <v>0</v>
      </c>
      <c r="O25">
        <v>0.65864054283540574</v>
      </c>
      <c r="P25">
        <v>0.34457777369754261</v>
      </c>
      <c r="Q25">
        <v>0.2015831669876573</v>
      </c>
      <c r="R25">
        <v>0.15811451804744894</v>
      </c>
      <c r="S25">
        <v>0.15251806310192398</v>
      </c>
      <c r="T25">
        <v>0.17122186139288628</v>
      </c>
      <c r="U25">
        <v>0.25912992171165</v>
      </c>
      <c r="V25">
        <v>0.57086190574838502</v>
      </c>
      <c r="W25">
        <v>0.97101449275362295</v>
      </c>
      <c r="X25">
        <v>0.9826086956521739</v>
      </c>
      <c r="Y25">
        <v>0.39038380185216831</v>
      </c>
      <c r="Z25">
        <v>0.2319482970958682</v>
      </c>
      <c r="AA25">
        <v>0.15035458636035579</v>
      </c>
      <c r="AB25">
        <v>0.14093128631832391</v>
      </c>
      <c r="AC25">
        <v>0.14270270998871212</v>
      </c>
      <c r="AD25">
        <v>0.14427634707284898</v>
      </c>
      <c r="AE25">
        <v>0.17874873297658309</v>
      </c>
      <c r="AF25">
        <v>0.31680426877151913</v>
      </c>
      <c r="AG25">
        <v>0.82357782484681852</v>
      </c>
      <c r="AH25">
        <v>0</v>
      </c>
      <c r="AI25">
        <v>0.9780219780219781</v>
      </c>
      <c r="AJ25">
        <v>0.62761192110586461</v>
      </c>
      <c r="AK25">
        <v>0.30385968926694057</v>
      </c>
      <c r="AL25">
        <v>0.22027718554443185</v>
      </c>
      <c r="AM25">
        <v>0.21305546209934301</v>
      </c>
      <c r="AN25">
        <v>0.30624348731114959</v>
      </c>
      <c r="AO25">
        <v>0.62942419839897246</v>
      </c>
      <c r="AP25">
        <v>0.94505494505494492</v>
      </c>
      <c r="AQ25">
        <v>0</v>
      </c>
      <c r="EA25" t="s">
        <v>310</v>
      </c>
      <c r="EB25">
        <v>0</v>
      </c>
      <c r="EC25">
        <v>0</v>
      </c>
      <c r="ED25">
        <v>9.9108919886354619E-4</v>
      </c>
      <c r="EE25">
        <v>6.3713928886143328E-2</v>
      </c>
      <c r="EF25">
        <v>0.20341848701872306</v>
      </c>
      <c r="EG25">
        <v>0.2269124953900955</v>
      </c>
      <c r="EH25">
        <v>0.11305720531493249</v>
      </c>
      <c r="EI25">
        <v>1.2138741446890054E-2</v>
      </c>
      <c r="EJ25">
        <v>0</v>
      </c>
      <c r="EK25">
        <v>0</v>
      </c>
      <c r="EL25">
        <v>0</v>
      </c>
      <c r="EM25">
        <v>6.6848474995586547E-3</v>
      </c>
      <c r="EN25">
        <v>0.10460731762663177</v>
      </c>
      <c r="EO25">
        <v>0.31031578233868035</v>
      </c>
      <c r="EP25">
        <v>0.4401743353904784</v>
      </c>
      <c r="EQ25">
        <v>0.43907969575038125</v>
      </c>
      <c r="ER25">
        <v>0.33273799861260139</v>
      </c>
      <c r="ES25">
        <v>0.14519913837229384</v>
      </c>
      <c r="ET25">
        <v>1.0752457642223523E-2</v>
      </c>
      <c r="EU25">
        <v>8.132523247517088E-6</v>
      </c>
      <c r="EV25">
        <v>2.8045470255975093E-7</v>
      </c>
      <c r="EW25">
        <v>1.6123687199510853E-2</v>
      </c>
      <c r="EX25">
        <v>0.13695599660785263</v>
      </c>
      <c r="EY25">
        <v>0.32175425858620066</v>
      </c>
      <c r="EZ25">
        <v>0.43268028487462551</v>
      </c>
      <c r="FA25">
        <v>0.4469914886020197</v>
      </c>
      <c r="FB25">
        <v>0.35969767474967013</v>
      </c>
      <c r="FC25">
        <v>0.19050349748253834</v>
      </c>
      <c r="FD25">
        <v>3.2092641482030858E-2</v>
      </c>
      <c r="FE25">
        <v>4.5603431747240331E-4</v>
      </c>
      <c r="FF25">
        <v>0</v>
      </c>
      <c r="FG25">
        <v>2.0541271050562175E-6</v>
      </c>
      <c r="FH25">
        <v>2.3341177089720947E-2</v>
      </c>
      <c r="FI25">
        <v>0.16542205473656757</v>
      </c>
      <c r="FJ25">
        <v>0.28833678468081636</v>
      </c>
      <c r="FK25">
        <v>0.27500719280768776</v>
      </c>
      <c r="FL25">
        <v>0.15831383626868453</v>
      </c>
      <c r="FM25">
        <v>3.2385588366076697E-2</v>
      </c>
      <c r="FN25">
        <v>1.4961469464207775E-4</v>
      </c>
      <c r="FO25">
        <v>0</v>
      </c>
      <c r="FQ25" t="s">
        <v>310</v>
      </c>
      <c r="FR25" t="s">
        <v>127</v>
      </c>
      <c r="FS25" t="s">
        <v>128</v>
      </c>
      <c r="FT25">
        <v>0.40758572880847721</v>
      </c>
    </row>
    <row r="26" spans="2:176" x14ac:dyDescent="0.45">
      <c r="B26" t="s">
        <v>311</v>
      </c>
      <c r="C26" t="s">
        <v>123</v>
      </c>
      <c r="D26">
        <v>0</v>
      </c>
      <c r="E26">
        <v>0</v>
      </c>
      <c r="F26">
        <v>0.96633291665962506</v>
      </c>
      <c r="G26">
        <v>0.53580851116582362</v>
      </c>
      <c r="H26">
        <v>0.33892077094322332</v>
      </c>
      <c r="I26">
        <v>0.33158324952065044</v>
      </c>
      <c r="J26">
        <v>0.42441414019130386</v>
      </c>
      <c r="K26">
        <v>0.81514398319277415</v>
      </c>
      <c r="L26">
        <v>0</v>
      </c>
      <c r="M26">
        <v>0</v>
      </c>
      <c r="N26">
        <v>0</v>
      </c>
      <c r="O26">
        <v>0.71857810332716565</v>
      </c>
      <c r="P26">
        <v>0.37430322027317708</v>
      </c>
      <c r="Q26">
        <v>0.23044044261886426</v>
      </c>
      <c r="R26">
        <v>0.19172281941704775</v>
      </c>
      <c r="S26">
        <v>0.18202523297442075</v>
      </c>
      <c r="T26">
        <v>0.19235814856391614</v>
      </c>
      <c r="U26">
        <v>0.251204233317527</v>
      </c>
      <c r="V26">
        <v>0.57821590642323262</v>
      </c>
      <c r="W26">
        <v>0.99275362318840576</v>
      </c>
      <c r="X26">
        <v>0</v>
      </c>
      <c r="Y26">
        <v>0.46435141272619829</v>
      </c>
      <c r="Z26">
        <v>0.24133057819391734</v>
      </c>
      <c r="AA26">
        <v>0.16644534935501637</v>
      </c>
      <c r="AB26">
        <v>0.15843179599406715</v>
      </c>
      <c r="AC26">
        <v>0.15533004178328044</v>
      </c>
      <c r="AD26">
        <v>0.15231624866660159</v>
      </c>
      <c r="AE26">
        <v>0.18745613325406027</v>
      </c>
      <c r="AF26">
        <v>0.3413856194536577</v>
      </c>
      <c r="AG26">
        <v>0.84204714609911313</v>
      </c>
      <c r="AH26">
        <v>0</v>
      </c>
      <c r="AI26">
        <v>0</v>
      </c>
      <c r="AJ26">
        <v>0.63158626950501029</v>
      </c>
      <c r="AK26">
        <v>0.29161924936882422</v>
      </c>
      <c r="AL26">
        <v>0.22486855111248907</v>
      </c>
      <c r="AM26">
        <v>0.23090991773079617</v>
      </c>
      <c r="AN26">
        <v>0.28354229019018501</v>
      </c>
      <c r="AO26">
        <v>0.6041274419191911</v>
      </c>
      <c r="AP26">
        <v>0.94923078430818542</v>
      </c>
      <c r="AQ26">
        <v>0</v>
      </c>
      <c r="EA26" t="s">
        <v>311</v>
      </c>
      <c r="EB26">
        <v>0</v>
      </c>
      <c r="EC26">
        <v>0</v>
      </c>
      <c r="ED26">
        <v>9.7380641044022404E-4</v>
      </c>
      <c r="EE26">
        <v>6.7949174973688103E-2</v>
      </c>
      <c r="EF26">
        <v>0.20785894260838866</v>
      </c>
      <c r="EG26">
        <v>0.22964479711936778</v>
      </c>
      <c r="EH26">
        <v>0.12505946192962575</v>
      </c>
      <c r="EI26">
        <v>1.5729840039186996E-2</v>
      </c>
      <c r="EJ26">
        <v>0</v>
      </c>
      <c r="EK26">
        <v>0</v>
      </c>
      <c r="EL26">
        <v>0</v>
      </c>
      <c r="EM26">
        <v>5.036030194280239E-3</v>
      </c>
      <c r="EN26">
        <v>9.5631044581678162E-2</v>
      </c>
      <c r="EO26">
        <v>0.29805825258427004</v>
      </c>
      <c r="EP26">
        <v>0.41805376319495702</v>
      </c>
      <c r="EQ26">
        <v>0.43254865384045216</v>
      </c>
      <c r="ER26">
        <v>0.33464371450003294</v>
      </c>
      <c r="ES26">
        <v>0.15603985944956497</v>
      </c>
      <c r="ET26">
        <v>1.0803193457160132E-2</v>
      </c>
      <c r="EU26">
        <v>5.0547255149042956E-7</v>
      </c>
      <c r="EV26">
        <v>0</v>
      </c>
      <c r="EW26">
        <v>1.2449869002486118E-2</v>
      </c>
      <c r="EX26">
        <v>0.12322396583625798</v>
      </c>
      <c r="EY26">
        <v>0.31088989500155068</v>
      </c>
      <c r="EZ26">
        <v>0.42621818616883383</v>
      </c>
      <c r="FA26">
        <v>0.44231195622711555</v>
      </c>
      <c r="FB26">
        <v>0.36067548683051365</v>
      </c>
      <c r="FC26">
        <v>0.1940769947825641</v>
      </c>
      <c r="FD26">
        <v>3.0687258627462341E-2</v>
      </c>
      <c r="FE26">
        <v>1.9697186384031709E-4</v>
      </c>
      <c r="FF26">
        <v>0</v>
      </c>
      <c r="FG26">
        <v>0</v>
      </c>
      <c r="FH26">
        <v>1.9822339691235234E-2</v>
      </c>
      <c r="FI26">
        <v>0.15851140326673369</v>
      </c>
      <c r="FJ26">
        <v>0.28282635474862167</v>
      </c>
      <c r="FK26">
        <v>0.28309287235068809</v>
      </c>
      <c r="FL26">
        <v>0.1727733189328417</v>
      </c>
      <c r="FM26">
        <v>3.5516576621050129E-2</v>
      </c>
      <c r="FN26">
        <v>1.434855934647034E-4</v>
      </c>
      <c r="FO26">
        <v>0</v>
      </c>
      <c r="FQ26" t="s">
        <v>311</v>
      </c>
      <c r="FR26" t="s">
        <v>127</v>
      </c>
      <c r="FS26" t="s">
        <v>128</v>
      </c>
      <c r="FT26">
        <v>0.40057187658418525</v>
      </c>
    </row>
    <row r="27" spans="2:176" x14ac:dyDescent="0.45">
      <c r="B27" t="s">
        <v>312</v>
      </c>
      <c r="C27" t="s">
        <v>123</v>
      </c>
      <c r="D27">
        <v>0</v>
      </c>
      <c r="E27">
        <v>0</v>
      </c>
      <c r="F27">
        <v>0.95863770452166563</v>
      </c>
      <c r="G27">
        <v>0.49028785854281581</v>
      </c>
      <c r="H27">
        <v>0.30001197831315812</v>
      </c>
      <c r="I27">
        <v>0.29752930311617914</v>
      </c>
      <c r="J27">
        <v>0.43363070706311874</v>
      </c>
      <c r="K27">
        <v>0.84099366713606916</v>
      </c>
      <c r="L27">
        <v>0</v>
      </c>
      <c r="M27">
        <v>0</v>
      </c>
      <c r="N27">
        <v>0</v>
      </c>
      <c r="O27">
        <v>0.68579463096475424</v>
      </c>
      <c r="P27">
        <v>0.35789130342207492</v>
      </c>
      <c r="Q27">
        <v>0.22689165105674514</v>
      </c>
      <c r="R27">
        <v>0.20046095358290555</v>
      </c>
      <c r="S27">
        <v>0.18423349745489551</v>
      </c>
      <c r="T27">
        <v>0.18230234031639037</v>
      </c>
      <c r="U27">
        <v>0.25594751147899752</v>
      </c>
      <c r="V27">
        <v>0.59588710990733351</v>
      </c>
      <c r="W27">
        <v>0</v>
      </c>
      <c r="X27">
        <v>0</v>
      </c>
      <c r="Y27">
        <v>0.41938318576932021</v>
      </c>
      <c r="Z27">
        <v>0.2408913870699004</v>
      </c>
      <c r="AA27">
        <v>0.15671829311352686</v>
      </c>
      <c r="AB27">
        <v>0.14964672395386447</v>
      </c>
      <c r="AC27">
        <v>0.15546067749276146</v>
      </c>
      <c r="AD27">
        <v>0.16314599583882053</v>
      </c>
      <c r="AE27">
        <v>0.19198092929896809</v>
      </c>
      <c r="AF27">
        <v>0.33622471396031844</v>
      </c>
      <c r="AG27">
        <v>0.87499627218581488</v>
      </c>
      <c r="AH27">
        <v>0</v>
      </c>
      <c r="AI27">
        <v>0.97741693794362305</v>
      </c>
      <c r="AJ27">
        <v>0.60909839630600804</v>
      </c>
      <c r="AK27">
        <v>0.29928053719349346</v>
      </c>
      <c r="AL27">
        <v>0.23086600120787601</v>
      </c>
      <c r="AM27">
        <v>0.23741945585734062</v>
      </c>
      <c r="AN27">
        <v>0.30764271772309348</v>
      </c>
      <c r="AO27">
        <v>0.63489906846318456</v>
      </c>
      <c r="AP27">
        <v>0.95604395604395642</v>
      </c>
      <c r="AQ27">
        <v>0</v>
      </c>
      <c r="EA27" t="s">
        <v>312</v>
      </c>
      <c r="EB27">
        <v>0</v>
      </c>
      <c r="EC27">
        <v>0</v>
      </c>
      <c r="ED27">
        <v>1.4491582118176306E-3</v>
      </c>
      <c r="EE27">
        <v>8.0341288469567312E-2</v>
      </c>
      <c r="EF27">
        <v>0.22494463804065626</v>
      </c>
      <c r="EG27">
        <v>0.23236877398033196</v>
      </c>
      <c r="EH27">
        <v>0.11381672044455628</v>
      </c>
      <c r="EI27">
        <v>1.155043157115225E-2</v>
      </c>
      <c r="EJ27">
        <v>0</v>
      </c>
      <c r="EK27">
        <v>0</v>
      </c>
      <c r="EL27">
        <v>0</v>
      </c>
      <c r="EM27">
        <v>6.389898540213209E-3</v>
      </c>
      <c r="EN27">
        <v>0.10667335768821917</v>
      </c>
      <c r="EO27">
        <v>0.30568475179882404</v>
      </c>
      <c r="EP27">
        <v>0.42398657454166849</v>
      </c>
      <c r="EQ27">
        <v>0.4298023038750261</v>
      </c>
      <c r="ER27">
        <v>0.33086726932171945</v>
      </c>
      <c r="ES27">
        <v>0.14300035417195564</v>
      </c>
      <c r="ET27">
        <v>9.8281264895976224E-3</v>
      </c>
      <c r="EU27">
        <v>0</v>
      </c>
      <c r="EV27">
        <v>0</v>
      </c>
      <c r="EW27">
        <v>1.5397979344691492E-2</v>
      </c>
      <c r="EX27">
        <v>0.14082897667794481</v>
      </c>
      <c r="EY27">
        <v>0.33979053346393467</v>
      </c>
      <c r="EZ27">
        <v>0.4397739244550497</v>
      </c>
      <c r="FA27">
        <v>0.44620671856716382</v>
      </c>
      <c r="FB27">
        <v>0.34696758076838347</v>
      </c>
      <c r="FC27">
        <v>0.17867210285922705</v>
      </c>
      <c r="FD27">
        <v>2.694105900876816E-2</v>
      </c>
      <c r="FE27">
        <v>1.0252689217612927E-4</v>
      </c>
      <c r="FF27">
        <v>0</v>
      </c>
      <c r="FG27">
        <v>1.903906820090387E-6</v>
      </c>
      <c r="FH27">
        <v>2.7151707364162572E-2</v>
      </c>
      <c r="FI27">
        <v>0.17664228314661048</v>
      </c>
      <c r="FJ27">
        <v>0.29732304597699177</v>
      </c>
      <c r="FK27">
        <v>0.28173667392235818</v>
      </c>
      <c r="FL27">
        <v>0.16645372422065907</v>
      </c>
      <c r="FM27">
        <v>3.077265306081476E-2</v>
      </c>
      <c r="FN27">
        <v>1.0291407853376318E-4</v>
      </c>
      <c r="FO27">
        <v>0</v>
      </c>
      <c r="FQ27" t="s">
        <v>312</v>
      </c>
      <c r="FR27" t="s">
        <v>127</v>
      </c>
      <c r="FS27" t="s">
        <v>128</v>
      </c>
      <c r="FT27">
        <v>0.40545114342373956</v>
      </c>
    </row>
    <row r="28" spans="2:176" x14ac:dyDescent="0.45">
      <c r="B28" t="s">
        <v>313</v>
      </c>
      <c r="C28" t="s">
        <v>123</v>
      </c>
      <c r="D28">
        <v>0</v>
      </c>
      <c r="E28">
        <v>0</v>
      </c>
      <c r="F28">
        <v>0.95438986890791944</v>
      </c>
      <c r="G28">
        <v>0.47691397040097516</v>
      </c>
      <c r="H28">
        <v>0.30306871084943549</v>
      </c>
      <c r="I28">
        <v>0.29917634071431753</v>
      </c>
      <c r="J28">
        <v>0.41023581205690013</v>
      </c>
      <c r="K28">
        <v>0.82704272110673682</v>
      </c>
      <c r="L28">
        <v>0</v>
      </c>
      <c r="M28">
        <v>0</v>
      </c>
      <c r="N28">
        <v>0</v>
      </c>
      <c r="O28">
        <v>0.70670635327679665</v>
      </c>
      <c r="P28">
        <v>0.35140619146832963</v>
      </c>
      <c r="Q28">
        <v>0.22125845802163271</v>
      </c>
      <c r="R28">
        <v>0.20004878379982216</v>
      </c>
      <c r="S28">
        <v>0.18375591459922871</v>
      </c>
      <c r="T28">
        <v>0.18554599905392896</v>
      </c>
      <c r="U28">
        <v>0.26665397099188209</v>
      </c>
      <c r="V28">
        <v>0.60046759650984827</v>
      </c>
      <c r="W28">
        <v>0</v>
      </c>
      <c r="X28">
        <v>0</v>
      </c>
      <c r="Y28">
        <v>0.45293662998313416</v>
      </c>
      <c r="Z28">
        <v>0.24117917355550628</v>
      </c>
      <c r="AA28">
        <v>0.16142786677051135</v>
      </c>
      <c r="AB28">
        <v>0.14634990951348387</v>
      </c>
      <c r="AC28">
        <v>0.13994123518612933</v>
      </c>
      <c r="AD28">
        <v>0.15152481193764897</v>
      </c>
      <c r="AE28">
        <v>0.19721035845753396</v>
      </c>
      <c r="AF28">
        <v>0.34879168934629884</v>
      </c>
      <c r="AG28">
        <v>0.90942028985507239</v>
      </c>
      <c r="AH28">
        <v>0</v>
      </c>
      <c r="AI28">
        <v>0.98901098901098894</v>
      </c>
      <c r="AJ28">
        <v>0.59802463281775464</v>
      </c>
      <c r="AK28">
        <v>0.28805232803873765</v>
      </c>
      <c r="AL28">
        <v>0.22021959741411054</v>
      </c>
      <c r="AM28">
        <v>0.21648440439474853</v>
      </c>
      <c r="AN28">
        <v>0.27478235280005886</v>
      </c>
      <c r="AO28">
        <v>0.61024786613729609</v>
      </c>
      <c r="AP28">
        <v>0.95492209966051378</v>
      </c>
      <c r="AQ28">
        <v>0</v>
      </c>
      <c r="EA28" t="s">
        <v>313</v>
      </c>
      <c r="EB28">
        <v>0</v>
      </c>
      <c r="EC28">
        <v>0</v>
      </c>
      <c r="ED28">
        <v>1.6375321507201767E-3</v>
      </c>
      <c r="EE28">
        <v>7.7053670451394565E-2</v>
      </c>
      <c r="EF28">
        <v>0.21601345662894858</v>
      </c>
      <c r="EG28">
        <v>0.2241416615206577</v>
      </c>
      <c r="EH28">
        <v>0.11807812018255721</v>
      </c>
      <c r="EI28">
        <v>1.4131681272544799E-2</v>
      </c>
      <c r="EJ28">
        <v>0</v>
      </c>
      <c r="EK28">
        <v>0</v>
      </c>
      <c r="EL28">
        <v>0</v>
      </c>
      <c r="EM28">
        <v>5.6040892427671931E-3</v>
      </c>
      <c r="EN28">
        <v>0.10119757739738125</v>
      </c>
      <c r="EO28">
        <v>0.30544463910422304</v>
      </c>
      <c r="EP28">
        <v>0.41634481271018287</v>
      </c>
      <c r="EQ28">
        <v>0.42595587889488529</v>
      </c>
      <c r="ER28">
        <v>0.33454939460738659</v>
      </c>
      <c r="ES28">
        <v>0.14337054051686773</v>
      </c>
      <c r="ET28">
        <v>8.5182364677057545E-3</v>
      </c>
      <c r="EU28">
        <v>0</v>
      </c>
      <c r="EV28">
        <v>0</v>
      </c>
      <c r="EW28">
        <v>1.3554707483759308E-2</v>
      </c>
      <c r="EX28">
        <v>0.13425292174931505</v>
      </c>
      <c r="EY28">
        <v>0.33090926525233466</v>
      </c>
      <c r="EZ28">
        <v>0.43883357996633426</v>
      </c>
      <c r="FA28">
        <v>0.44973141049913545</v>
      </c>
      <c r="FB28">
        <v>0.35067727779060148</v>
      </c>
      <c r="FC28">
        <v>0.17928076130509343</v>
      </c>
      <c r="FD28">
        <v>2.4765142634544497E-2</v>
      </c>
      <c r="FE28">
        <v>2.8119243122422025E-5</v>
      </c>
      <c r="FF28">
        <v>0</v>
      </c>
      <c r="FG28">
        <v>1.3676038615126207E-6</v>
      </c>
      <c r="FH28">
        <v>2.3315637065459895E-2</v>
      </c>
      <c r="FI28">
        <v>0.16059134726889676</v>
      </c>
      <c r="FJ28">
        <v>0.28680027938154262</v>
      </c>
      <c r="FK28">
        <v>0.27915026208263827</v>
      </c>
      <c r="FL28">
        <v>0.16513603129411189</v>
      </c>
      <c r="FM28">
        <v>3.180638999829314E-2</v>
      </c>
      <c r="FN28">
        <v>1.0761165181982287E-4</v>
      </c>
      <c r="FO28">
        <v>0</v>
      </c>
      <c r="FQ28" t="s">
        <v>313</v>
      </c>
      <c r="FR28" t="s">
        <v>127</v>
      </c>
      <c r="FS28" t="s">
        <v>128</v>
      </c>
      <c r="FT28">
        <v>0.40309942860995585</v>
      </c>
    </row>
    <row r="29" spans="2:176" x14ac:dyDescent="0.45">
      <c r="B29" t="s">
        <v>314</v>
      </c>
      <c r="C29" t="s">
        <v>123</v>
      </c>
      <c r="D29">
        <v>0</v>
      </c>
      <c r="E29">
        <v>0</v>
      </c>
      <c r="F29">
        <v>0.98758966788905689</v>
      </c>
      <c r="G29">
        <v>0.57328834424900277</v>
      </c>
      <c r="H29">
        <v>0.35370230176497736</v>
      </c>
      <c r="I29">
        <v>0.31195344722219831</v>
      </c>
      <c r="J29">
        <v>0.39042325173593712</v>
      </c>
      <c r="K29">
        <v>0.75850536587394024</v>
      </c>
      <c r="L29">
        <v>0</v>
      </c>
      <c r="M29">
        <v>0</v>
      </c>
      <c r="N29">
        <v>0</v>
      </c>
      <c r="O29">
        <v>0.77904917217265457</v>
      </c>
      <c r="P29">
        <v>0.42415863647695701</v>
      </c>
      <c r="Q29">
        <v>0.25142549379486934</v>
      </c>
      <c r="R29">
        <v>0.20128137195916412</v>
      </c>
      <c r="S29">
        <v>0.18660021965497053</v>
      </c>
      <c r="T29">
        <v>0.17864243752399742</v>
      </c>
      <c r="U29">
        <v>0.23573801708657099</v>
      </c>
      <c r="V29">
        <v>0.52984976464633105</v>
      </c>
      <c r="W29">
        <v>0.97692576499793027</v>
      </c>
      <c r="X29">
        <v>0</v>
      </c>
      <c r="Y29">
        <v>0.5399328991710507</v>
      </c>
      <c r="Z29">
        <v>0.28206785975962129</v>
      </c>
      <c r="AA29">
        <v>0.19165055895668962</v>
      </c>
      <c r="AB29">
        <v>0.16396474856459015</v>
      </c>
      <c r="AC29">
        <v>0.16069017215046139</v>
      </c>
      <c r="AD29">
        <v>0.16196640903656287</v>
      </c>
      <c r="AE29">
        <v>0.19127666631035814</v>
      </c>
      <c r="AF29">
        <v>0.34658709417624772</v>
      </c>
      <c r="AG29">
        <v>0.8369409993769974</v>
      </c>
      <c r="AH29">
        <v>0</v>
      </c>
      <c r="AI29">
        <v>0</v>
      </c>
      <c r="AJ29">
        <v>0.67439374355527126</v>
      </c>
      <c r="AK29">
        <v>0.31779215904350799</v>
      </c>
      <c r="AL29">
        <v>0.23775537029608598</v>
      </c>
      <c r="AM29">
        <v>0.22885051770264755</v>
      </c>
      <c r="AN29">
        <v>0.27449755996146485</v>
      </c>
      <c r="AO29">
        <v>0.5467884369396333</v>
      </c>
      <c r="AP29">
        <v>0.91900643929733383</v>
      </c>
      <c r="AQ29">
        <v>0</v>
      </c>
      <c r="EA29" t="s">
        <v>314</v>
      </c>
      <c r="EB29">
        <v>0</v>
      </c>
      <c r="EC29">
        <v>0</v>
      </c>
      <c r="ED29">
        <v>1.751574475124938E-5</v>
      </c>
      <c r="EE29">
        <v>5.5285012396195231E-2</v>
      </c>
      <c r="EF29">
        <v>0.18733057000945719</v>
      </c>
      <c r="EG29">
        <v>0.22783456952921752</v>
      </c>
      <c r="EH29">
        <v>0.13356586181642374</v>
      </c>
      <c r="EI29">
        <v>2.0015411390530632E-2</v>
      </c>
      <c r="EJ29">
        <v>0</v>
      </c>
      <c r="EK29">
        <v>0</v>
      </c>
      <c r="EL29">
        <v>0</v>
      </c>
      <c r="EM29">
        <v>2.8978457974420963E-3</v>
      </c>
      <c r="EN29">
        <v>7.03657698957251E-2</v>
      </c>
      <c r="EO29">
        <v>0.2676128735319484</v>
      </c>
      <c r="EP29">
        <v>0.40324914176420029</v>
      </c>
      <c r="EQ29">
        <v>0.42710653604713772</v>
      </c>
      <c r="ER29">
        <v>0.3459750769634643</v>
      </c>
      <c r="ES29">
        <v>0.1665628384421334</v>
      </c>
      <c r="ET29">
        <v>1.5932844895556238E-2</v>
      </c>
      <c r="EU29">
        <v>1.2220176241333606E-5</v>
      </c>
      <c r="EV29">
        <v>0</v>
      </c>
      <c r="EW29">
        <v>8.5606871785967389E-3</v>
      </c>
      <c r="EX29">
        <v>0.10330710815901759</v>
      </c>
      <c r="EY29">
        <v>0.28804674212460013</v>
      </c>
      <c r="EZ29">
        <v>0.41306212414043642</v>
      </c>
      <c r="FA29">
        <v>0.43122014879183096</v>
      </c>
      <c r="FB29">
        <v>0.35882906676118093</v>
      </c>
      <c r="FC29">
        <v>0.19967648964103801</v>
      </c>
      <c r="FD29">
        <v>3.6382341968361286E-2</v>
      </c>
      <c r="FE29">
        <v>3.9078985997439047E-4</v>
      </c>
      <c r="FF29">
        <v>0</v>
      </c>
      <c r="FG29">
        <v>0</v>
      </c>
      <c r="FH29">
        <v>1.6426998187057444E-2</v>
      </c>
      <c r="FI29">
        <v>0.15202785498923779</v>
      </c>
      <c r="FJ29">
        <v>0.28261739102838151</v>
      </c>
      <c r="FK29">
        <v>0.28829555699980453</v>
      </c>
      <c r="FL29">
        <v>0.1857525012001118</v>
      </c>
      <c r="FM29">
        <v>4.3529292905414831E-2</v>
      </c>
      <c r="FN29">
        <v>4.2514220601851354E-4</v>
      </c>
      <c r="FO29">
        <v>0</v>
      </c>
      <c r="FQ29" t="s">
        <v>314</v>
      </c>
      <c r="FR29" t="s">
        <v>127</v>
      </c>
      <c r="FS29" t="s">
        <v>128</v>
      </c>
      <c r="FT29">
        <v>0.38348340048302831</v>
      </c>
    </row>
    <row r="30" spans="2:176" x14ac:dyDescent="0.45">
      <c r="B30" t="s">
        <v>315</v>
      </c>
      <c r="C30" t="s">
        <v>123</v>
      </c>
      <c r="D30">
        <v>0</v>
      </c>
      <c r="E30">
        <v>0</v>
      </c>
      <c r="F30">
        <v>0.98333333333333361</v>
      </c>
      <c r="G30">
        <v>0.56783149183487514</v>
      </c>
      <c r="H30">
        <v>0.37077210077670403</v>
      </c>
      <c r="I30">
        <v>0.36497083470227659</v>
      </c>
      <c r="J30">
        <v>0.46915861572566497</v>
      </c>
      <c r="K30">
        <v>0.82763365387987176</v>
      </c>
      <c r="L30">
        <v>0</v>
      </c>
      <c r="M30">
        <v>0</v>
      </c>
      <c r="N30">
        <v>0</v>
      </c>
      <c r="O30">
        <v>0.71569838572857269</v>
      </c>
      <c r="P30">
        <v>0.3986923634095757</v>
      </c>
      <c r="Q30">
        <v>0.24182257311720814</v>
      </c>
      <c r="R30">
        <v>0.18458947088106137</v>
      </c>
      <c r="S30">
        <v>0.17368043446255582</v>
      </c>
      <c r="T30">
        <v>0.19586703504891334</v>
      </c>
      <c r="U30">
        <v>0.25744178668293111</v>
      </c>
      <c r="V30">
        <v>0.56673825922849219</v>
      </c>
      <c r="W30">
        <v>0.97096324751337204</v>
      </c>
      <c r="X30">
        <v>0</v>
      </c>
      <c r="Y30">
        <v>0.46872941143816738</v>
      </c>
      <c r="Z30">
        <v>0.2571505630649053</v>
      </c>
      <c r="AA30">
        <v>0.18978478113023922</v>
      </c>
      <c r="AB30">
        <v>0.17081180683886651</v>
      </c>
      <c r="AC30">
        <v>0.15272323628024739</v>
      </c>
      <c r="AD30">
        <v>0.15381778369191193</v>
      </c>
      <c r="AE30">
        <v>0.18803393139352167</v>
      </c>
      <c r="AF30">
        <v>0.3323266622789553</v>
      </c>
      <c r="AG30">
        <v>0.83039176711649831</v>
      </c>
      <c r="AH30">
        <v>0</v>
      </c>
      <c r="AI30">
        <v>0</v>
      </c>
      <c r="AJ30">
        <v>0.66942485643718463</v>
      </c>
      <c r="AK30">
        <v>0.33409763086939087</v>
      </c>
      <c r="AL30">
        <v>0.25167870484383781</v>
      </c>
      <c r="AM30">
        <v>0.25375738027679168</v>
      </c>
      <c r="AN30">
        <v>0.31487848347668645</v>
      </c>
      <c r="AO30">
        <v>0.60697452762511017</v>
      </c>
      <c r="AP30">
        <v>0.94437721356346516</v>
      </c>
      <c r="AQ30">
        <v>0</v>
      </c>
      <c r="EA30" t="s">
        <v>315</v>
      </c>
      <c r="EB30">
        <v>0</v>
      </c>
      <c r="EC30">
        <v>0</v>
      </c>
      <c r="ED30">
        <v>2.3550259773630333E-4</v>
      </c>
      <c r="EE30">
        <v>5.2091464711603704E-2</v>
      </c>
      <c r="EF30">
        <v>0.17709809005657823</v>
      </c>
      <c r="EG30">
        <v>0.20335925875118288</v>
      </c>
      <c r="EH30">
        <v>0.1105300174771242</v>
      </c>
      <c r="EI30">
        <v>1.436819975809569E-2</v>
      </c>
      <c r="EJ30">
        <v>0</v>
      </c>
      <c r="EK30">
        <v>0</v>
      </c>
      <c r="EL30">
        <v>0</v>
      </c>
      <c r="EM30">
        <v>4.8397326333672998E-3</v>
      </c>
      <c r="EN30">
        <v>8.5992070117970207E-2</v>
      </c>
      <c r="EO30">
        <v>0.28362284195555448</v>
      </c>
      <c r="EP30">
        <v>0.41537471720621866</v>
      </c>
      <c r="EQ30">
        <v>0.41736621121630885</v>
      </c>
      <c r="ER30">
        <v>0.31482581512261171</v>
      </c>
      <c r="ES30">
        <v>0.14698053371250452</v>
      </c>
      <c r="ET30">
        <v>1.2057041786283597E-2</v>
      </c>
      <c r="EU30">
        <v>6.6846892345933943E-6</v>
      </c>
      <c r="EV30">
        <v>0</v>
      </c>
      <c r="EW30">
        <v>1.1776908698996478E-2</v>
      </c>
      <c r="EX30">
        <v>0.10913270138430774</v>
      </c>
      <c r="EY30">
        <v>0.27413341200545166</v>
      </c>
      <c r="EZ30">
        <v>0.39028588184031182</v>
      </c>
      <c r="FA30">
        <v>0.41338468110710896</v>
      </c>
      <c r="FB30">
        <v>0.34356940735708863</v>
      </c>
      <c r="FC30">
        <v>0.1893261538516009</v>
      </c>
      <c r="FD30">
        <v>3.3832721800693986E-2</v>
      </c>
      <c r="FE30">
        <v>4.066064608788062E-4</v>
      </c>
      <c r="FF30">
        <v>0</v>
      </c>
      <c r="FG30">
        <v>0</v>
      </c>
      <c r="FH30">
        <v>1.8150415655864931E-2</v>
      </c>
      <c r="FI30">
        <v>0.13817255591562494</v>
      </c>
      <c r="FJ30">
        <v>0.25547128116047213</v>
      </c>
      <c r="FK30">
        <v>0.25387565973471543</v>
      </c>
      <c r="FL30">
        <v>0.16022437810986523</v>
      </c>
      <c r="FM30">
        <v>3.505866533098586E-2</v>
      </c>
      <c r="FN30">
        <v>1.4977225857984162E-4</v>
      </c>
      <c r="FO30">
        <v>0</v>
      </c>
      <c r="FQ30" t="s">
        <v>315</v>
      </c>
      <c r="FR30" t="s">
        <v>127</v>
      </c>
      <c r="FS30" t="s">
        <v>128</v>
      </c>
      <c r="FT30">
        <v>0.37798283754201023</v>
      </c>
    </row>
    <row r="31" spans="2:176" x14ac:dyDescent="0.45">
      <c r="B31" t="s">
        <v>316</v>
      </c>
      <c r="C31" t="s">
        <v>123</v>
      </c>
      <c r="D31">
        <v>0</v>
      </c>
      <c r="E31">
        <v>0</v>
      </c>
      <c r="F31">
        <v>0.98888888888888871</v>
      </c>
      <c r="G31">
        <v>0.56604386031095355</v>
      </c>
      <c r="H31">
        <v>0.35118776972346094</v>
      </c>
      <c r="I31">
        <v>0.32364767644859144</v>
      </c>
      <c r="J31">
        <v>0.40821390784715167</v>
      </c>
      <c r="K31">
        <v>0.80484267740717963</v>
      </c>
      <c r="L31">
        <v>0</v>
      </c>
      <c r="M31">
        <v>0</v>
      </c>
      <c r="N31">
        <v>0</v>
      </c>
      <c r="O31">
        <v>0.74285104596599283</v>
      </c>
      <c r="P31">
        <v>0.40090364018549868</v>
      </c>
      <c r="Q31">
        <v>0.22594543613524171</v>
      </c>
      <c r="R31">
        <v>0.18635018743588419</v>
      </c>
      <c r="S31">
        <v>0.17097648195711243</v>
      </c>
      <c r="T31">
        <v>0.17608180191904788</v>
      </c>
      <c r="U31">
        <v>0.2423023697664152</v>
      </c>
      <c r="V31">
        <v>0.53669451952609615</v>
      </c>
      <c r="W31">
        <v>0.97274145753107255</v>
      </c>
      <c r="X31">
        <v>0</v>
      </c>
      <c r="Y31">
        <v>0.49557197625325661</v>
      </c>
      <c r="Z31">
        <v>0.26603425145397408</v>
      </c>
      <c r="AA31">
        <v>0.17095144000273232</v>
      </c>
      <c r="AB31">
        <v>0.13845634392486597</v>
      </c>
      <c r="AC31">
        <v>0.13176463408090894</v>
      </c>
      <c r="AD31">
        <v>0.14648417103008032</v>
      </c>
      <c r="AE31">
        <v>0.18902440236350851</v>
      </c>
      <c r="AF31">
        <v>0.33817561971567911</v>
      </c>
      <c r="AG31">
        <v>0.82799762236098451</v>
      </c>
      <c r="AH31">
        <v>0</v>
      </c>
      <c r="AI31">
        <v>0</v>
      </c>
      <c r="AJ31">
        <v>0.66063778552130092</v>
      </c>
      <c r="AK31">
        <v>0.31249322323549517</v>
      </c>
      <c r="AL31">
        <v>0.23693934796253377</v>
      </c>
      <c r="AM31">
        <v>0.22356112156512789</v>
      </c>
      <c r="AN31">
        <v>0.27587112231046534</v>
      </c>
      <c r="AO31">
        <v>0.55267658313941648</v>
      </c>
      <c r="AP31">
        <v>0.9258016053023943</v>
      </c>
      <c r="AQ31">
        <v>0</v>
      </c>
      <c r="EA31" t="s">
        <v>316</v>
      </c>
      <c r="EB31">
        <v>0</v>
      </c>
      <c r="EC31">
        <v>0</v>
      </c>
      <c r="ED31">
        <v>6.5101661840009606E-6</v>
      </c>
      <c r="EE31">
        <v>5.1522926350872682E-2</v>
      </c>
      <c r="EF31">
        <v>0.17570903254558159</v>
      </c>
      <c r="EG31">
        <v>0.21433960693912116</v>
      </c>
      <c r="EH31">
        <v>0.12552346029005837</v>
      </c>
      <c r="EI31">
        <v>1.6460969614347901E-2</v>
      </c>
      <c r="EJ31">
        <v>0</v>
      </c>
      <c r="EK31">
        <v>0</v>
      </c>
      <c r="EL31">
        <v>0</v>
      </c>
      <c r="EM31">
        <v>3.6175571261380076E-3</v>
      </c>
      <c r="EN31">
        <v>7.9416183898861015E-2</v>
      </c>
      <c r="EO31">
        <v>0.29230764379740193</v>
      </c>
      <c r="EP31">
        <v>0.45288860767917205</v>
      </c>
      <c r="EQ31">
        <v>0.47881346033777261</v>
      </c>
      <c r="ER31">
        <v>0.37632240282971313</v>
      </c>
      <c r="ES31">
        <v>0.17203793248262828</v>
      </c>
      <c r="ET31">
        <v>1.5283676999164789E-2</v>
      </c>
      <c r="EU31">
        <v>1.8065585439366392E-5</v>
      </c>
      <c r="EV31">
        <v>0</v>
      </c>
      <c r="EW31">
        <v>1.0274047019559352E-2</v>
      </c>
      <c r="EX31">
        <v>0.10865683663929823</v>
      </c>
      <c r="EY31">
        <v>0.30414419578189533</v>
      </c>
      <c r="EZ31">
        <v>0.45111412035460657</v>
      </c>
      <c r="FA31">
        <v>0.48132015740770467</v>
      </c>
      <c r="FB31">
        <v>0.39676669502154693</v>
      </c>
      <c r="FC31">
        <v>0.21564868120584704</v>
      </c>
      <c r="FD31">
        <v>3.8523030518187465E-2</v>
      </c>
      <c r="FE31">
        <v>5.274704942147628E-4</v>
      </c>
      <c r="FF31">
        <v>0</v>
      </c>
      <c r="FG31">
        <v>0</v>
      </c>
      <c r="FH31">
        <v>1.8503510565778748E-2</v>
      </c>
      <c r="FI31">
        <v>0.15404405102154606</v>
      </c>
      <c r="FJ31">
        <v>0.29071201471380864</v>
      </c>
      <c r="FK31">
        <v>0.30304512811524975</v>
      </c>
      <c r="FL31">
        <v>0.19363360697458912</v>
      </c>
      <c r="FM31">
        <v>4.4231265286047955E-2</v>
      </c>
      <c r="FN31">
        <v>3.0348091887535408E-4</v>
      </c>
      <c r="FO31">
        <v>0</v>
      </c>
      <c r="FQ31" t="s">
        <v>316</v>
      </c>
      <c r="FR31" t="s">
        <v>127</v>
      </c>
      <c r="FS31" t="s">
        <v>128</v>
      </c>
      <c r="FT31">
        <v>0.41632048804729083</v>
      </c>
    </row>
    <row r="32" spans="2:176" x14ac:dyDescent="0.45">
      <c r="B32" t="s">
        <v>317</v>
      </c>
      <c r="C32" t="s">
        <v>123</v>
      </c>
      <c r="D32">
        <v>0.24097667662843708</v>
      </c>
      <c r="E32">
        <v>0.23471012065554642</v>
      </c>
      <c r="F32">
        <v>0.22881025221882362</v>
      </c>
      <c r="G32">
        <v>0.22443284764898486</v>
      </c>
      <c r="H32">
        <v>0.21571600263127255</v>
      </c>
      <c r="I32">
        <v>0.22215262255905657</v>
      </c>
      <c r="J32">
        <v>0.23132206737988073</v>
      </c>
      <c r="K32">
        <v>0.24479506232274828</v>
      </c>
      <c r="L32">
        <v>0.25298384479175418</v>
      </c>
      <c r="M32">
        <v>0.25406260762438787</v>
      </c>
      <c r="N32">
        <v>0.24232106369695164</v>
      </c>
      <c r="O32">
        <v>0.25325603388516871</v>
      </c>
      <c r="P32">
        <v>0.26196049431741814</v>
      </c>
      <c r="Q32">
        <v>0.27478373557125013</v>
      </c>
      <c r="R32">
        <v>0.28311708770044075</v>
      </c>
      <c r="S32">
        <v>0.27655709254638361</v>
      </c>
      <c r="T32">
        <v>0.2651456775562881</v>
      </c>
      <c r="U32">
        <v>0.25095393757300299</v>
      </c>
      <c r="V32">
        <v>0.23499625956945469</v>
      </c>
      <c r="W32">
        <v>0.23674619101520594</v>
      </c>
      <c r="X32">
        <v>0.31598091173996073</v>
      </c>
      <c r="Y32">
        <v>0.33346551845194061</v>
      </c>
      <c r="Z32">
        <v>0.33372300096714241</v>
      </c>
      <c r="AA32">
        <v>0.34625246636036605</v>
      </c>
      <c r="AB32">
        <v>0.35447760644380499</v>
      </c>
      <c r="AC32">
        <v>0.33643874302150101</v>
      </c>
      <c r="AD32">
        <v>0.31093739933432202</v>
      </c>
      <c r="AE32">
        <v>0.28832903525826042</v>
      </c>
      <c r="AF32">
        <v>0.27025889041415513</v>
      </c>
      <c r="AG32">
        <v>0.27976583139281475</v>
      </c>
      <c r="AH32">
        <v>0.27993858154259871</v>
      </c>
      <c r="AI32">
        <v>0.29864251366174116</v>
      </c>
      <c r="AJ32">
        <v>0.28806166061111232</v>
      </c>
      <c r="AK32">
        <v>0.27833764662361093</v>
      </c>
      <c r="AL32">
        <v>0.28653753290219552</v>
      </c>
      <c r="AM32">
        <v>0.27753749991340926</v>
      </c>
      <c r="AN32">
        <v>0.26220005880390768</v>
      </c>
      <c r="AO32">
        <v>0.25858198499266383</v>
      </c>
      <c r="AP32">
        <v>0.26401597696143714</v>
      </c>
      <c r="AQ32">
        <v>0.26804422238095554</v>
      </c>
      <c r="EA32" t="s">
        <v>317</v>
      </c>
      <c r="EB32">
        <v>0.61770492746005523</v>
      </c>
      <c r="EC32">
        <v>0.62311645315286168</v>
      </c>
      <c r="ED32">
        <v>0.63067907968072945</v>
      </c>
      <c r="EE32">
        <v>0.62077724361368969</v>
      </c>
      <c r="EF32">
        <v>0.61270268869591726</v>
      </c>
      <c r="EG32">
        <v>0.60837609114355573</v>
      </c>
      <c r="EH32">
        <v>0.60799301405675421</v>
      </c>
      <c r="EI32">
        <v>0.6146653065374803</v>
      </c>
      <c r="EJ32">
        <v>0.61714481400677712</v>
      </c>
      <c r="EK32">
        <v>0.61052220370809762</v>
      </c>
      <c r="EL32">
        <v>0.58426234684744338</v>
      </c>
      <c r="EM32">
        <v>0.57191393941687874</v>
      </c>
      <c r="EN32">
        <v>0.56234672771059735</v>
      </c>
      <c r="EO32">
        <v>0.54472994175622969</v>
      </c>
      <c r="EP32">
        <v>0.53902512139405123</v>
      </c>
      <c r="EQ32">
        <v>0.54980330550552903</v>
      </c>
      <c r="ER32">
        <v>0.57076840198336487</v>
      </c>
      <c r="ES32">
        <v>0.59183676828458343</v>
      </c>
      <c r="ET32">
        <v>0.60212936847601173</v>
      </c>
      <c r="EU32">
        <v>0.58436428596296919</v>
      </c>
      <c r="EV32">
        <v>0.43342012512546352</v>
      </c>
      <c r="EW32">
        <v>0.42234473394034899</v>
      </c>
      <c r="EX32">
        <v>0.41782692801147797</v>
      </c>
      <c r="EY32">
        <v>0.39712012198483593</v>
      </c>
      <c r="EZ32">
        <v>0.3877047184999321</v>
      </c>
      <c r="FA32">
        <v>0.40555251851681301</v>
      </c>
      <c r="FB32">
        <v>0.4302108199558799</v>
      </c>
      <c r="FC32">
        <v>0.44877095443424336</v>
      </c>
      <c r="FD32">
        <v>0.45626087113819802</v>
      </c>
      <c r="FE32">
        <v>0.44303714312394776</v>
      </c>
      <c r="FF32">
        <v>0.55025837103644504</v>
      </c>
      <c r="FG32">
        <v>0.53521179191885093</v>
      </c>
      <c r="FH32">
        <v>0.54512982255704545</v>
      </c>
      <c r="FI32">
        <v>0.54642094104146866</v>
      </c>
      <c r="FJ32">
        <v>0.53467895288898715</v>
      </c>
      <c r="FK32">
        <v>0.54855807152577774</v>
      </c>
      <c r="FL32">
        <v>0.57450499350488138</v>
      </c>
      <c r="FM32">
        <v>0.58896571942586284</v>
      </c>
      <c r="FN32">
        <v>0.58105361989432935</v>
      </c>
      <c r="FO32">
        <v>0.56606254267720535</v>
      </c>
      <c r="FQ32" t="s">
        <v>318</v>
      </c>
      <c r="FR32" t="s">
        <v>127</v>
      </c>
      <c r="FS32" t="s">
        <v>128</v>
      </c>
      <c r="FT32">
        <v>0.65722782115055722</v>
      </c>
    </row>
    <row r="33" spans="2:176" x14ac:dyDescent="0.45">
      <c r="B33" t="s">
        <v>319</v>
      </c>
      <c r="C33" t="s">
        <v>123</v>
      </c>
      <c r="D33">
        <v>0.25391004846549597</v>
      </c>
      <c r="E33">
        <v>0.23523000268050995</v>
      </c>
      <c r="F33">
        <v>0.24171384360170223</v>
      </c>
      <c r="G33">
        <v>0.25310379804125865</v>
      </c>
      <c r="H33">
        <v>0.26127875605185874</v>
      </c>
      <c r="I33">
        <v>0.26674383546400554</v>
      </c>
      <c r="J33">
        <v>0.2686761167327007</v>
      </c>
      <c r="K33">
        <v>0.25935681754393974</v>
      </c>
      <c r="L33">
        <v>0.24871955199647094</v>
      </c>
      <c r="M33">
        <v>0.24276738387453656</v>
      </c>
      <c r="N33">
        <v>0.25613988567614915</v>
      </c>
      <c r="O33">
        <v>0.26120017695407111</v>
      </c>
      <c r="P33">
        <v>0.27242571435920282</v>
      </c>
      <c r="Q33">
        <v>0.29655673724591441</v>
      </c>
      <c r="R33">
        <v>0.32303325145735884</v>
      </c>
      <c r="S33">
        <v>0.31838277830613226</v>
      </c>
      <c r="T33">
        <v>0.29522331864520057</v>
      </c>
      <c r="U33">
        <v>0.27220835754607919</v>
      </c>
      <c r="V33">
        <v>0.26527826521166914</v>
      </c>
      <c r="W33">
        <v>0.25147380143807585</v>
      </c>
      <c r="X33">
        <v>0.32797868779490186</v>
      </c>
      <c r="Y33">
        <v>0.3427698829452262</v>
      </c>
      <c r="Z33">
        <v>0.33943659032438528</v>
      </c>
      <c r="AA33">
        <v>0.3667145904015085</v>
      </c>
      <c r="AB33">
        <v>0.38500297937064182</v>
      </c>
      <c r="AC33">
        <v>0.38211498221380086</v>
      </c>
      <c r="AD33">
        <v>0.37194193056199593</v>
      </c>
      <c r="AE33">
        <v>0.34860991173915601</v>
      </c>
      <c r="AF33">
        <v>0.3208103402339974</v>
      </c>
      <c r="AG33">
        <v>0.29952199573599569</v>
      </c>
      <c r="AH33">
        <v>0.31364002741009978</v>
      </c>
      <c r="AI33">
        <v>0.32922367664373403</v>
      </c>
      <c r="AJ33">
        <v>0.32389823481798419</v>
      </c>
      <c r="AK33">
        <v>0.31083773474414295</v>
      </c>
      <c r="AL33">
        <v>0.31523115348362896</v>
      </c>
      <c r="AM33">
        <v>0.29519643504384263</v>
      </c>
      <c r="AN33">
        <v>0.28468462133726485</v>
      </c>
      <c r="AO33">
        <v>0.27264711257002916</v>
      </c>
      <c r="AP33">
        <v>0.27060818502347361</v>
      </c>
      <c r="AQ33">
        <v>0.27943605758019791</v>
      </c>
      <c r="EA33" t="s">
        <v>319</v>
      </c>
      <c r="EB33">
        <v>0.61045094209377571</v>
      </c>
      <c r="EC33">
        <v>0.61441991154929032</v>
      </c>
      <c r="ED33">
        <v>0.61568545771287342</v>
      </c>
      <c r="EE33">
        <v>0.61611544032065924</v>
      </c>
      <c r="EF33">
        <v>0.60338565162934832</v>
      </c>
      <c r="EG33">
        <v>0.59920137644716598</v>
      </c>
      <c r="EH33">
        <v>0.59772831670442816</v>
      </c>
      <c r="EI33">
        <v>0.61324222346717017</v>
      </c>
      <c r="EJ33">
        <v>0.63590226820104789</v>
      </c>
      <c r="EK33">
        <v>0.63439543865986869</v>
      </c>
      <c r="EL33">
        <v>0.57039282252355139</v>
      </c>
      <c r="EM33">
        <v>0.56715067831578481</v>
      </c>
      <c r="EN33">
        <v>0.55457197000492353</v>
      </c>
      <c r="EO33">
        <v>0.51322670417718386</v>
      </c>
      <c r="EP33">
        <v>0.48183791298959994</v>
      </c>
      <c r="EQ33">
        <v>0.48409128178652766</v>
      </c>
      <c r="ER33">
        <v>0.51538876429339975</v>
      </c>
      <c r="ES33">
        <v>0.55133315438272501</v>
      </c>
      <c r="ET33">
        <v>0.57283044164691832</v>
      </c>
      <c r="EU33">
        <v>0.57391455408964087</v>
      </c>
      <c r="EV33">
        <v>0.46533129626855696</v>
      </c>
      <c r="EW33">
        <v>0.42605565489305536</v>
      </c>
      <c r="EX33">
        <v>0.4317903169779258</v>
      </c>
      <c r="EY33">
        <v>0.40997304878460417</v>
      </c>
      <c r="EZ33">
        <v>0.40105329977595022</v>
      </c>
      <c r="FA33">
        <v>0.43197736583817425</v>
      </c>
      <c r="FB33">
        <v>0.47010879591309318</v>
      </c>
      <c r="FC33">
        <v>0.50115661356457775</v>
      </c>
      <c r="FD33">
        <v>0.52196111382919563</v>
      </c>
      <c r="FE33">
        <v>0.5268849870977188</v>
      </c>
      <c r="FF33">
        <v>0.54949871094369251</v>
      </c>
      <c r="FG33">
        <v>0.5309033957572058</v>
      </c>
      <c r="FH33">
        <v>0.53987270107163965</v>
      </c>
      <c r="FI33">
        <v>0.56518569916508388</v>
      </c>
      <c r="FJ33">
        <v>0.56029184496211781</v>
      </c>
      <c r="FK33">
        <v>0.55796165512695106</v>
      </c>
      <c r="FL33">
        <v>0.57318674206911369</v>
      </c>
      <c r="FM33">
        <v>0.59871700218749102</v>
      </c>
      <c r="FN33">
        <v>0.59967552113827993</v>
      </c>
      <c r="FO33">
        <v>0.58319911402817759</v>
      </c>
      <c r="FQ33" t="s">
        <v>320</v>
      </c>
      <c r="FR33" t="s">
        <v>127</v>
      </c>
      <c r="FS33" t="s">
        <v>128</v>
      </c>
      <c r="FT33">
        <v>0.55234852037073079</v>
      </c>
    </row>
    <row r="34" spans="2:176" x14ac:dyDescent="0.45">
      <c r="B34" t="s">
        <v>321</v>
      </c>
      <c r="C34" t="s">
        <v>123</v>
      </c>
      <c r="D34">
        <v>0.25148207699486996</v>
      </c>
      <c r="E34">
        <v>0.2332998241580729</v>
      </c>
      <c r="F34">
        <v>0.23923259739299088</v>
      </c>
      <c r="G34">
        <v>0.24843422399823567</v>
      </c>
      <c r="H34">
        <v>0.26535850997323457</v>
      </c>
      <c r="I34">
        <v>0.27087452604341</v>
      </c>
      <c r="J34">
        <v>0.26331534186540501</v>
      </c>
      <c r="K34">
        <v>0.2484782631690251</v>
      </c>
      <c r="L34">
        <v>0.23537712932995741</v>
      </c>
      <c r="M34">
        <v>0.244335997967559</v>
      </c>
      <c r="N34">
        <v>0.26689466614671892</v>
      </c>
      <c r="O34">
        <v>0.25814737697029211</v>
      </c>
      <c r="P34">
        <v>0.25575995936184803</v>
      </c>
      <c r="Q34">
        <v>0.27300083213830062</v>
      </c>
      <c r="R34">
        <v>0.28411468286461733</v>
      </c>
      <c r="S34">
        <v>0.28102441060852923</v>
      </c>
      <c r="T34">
        <v>0.26114098097708577</v>
      </c>
      <c r="U34">
        <v>0.24457787511473505</v>
      </c>
      <c r="V34">
        <v>0.23381021484469261</v>
      </c>
      <c r="W34">
        <v>0.24760067876760811</v>
      </c>
      <c r="X34">
        <v>0.31015012841631429</v>
      </c>
      <c r="Y34">
        <v>0.31947649822051416</v>
      </c>
      <c r="Z34">
        <v>0.32477034358400481</v>
      </c>
      <c r="AA34">
        <v>0.33613501179754657</v>
      </c>
      <c r="AB34">
        <v>0.33897888160480555</v>
      </c>
      <c r="AC34">
        <v>0.33181179279449091</v>
      </c>
      <c r="AD34">
        <v>0.32155505366047304</v>
      </c>
      <c r="AE34">
        <v>0.31727816725972169</v>
      </c>
      <c r="AF34">
        <v>0.3125484271701211</v>
      </c>
      <c r="AG34">
        <v>0.30754186090505059</v>
      </c>
      <c r="AH34">
        <v>0.27919682327960016</v>
      </c>
      <c r="AI34">
        <v>0.28591282305237448</v>
      </c>
      <c r="AJ34">
        <v>0.30778738862349142</v>
      </c>
      <c r="AK34">
        <v>0.30846936257021651</v>
      </c>
      <c r="AL34">
        <v>0.30123733876988851</v>
      </c>
      <c r="AM34">
        <v>0.29263131383738855</v>
      </c>
      <c r="AN34">
        <v>0.29238214149720071</v>
      </c>
      <c r="AO34">
        <v>0.28237277308244058</v>
      </c>
      <c r="AP34">
        <v>0.2657784210639223</v>
      </c>
      <c r="AQ34">
        <v>0.27035691056119121</v>
      </c>
      <c r="EA34" t="s">
        <v>321</v>
      </c>
      <c r="EB34">
        <v>0.58615205479661781</v>
      </c>
      <c r="EC34">
        <v>0.5900392492058758</v>
      </c>
      <c r="ED34">
        <v>0.59304226550608108</v>
      </c>
      <c r="EE34">
        <v>0.57416747472991758</v>
      </c>
      <c r="EF34">
        <v>0.55899887439229001</v>
      </c>
      <c r="EG34">
        <v>0.55738731608323111</v>
      </c>
      <c r="EH34">
        <v>0.56754971803336662</v>
      </c>
      <c r="EI34">
        <v>0.59006929860385271</v>
      </c>
      <c r="EJ34">
        <v>0.60033795557801373</v>
      </c>
      <c r="EK34">
        <v>0.59902358879819295</v>
      </c>
      <c r="EL34">
        <v>0.51427789337168861</v>
      </c>
      <c r="EM34">
        <v>0.52240498637322241</v>
      </c>
      <c r="EN34">
        <v>0.52214178125203758</v>
      </c>
      <c r="EO34">
        <v>0.50974067079582197</v>
      </c>
      <c r="EP34">
        <v>0.50562356238530304</v>
      </c>
      <c r="EQ34">
        <v>0.51974233837616401</v>
      </c>
      <c r="ER34">
        <v>0.53274626224093435</v>
      </c>
      <c r="ES34">
        <v>0.53790569079252115</v>
      </c>
      <c r="ET34">
        <v>0.54214042634406245</v>
      </c>
      <c r="EU34">
        <v>0.53210267041537629</v>
      </c>
      <c r="EV34">
        <v>0.38708189807903004</v>
      </c>
      <c r="EW34">
        <v>0.3681513068735352</v>
      </c>
      <c r="EX34">
        <v>0.35997194025878182</v>
      </c>
      <c r="EY34">
        <v>0.34222484738846748</v>
      </c>
      <c r="EZ34">
        <v>0.34235197186672667</v>
      </c>
      <c r="FA34">
        <v>0.36833291571067073</v>
      </c>
      <c r="FB34">
        <v>0.38809424100917272</v>
      </c>
      <c r="FC34">
        <v>0.3945031356056532</v>
      </c>
      <c r="FD34">
        <v>0.40629216340689056</v>
      </c>
      <c r="FE34">
        <v>0.41461182936165097</v>
      </c>
      <c r="FF34">
        <v>0.52894602282392822</v>
      </c>
      <c r="FG34">
        <v>0.52623029087386564</v>
      </c>
      <c r="FH34">
        <v>0.52295308704778465</v>
      </c>
      <c r="FI34">
        <v>0.51160351002253168</v>
      </c>
      <c r="FJ34">
        <v>0.51720395276948083</v>
      </c>
      <c r="FK34">
        <v>0.53505393250980693</v>
      </c>
      <c r="FL34">
        <v>0.53553386029902383</v>
      </c>
      <c r="FM34">
        <v>0.55046252923373373</v>
      </c>
      <c r="FN34">
        <v>0.56897845288356641</v>
      </c>
      <c r="FO34">
        <v>0.55110476855457302</v>
      </c>
      <c r="FQ34" t="s">
        <v>322</v>
      </c>
      <c r="FR34" t="s">
        <v>127</v>
      </c>
      <c r="FS34" t="s">
        <v>128</v>
      </c>
      <c r="FT34">
        <v>0.54628849380175726</v>
      </c>
    </row>
    <row r="35" spans="2:176" x14ac:dyDescent="0.45">
      <c r="B35" t="s">
        <v>323</v>
      </c>
      <c r="C35" t="s">
        <v>123</v>
      </c>
      <c r="D35">
        <v>0.21982588112436774</v>
      </c>
      <c r="E35">
        <v>0.21021920690869195</v>
      </c>
      <c r="F35">
        <v>0.19975979536571076</v>
      </c>
      <c r="G35">
        <v>0.20055433217460339</v>
      </c>
      <c r="H35">
        <v>0.20582330245990196</v>
      </c>
      <c r="I35">
        <v>0.20650279625361648</v>
      </c>
      <c r="J35">
        <v>0.2098879268092122</v>
      </c>
      <c r="K35">
        <v>0.21596874544293851</v>
      </c>
      <c r="L35">
        <v>0.22645290409410793</v>
      </c>
      <c r="M35">
        <v>0.22015531039572259</v>
      </c>
      <c r="N35">
        <v>0.20208754014620162</v>
      </c>
      <c r="O35">
        <v>0.21964273744371865</v>
      </c>
      <c r="P35">
        <v>0.23168207532060478</v>
      </c>
      <c r="Q35">
        <v>0.24480510476967701</v>
      </c>
      <c r="R35">
        <v>0.24706413738091659</v>
      </c>
      <c r="S35">
        <v>0.23381719446600771</v>
      </c>
      <c r="T35">
        <v>0.22287010143157154</v>
      </c>
      <c r="U35">
        <v>0.20463896310980997</v>
      </c>
      <c r="V35">
        <v>0.19927480970515418</v>
      </c>
      <c r="W35">
        <v>0.20823496766555419</v>
      </c>
      <c r="X35">
        <v>0.31621628791472567</v>
      </c>
      <c r="Y35">
        <v>0.32484485935296442</v>
      </c>
      <c r="Z35">
        <v>0.33119727568747387</v>
      </c>
      <c r="AA35">
        <v>0.35106352006481201</v>
      </c>
      <c r="AB35">
        <v>0.35084276602510311</v>
      </c>
      <c r="AC35">
        <v>0.32535991555069954</v>
      </c>
      <c r="AD35">
        <v>0.29542926721863527</v>
      </c>
      <c r="AE35">
        <v>0.27453757069225682</v>
      </c>
      <c r="AF35">
        <v>0.27812898928172952</v>
      </c>
      <c r="AG35">
        <v>0.30254450892651424</v>
      </c>
      <c r="AH35">
        <v>0.28827132792125382</v>
      </c>
      <c r="AI35">
        <v>0.30036209787008039</v>
      </c>
      <c r="AJ35">
        <v>0.30460276748891263</v>
      </c>
      <c r="AK35">
        <v>0.31244900855479663</v>
      </c>
      <c r="AL35">
        <v>0.31235662497378108</v>
      </c>
      <c r="AM35">
        <v>0.30883545057871759</v>
      </c>
      <c r="AN35">
        <v>0.28847780381406962</v>
      </c>
      <c r="AO35">
        <v>0.27147240934565575</v>
      </c>
      <c r="AP35">
        <v>0.25744925420473225</v>
      </c>
      <c r="AQ35">
        <v>0.26758102689058105</v>
      </c>
      <c r="EA35" t="s">
        <v>323</v>
      </c>
      <c r="EB35">
        <v>0.66843962525552469</v>
      </c>
      <c r="EC35">
        <v>0.67235911842395779</v>
      </c>
      <c r="ED35">
        <v>0.67713189386205441</v>
      </c>
      <c r="EE35">
        <v>0.67140397595359202</v>
      </c>
      <c r="EF35">
        <v>0.66579100380583833</v>
      </c>
      <c r="EG35">
        <v>0.6683030598787838</v>
      </c>
      <c r="EH35">
        <v>0.67349561945337588</v>
      </c>
      <c r="EI35">
        <v>0.67580088363884616</v>
      </c>
      <c r="EJ35">
        <v>0.66862460803551738</v>
      </c>
      <c r="EK35">
        <v>0.66476123540399501</v>
      </c>
      <c r="EL35">
        <v>0.64756346895903516</v>
      </c>
      <c r="EM35">
        <v>0.63715950514716091</v>
      </c>
      <c r="EN35">
        <v>0.62385002493476149</v>
      </c>
      <c r="EO35">
        <v>0.61192742008696854</v>
      </c>
      <c r="EP35">
        <v>0.61124694968454374</v>
      </c>
      <c r="EQ35">
        <v>0.62673100911607216</v>
      </c>
      <c r="ER35">
        <v>0.64518539036419897</v>
      </c>
      <c r="ES35">
        <v>0.65960626771706488</v>
      </c>
      <c r="ET35">
        <v>0.66426496920506362</v>
      </c>
      <c r="EU35">
        <v>0.64072947943677561</v>
      </c>
      <c r="EV35">
        <v>0.45810234917527282</v>
      </c>
      <c r="EW35">
        <v>0.44418143563479401</v>
      </c>
      <c r="EX35">
        <v>0.43352834395705697</v>
      </c>
      <c r="EY35">
        <v>0.42475231710165628</v>
      </c>
      <c r="EZ35">
        <v>0.41633971089672928</v>
      </c>
      <c r="FA35">
        <v>0.43887798235116643</v>
      </c>
      <c r="FB35">
        <v>0.47267431800920967</v>
      </c>
      <c r="FC35">
        <v>0.49101012037985486</v>
      </c>
      <c r="FD35">
        <v>0.47871844853539874</v>
      </c>
      <c r="FE35">
        <v>0.45648681818563952</v>
      </c>
      <c r="FF35">
        <v>0.54579986658357593</v>
      </c>
      <c r="FG35">
        <v>0.5402488461721856</v>
      </c>
      <c r="FH35">
        <v>0.54170527991844408</v>
      </c>
      <c r="FI35">
        <v>0.53636871493668004</v>
      </c>
      <c r="FJ35">
        <v>0.53574542409899284</v>
      </c>
      <c r="FK35">
        <v>0.53415032901792869</v>
      </c>
      <c r="FL35">
        <v>0.55418683275682601</v>
      </c>
      <c r="FM35">
        <v>0.57119897351596949</v>
      </c>
      <c r="FN35">
        <v>0.57781291273139723</v>
      </c>
      <c r="FO35">
        <v>0.56075418298792612</v>
      </c>
      <c r="FQ35" t="s">
        <v>324</v>
      </c>
      <c r="FR35" t="s">
        <v>127</v>
      </c>
      <c r="FS35" t="s">
        <v>128</v>
      </c>
      <c r="FT35">
        <v>0.5301007811043581</v>
      </c>
    </row>
    <row r="36" spans="2:176" x14ac:dyDescent="0.45">
      <c r="B36" t="s">
        <v>325</v>
      </c>
      <c r="C36" t="s">
        <v>123</v>
      </c>
      <c r="D36">
        <v>0.20673226802990557</v>
      </c>
      <c r="E36">
        <v>0.19307444046998412</v>
      </c>
      <c r="F36">
        <v>0.19658692651598239</v>
      </c>
      <c r="G36">
        <v>0.19712012862531419</v>
      </c>
      <c r="H36">
        <v>0.19522292245580727</v>
      </c>
      <c r="I36">
        <v>0.19432356155146494</v>
      </c>
      <c r="J36">
        <v>0.19101120598843688</v>
      </c>
      <c r="K36">
        <v>0.19529315496276067</v>
      </c>
      <c r="L36">
        <v>0.19992449644481192</v>
      </c>
      <c r="M36">
        <v>0.20497993215166871</v>
      </c>
      <c r="N36">
        <v>0.1909773529890669</v>
      </c>
      <c r="O36">
        <v>0.20349278971966644</v>
      </c>
      <c r="P36">
        <v>0.20627762841497851</v>
      </c>
      <c r="Q36">
        <v>0.21675028714479169</v>
      </c>
      <c r="R36">
        <v>0.2223601061444902</v>
      </c>
      <c r="S36">
        <v>0.21749370876022026</v>
      </c>
      <c r="T36">
        <v>0.21179049922395093</v>
      </c>
      <c r="U36">
        <v>0.1997212814016375</v>
      </c>
      <c r="V36">
        <v>0.18841003857482821</v>
      </c>
      <c r="W36">
        <v>0.18957163463322776</v>
      </c>
      <c r="X36">
        <v>0.29436033492274732</v>
      </c>
      <c r="Y36">
        <v>0.30427272798505112</v>
      </c>
      <c r="Z36">
        <v>0.30750689657125757</v>
      </c>
      <c r="AA36">
        <v>0.31884481049871927</v>
      </c>
      <c r="AB36">
        <v>0.32799772884435496</v>
      </c>
      <c r="AC36">
        <v>0.31805149660783699</v>
      </c>
      <c r="AD36">
        <v>0.30036812323293749</v>
      </c>
      <c r="AE36">
        <v>0.28693684019150628</v>
      </c>
      <c r="AF36">
        <v>0.28337816146592015</v>
      </c>
      <c r="AG36">
        <v>0.29114085824917502</v>
      </c>
      <c r="AH36">
        <v>0.27749884238637534</v>
      </c>
      <c r="AI36">
        <v>0.28347333587714701</v>
      </c>
      <c r="AJ36">
        <v>0.28949575774494946</v>
      </c>
      <c r="AK36">
        <v>0.28882397664326687</v>
      </c>
      <c r="AL36">
        <v>0.28026322208446153</v>
      </c>
      <c r="AM36">
        <v>0.28075425932787484</v>
      </c>
      <c r="AN36">
        <v>0.27430089533954505</v>
      </c>
      <c r="AO36">
        <v>0.27021424043747994</v>
      </c>
      <c r="AP36">
        <v>0.27802617027499582</v>
      </c>
      <c r="AQ36">
        <v>0.2831991351803762</v>
      </c>
      <c r="EA36" t="s">
        <v>325</v>
      </c>
      <c r="EB36">
        <v>0.68583747133993267</v>
      </c>
      <c r="EC36">
        <v>0.69018540677358842</v>
      </c>
      <c r="ED36">
        <v>0.68876692125291983</v>
      </c>
      <c r="EE36">
        <v>0.6897480667559539</v>
      </c>
      <c r="EF36">
        <v>0.69924636243322047</v>
      </c>
      <c r="EG36">
        <v>0.70696522555173713</v>
      </c>
      <c r="EH36">
        <v>0.71394343089016998</v>
      </c>
      <c r="EI36">
        <v>0.71161724384256719</v>
      </c>
      <c r="EJ36">
        <v>0.70643825472137134</v>
      </c>
      <c r="EK36">
        <v>0.69498360601364362</v>
      </c>
      <c r="EL36">
        <v>0.68115636681794756</v>
      </c>
      <c r="EM36">
        <v>0.67470470593571374</v>
      </c>
      <c r="EN36">
        <v>0.66752129588991682</v>
      </c>
      <c r="EO36">
        <v>0.65113063543956229</v>
      </c>
      <c r="EP36">
        <v>0.64368652442633933</v>
      </c>
      <c r="EQ36">
        <v>0.64175975863849033</v>
      </c>
      <c r="ER36">
        <v>0.64311785846626479</v>
      </c>
      <c r="ES36">
        <v>0.65224440289349706</v>
      </c>
      <c r="ET36">
        <v>0.66713881319138113</v>
      </c>
      <c r="EU36">
        <v>0.66639594970404714</v>
      </c>
      <c r="EV36">
        <v>0.45257452363617906</v>
      </c>
      <c r="EW36">
        <v>0.44090262455997975</v>
      </c>
      <c r="EX36">
        <v>0.43370805095590109</v>
      </c>
      <c r="EY36">
        <v>0.4067667137577447</v>
      </c>
      <c r="EZ36">
        <v>0.39961018620234529</v>
      </c>
      <c r="FA36">
        <v>0.41686651447896433</v>
      </c>
      <c r="FB36">
        <v>0.44678392323126048</v>
      </c>
      <c r="FC36">
        <v>0.46237102957375936</v>
      </c>
      <c r="FD36">
        <v>0.4552121706758504</v>
      </c>
      <c r="FE36">
        <v>0.44267789493033971</v>
      </c>
      <c r="FF36">
        <v>0.54029687305512764</v>
      </c>
      <c r="FG36">
        <v>0.54543118745217489</v>
      </c>
      <c r="FH36">
        <v>0.54454911831580388</v>
      </c>
      <c r="FI36">
        <v>0.54601246411078963</v>
      </c>
      <c r="FJ36">
        <v>0.54883895119501924</v>
      </c>
      <c r="FK36">
        <v>0.55877425598681352</v>
      </c>
      <c r="FL36">
        <v>0.56925983472818575</v>
      </c>
      <c r="FM36">
        <v>0.56432686096790419</v>
      </c>
      <c r="FN36">
        <v>0.55228278020346544</v>
      </c>
      <c r="FO36">
        <v>0.538893190206436</v>
      </c>
      <c r="FQ36" t="s">
        <v>326</v>
      </c>
      <c r="FR36" t="s">
        <v>127</v>
      </c>
      <c r="FS36" t="s">
        <v>128</v>
      </c>
      <c r="FT36">
        <v>0.45783791084077657</v>
      </c>
    </row>
    <row r="37" spans="2:176" x14ac:dyDescent="0.45">
      <c r="B37" t="s">
        <v>327</v>
      </c>
      <c r="C37" t="s">
        <v>123</v>
      </c>
      <c r="D37">
        <v>0.21385589384712064</v>
      </c>
      <c r="E37">
        <v>0.2196567034024707</v>
      </c>
      <c r="F37">
        <v>0.22770210369886656</v>
      </c>
      <c r="G37">
        <v>0.24054262762002238</v>
      </c>
      <c r="H37">
        <v>0.23857573304903673</v>
      </c>
      <c r="I37">
        <v>0.24652242146107359</v>
      </c>
      <c r="J37">
        <v>0.24228686745141084</v>
      </c>
      <c r="K37">
        <v>0.24706532411071122</v>
      </c>
      <c r="L37">
        <v>0.23984756329910997</v>
      </c>
      <c r="M37">
        <v>0.22647639203351416</v>
      </c>
      <c r="N37">
        <v>0.26388136300224485</v>
      </c>
      <c r="O37">
        <v>0.26296214562524156</v>
      </c>
      <c r="P37">
        <v>0.25847085326023411</v>
      </c>
      <c r="Q37">
        <v>0.24903027964839522</v>
      </c>
      <c r="R37">
        <v>0.2546989672907336</v>
      </c>
      <c r="S37">
        <v>0.25442005112366839</v>
      </c>
      <c r="T37">
        <v>0.25220776585807164</v>
      </c>
      <c r="U37">
        <v>0.25077867159354872</v>
      </c>
      <c r="V37">
        <v>0.24913403341929979</v>
      </c>
      <c r="W37">
        <v>0.26423966396664678</v>
      </c>
      <c r="X37">
        <v>0.32953956165794368</v>
      </c>
      <c r="Y37">
        <v>0.3322271582621642</v>
      </c>
      <c r="Z37">
        <v>0.33933744119069487</v>
      </c>
      <c r="AA37">
        <v>0.35112804230117606</v>
      </c>
      <c r="AB37">
        <v>0.35284467329925207</v>
      </c>
      <c r="AC37">
        <v>0.33347222555481038</v>
      </c>
      <c r="AD37">
        <v>0.3112750880456166</v>
      </c>
      <c r="AE37">
        <v>0.29733671647000037</v>
      </c>
      <c r="AF37">
        <v>0.30174754592225705</v>
      </c>
      <c r="AG37">
        <v>0.3265765933944208</v>
      </c>
      <c r="AH37">
        <v>0.28623161579709722</v>
      </c>
      <c r="AI37">
        <v>0.29235833927761501</v>
      </c>
      <c r="AJ37">
        <v>0.30070062879189624</v>
      </c>
      <c r="AK37">
        <v>0.31030791680153297</v>
      </c>
      <c r="AL37">
        <v>0.30575782690272596</v>
      </c>
      <c r="AM37">
        <v>0.29082539479934527</v>
      </c>
      <c r="AN37">
        <v>0.28139450617146339</v>
      </c>
      <c r="AO37">
        <v>0.28033836069134704</v>
      </c>
      <c r="AP37">
        <v>0.27875928878371065</v>
      </c>
      <c r="AQ37">
        <v>0.28140708927706587</v>
      </c>
      <c r="EA37" t="s">
        <v>327</v>
      </c>
      <c r="EB37">
        <v>0.63971996100468476</v>
      </c>
      <c r="EC37">
        <v>0.62787926723443543</v>
      </c>
      <c r="ED37">
        <v>0.62731800427434536</v>
      </c>
      <c r="EE37">
        <v>0.61288789866019044</v>
      </c>
      <c r="EF37">
        <v>0.62026050412225697</v>
      </c>
      <c r="EG37">
        <v>0.61830022654719063</v>
      </c>
      <c r="EH37">
        <v>0.62158046650278209</v>
      </c>
      <c r="EI37">
        <v>0.63130716978776036</v>
      </c>
      <c r="EJ37">
        <v>0.63127343010806014</v>
      </c>
      <c r="EK37">
        <v>0.63521490240696943</v>
      </c>
      <c r="EL37">
        <v>0.57501063585275514</v>
      </c>
      <c r="EM37">
        <v>0.58302433594970182</v>
      </c>
      <c r="EN37">
        <v>0.59254900866747284</v>
      </c>
      <c r="EO37">
        <v>0.59474789934737815</v>
      </c>
      <c r="EP37">
        <v>0.57672035045788472</v>
      </c>
      <c r="EQ37">
        <v>0.57501023591338474</v>
      </c>
      <c r="ER37">
        <v>0.58086846892428834</v>
      </c>
      <c r="ES37">
        <v>0.57981688406542042</v>
      </c>
      <c r="ET37">
        <v>0.57707885785743052</v>
      </c>
      <c r="EU37">
        <v>0.55745349886336681</v>
      </c>
      <c r="EV37">
        <v>0.40205386979517976</v>
      </c>
      <c r="EW37">
        <v>0.36805810864835303</v>
      </c>
      <c r="EX37">
        <v>0.35834630992373223</v>
      </c>
      <c r="EY37">
        <v>0.34690714212713852</v>
      </c>
      <c r="EZ37">
        <v>0.34558140861508957</v>
      </c>
      <c r="FA37">
        <v>0.37923478442973979</v>
      </c>
      <c r="FB37">
        <v>0.40436931326301151</v>
      </c>
      <c r="FC37">
        <v>0.41997914627218508</v>
      </c>
      <c r="FD37">
        <v>0.41781087585994964</v>
      </c>
      <c r="FE37">
        <v>0.41062816072474129</v>
      </c>
      <c r="FF37">
        <v>0.51139334874098308</v>
      </c>
      <c r="FG37">
        <v>0.51365107690726619</v>
      </c>
      <c r="FH37">
        <v>0.51745975386362653</v>
      </c>
      <c r="FI37">
        <v>0.51736065841484358</v>
      </c>
      <c r="FJ37">
        <v>0.52381409199291307</v>
      </c>
      <c r="FK37">
        <v>0.53521886936869267</v>
      </c>
      <c r="FL37">
        <v>0.55090304290007064</v>
      </c>
      <c r="FM37">
        <v>0.56005474957674395</v>
      </c>
      <c r="FN37">
        <v>0.54271622801499741</v>
      </c>
      <c r="FO37">
        <v>0.5242692314181594</v>
      </c>
      <c r="FQ37" t="s">
        <v>328</v>
      </c>
      <c r="FR37" t="s">
        <v>127</v>
      </c>
      <c r="FS37" t="s">
        <v>128</v>
      </c>
      <c r="FT37">
        <v>0.55439225375366408</v>
      </c>
    </row>
    <row r="38" spans="2:176" x14ac:dyDescent="0.45">
      <c r="B38" t="s">
        <v>329</v>
      </c>
      <c r="C38" t="s">
        <v>123</v>
      </c>
      <c r="D38">
        <v>0.22297012600019758</v>
      </c>
      <c r="E38">
        <v>0.22274310002264422</v>
      </c>
      <c r="F38">
        <v>0.22347626251940481</v>
      </c>
      <c r="G38">
        <v>0.22610267578159887</v>
      </c>
      <c r="H38">
        <v>0.22965521951143089</v>
      </c>
      <c r="I38">
        <v>0.23639458146904918</v>
      </c>
      <c r="J38">
        <v>0.22899791037792158</v>
      </c>
      <c r="K38">
        <v>0.2236886491982015</v>
      </c>
      <c r="L38">
        <v>0.21231123266331578</v>
      </c>
      <c r="M38">
        <v>0.21071414746393344</v>
      </c>
      <c r="N38">
        <v>0.27213119156502985</v>
      </c>
      <c r="O38">
        <v>0.26584309612777501</v>
      </c>
      <c r="P38">
        <v>0.25700265359690694</v>
      </c>
      <c r="Q38">
        <v>0.26742727110380093</v>
      </c>
      <c r="R38">
        <v>0.28547343406408027</v>
      </c>
      <c r="S38">
        <v>0.28522959335197484</v>
      </c>
      <c r="T38">
        <v>0.27883950463512969</v>
      </c>
      <c r="U38">
        <v>0.27829065685921173</v>
      </c>
      <c r="V38">
        <v>0.2728055783000734</v>
      </c>
      <c r="W38">
        <v>0.2631088629351368</v>
      </c>
      <c r="X38">
        <v>0.33710001849261101</v>
      </c>
      <c r="Y38">
        <v>0.35656409591514804</v>
      </c>
      <c r="Z38">
        <v>0.3628952074197983</v>
      </c>
      <c r="AA38">
        <v>0.37905011568755581</v>
      </c>
      <c r="AB38">
        <v>0.3801173696711333</v>
      </c>
      <c r="AC38">
        <v>0.35070949494210674</v>
      </c>
      <c r="AD38">
        <v>0.31721240000495921</v>
      </c>
      <c r="AE38">
        <v>0.30373328450130732</v>
      </c>
      <c r="AF38">
        <v>0.29854667141562619</v>
      </c>
      <c r="AG38">
        <v>0.30326386190078153</v>
      </c>
      <c r="AH38">
        <v>0.25568722973718427</v>
      </c>
      <c r="AI38">
        <v>0.26347723492407049</v>
      </c>
      <c r="AJ38">
        <v>0.2690053297040163</v>
      </c>
      <c r="AK38">
        <v>0.26500719370003339</v>
      </c>
      <c r="AL38">
        <v>0.270697190529333</v>
      </c>
      <c r="AM38">
        <v>0.28123017182128618</v>
      </c>
      <c r="AN38">
        <v>0.28273522720372984</v>
      </c>
      <c r="AO38">
        <v>0.26210962829052925</v>
      </c>
      <c r="AP38">
        <v>0.25504800170581915</v>
      </c>
      <c r="AQ38">
        <v>0.25333080562774557</v>
      </c>
      <c r="EA38" t="s">
        <v>329</v>
      </c>
      <c r="EB38">
        <v>0.66762509931348857</v>
      </c>
      <c r="EC38">
        <v>0.65468935553470875</v>
      </c>
      <c r="ED38">
        <v>0.65504464324862322</v>
      </c>
      <c r="EE38">
        <v>0.64202344411854295</v>
      </c>
      <c r="EF38">
        <v>0.64148956899361054</v>
      </c>
      <c r="EG38">
        <v>0.6391378333895763</v>
      </c>
      <c r="EH38">
        <v>0.64220760086811757</v>
      </c>
      <c r="EI38">
        <v>0.66126075798779815</v>
      </c>
      <c r="EJ38">
        <v>0.6744373474901989</v>
      </c>
      <c r="EK38">
        <v>0.68012543941907888</v>
      </c>
      <c r="EL38">
        <v>0.57488163172467555</v>
      </c>
      <c r="EM38">
        <v>0.5879826082485039</v>
      </c>
      <c r="EN38">
        <v>0.60790445029831797</v>
      </c>
      <c r="EO38">
        <v>0.59846054262964854</v>
      </c>
      <c r="EP38">
        <v>0.56110983806281634</v>
      </c>
      <c r="EQ38">
        <v>0.54170312860678738</v>
      </c>
      <c r="ER38">
        <v>0.5364604085085195</v>
      </c>
      <c r="ES38">
        <v>0.53916629096308799</v>
      </c>
      <c r="ET38">
        <v>0.55375498566255832</v>
      </c>
      <c r="EU38">
        <v>0.57361643768445136</v>
      </c>
      <c r="EV38">
        <v>0.36447885964397314</v>
      </c>
      <c r="EW38">
        <v>0.33338723309804352</v>
      </c>
      <c r="EX38">
        <v>0.33094080699825895</v>
      </c>
      <c r="EY38">
        <v>0.31310933264661783</v>
      </c>
      <c r="EZ38">
        <v>0.32320799686502771</v>
      </c>
      <c r="FA38">
        <v>0.37432094413502393</v>
      </c>
      <c r="FB38">
        <v>0.4243584185122613</v>
      </c>
      <c r="FC38">
        <v>0.45180159419296967</v>
      </c>
      <c r="FD38">
        <v>0.43834866320404769</v>
      </c>
      <c r="FE38">
        <v>0.41619701349079247</v>
      </c>
      <c r="FF38">
        <v>0.54623166670938672</v>
      </c>
      <c r="FG38">
        <v>0.54758247281185468</v>
      </c>
      <c r="FH38">
        <v>0.5585262471989686</v>
      </c>
      <c r="FI38">
        <v>0.57143638412928788</v>
      </c>
      <c r="FJ38">
        <v>0.56575803138332237</v>
      </c>
      <c r="FK38">
        <v>0.55285092411977588</v>
      </c>
      <c r="FL38">
        <v>0.546850738937258</v>
      </c>
      <c r="FM38">
        <v>0.55151997182463175</v>
      </c>
      <c r="FN38">
        <v>0.55684631277061758</v>
      </c>
      <c r="FO38">
        <v>0.55846409398585606</v>
      </c>
      <c r="FQ38" t="s">
        <v>330</v>
      </c>
      <c r="FR38" t="s">
        <v>127</v>
      </c>
      <c r="FS38" t="s">
        <v>128</v>
      </c>
      <c r="FT38">
        <v>0.49293339830102639</v>
      </c>
    </row>
    <row r="39" spans="2:176" x14ac:dyDescent="0.45">
      <c r="B39" t="s">
        <v>331</v>
      </c>
      <c r="C39" t="s">
        <v>123</v>
      </c>
      <c r="D39">
        <v>0.21194370679920768</v>
      </c>
      <c r="E39">
        <v>0.21298471546404016</v>
      </c>
      <c r="F39">
        <v>0.21000777789397571</v>
      </c>
      <c r="G39">
        <v>0.21637535274455752</v>
      </c>
      <c r="H39">
        <v>0.21479516478829624</v>
      </c>
      <c r="I39">
        <v>0.21668203326499536</v>
      </c>
      <c r="J39">
        <v>0.21411643948841502</v>
      </c>
      <c r="K39">
        <v>0.21972608457691975</v>
      </c>
      <c r="L39">
        <v>0.21917867371560246</v>
      </c>
      <c r="M39">
        <v>0.21743115184439968</v>
      </c>
      <c r="N39">
        <v>0.2333665784696162</v>
      </c>
      <c r="O39">
        <v>0.22278116647491081</v>
      </c>
      <c r="P39">
        <v>0.22615604842723264</v>
      </c>
      <c r="Q39">
        <v>0.23492218423683292</v>
      </c>
      <c r="R39">
        <v>0.24731644283187632</v>
      </c>
      <c r="S39">
        <v>0.24539018133965085</v>
      </c>
      <c r="T39">
        <v>0.23663910097696725</v>
      </c>
      <c r="U39">
        <v>0.23352388694668216</v>
      </c>
      <c r="V39">
        <v>0.23679045347549324</v>
      </c>
      <c r="W39">
        <v>0.23826762765048481</v>
      </c>
      <c r="X39">
        <v>0.30177582268745407</v>
      </c>
      <c r="Y39">
        <v>0.30761733934238955</v>
      </c>
      <c r="Z39">
        <v>0.30945747966811943</v>
      </c>
      <c r="AA39">
        <v>0.32871512528181318</v>
      </c>
      <c r="AB39">
        <v>0.34403738078758805</v>
      </c>
      <c r="AC39">
        <v>0.32662307399588075</v>
      </c>
      <c r="AD39">
        <v>0.30299058778703003</v>
      </c>
      <c r="AE39">
        <v>0.28942413141318424</v>
      </c>
      <c r="AF39">
        <v>0.28151521829946302</v>
      </c>
      <c r="AG39">
        <v>0.29185541701975881</v>
      </c>
      <c r="AH39">
        <v>0.27086734110795879</v>
      </c>
      <c r="AI39">
        <v>0.2641545871710218</v>
      </c>
      <c r="AJ39">
        <v>0.26112575704696062</v>
      </c>
      <c r="AK39">
        <v>0.26775991693496154</v>
      </c>
      <c r="AL39">
        <v>0.27774025315297468</v>
      </c>
      <c r="AM39">
        <v>0.28312439991495653</v>
      </c>
      <c r="AN39">
        <v>0.2706669677326391</v>
      </c>
      <c r="AO39">
        <v>0.26119040629501145</v>
      </c>
      <c r="AP39">
        <v>0.26273994702162617</v>
      </c>
      <c r="AQ39">
        <v>0.26878673687266769</v>
      </c>
      <c r="EA39" t="s">
        <v>331</v>
      </c>
      <c r="EB39">
        <v>0.67060037513404247</v>
      </c>
      <c r="EC39">
        <v>0.6601216295771094</v>
      </c>
      <c r="ED39">
        <v>0.66175464792486249</v>
      </c>
      <c r="EE39">
        <v>0.65640893123720712</v>
      </c>
      <c r="EF39">
        <v>0.66658311776595613</v>
      </c>
      <c r="EG39">
        <v>0.67232986020088847</v>
      </c>
      <c r="EH39">
        <v>0.68182165215350932</v>
      </c>
      <c r="EI39">
        <v>0.68377060300429404</v>
      </c>
      <c r="EJ39">
        <v>0.6761629019125448</v>
      </c>
      <c r="EK39">
        <v>0.68324511739320126</v>
      </c>
      <c r="EL39">
        <v>0.63466728897897229</v>
      </c>
      <c r="EM39">
        <v>0.65093567815989517</v>
      </c>
      <c r="EN39">
        <v>0.65573956542349776</v>
      </c>
      <c r="EO39">
        <v>0.64033513430997246</v>
      </c>
      <c r="EP39">
        <v>0.61038766775425801</v>
      </c>
      <c r="EQ39">
        <v>0.59203824113577508</v>
      </c>
      <c r="ER39">
        <v>0.58783950944214225</v>
      </c>
      <c r="ES39">
        <v>0.58940935859066879</v>
      </c>
      <c r="ET39">
        <v>0.59946622570599817</v>
      </c>
      <c r="EU39">
        <v>0.60831272020891669</v>
      </c>
      <c r="EV39">
        <v>0.42846072638433147</v>
      </c>
      <c r="EW39">
        <v>0.398463909889888</v>
      </c>
      <c r="EX39">
        <v>0.39491791773729223</v>
      </c>
      <c r="EY39">
        <v>0.38153849806587298</v>
      </c>
      <c r="EZ39">
        <v>0.38088231518523052</v>
      </c>
      <c r="FA39">
        <v>0.41368087806467352</v>
      </c>
      <c r="FB39">
        <v>0.45329521638749071</v>
      </c>
      <c r="FC39">
        <v>0.47773591746218158</v>
      </c>
      <c r="FD39">
        <v>0.4820922197047115</v>
      </c>
      <c r="FE39">
        <v>0.46050493932181985</v>
      </c>
      <c r="FF39">
        <v>0.53739280021901215</v>
      </c>
      <c r="FG39">
        <v>0.54951225614659105</v>
      </c>
      <c r="FH39">
        <v>0.56057548053741757</v>
      </c>
      <c r="FI39">
        <v>0.56963683019338962</v>
      </c>
      <c r="FJ39">
        <v>0.56285224416096846</v>
      </c>
      <c r="FK39">
        <v>0.56501109257281201</v>
      </c>
      <c r="FL39">
        <v>0.57203261922081428</v>
      </c>
      <c r="FM39">
        <v>0.583036378715176</v>
      </c>
      <c r="FN39">
        <v>0.57098921484070242</v>
      </c>
      <c r="FO39">
        <v>0.54981207744386562</v>
      </c>
      <c r="FQ39" t="s">
        <v>332</v>
      </c>
      <c r="FR39" t="s">
        <v>127</v>
      </c>
      <c r="FS39" t="s">
        <v>128</v>
      </c>
      <c r="FT39">
        <v>0.56023835787051457</v>
      </c>
    </row>
    <row r="40" spans="2:176" x14ac:dyDescent="0.45">
      <c r="B40" t="s">
        <v>333</v>
      </c>
      <c r="C40" t="s">
        <v>123</v>
      </c>
      <c r="D40">
        <v>0.23075259416898675</v>
      </c>
      <c r="E40">
        <v>0.2409479752434931</v>
      </c>
      <c r="F40">
        <v>0.24676335487700085</v>
      </c>
      <c r="G40">
        <v>0.2661320213145662</v>
      </c>
      <c r="H40">
        <v>0.2697299331044723</v>
      </c>
      <c r="I40">
        <v>0.26905134694897825</v>
      </c>
      <c r="J40">
        <v>0.26809009886643975</v>
      </c>
      <c r="K40">
        <v>0.25844860479965159</v>
      </c>
      <c r="L40">
        <v>0.24662381040876494</v>
      </c>
      <c r="M40">
        <v>0.22999836760638287</v>
      </c>
      <c r="N40">
        <v>0.3537910749798539</v>
      </c>
      <c r="O40">
        <v>0.36849743578208854</v>
      </c>
      <c r="P40">
        <v>0.36564230610051085</v>
      </c>
      <c r="Q40">
        <v>0.35947095240721338</v>
      </c>
      <c r="R40">
        <v>0.34432574443822256</v>
      </c>
      <c r="S40">
        <v>0.33574338107794593</v>
      </c>
      <c r="T40">
        <v>0.33520882105045674</v>
      </c>
      <c r="U40">
        <v>0.34344260223535755</v>
      </c>
      <c r="V40">
        <v>0.33729223474805875</v>
      </c>
      <c r="W40">
        <v>0.331442841777499</v>
      </c>
      <c r="X40">
        <v>0.39529103227422308</v>
      </c>
      <c r="Y40">
        <v>0.38828623383629951</v>
      </c>
      <c r="Z40">
        <v>0.39774880114984845</v>
      </c>
      <c r="AA40">
        <v>0.40548298880879363</v>
      </c>
      <c r="AB40">
        <v>0.40298764662752401</v>
      </c>
      <c r="AC40">
        <v>0.40546633782614405</v>
      </c>
      <c r="AD40">
        <v>0.39665580041505721</v>
      </c>
      <c r="AE40">
        <v>0.38405934904362588</v>
      </c>
      <c r="AF40">
        <v>0.38638058834860922</v>
      </c>
      <c r="AG40">
        <v>0.39208062323156467</v>
      </c>
      <c r="AH40">
        <v>0.34541290608586667</v>
      </c>
      <c r="AI40">
        <v>0.32463294768629852</v>
      </c>
      <c r="AJ40">
        <v>0.31129923737755227</v>
      </c>
      <c r="AK40">
        <v>0.30556040129322298</v>
      </c>
      <c r="AL40">
        <v>0.30375662648315593</v>
      </c>
      <c r="AM40">
        <v>0.31104282667071842</v>
      </c>
      <c r="AN40">
        <v>0.32263305793594516</v>
      </c>
      <c r="AO40">
        <v>0.31627216007382358</v>
      </c>
      <c r="AP40">
        <v>0.32223993447462596</v>
      </c>
      <c r="AQ40">
        <v>0.33333603387533084</v>
      </c>
      <c r="EA40" t="s">
        <v>333</v>
      </c>
      <c r="EB40">
        <v>0.60782402319414908</v>
      </c>
      <c r="EC40">
        <v>0.59178771161850174</v>
      </c>
      <c r="ED40">
        <v>0.57876500304907585</v>
      </c>
      <c r="EE40">
        <v>0.56231905909761126</v>
      </c>
      <c r="EF40">
        <v>0.56145842676631841</v>
      </c>
      <c r="EG40">
        <v>0.58561417147842243</v>
      </c>
      <c r="EH40">
        <v>0.59269044198310716</v>
      </c>
      <c r="EI40">
        <v>0.59805831981546009</v>
      </c>
      <c r="EJ40">
        <v>0.61009052778600048</v>
      </c>
      <c r="EK40">
        <v>0.61533888386513491</v>
      </c>
      <c r="EL40">
        <v>0.40742860881913839</v>
      </c>
      <c r="EM40">
        <v>0.38827808130922575</v>
      </c>
      <c r="EN40">
        <v>0.39743474636534798</v>
      </c>
      <c r="EO40">
        <v>0.40828627315430077</v>
      </c>
      <c r="EP40">
        <v>0.42642021098264854</v>
      </c>
      <c r="EQ40">
        <v>0.44069339499085286</v>
      </c>
      <c r="ER40">
        <v>0.44936203957388243</v>
      </c>
      <c r="ES40">
        <v>0.45549679082926747</v>
      </c>
      <c r="ET40">
        <v>0.44859761918697966</v>
      </c>
      <c r="EU40">
        <v>0.43273392452990483</v>
      </c>
      <c r="EV40">
        <v>0.30316723247892197</v>
      </c>
      <c r="EW40">
        <v>0.30396327842957577</v>
      </c>
      <c r="EX40">
        <v>0.31503075686315762</v>
      </c>
      <c r="EY40">
        <v>0.32459019682329626</v>
      </c>
      <c r="EZ40">
        <v>0.34154447393177184</v>
      </c>
      <c r="FA40">
        <v>0.35495477593981506</v>
      </c>
      <c r="FB40">
        <v>0.35228240895324314</v>
      </c>
      <c r="FC40">
        <v>0.33638253887284925</v>
      </c>
      <c r="FD40">
        <v>0.30348579614154064</v>
      </c>
      <c r="FE40">
        <v>0.29734435030040102</v>
      </c>
      <c r="FF40">
        <v>0.44877845226513718</v>
      </c>
      <c r="FG40">
        <v>0.46404006563095174</v>
      </c>
      <c r="FH40">
        <v>0.478607758395594</v>
      </c>
      <c r="FI40">
        <v>0.4927064495506881</v>
      </c>
      <c r="FJ40">
        <v>0.50309651297101743</v>
      </c>
      <c r="FK40">
        <v>0.50655789087720648</v>
      </c>
      <c r="FL40">
        <v>0.50220199963501566</v>
      </c>
      <c r="FM40">
        <v>0.48916552164180088</v>
      </c>
      <c r="FN40">
        <v>0.47629360699401263</v>
      </c>
      <c r="FO40">
        <v>0.46129409909698516</v>
      </c>
      <c r="FQ40" t="s">
        <v>334</v>
      </c>
      <c r="FR40" t="s">
        <v>127</v>
      </c>
      <c r="FS40" t="s">
        <v>128</v>
      </c>
      <c r="FT40">
        <v>0.46707327675861482</v>
      </c>
    </row>
    <row r="41" spans="2:176" x14ac:dyDescent="0.45">
      <c r="B41" t="s">
        <v>335</v>
      </c>
      <c r="C41" t="s">
        <v>123</v>
      </c>
      <c r="D41">
        <v>0.29879209534315199</v>
      </c>
      <c r="E41">
        <v>0.29507540513004338</v>
      </c>
      <c r="F41">
        <v>0.28483185916403919</v>
      </c>
      <c r="G41">
        <v>0.29234887996479786</v>
      </c>
      <c r="H41">
        <v>0.30575471974442947</v>
      </c>
      <c r="I41">
        <v>0.31838526198038875</v>
      </c>
      <c r="J41">
        <v>0.32219824709850259</v>
      </c>
      <c r="K41">
        <v>0.31205209994037414</v>
      </c>
      <c r="L41">
        <v>0.30946352503195684</v>
      </c>
      <c r="M41">
        <v>0.30201292607313601</v>
      </c>
      <c r="N41">
        <v>0.37028001172319791</v>
      </c>
      <c r="O41">
        <v>0.38911592912178622</v>
      </c>
      <c r="P41">
        <v>0.40228727269578068</v>
      </c>
      <c r="Q41">
        <v>0.39344571677257828</v>
      </c>
      <c r="R41">
        <v>0.38127753347006621</v>
      </c>
      <c r="S41">
        <v>0.36583843873884947</v>
      </c>
      <c r="T41">
        <v>0.3468479621478483</v>
      </c>
      <c r="U41">
        <v>0.34039681560642537</v>
      </c>
      <c r="V41">
        <v>0.33795002340505653</v>
      </c>
      <c r="W41">
        <v>0.34857924430323417</v>
      </c>
      <c r="X41">
        <v>0.37871929214047695</v>
      </c>
      <c r="Y41">
        <v>0.38248859003950375</v>
      </c>
      <c r="Z41">
        <v>0.40138123687254673</v>
      </c>
      <c r="AA41">
        <v>0.40935748214658618</v>
      </c>
      <c r="AB41">
        <v>0.4125372393165202</v>
      </c>
      <c r="AC41">
        <v>0.40283727353118992</v>
      </c>
      <c r="AD41">
        <v>0.39085005685508195</v>
      </c>
      <c r="AE41">
        <v>0.38591032418200472</v>
      </c>
      <c r="AF41">
        <v>0.3784708162484271</v>
      </c>
      <c r="AG41">
        <v>0.37852098149408853</v>
      </c>
      <c r="AH41">
        <v>0.32448031858335191</v>
      </c>
      <c r="AI41">
        <v>0.32811438305506524</v>
      </c>
      <c r="AJ41">
        <v>0.32562951253421191</v>
      </c>
      <c r="AK41">
        <v>0.3200873472721209</v>
      </c>
      <c r="AL41">
        <v>0.31527350151584149</v>
      </c>
      <c r="AM41">
        <v>0.3062807365097166</v>
      </c>
      <c r="AN41">
        <v>0.31781388808502498</v>
      </c>
      <c r="AO41">
        <v>0.30186770638100457</v>
      </c>
      <c r="AP41">
        <v>0.30051864276840268</v>
      </c>
      <c r="AQ41">
        <v>0.30165153776113074</v>
      </c>
      <c r="EA41" t="s">
        <v>335</v>
      </c>
      <c r="EB41">
        <v>0.50061984819531047</v>
      </c>
      <c r="EC41">
        <v>0.4789220141125996</v>
      </c>
      <c r="ED41">
        <v>0.47766708486942283</v>
      </c>
      <c r="EE41">
        <v>0.46040107593213075</v>
      </c>
      <c r="EF41">
        <v>0.44970780952677891</v>
      </c>
      <c r="EG41">
        <v>0.45568880054852723</v>
      </c>
      <c r="EH41">
        <v>0.46104022340128681</v>
      </c>
      <c r="EI41">
        <v>0.4696692901075985</v>
      </c>
      <c r="EJ41">
        <v>0.49096173253963488</v>
      </c>
      <c r="EK41">
        <v>0.49818722954940986</v>
      </c>
      <c r="EL41">
        <v>0.32442272356658414</v>
      </c>
      <c r="EM41">
        <v>0.3047619235944426</v>
      </c>
      <c r="EN41">
        <v>0.31029426880620298</v>
      </c>
      <c r="EO41">
        <v>0.33939143301255603</v>
      </c>
      <c r="EP41">
        <v>0.36572634579966523</v>
      </c>
      <c r="EQ41">
        <v>0.3788579944685288</v>
      </c>
      <c r="ER41">
        <v>0.37910207312994693</v>
      </c>
      <c r="ES41">
        <v>0.36240614471609378</v>
      </c>
      <c r="ET41">
        <v>0.35790305092979086</v>
      </c>
      <c r="EU41">
        <v>0.34715119949372042</v>
      </c>
      <c r="EV41">
        <v>0.21427690488198317</v>
      </c>
      <c r="EW41">
        <v>0.21866577314783589</v>
      </c>
      <c r="EX41">
        <v>0.23442170174436941</v>
      </c>
      <c r="EY41">
        <v>0.25355068315196005</v>
      </c>
      <c r="EZ41">
        <v>0.27181409530381578</v>
      </c>
      <c r="FA41">
        <v>0.28007862304560616</v>
      </c>
      <c r="FB41">
        <v>0.27354315488909831</v>
      </c>
      <c r="FC41">
        <v>0.25825047676972746</v>
      </c>
      <c r="FD41">
        <v>0.2343959960533788</v>
      </c>
      <c r="FE41">
        <v>0.21429700845695604</v>
      </c>
      <c r="FF41">
        <v>0.38961107303427428</v>
      </c>
      <c r="FG41">
        <v>0.38544674922020356</v>
      </c>
      <c r="FH41">
        <v>0.38658826356816739</v>
      </c>
      <c r="FI41">
        <v>0.39987938936362133</v>
      </c>
      <c r="FJ41">
        <v>0.41940653507536696</v>
      </c>
      <c r="FK41">
        <v>0.42731373685818547</v>
      </c>
      <c r="FL41">
        <v>0.41858281256648444</v>
      </c>
      <c r="FM41">
        <v>0.40458441078436486</v>
      </c>
      <c r="FN41">
        <v>0.40536502403186425</v>
      </c>
      <c r="FO41">
        <v>0.39738375060243242</v>
      </c>
      <c r="FQ41" t="s">
        <v>336</v>
      </c>
      <c r="FR41" t="s">
        <v>127</v>
      </c>
      <c r="FS41" t="s">
        <v>128</v>
      </c>
      <c r="FT41">
        <v>0.54149056849214683</v>
      </c>
    </row>
    <row r="42" spans="2:176" x14ac:dyDescent="0.45">
      <c r="B42" t="s">
        <v>337</v>
      </c>
      <c r="C42" t="s">
        <v>123</v>
      </c>
      <c r="D42">
        <v>0.18574278766511124</v>
      </c>
      <c r="E42">
        <v>0.18723176482996717</v>
      </c>
      <c r="F42">
        <v>0.18486271316849828</v>
      </c>
      <c r="G42">
        <v>0.19170033297300909</v>
      </c>
      <c r="H42">
        <v>0.20473446558529634</v>
      </c>
      <c r="I42">
        <v>0.21827472419231778</v>
      </c>
      <c r="J42">
        <v>0.22094316144373569</v>
      </c>
      <c r="K42">
        <v>0.21360913243270893</v>
      </c>
      <c r="L42">
        <v>0.1906347984416974</v>
      </c>
      <c r="M42">
        <v>0.1888586782974021</v>
      </c>
      <c r="N42">
        <v>0.24897581333288599</v>
      </c>
      <c r="O42">
        <v>0.26367549256365058</v>
      </c>
      <c r="P42">
        <v>0.25057116347876057</v>
      </c>
      <c r="Q42">
        <v>0.24171506369466797</v>
      </c>
      <c r="R42">
        <v>0.24581054085190782</v>
      </c>
      <c r="S42">
        <v>0.25448214553236786</v>
      </c>
      <c r="T42">
        <v>0.26481397733690548</v>
      </c>
      <c r="U42">
        <v>0.26304013503588919</v>
      </c>
      <c r="V42">
        <v>0.2464440850819313</v>
      </c>
      <c r="W42">
        <v>0.23465631703799647</v>
      </c>
      <c r="X42">
        <v>0.34028465041687972</v>
      </c>
      <c r="Y42">
        <v>0.3663929912893924</v>
      </c>
      <c r="Z42">
        <v>0.39162584798837008</v>
      </c>
      <c r="AA42">
        <v>0.40755557928722447</v>
      </c>
      <c r="AB42">
        <v>0.39751842228279077</v>
      </c>
      <c r="AC42">
        <v>0.37598658430882448</v>
      </c>
      <c r="AD42">
        <v>0.34924253746008305</v>
      </c>
      <c r="AE42">
        <v>0.33156363481721268</v>
      </c>
      <c r="AF42">
        <v>0.32762345142130267</v>
      </c>
      <c r="AG42">
        <v>0.31604364379638877</v>
      </c>
      <c r="AH42">
        <v>0.23183350505385619</v>
      </c>
      <c r="AI42">
        <v>0.24575848663835709</v>
      </c>
      <c r="AJ42">
        <v>0.25147271807282273</v>
      </c>
      <c r="AK42">
        <v>0.24614916909233225</v>
      </c>
      <c r="AL42">
        <v>0.25046786236776003</v>
      </c>
      <c r="AM42">
        <v>0.25171674640491271</v>
      </c>
      <c r="AN42">
        <v>0.25046293665090863</v>
      </c>
      <c r="AO42">
        <v>0.23449233038610276</v>
      </c>
      <c r="AP42">
        <v>0.22500587069846073</v>
      </c>
      <c r="AQ42">
        <v>0.21339834966153062</v>
      </c>
      <c r="EA42" t="s">
        <v>337</v>
      </c>
      <c r="EB42">
        <v>0.69856131483412731</v>
      </c>
      <c r="EC42">
        <v>0.68215663262732484</v>
      </c>
      <c r="ED42">
        <v>0.68649125315420922</v>
      </c>
      <c r="EE42">
        <v>0.67481780069337705</v>
      </c>
      <c r="EF42">
        <v>0.66012660108083376</v>
      </c>
      <c r="EG42">
        <v>0.66071150496738784</v>
      </c>
      <c r="EH42">
        <v>0.66373770495326045</v>
      </c>
      <c r="EI42">
        <v>0.67182628287891222</v>
      </c>
      <c r="EJ42">
        <v>0.69799574555130239</v>
      </c>
      <c r="EK42">
        <v>0.70285036843028126</v>
      </c>
      <c r="EL42">
        <v>0.59531015921996089</v>
      </c>
      <c r="EM42">
        <v>0.5859409225442006</v>
      </c>
      <c r="EN42">
        <v>0.59819562100350754</v>
      </c>
      <c r="EO42">
        <v>0.59555624688219888</v>
      </c>
      <c r="EP42">
        <v>0.58019537331717519</v>
      </c>
      <c r="EQ42">
        <v>0.57146689782454785</v>
      </c>
      <c r="ER42">
        <v>0.56374933866342647</v>
      </c>
      <c r="ES42">
        <v>0.55874165715477053</v>
      </c>
      <c r="ET42">
        <v>0.57663872412438699</v>
      </c>
      <c r="EU42">
        <v>0.60016726627168115</v>
      </c>
      <c r="EV42">
        <v>0.33086733843993693</v>
      </c>
      <c r="EW42">
        <v>0.31884803158868602</v>
      </c>
      <c r="EX42">
        <v>0.32370693373672516</v>
      </c>
      <c r="EY42">
        <v>0.30884783611922101</v>
      </c>
      <c r="EZ42">
        <v>0.30473836677115113</v>
      </c>
      <c r="FA42">
        <v>0.32490494665452918</v>
      </c>
      <c r="FB42">
        <v>0.33874560741593696</v>
      </c>
      <c r="FC42">
        <v>0.34970018414521931</v>
      </c>
      <c r="FD42">
        <v>0.35187405103798969</v>
      </c>
      <c r="FE42">
        <v>0.34962882813767304</v>
      </c>
      <c r="FF42">
        <v>0.56885899783924465</v>
      </c>
      <c r="FG42">
        <v>0.56549610431429675</v>
      </c>
      <c r="FH42">
        <v>0.57322897051795874</v>
      </c>
      <c r="FI42">
        <v>0.57968910402934237</v>
      </c>
      <c r="FJ42">
        <v>0.57617847760094387</v>
      </c>
      <c r="FK42">
        <v>0.56596100551111039</v>
      </c>
      <c r="FL42">
        <v>0.56029537382269023</v>
      </c>
      <c r="FM42">
        <v>0.56235069996719023</v>
      </c>
      <c r="FN42">
        <v>0.58210476512606024</v>
      </c>
      <c r="FO42">
        <v>0.59445090757081853</v>
      </c>
      <c r="FQ42" t="s">
        <v>338</v>
      </c>
      <c r="FR42" t="s">
        <v>127</v>
      </c>
      <c r="FS42" t="s">
        <v>128</v>
      </c>
      <c r="FT42">
        <v>0.7018858939606597</v>
      </c>
    </row>
    <row r="43" spans="2:176" x14ac:dyDescent="0.45">
      <c r="B43" t="s">
        <v>339</v>
      </c>
      <c r="C43" t="s">
        <v>123</v>
      </c>
      <c r="D43">
        <v>0.1766862655092287</v>
      </c>
      <c r="E43">
        <v>0.18698661834769284</v>
      </c>
      <c r="F43">
        <v>0.18816097359262926</v>
      </c>
      <c r="G43">
        <v>0.19598090853959366</v>
      </c>
      <c r="H43">
        <v>0.20518537354139943</v>
      </c>
      <c r="I43">
        <v>0.21366769328909679</v>
      </c>
      <c r="J43">
        <v>0.21056228734001745</v>
      </c>
      <c r="K43">
        <v>0.20068522266231673</v>
      </c>
      <c r="L43">
        <v>0.18369937531839595</v>
      </c>
      <c r="M43">
        <v>0.18523409730135107</v>
      </c>
      <c r="N43">
        <v>0.25848090795055123</v>
      </c>
      <c r="O43">
        <v>0.26414865467010923</v>
      </c>
      <c r="P43">
        <v>0.25868177145710219</v>
      </c>
      <c r="Q43">
        <v>0.25449044379104546</v>
      </c>
      <c r="R43">
        <v>0.26437966378361555</v>
      </c>
      <c r="S43">
        <v>0.26594751175397119</v>
      </c>
      <c r="T43">
        <v>0.26429986058597715</v>
      </c>
      <c r="U43">
        <v>0.25481176442008335</v>
      </c>
      <c r="V43">
        <v>0.24337872779422401</v>
      </c>
      <c r="W43">
        <v>0.23593875053970845</v>
      </c>
      <c r="X43">
        <v>0.389822310959067</v>
      </c>
      <c r="Y43">
        <v>0.38996152536236156</v>
      </c>
      <c r="Z43">
        <v>0.39145948007960479</v>
      </c>
      <c r="AA43">
        <v>0.38973117289214509</v>
      </c>
      <c r="AB43">
        <v>0.39791198594793714</v>
      </c>
      <c r="AC43">
        <v>0.3989542246042363</v>
      </c>
      <c r="AD43">
        <v>0.39835232869998288</v>
      </c>
      <c r="AE43">
        <v>0.39224473249475345</v>
      </c>
      <c r="AF43">
        <v>0.38914037139723123</v>
      </c>
      <c r="AG43">
        <v>0.38563940172714939</v>
      </c>
      <c r="AH43">
        <v>0.25117956020494875</v>
      </c>
      <c r="AI43">
        <v>0.25210445792282332</v>
      </c>
      <c r="AJ43">
        <v>0.2576444737452982</v>
      </c>
      <c r="AK43">
        <v>0.25027402982506342</v>
      </c>
      <c r="AL43">
        <v>0.25802446778185445</v>
      </c>
      <c r="AM43">
        <v>0.25739776357134908</v>
      </c>
      <c r="AN43">
        <v>0.2501779818974863</v>
      </c>
      <c r="AO43">
        <v>0.24860439744660223</v>
      </c>
      <c r="AP43">
        <v>0.23491296516529397</v>
      </c>
      <c r="AQ43">
        <v>0.24087583763202916</v>
      </c>
      <c r="EA43" t="s">
        <v>339</v>
      </c>
      <c r="EB43">
        <v>0.71405337635390387</v>
      </c>
      <c r="EC43">
        <v>0.69916806522178465</v>
      </c>
      <c r="ED43">
        <v>0.69211161046855996</v>
      </c>
      <c r="EE43">
        <v>0.68488094882166706</v>
      </c>
      <c r="EF43">
        <v>0.68205335287022828</v>
      </c>
      <c r="EG43">
        <v>0.68335025941220984</v>
      </c>
      <c r="EH43">
        <v>0.68934589209464447</v>
      </c>
      <c r="EI43">
        <v>0.6954975030425925</v>
      </c>
      <c r="EJ43">
        <v>0.71326581442673009</v>
      </c>
      <c r="EK43">
        <v>0.70674604592483892</v>
      </c>
      <c r="EL43">
        <v>0.56670569503742763</v>
      </c>
      <c r="EM43">
        <v>0.55579547200618695</v>
      </c>
      <c r="EN43">
        <v>0.56306047905201284</v>
      </c>
      <c r="EO43">
        <v>0.56564268907442983</v>
      </c>
      <c r="EP43">
        <v>0.56425933623268021</v>
      </c>
      <c r="EQ43">
        <v>0.56811003553232331</v>
      </c>
      <c r="ER43">
        <v>0.57323647935450073</v>
      </c>
      <c r="ES43">
        <v>0.57618005498106806</v>
      </c>
      <c r="ET43">
        <v>0.58541593347304643</v>
      </c>
      <c r="EU43">
        <v>0.58648069229763955</v>
      </c>
      <c r="EV43">
        <v>0.32364359271795956</v>
      </c>
      <c r="EW43">
        <v>0.32400584408765182</v>
      </c>
      <c r="EX43">
        <v>0.33324259447680793</v>
      </c>
      <c r="EY43">
        <v>0.32828129031579367</v>
      </c>
      <c r="EZ43">
        <v>0.31953754333775936</v>
      </c>
      <c r="FA43">
        <v>0.32098934378394611</v>
      </c>
      <c r="FB43">
        <v>0.32743600537349221</v>
      </c>
      <c r="FC43">
        <v>0.32648025402275749</v>
      </c>
      <c r="FD43">
        <v>0.32714011176199204</v>
      </c>
      <c r="FE43">
        <v>0.32104099063678365</v>
      </c>
      <c r="FF43">
        <v>0.57105404850394537</v>
      </c>
      <c r="FG43">
        <v>0.57258136090315448</v>
      </c>
      <c r="FH43">
        <v>0.58248819323072187</v>
      </c>
      <c r="FI43">
        <v>0.59119596745139913</v>
      </c>
      <c r="FJ43">
        <v>0.58549998315905671</v>
      </c>
      <c r="FK43">
        <v>0.5772287401882028</v>
      </c>
      <c r="FL43">
        <v>0.57480671614332668</v>
      </c>
      <c r="FM43">
        <v>0.58497313096687664</v>
      </c>
      <c r="FN43">
        <v>0.58494645417376301</v>
      </c>
      <c r="FO43">
        <v>0.58041448399185502</v>
      </c>
      <c r="FQ43" t="s">
        <v>340</v>
      </c>
      <c r="FR43" t="s">
        <v>127</v>
      </c>
      <c r="FS43" t="s">
        <v>128</v>
      </c>
      <c r="FT43">
        <v>0.57809804800951092</v>
      </c>
    </row>
    <row r="44" spans="2:176" x14ac:dyDescent="0.45">
      <c r="B44" t="s">
        <v>341</v>
      </c>
      <c r="C44" t="s">
        <v>123</v>
      </c>
      <c r="D44">
        <v>0.14744777125282546</v>
      </c>
      <c r="E44">
        <v>0.15532191449257085</v>
      </c>
      <c r="F44">
        <v>0.1697228030114922</v>
      </c>
      <c r="G44">
        <v>0.17218710119767708</v>
      </c>
      <c r="H44">
        <v>0.17310692394586166</v>
      </c>
      <c r="I44">
        <v>0.17331176328582248</v>
      </c>
      <c r="J44">
        <v>0.16534457468638278</v>
      </c>
      <c r="K44">
        <v>0.15762328361895672</v>
      </c>
      <c r="L44">
        <v>0.14889562008287077</v>
      </c>
      <c r="M44">
        <v>0.15772405032468936</v>
      </c>
      <c r="N44">
        <v>0.25617420733787322</v>
      </c>
      <c r="O44">
        <v>0.25138450514781624</v>
      </c>
      <c r="P44">
        <v>0.24422707638438751</v>
      </c>
      <c r="Q44">
        <v>0.24253543361576496</v>
      </c>
      <c r="R44">
        <v>0.24658990909529105</v>
      </c>
      <c r="S44">
        <v>0.24182194992568265</v>
      </c>
      <c r="T44">
        <v>0.24386245373036503</v>
      </c>
      <c r="U44">
        <v>0.24631261602405452</v>
      </c>
      <c r="V44">
        <v>0.24243362296075419</v>
      </c>
      <c r="W44">
        <v>0.24719289678959772</v>
      </c>
      <c r="X44">
        <v>0.32516234138005379</v>
      </c>
      <c r="Y44">
        <v>0.31044469107638362</v>
      </c>
      <c r="Z44">
        <v>0.31455318747337152</v>
      </c>
      <c r="AA44">
        <v>0.33179101041263892</v>
      </c>
      <c r="AB44">
        <v>0.34134859238527121</v>
      </c>
      <c r="AC44">
        <v>0.34393043870136586</v>
      </c>
      <c r="AD44">
        <v>0.33599358775238991</v>
      </c>
      <c r="AE44">
        <v>0.31754137949327504</v>
      </c>
      <c r="AF44">
        <v>0.3264787296272742</v>
      </c>
      <c r="AG44">
        <v>0.34312395464694656</v>
      </c>
      <c r="AH44">
        <v>0.25970972396796188</v>
      </c>
      <c r="AI44">
        <v>0.25761821908323529</v>
      </c>
      <c r="AJ44">
        <v>0.25112400003541618</v>
      </c>
      <c r="AK44">
        <v>0.24770346174346836</v>
      </c>
      <c r="AL44">
        <v>0.2472025480000217</v>
      </c>
      <c r="AM44">
        <v>0.24814403628719611</v>
      </c>
      <c r="AN44">
        <v>0.24655040626993155</v>
      </c>
      <c r="AO44">
        <v>0.23907082003258681</v>
      </c>
      <c r="AP44">
        <v>0.23930268650308448</v>
      </c>
      <c r="AQ44">
        <v>0.24796284534476984</v>
      </c>
      <c r="EA44" t="s">
        <v>341</v>
      </c>
      <c r="EB44">
        <v>0.77533474743950115</v>
      </c>
      <c r="EC44">
        <v>0.7582018392351173</v>
      </c>
      <c r="ED44">
        <v>0.73345879034726458</v>
      </c>
      <c r="EE44">
        <v>0.74326653894493788</v>
      </c>
      <c r="EF44">
        <v>0.75018822980642252</v>
      </c>
      <c r="EG44">
        <v>0.75682337249266507</v>
      </c>
      <c r="EH44">
        <v>0.76696983437527722</v>
      </c>
      <c r="EI44">
        <v>0.77395298405155777</v>
      </c>
      <c r="EJ44">
        <v>0.78544379723122815</v>
      </c>
      <c r="EK44">
        <v>0.76994175583573066</v>
      </c>
      <c r="EL44">
        <v>0.60131129127241301</v>
      </c>
      <c r="EM44">
        <v>0.60279796435014954</v>
      </c>
      <c r="EN44">
        <v>0.61666038932564748</v>
      </c>
      <c r="EO44">
        <v>0.61720913471486816</v>
      </c>
      <c r="EP44">
        <v>0.61913974809275207</v>
      </c>
      <c r="EQ44">
        <v>0.62124221759807929</v>
      </c>
      <c r="ER44">
        <v>0.62742472438756136</v>
      </c>
      <c r="ES44">
        <v>0.6320469406127931</v>
      </c>
      <c r="ET44">
        <v>0.63212124301694073</v>
      </c>
      <c r="EU44">
        <v>0.61775428872173566</v>
      </c>
      <c r="EV44">
        <v>0.4493065527878855</v>
      </c>
      <c r="EW44">
        <v>0.45002107722716167</v>
      </c>
      <c r="EX44">
        <v>0.44552908048787826</v>
      </c>
      <c r="EY44">
        <v>0.43316148076064781</v>
      </c>
      <c r="EZ44">
        <v>0.43040657649987385</v>
      </c>
      <c r="FA44">
        <v>0.43047354823795819</v>
      </c>
      <c r="FB44">
        <v>0.4359453181548279</v>
      </c>
      <c r="FC44">
        <v>0.43551780841384868</v>
      </c>
      <c r="FD44">
        <v>0.43505218760437653</v>
      </c>
      <c r="FE44">
        <v>0.43765001809594806</v>
      </c>
      <c r="FF44">
        <v>0.62280122863882448</v>
      </c>
      <c r="FG44">
        <v>0.64295715475243997</v>
      </c>
      <c r="FH44">
        <v>0.65063777442073212</v>
      </c>
      <c r="FI44">
        <v>0.64910210492329867</v>
      </c>
      <c r="FJ44">
        <v>0.64783965059239756</v>
      </c>
      <c r="FK44">
        <v>0.64817421972999922</v>
      </c>
      <c r="FL44">
        <v>0.6496347112257681</v>
      </c>
      <c r="FM44">
        <v>0.6474712613290351</v>
      </c>
      <c r="FN44">
        <v>0.64108012568370454</v>
      </c>
      <c r="FO44">
        <v>0.6257455573996501</v>
      </c>
      <c r="FQ44" t="s">
        <v>342</v>
      </c>
      <c r="FR44" t="s">
        <v>127</v>
      </c>
      <c r="FS44" t="s">
        <v>128</v>
      </c>
      <c r="FT44">
        <v>0.53753377062273677</v>
      </c>
    </row>
    <row r="45" spans="2:176" x14ac:dyDescent="0.45">
      <c r="B45" t="s">
        <v>343</v>
      </c>
      <c r="C45" t="s">
        <v>123</v>
      </c>
      <c r="D45">
        <v>0.16324762719485661</v>
      </c>
      <c r="E45">
        <v>0.18852351963098513</v>
      </c>
      <c r="F45">
        <v>0.17714346649636051</v>
      </c>
      <c r="G45">
        <v>0.15681863153328832</v>
      </c>
      <c r="H45">
        <v>0.14656231060346275</v>
      </c>
      <c r="I45">
        <v>0.13938117144973461</v>
      </c>
      <c r="J45">
        <v>0.12009211352719867</v>
      </c>
      <c r="K45">
        <v>0.12550645872629521</v>
      </c>
      <c r="L45">
        <v>0.13802421406121254</v>
      </c>
      <c r="M45">
        <v>0.15043333972510986</v>
      </c>
      <c r="N45">
        <v>0.22670291846787216</v>
      </c>
      <c r="O45">
        <v>0.22473516881537178</v>
      </c>
      <c r="P45">
        <v>0.21747465302696711</v>
      </c>
      <c r="Q45">
        <v>0.21383880520875131</v>
      </c>
      <c r="R45">
        <v>0.21152987562145856</v>
      </c>
      <c r="S45">
        <v>0.21811927661515076</v>
      </c>
      <c r="T45">
        <v>0.22529257228894778</v>
      </c>
      <c r="U45">
        <v>0.22751477014123297</v>
      </c>
      <c r="V45">
        <v>0.22620071330686148</v>
      </c>
      <c r="W45">
        <v>0.22764477654888382</v>
      </c>
      <c r="X45">
        <v>0.25987087047604257</v>
      </c>
      <c r="Y45">
        <v>0.26205123510479583</v>
      </c>
      <c r="Z45">
        <v>0.27379684371054774</v>
      </c>
      <c r="AA45">
        <v>0.26398780170179392</v>
      </c>
      <c r="AB45">
        <v>0.25242949756174055</v>
      </c>
      <c r="AC45">
        <v>0.25102720005949553</v>
      </c>
      <c r="AD45">
        <v>0.25514020288354655</v>
      </c>
      <c r="AE45">
        <v>0.24703621844635629</v>
      </c>
      <c r="AF45">
        <v>0.25014455625547982</v>
      </c>
      <c r="AG45">
        <v>0.25422345203445529</v>
      </c>
      <c r="AH45">
        <v>0.24129979357785067</v>
      </c>
      <c r="AI45">
        <v>0.24949936869219932</v>
      </c>
      <c r="AJ45">
        <v>0.24940037728123612</v>
      </c>
      <c r="AK45">
        <v>0.26127197817784598</v>
      </c>
      <c r="AL45">
        <v>0.25955605004987664</v>
      </c>
      <c r="AM45">
        <v>0.24701439426314151</v>
      </c>
      <c r="AN45">
        <v>0.24162725075761118</v>
      </c>
      <c r="AO45">
        <v>0.25537646976226996</v>
      </c>
      <c r="AP45">
        <v>0.25462000391008122</v>
      </c>
      <c r="AQ45">
        <v>0.24968834306166349</v>
      </c>
      <c r="EA45" t="s">
        <v>343</v>
      </c>
      <c r="EB45">
        <v>0.76320709860844871</v>
      </c>
      <c r="EC45">
        <v>0.73344820339382566</v>
      </c>
      <c r="ED45">
        <v>0.74998477561568855</v>
      </c>
      <c r="EE45">
        <v>0.7768651178309508</v>
      </c>
      <c r="EF45">
        <v>0.78377289870280498</v>
      </c>
      <c r="EG45">
        <v>0.79352375852511581</v>
      </c>
      <c r="EH45">
        <v>0.81198288147266828</v>
      </c>
      <c r="EI45">
        <v>0.80256061880735674</v>
      </c>
      <c r="EJ45">
        <v>0.79160123362737556</v>
      </c>
      <c r="EK45">
        <v>0.77051613987069145</v>
      </c>
      <c r="EL45">
        <v>0.6558566079060969</v>
      </c>
      <c r="EM45">
        <v>0.65620467071613786</v>
      </c>
      <c r="EN45">
        <v>0.66788858475948321</v>
      </c>
      <c r="EO45">
        <v>0.66724279964360167</v>
      </c>
      <c r="EP45">
        <v>0.67590229277232794</v>
      </c>
      <c r="EQ45">
        <v>0.68051025772040519</v>
      </c>
      <c r="ER45">
        <v>0.66894062466147297</v>
      </c>
      <c r="ES45">
        <v>0.65217948380529056</v>
      </c>
      <c r="ET45">
        <v>0.64709933701621902</v>
      </c>
      <c r="EU45">
        <v>0.65200245242365829</v>
      </c>
      <c r="EV45">
        <v>0.5733034508255801</v>
      </c>
      <c r="EW45">
        <v>0.55664713828621304</v>
      </c>
      <c r="EX45">
        <v>0.55639894906873222</v>
      </c>
      <c r="EY45">
        <v>0.55869948253598001</v>
      </c>
      <c r="EZ45">
        <v>0.57409205548405884</v>
      </c>
      <c r="FA45">
        <v>0.59283552008933471</v>
      </c>
      <c r="FB45">
        <v>0.60031822880089813</v>
      </c>
      <c r="FC45">
        <v>0.59996764831369453</v>
      </c>
      <c r="FD45">
        <v>0.58828965162144242</v>
      </c>
      <c r="FE45">
        <v>0.57619130808642105</v>
      </c>
      <c r="FF45">
        <v>0.62345278444477636</v>
      </c>
      <c r="FG45">
        <v>0.60012516246380698</v>
      </c>
      <c r="FH45">
        <v>0.6096529488275485</v>
      </c>
      <c r="FI45">
        <v>0.6135349153606986</v>
      </c>
      <c r="FJ45">
        <v>0.62440403237235931</v>
      </c>
      <c r="FK45">
        <v>0.64047520266338709</v>
      </c>
      <c r="FL45">
        <v>0.63988082106173061</v>
      </c>
      <c r="FM45">
        <v>0.62623441023560444</v>
      </c>
      <c r="FN45">
        <v>0.62588690146072679</v>
      </c>
      <c r="FO45">
        <v>0.6283818462129962</v>
      </c>
      <c r="FQ45" t="s">
        <v>344</v>
      </c>
      <c r="FR45" t="s">
        <v>127</v>
      </c>
      <c r="FS45" t="s">
        <v>128</v>
      </c>
      <c r="FT45">
        <v>0.55052659646849322</v>
      </c>
    </row>
    <row r="46" spans="2:176" x14ac:dyDescent="0.45">
      <c r="B46" t="s">
        <v>345</v>
      </c>
      <c r="C46" t="s">
        <v>123</v>
      </c>
      <c r="D46">
        <v>0.15205422004511412</v>
      </c>
      <c r="E46">
        <v>0.15805936225346781</v>
      </c>
      <c r="F46">
        <v>0.17160140105650754</v>
      </c>
      <c r="G46">
        <v>0.17343164023387</v>
      </c>
      <c r="H46">
        <v>0.16423042719274561</v>
      </c>
      <c r="I46">
        <v>0.14612037769640329</v>
      </c>
      <c r="J46">
        <v>0.13482400361423807</v>
      </c>
      <c r="K46">
        <v>0.13991504747397984</v>
      </c>
      <c r="L46">
        <v>0.13719863220943943</v>
      </c>
      <c r="M46">
        <v>0.15030057781309786</v>
      </c>
      <c r="N46">
        <v>0.2537533356596483</v>
      </c>
      <c r="O46">
        <v>0.24641452983543599</v>
      </c>
      <c r="P46">
        <v>0.24396519482583709</v>
      </c>
      <c r="Q46">
        <v>0.243275562631703</v>
      </c>
      <c r="R46">
        <v>0.24864272869708978</v>
      </c>
      <c r="S46">
        <v>0.25033738136291234</v>
      </c>
      <c r="T46">
        <v>0.25930110009541946</v>
      </c>
      <c r="U46">
        <v>0.26146302422654533</v>
      </c>
      <c r="V46">
        <v>0.253396500460221</v>
      </c>
      <c r="W46">
        <v>0.25184540818932211</v>
      </c>
      <c r="X46">
        <v>0.27806896511350737</v>
      </c>
      <c r="Y46">
        <v>0.28328214713368932</v>
      </c>
      <c r="Z46">
        <v>0.29466272734876181</v>
      </c>
      <c r="AA46">
        <v>0.29504985950779122</v>
      </c>
      <c r="AB46">
        <v>0.29565511812051276</v>
      </c>
      <c r="AC46">
        <v>0.28775992916068005</v>
      </c>
      <c r="AD46">
        <v>0.27548841383722306</v>
      </c>
      <c r="AE46">
        <v>0.27549594449370313</v>
      </c>
      <c r="AF46">
        <v>0.28025135217740504</v>
      </c>
      <c r="AG46">
        <v>0.28302345367247739</v>
      </c>
      <c r="AH46">
        <v>0.2506716067635405</v>
      </c>
      <c r="AI46">
        <v>0.23113654043452012</v>
      </c>
      <c r="AJ46">
        <v>0.22926771686708172</v>
      </c>
      <c r="AK46">
        <v>0.23979467531111903</v>
      </c>
      <c r="AL46">
        <v>0.25055550918705288</v>
      </c>
      <c r="AM46">
        <v>0.24725576153068346</v>
      </c>
      <c r="AN46">
        <v>0.24355936153363936</v>
      </c>
      <c r="AO46">
        <v>0.24452714866826561</v>
      </c>
      <c r="AP46">
        <v>0.23861840238842955</v>
      </c>
      <c r="AQ46">
        <v>0.23860293948649633</v>
      </c>
      <c r="EA46" t="s">
        <v>345</v>
      </c>
      <c r="EB46">
        <v>0.77041106438568785</v>
      </c>
      <c r="EC46">
        <v>0.75961478324837961</v>
      </c>
      <c r="ED46">
        <v>0.74973593669270366</v>
      </c>
      <c r="EE46">
        <v>0.7525686687918095</v>
      </c>
      <c r="EF46">
        <v>0.76393744323161616</v>
      </c>
      <c r="EG46">
        <v>0.78651800080173428</v>
      </c>
      <c r="EH46">
        <v>0.78959744653677333</v>
      </c>
      <c r="EI46">
        <v>0.7893660468238578</v>
      </c>
      <c r="EJ46">
        <v>0.7981841859980926</v>
      </c>
      <c r="EK46">
        <v>0.77936204080139626</v>
      </c>
      <c r="EL46">
        <v>0.61547857247093429</v>
      </c>
      <c r="EM46">
        <v>0.62160880287419562</v>
      </c>
      <c r="EN46">
        <v>0.62748823263671205</v>
      </c>
      <c r="EO46">
        <v>0.63289701886446648</v>
      </c>
      <c r="EP46">
        <v>0.63783469454392805</v>
      </c>
      <c r="EQ46">
        <v>0.64215142217658616</v>
      </c>
      <c r="ER46">
        <v>0.636469210753702</v>
      </c>
      <c r="ES46">
        <v>0.62992303033352659</v>
      </c>
      <c r="ET46">
        <v>0.62473295225171965</v>
      </c>
      <c r="EU46">
        <v>0.61762856068155281</v>
      </c>
      <c r="EV46">
        <v>0.5203885449600042</v>
      </c>
      <c r="EW46">
        <v>0.5063661678106669</v>
      </c>
      <c r="EX46">
        <v>0.49673822775169246</v>
      </c>
      <c r="EY46">
        <v>0.48514481685867972</v>
      </c>
      <c r="EZ46">
        <v>0.49246736930126472</v>
      </c>
      <c r="FA46">
        <v>0.51040571144736313</v>
      </c>
      <c r="FB46">
        <v>0.51755538068807694</v>
      </c>
      <c r="FC46">
        <v>0.51574305712153412</v>
      </c>
      <c r="FD46">
        <v>0.50831493852522269</v>
      </c>
      <c r="FE46">
        <v>0.50726131190208323</v>
      </c>
      <c r="FF46">
        <v>0.63199352733965886</v>
      </c>
      <c r="FG46">
        <v>0.65087795188270026</v>
      </c>
      <c r="FH46">
        <v>0.64956468282392765</v>
      </c>
      <c r="FI46">
        <v>0.63692703277783869</v>
      </c>
      <c r="FJ46">
        <v>0.64228294296327693</v>
      </c>
      <c r="FK46">
        <v>0.65668107459063996</v>
      </c>
      <c r="FL46">
        <v>0.66371692139590532</v>
      </c>
      <c r="FM46">
        <v>0.65513732787432577</v>
      </c>
      <c r="FN46">
        <v>0.64732672738820562</v>
      </c>
      <c r="FO46">
        <v>0.6271108826259324</v>
      </c>
      <c r="FQ46" t="s">
        <v>346</v>
      </c>
      <c r="FR46" t="s">
        <v>127</v>
      </c>
      <c r="FS46" t="s">
        <v>128</v>
      </c>
      <c r="FT46">
        <v>0.5153092408421488</v>
      </c>
    </row>
    <row r="47" spans="2:176" x14ac:dyDescent="0.45">
      <c r="B47" t="s">
        <v>347</v>
      </c>
      <c r="C47" t="s">
        <v>123</v>
      </c>
      <c r="D47">
        <v>0.17328676051235348</v>
      </c>
      <c r="E47">
        <v>0.16750710139209943</v>
      </c>
      <c r="F47">
        <v>0.16169742439696086</v>
      </c>
      <c r="G47">
        <v>0.16118543131864838</v>
      </c>
      <c r="H47">
        <v>0.18146519209072695</v>
      </c>
      <c r="I47">
        <v>0.18882644501329093</v>
      </c>
      <c r="J47">
        <v>0.18298059175709916</v>
      </c>
      <c r="K47">
        <v>0.17628608928202952</v>
      </c>
      <c r="L47">
        <v>0.19041930855012107</v>
      </c>
      <c r="M47">
        <v>0.19201168085313161</v>
      </c>
      <c r="N47">
        <v>0.30162221147972906</v>
      </c>
      <c r="O47">
        <v>0.31677479420809446</v>
      </c>
      <c r="P47">
        <v>0.3169946357185835</v>
      </c>
      <c r="Q47">
        <v>0.29374942646963559</v>
      </c>
      <c r="R47">
        <v>0.27325220181879506</v>
      </c>
      <c r="S47">
        <v>0.26829116329394331</v>
      </c>
      <c r="T47">
        <v>0.28284465199532394</v>
      </c>
      <c r="U47">
        <v>0.29999031816518967</v>
      </c>
      <c r="V47">
        <v>0.30147649576229935</v>
      </c>
      <c r="W47">
        <v>0.3046037228122046</v>
      </c>
      <c r="X47">
        <v>0.30732598661164789</v>
      </c>
      <c r="Y47">
        <v>0.2992153629843447</v>
      </c>
      <c r="Z47">
        <v>0.31139901529423492</v>
      </c>
      <c r="AA47">
        <v>0.31912710147618933</v>
      </c>
      <c r="AB47">
        <v>0.3021026951483477</v>
      </c>
      <c r="AC47">
        <v>0.30584137678832712</v>
      </c>
      <c r="AD47">
        <v>0.3115616754519131</v>
      </c>
      <c r="AE47">
        <v>0.32513221337318643</v>
      </c>
      <c r="AF47">
        <v>0.32580067209218988</v>
      </c>
      <c r="AG47">
        <v>0.31975434031056793</v>
      </c>
      <c r="AH47">
        <v>0.24364520417436797</v>
      </c>
      <c r="AI47">
        <v>0.24558144129317117</v>
      </c>
      <c r="AJ47">
        <v>0.25832797455390799</v>
      </c>
      <c r="AK47">
        <v>0.27599084428589699</v>
      </c>
      <c r="AL47">
        <v>0.26493942507121881</v>
      </c>
      <c r="AM47">
        <v>0.2511400370500424</v>
      </c>
      <c r="AN47">
        <v>0.2526743895200807</v>
      </c>
      <c r="AO47">
        <v>0.25724747253127794</v>
      </c>
      <c r="AP47">
        <v>0.26328453288412962</v>
      </c>
      <c r="AQ47">
        <v>0.25283476262130722</v>
      </c>
      <c r="EA47" t="s">
        <v>347</v>
      </c>
      <c r="EB47">
        <v>0.75143378284199169</v>
      </c>
      <c r="EC47">
        <v>0.76574618665788674</v>
      </c>
      <c r="ED47">
        <v>0.77253762437051676</v>
      </c>
      <c r="EE47">
        <v>0.76275626156656462</v>
      </c>
      <c r="EF47">
        <v>0.74339985345938953</v>
      </c>
      <c r="EG47">
        <v>0.72811246625341508</v>
      </c>
      <c r="EH47">
        <v>0.74123355602946406</v>
      </c>
      <c r="EI47">
        <v>0.75434096495182401</v>
      </c>
      <c r="EJ47">
        <v>0.74593405904661869</v>
      </c>
      <c r="EK47">
        <v>0.73737225170943743</v>
      </c>
      <c r="EL47">
        <v>0.55025299821653206</v>
      </c>
      <c r="EM47">
        <v>0.54194117352939686</v>
      </c>
      <c r="EN47">
        <v>0.53681737799587015</v>
      </c>
      <c r="EO47">
        <v>0.54723009329656447</v>
      </c>
      <c r="EP47">
        <v>0.57753659865990215</v>
      </c>
      <c r="EQ47">
        <v>0.59039620664714931</v>
      </c>
      <c r="ER47">
        <v>0.59143372797402172</v>
      </c>
      <c r="ES47">
        <v>0.58774954713303418</v>
      </c>
      <c r="ET47">
        <v>0.58655360371875687</v>
      </c>
      <c r="EU47">
        <v>0.57448529546319937</v>
      </c>
      <c r="EV47">
        <v>0.51612102831137818</v>
      </c>
      <c r="EW47">
        <v>0.51546415744496998</v>
      </c>
      <c r="EX47">
        <v>0.50980780697009254</v>
      </c>
      <c r="EY47">
        <v>0.50499871414951325</v>
      </c>
      <c r="EZ47">
        <v>0.52091531095649179</v>
      </c>
      <c r="FA47">
        <v>0.52806956363979107</v>
      </c>
      <c r="FB47">
        <v>0.51984613934240798</v>
      </c>
      <c r="FC47">
        <v>0.5073306813652847</v>
      </c>
      <c r="FD47">
        <v>0.51420397408436114</v>
      </c>
      <c r="FE47">
        <v>0.51023173142237965</v>
      </c>
      <c r="FF47">
        <v>0.6292338751796992</v>
      </c>
      <c r="FG47">
        <v>0.60431745343196364</v>
      </c>
      <c r="FH47">
        <v>0.58331807582983308</v>
      </c>
      <c r="FI47">
        <v>0.57471382712201768</v>
      </c>
      <c r="FJ47">
        <v>0.59598911288977785</v>
      </c>
      <c r="FK47">
        <v>0.60577683027648999</v>
      </c>
      <c r="FL47">
        <v>0.61283974938784713</v>
      </c>
      <c r="FM47">
        <v>0.6268242939095009</v>
      </c>
      <c r="FN47">
        <v>0.6253970146213107</v>
      </c>
      <c r="FO47">
        <v>0.62921350630570316</v>
      </c>
      <c r="FQ47" t="s">
        <v>348</v>
      </c>
      <c r="FR47" t="s">
        <v>127</v>
      </c>
      <c r="FS47" t="s">
        <v>128</v>
      </c>
      <c r="FT47">
        <v>0.4205290285381128</v>
      </c>
    </row>
    <row r="48" spans="2:176" x14ac:dyDescent="0.45">
      <c r="B48" t="s">
        <v>349</v>
      </c>
      <c r="C48" t="s">
        <v>123</v>
      </c>
      <c r="D48">
        <v>0.14912272560740833</v>
      </c>
      <c r="E48">
        <v>0.16045316894100933</v>
      </c>
      <c r="F48">
        <v>0.16789732566104859</v>
      </c>
      <c r="G48">
        <v>0.17573351142415305</v>
      </c>
      <c r="H48">
        <v>0.17005175939624589</v>
      </c>
      <c r="I48">
        <v>0.15426034114185627</v>
      </c>
      <c r="J48">
        <v>0.15946742756310806</v>
      </c>
      <c r="K48">
        <v>0.17515813000723593</v>
      </c>
      <c r="L48">
        <v>0.17307938238747744</v>
      </c>
      <c r="M48">
        <v>0.1565546912613629</v>
      </c>
      <c r="N48">
        <v>0.28713706491040936</v>
      </c>
      <c r="O48">
        <v>0.29466373051248429</v>
      </c>
      <c r="P48">
        <v>0.28127997631933943</v>
      </c>
      <c r="Q48">
        <v>0.26604871912836564</v>
      </c>
      <c r="R48">
        <v>0.25970109013066006</v>
      </c>
      <c r="S48">
        <v>0.26245748687003223</v>
      </c>
      <c r="T48">
        <v>0.26195233106091109</v>
      </c>
      <c r="U48">
        <v>0.26810101425250504</v>
      </c>
      <c r="V48">
        <v>0.27596677544429465</v>
      </c>
      <c r="W48">
        <v>0.27301488140651875</v>
      </c>
      <c r="X48">
        <v>0.2944909742563212</v>
      </c>
      <c r="Y48">
        <v>0.28391130358934669</v>
      </c>
      <c r="Z48">
        <v>0.28744103424360035</v>
      </c>
      <c r="AA48">
        <v>0.29625676863673966</v>
      </c>
      <c r="AB48">
        <v>0.30415223533816305</v>
      </c>
      <c r="AC48">
        <v>0.30024020029142645</v>
      </c>
      <c r="AD48">
        <v>0.29933964389033102</v>
      </c>
      <c r="AE48">
        <v>0.2920848082712677</v>
      </c>
      <c r="AF48">
        <v>0.29133976393442701</v>
      </c>
      <c r="AG48">
        <v>0.30126548432378464</v>
      </c>
      <c r="AH48">
        <v>0.24365645563868496</v>
      </c>
      <c r="AI48">
        <v>0.26137964939230612</v>
      </c>
      <c r="AJ48">
        <v>0.25958202722244494</v>
      </c>
      <c r="AK48">
        <v>0.24873632482247346</v>
      </c>
      <c r="AL48">
        <v>0.2412224357243507</v>
      </c>
      <c r="AM48">
        <v>0.25662071532206093</v>
      </c>
      <c r="AN48">
        <v>0.26794090250721803</v>
      </c>
      <c r="AO48">
        <v>0.26699271254250767</v>
      </c>
      <c r="AP48">
        <v>0.26272915385206042</v>
      </c>
      <c r="AQ48">
        <v>0.24072097205039694</v>
      </c>
      <c r="EA48" t="s">
        <v>349</v>
      </c>
      <c r="EB48">
        <v>0.7799490407517915</v>
      </c>
      <c r="EC48">
        <v>0.76890049004605254</v>
      </c>
      <c r="ED48">
        <v>0.74841330788117344</v>
      </c>
      <c r="EE48">
        <v>0.73344470342557699</v>
      </c>
      <c r="EF48">
        <v>0.7374049437710245</v>
      </c>
      <c r="EG48">
        <v>0.75912264637564453</v>
      </c>
      <c r="EH48">
        <v>0.76230021421685212</v>
      </c>
      <c r="EI48">
        <v>0.74949513306574844</v>
      </c>
      <c r="EJ48">
        <v>0.75480336708709483</v>
      </c>
      <c r="EK48">
        <v>0.77218544389929378</v>
      </c>
      <c r="EL48">
        <v>0.57405114751073583</v>
      </c>
      <c r="EM48">
        <v>0.57575942775967881</v>
      </c>
      <c r="EN48">
        <v>0.57919507312004048</v>
      </c>
      <c r="EO48">
        <v>0.58444094072049535</v>
      </c>
      <c r="EP48">
        <v>0.59929374037484462</v>
      </c>
      <c r="EQ48">
        <v>0.60048582393289573</v>
      </c>
      <c r="ER48">
        <v>0.60037832792565204</v>
      </c>
      <c r="ES48">
        <v>0.59873918131986326</v>
      </c>
      <c r="ET48">
        <v>0.59474911754535909</v>
      </c>
      <c r="EU48">
        <v>0.58637751690307471</v>
      </c>
      <c r="EV48">
        <v>0.52635895771874042</v>
      </c>
      <c r="EW48">
        <v>0.5235313708133984</v>
      </c>
      <c r="EX48">
        <v>0.52512821365082507</v>
      </c>
      <c r="EY48">
        <v>0.52723833943221543</v>
      </c>
      <c r="EZ48">
        <v>0.52868902586698485</v>
      </c>
      <c r="FA48">
        <v>0.52886441221148739</v>
      </c>
      <c r="FB48">
        <v>0.52406587090710333</v>
      </c>
      <c r="FC48">
        <v>0.5206801765958613</v>
      </c>
      <c r="FD48">
        <v>0.52269875007488764</v>
      </c>
      <c r="FE48">
        <v>0.5221772452565755</v>
      </c>
      <c r="FF48">
        <v>0.61990099815727018</v>
      </c>
      <c r="FG48">
        <v>0.59194468492731589</v>
      </c>
      <c r="FH48">
        <v>0.58959459219455945</v>
      </c>
      <c r="FI48">
        <v>0.60201080922710171</v>
      </c>
      <c r="FJ48">
        <v>0.62562611260318823</v>
      </c>
      <c r="FK48">
        <v>0.61693965859171007</v>
      </c>
      <c r="FL48">
        <v>0.60971322650490456</v>
      </c>
      <c r="FM48">
        <v>0.60775394478701916</v>
      </c>
      <c r="FN48">
        <v>0.61154250905733742</v>
      </c>
      <c r="FO48">
        <v>0.62436429238554392</v>
      </c>
      <c r="FQ48" t="s">
        <v>350</v>
      </c>
      <c r="FR48" t="s">
        <v>127</v>
      </c>
      <c r="FS48" t="s">
        <v>128</v>
      </c>
      <c r="FT48">
        <v>0.46692338993638061</v>
      </c>
    </row>
    <row r="49" spans="2:176" x14ac:dyDescent="0.45">
      <c r="B49" t="s">
        <v>351</v>
      </c>
      <c r="C49" t="s">
        <v>123</v>
      </c>
      <c r="D49">
        <v>0.15294993563579229</v>
      </c>
      <c r="E49">
        <v>0.16489745547260537</v>
      </c>
      <c r="F49">
        <v>0.17225543658940173</v>
      </c>
      <c r="G49">
        <v>0.19225234829821247</v>
      </c>
      <c r="H49">
        <v>0.18762240502962199</v>
      </c>
      <c r="I49">
        <v>0.17661534997452868</v>
      </c>
      <c r="J49">
        <v>0.16570681276869856</v>
      </c>
      <c r="K49">
        <v>0.15626090055216002</v>
      </c>
      <c r="L49">
        <v>0.145889701036548</v>
      </c>
      <c r="M49">
        <v>0.13554133978864827</v>
      </c>
      <c r="N49">
        <v>0.29763377556891296</v>
      </c>
      <c r="O49">
        <v>0.29906257374814355</v>
      </c>
      <c r="P49">
        <v>0.29196967677338503</v>
      </c>
      <c r="Q49">
        <v>0.28714503673949932</v>
      </c>
      <c r="R49">
        <v>0.28652454650854225</v>
      </c>
      <c r="S49">
        <v>0.28458578291574993</v>
      </c>
      <c r="T49">
        <v>0.29215795288384094</v>
      </c>
      <c r="U49">
        <v>0.29903708970157694</v>
      </c>
      <c r="V49">
        <v>0.3021005452947067</v>
      </c>
      <c r="W49">
        <v>0.29275878842373482</v>
      </c>
      <c r="X49">
        <v>0.30642508110543409</v>
      </c>
      <c r="Y49">
        <v>0.30318117629656488</v>
      </c>
      <c r="Z49">
        <v>0.3113027838504584</v>
      </c>
      <c r="AA49">
        <v>0.32084083381668643</v>
      </c>
      <c r="AB49">
        <v>0.32147031783631763</v>
      </c>
      <c r="AC49">
        <v>0.32027235092085737</v>
      </c>
      <c r="AD49">
        <v>0.31137565699460218</v>
      </c>
      <c r="AE49">
        <v>0.29568178326863376</v>
      </c>
      <c r="AF49">
        <v>0.29927681042596721</v>
      </c>
      <c r="AG49">
        <v>0.30448525753563294</v>
      </c>
      <c r="AH49">
        <v>0.25346294565231559</v>
      </c>
      <c r="AI49">
        <v>0.24785525366346095</v>
      </c>
      <c r="AJ49">
        <v>0.24716638071970556</v>
      </c>
      <c r="AK49">
        <v>0.24339031891588975</v>
      </c>
      <c r="AL49">
        <v>0.25238973181468227</v>
      </c>
      <c r="AM49">
        <v>0.26853868678310261</v>
      </c>
      <c r="AN49">
        <v>0.26292747739123351</v>
      </c>
      <c r="AO49">
        <v>0.25693799299362796</v>
      </c>
      <c r="AP49">
        <v>0.24593073592933859</v>
      </c>
      <c r="AQ49">
        <v>0.25484212009123908</v>
      </c>
      <c r="EA49" t="s">
        <v>351</v>
      </c>
      <c r="EB49">
        <v>0.76182624169894775</v>
      </c>
      <c r="EC49">
        <v>0.75283358904715159</v>
      </c>
      <c r="ED49">
        <v>0.73551084447473081</v>
      </c>
      <c r="EE49">
        <v>0.71879438681398888</v>
      </c>
      <c r="EF49">
        <v>0.72488143951094419</v>
      </c>
      <c r="EG49">
        <v>0.73902568477478925</v>
      </c>
      <c r="EH49">
        <v>0.75098287577880818</v>
      </c>
      <c r="EI49">
        <v>0.7585165999390262</v>
      </c>
      <c r="EJ49">
        <v>0.77871390134823903</v>
      </c>
      <c r="EK49">
        <v>0.78698938836906185</v>
      </c>
      <c r="EL49">
        <v>0.56502846416540431</v>
      </c>
      <c r="EM49">
        <v>0.56279970943156588</v>
      </c>
      <c r="EN49">
        <v>0.57097937405958488</v>
      </c>
      <c r="EO49">
        <v>0.5755768584347668</v>
      </c>
      <c r="EP49">
        <v>0.57990646492874964</v>
      </c>
      <c r="EQ49">
        <v>0.58690983999232638</v>
      </c>
      <c r="ER49">
        <v>0.58363607098736425</v>
      </c>
      <c r="ES49">
        <v>0.58361204568773739</v>
      </c>
      <c r="ET49">
        <v>0.5865000179779577</v>
      </c>
      <c r="EU49">
        <v>0.57763412611006815</v>
      </c>
      <c r="EV49">
        <v>0.49846629926861186</v>
      </c>
      <c r="EW49">
        <v>0.494445952914495</v>
      </c>
      <c r="EX49">
        <v>0.4876603086075989</v>
      </c>
      <c r="EY49">
        <v>0.47975477962850993</v>
      </c>
      <c r="EZ49">
        <v>0.48402277486934803</v>
      </c>
      <c r="FA49">
        <v>0.491741492087722</v>
      </c>
      <c r="FB49">
        <v>0.49689078644430501</v>
      </c>
      <c r="FC49">
        <v>0.49554485162188344</v>
      </c>
      <c r="FD49">
        <v>0.48830214078486828</v>
      </c>
      <c r="FE49">
        <v>0.49018437694768596</v>
      </c>
      <c r="FF49">
        <v>0.61012608084851305</v>
      </c>
      <c r="FG49">
        <v>0.61775436408091866</v>
      </c>
      <c r="FH49">
        <v>0.61889761565914336</v>
      </c>
      <c r="FI49">
        <v>0.62045628258191277</v>
      </c>
      <c r="FJ49">
        <v>0.62291743664613375</v>
      </c>
      <c r="FK49">
        <v>0.61412873675693591</v>
      </c>
      <c r="FL49">
        <v>0.62586553748899498</v>
      </c>
      <c r="FM49">
        <v>0.6298208332058759</v>
      </c>
      <c r="FN49">
        <v>0.62914750542242703</v>
      </c>
      <c r="FO49">
        <v>0.61775936002430976</v>
      </c>
      <c r="FQ49" t="s">
        <v>352</v>
      </c>
      <c r="FR49" t="s">
        <v>127</v>
      </c>
      <c r="FS49" t="s">
        <v>128</v>
      </c>
      <c r="FT49">
        <v>0.65107810415639811</v>
      </c>
    </row>
    <row r="50" spans="2:176" x14ac:dyDescent="0.45">
      <c r="B50" t="s">
        <v>353</v>
      </c>
      <c r="C50" t="s">
        <v>123</v>
      </c>
      <c r="D50">
        <v>0.19290351741403694</v>
      </c>
      <c r="E50">
        <v>0.20138661047119133</v>
      </c>
      <c r="F50">
        <v>0.18727460665086135</v>
      </c>
      <c r="G50">
        <v>0.18457519094949587</v>
      </c>
      <c r="H50">
        <v>0.19914888923977195</v>
      </c>
      <c r="I50">
        <v>0.21103082693588238</v>
      </c>
      <c r="J50">
        <v>0.20063160738272121</v>
      </c>
      <c r="K50">
        <v>0.19041452474762063</v>
      </c>
      <c r="L50">
        <v>0.18386338650842626</v>
      </c>
      <c r="M50">
        <v>0.17839890330681821</v>
      </c>
      <c r="N50">
        <v>0.29944615025211868</v>
      </c>
      <c r="O50">
        <v>0.31436945962195062</v>
      </c>
      <c r="P50">
        <v>0.31592101370815329</v>
      </c>
      <c r="Q50">
        <v>0.31244444307154734</v>
      </c>
      <c r="R50">
        <v>0.3214815803440767</v>
      </c>
      <c r="S50">
        <v>0.31821866372685498</v>
      </c>
      <c r="T50">
        <v>0.2989891330981877</v>
      </c>
      <c r="U50">
        <v>0.28055557812956033</v>
      </c>
      <c r="V50">
        <v>0.26878907052447659</v>
      </c>
      <c r="W50">
        <v>0.28004812736962886</v>
      </c>
      <c r="X50">
        <v>0.29203135643948358</v>
      </c>
      <c r="Y50">
        <v>0.28838517298423982</v>
      </c>
      <c r="Z50">
        <v>0.3011507644423424</v>
      </c>
      <c r="AA50">
        <v>0.30762284972128479</v>
      </c>
      <c r="AB50">
        <v>0.3074096039452579</v>
      </c>
      <c r="AC50">
        <v>0.31427388974725046</v>
      </c>
      <c r="AD50">
        <v>0.31543657637712491</v>
      </c>
      <c r="AE50">
        <v>0.31309492310612624</v>
      </c>
      <c r="AF50">
        <v>0.30297266999695399</v>
      </c>
      <c r="AG50">
        <v>0.29891918165221959</v>
      </c>
      <c r="AH50">
        <v>0.22977355485091172</v>
      </c>
      <c r="AI50">
        <v>0.22500387926229129</v>
      </c>
      <c r="AJ50">
        <v>0.22972648788230143</v>
      </c>
      <c r="AK50">
        <v>0.23215103172680629</v>
      </c>
      <c r="AL50">
        <v>0.23177543518397881</v>
      </c>
      <c r="AM50">
        <v>0.24002066965899871</v>
      </c>
      <c r="AN50">
        <v>0.23758203190926688</v>
      </c>
      <c r="AO50">
        <v>0.24440337472733714</v>
      </c>
      <c r="AP50">
        <v>0.24483633488324749</v>
      </c>
      <c r="AQ50">
        <v>0.23348320607525697</v>
      </c>
      <c r="EA50" t="s">
        <v>353</v>
      </c>
      <c r="EB50">
        <v>0.71469405726753721</v>
      </c>
      <c r="EC50">
        <v>0.71090183238291094</v>
      </c>
      <c r="ED50">
        <v>0.71612314736284155</v>
      </c>
      <c r="EE50">
        <v>0.70531829019924719</v>
      </c>
      <c r="EF50">
        <v>0.68711840568384064</v>
      </c>
      <c r="EG50">
        <v>0.68221974544504871</v>
      </c>
      <c r="EH50">
        <v>0.6947865168494447</v>
      </c>
      <c r="EI50">
        <v>0.71174164526950001</v>
      </c>
      <c r="EJ50">
        <v>0.72243721854607401</v>
      </c>
      <c r="EK50">
        <v>0.73179846527412162</v>
      </c>
      <c r="EL50">
        <v>0.55068878968697899</v>
      </c>
      <c r="EM50">
        <v>0.52633928298373167</v>
      </c>
      <c r="EN50">
        <v>0.52393933044548413</v>
      </c>
      <c r="EO50">
        <v>0.52643382320458232</v>
      </c>
      <c r="EP50">
        <v>0.52685357614110528</v>
      </c>
      <c r="EQ50">
        <v>0.53966727831558625</v>
      </c>
      <c r="ER50">
        <v>0.56232207874198925</v>
      </c>
      <c r="ES50">
        <v>0.58464098694373745</v>
      </c>
      <c r="ET50">
        <v>0.59917353086911396</v>
      </c>
      <c r="EU50">
        <v>0.58639229775812107</v>
      </c>
      <c r="EV50">
        <v>0.49704608117321997</v>
      </c>
      <c r="EW50">
        <v>0.49723239697043553</v>
      </c>
      <c r="EX50">
        <v>0.49463059226417688</v>
      </c>
      <c r="EY50">
        <v>0.48552683491662785</v>
      </c>
      <c r="EZ50">
        <v>0.48663735231392952</v>
      </c>
      <c r="FA50">
        <v>0.48587115877164377</v>
      </c>
      <c r="FB50">
        <v>0.48643502495753038</v>
      </c>
      <c r="FC50">
        <v>0.48816192035046407</v>
      </c>
      <c r="FD50">
        <v>0.49488320953165338</v>
      </c>
      <c r="FE50">
        <v>0.49137392425063581</v>
      </c>
      <c r="FF50">
        <v>0.6397805438547387</v>
      </c>
      <c r="FG50">
        <v>0.62964508212437575</v>
      </c>
      <c r="FH50">
        <v>0.62163834295057341</v>
      </c>
      <c r="FI50">
        <v>0.61691656275734796</v>
      </c>
      <c r="FJ50">
        <v>0.62424410777961481</v>
      </c>
      <c r="FK50">
        <v>0.62551629017614585</v>
      </c>
      <c r="FL50">
        <v>0.62215378012649369</v>
      </c>
      <c r="FM50">
        <v>0.61969844926131279</v>
      </c>
      <c r="FN50">
        <v>0.62503770853981677</v>
      </c>
      <c r="FO50">
        <v>0.64441521728873263</v>
      </c>
      <c r="FQ50" t="s">
        <v>354</v>
      </c>
      <c r="FR50" t="s">
        <v>127</v>
      </c>
      <c r="FS50" t="s">
        <v>128</v>
      </c>
      <c r="FT50">
        <v>0.73793682325925669</v>
      </c>
    </row>
    <row r="51" spans="2:176" x14ac:dyDescent="0.45">
      <c r="B51" t="s">
        <v>355</v>
      </c>
      <c r="C51" t="s">
        <v>123</v>
      </c>
      <c r="D51">
        <v>0.19463522305468939</v>
      </c>
      <c r="E51">
        <v>0.19409562621157855</v>
      </c>
      <c r="F51">
        <v>0.18350948547308932</v>
      </c>
      <c r="G51">
        <v>0.16419351665146012</v>
      </c>
      <c r="H51">
        <v>0.17050426454894557</v>
      </c>
      <c r="I51">
        <v>0.19378091219878577</v>
      </c>
      <c r="J51">
        <v>0.20738781849429283</v>
      </c>
      <c r="K51">
        <v>0.1956570535313385</v>
      </c>
      <c r="L51">
        <v>0.18664016952439766</v>
      </c>
      <c r="M51">
        <v>0.19232490581326062</v>
      </c>
      <c r="N51">
        <v>0.30449850070141182</v>
      </c>
      <c r="O51">
        <v>0.31217535245280387</v>
      </c>
      <c r="P51">
        <v>0.3132377180739227</v>
      </c>
      <c r="Q51">
        <v>0.31137316767133327</v>
      </c>
      <c r="R51">
        <v>0.30012608097449772</v>
      </c>
      <c r="S51">
        <v>0.29000391927820912</v>
      </c>
      <c r="T51">
        <v>0.28997362470414939</v>
      </c>
      <c r="U51">
        <v>0.28079605955874409</v>
      </c>
      <c r="V51">
        <v>0.27443092949926656</v>
      </c>
      <c r="W51">
        <v>0.28140355362116404</v>
      </c>
      <c r="X51">
        <v>0.30738599305660413</v>
      </c>
      <c r="Y51">
        <v>0.30541737994887197</v>
      </c>
      <c r="Z51">
        <v>0.30597892224881801</v>
      </c>
      <c r="AA51">
        <v>0.31024650925438085</v>
      </c>
      <c r="AB51">
        <v>0.30473523107425537</v>
      </c>
      <c r="AC51">
        <v>0.29485676907419478</v>
      </c>
      <c r="AD51">
        <v>0.29483059092824165</v>
      </c>
      <c r="AE51">
        <v>0.30994193509953799</v>
      </c>
      <c r="AF51">
        <v>0.32010610515340382</v>
      </c>
      <c r="AG51">
        <v>0.32173896638931648</v>
      </c>
      <c r="AH51">
        <v>0.24899509744171436</v>
      </c>
      <c r="AI51">
        <v>0.24305646573215298</v>
      </c>
      <c r="AJ51">
        <v>0.24280748500907892</v>
      </c>
      <c r="AK51">
        <v>0.25262171161709379</v>
      </c>
      <c r="AL51">
        <v>0.25911840172190204</v>
      </c>
      <c r="AM51">
        <v>0.25611966203949943</v>
      </c>
      <c r="AN51">
        <v>0.25073307599582262</v>
      </c>
      <c r="AO51">
        <v>0.24485211812025842</v>
      </c>
      <c r="AP51">
        <v>0.24934382662581989</v>
      </c>
      <c r="AQ51">
        <v>0.25408839684319978</v>
      </c>
      <c r="EA51" t="s">
        <v>355</v>
      </c>
      <c r="EB51">
        <v>0.71538005896485579</v>
      </c>
      <c r="EC51">
        <v>0.71297635738218068</v>
      </c>
      <c r="ED51">
        <v>0.72864208076921433</v>
      </c>
      <c r="EE51">
        <v>0.74945303888912196</v>
      </c>
      <c r="EF51">
        <v>0.74147664788542111</v>
      </c>
      <c r="EG51">
        <v>0.70750379929596519</v>
      </c>
      <c r="EH51">
        <v>0.69328836008735095</v>
      </c>
      <c r="EI51">
        <v>0.71048129542270666</v>
      </c>
      <c r="EJ51">
        <v>0.7266184011724568</v>
      </c>
      <c r="EK51">
        <v>0.7246367587236261</v>
      </c>
      <c r="EL51">
        <v>0.55911693078217883</v>
      </c>
      <c r="EM51">
        <v>0.5398222171148872</v>
      </c>
      <c r="EN51">
        <v>0.53012603520307866</v>
      </c>
      <c r="EO51">
        <v>0.52773712791225846</v>
      </c>
      <c r="EP51">
        <v>0.53391289507362127</v>
      </c>
      <c r="EQ51">
        <v>0.55066793501459987</v>
      </c>
      <c r="ER51">
        <v>0.57404062753405238</v>
      </c>
      <c r="ES51">
        <v>0.59029243860052183</v>
      </c>
      <c r="ET51">
        <v>0.60000045849321093</v>
      </c>
      <c r="EU51">
        <v>0.58681401565655256</v>
      </c>
      <c r="EV51">
        <v>0.50187408104857323</v>
      </c>
      <c r="EW51">
        <v>0.4991075304900785</v>
      </c>
      <c r="EX51">
        <v>0.49048106687472248</v>
      </c>
      <c r="EY51">
        <v>0.4851429277730952</v>
      </c>
      <c r="EZ51">
        <v>0.49301345656476314</v>
      </c>
      <c r="FA51">
        <v>0.50166987809580499</v>
      </c>
      <c r="FB51">
        <v>0.50625173343270458</v>
      </c>
      <c r="FC51">
        <v>0.50307915507055356</v>
      </c>
      <c r="FD51">
        <v>0.50173252462316409</v>
      </c>
      <c r="FE51">
        <v>0.50184732222171757</v>
      </c>
      <c r="FF51">
        <v>0.63919411498469081</v>
      </c>
      <c r="FG51">
        <v>0.63746797168385272</v>
      </c>
      <c r="FH51">
        <v>0.6301695171724363</v>
      </c>
      <c r="FI51">
        <v>0.6133902479208303</v>
      </c>
      <c r="FJ51">
        <v>0.60051543670193641</v>
      </c>
      <c r="FK51">
        <v>0.60802085868241884</v>
      </c>
      <c r="FL51">
        <v>0.61216881575116366</v>
      </c>
      <c r="FM51">
        <v>0.62469574206944867</v>
      </c>
      <c r="FN51">
        <v>0.63712897101217947</v>
      </c>
      <c r="FO51">
        <v>0.63723238057479303</v>
      </c>
      <c r="FQ51" t="s">
        <v>356</v>
      </c>
      <c r="FR51" t="s">
        <v>127</v>
      </c>
      <c r="FS51" t="s">
        <v>128</v>
      </c>
      <c r="FT51">
        <v>0.68967471973009509</v>
      </c>
    </row>
    <row r="52" spans="2:176" x14ac:dyDescent="0.45">
      <c r="B52" t="s">
        <v>357</v>
      </c>
      <c r="C52" t="s">
        <v>123</v>
      </c>
      <c r="D52">
        <v>0.22293295680105801</v>
      </c>
      <c r="E52">
        <v>0.24108530446418103</v>
      </c>
      <c r="F52">
        <v>0.23591664950867147</v>
      </c>
      <c r="G52">
        <v>0.21863448537704308</v>
      </c>
      <c r="H52">
        <v>0.21301118379034606</v>
      </c>
      <c r="I52">
        <v>0.21788759682049619</v>
      </c>
      <c r="J52">
        <v>0.22707738591271368</v>
      </c>
      <c r="K52">
        <v>0.22837152428162313</v>
      </c>
      <c r="L52">
        <v>0.23296633830184821</v>
      </c>
      <c r="M52">
        <v>0.21706565876123263</v>
      </c>
      <c r="N52">
        <v>0.30508649279012645</v>
      </c>
      <c r="O52">
        <v>0.29018197320465844</v>
      </c>
      <c r="P52">
        <v>0.29636141039500963</v>
      </c>
      <c r="Q52">
        <v>0.30450168927962579</v>
      </c>
      <c r="R52">
        <v>0.30851478201079935</v>
      </c>
      <c r="S52">
        <v>0.30448588093180678</v>
      </c>
      <c r="T52">
        <v>0.30277696488313527</v>
      </c>
      <c r="U52">
        <v>0.30537507451305174</v>
      </c>
      <c r="V52">
        <v>0.29942505613642134</v>
      </c>
      <c r="W52">
        <v>0.29909790930009095</v>
      </c>
      <c r="X52">
        <v>0.33580040740965489</v>
      </c>
      <c r="Y52">
        <v>0.34400147674627418</v>
      </c>
      <c r="Z52">
        <v>0.34302916348901458</v>
      </c>
      <c r="AA52">
        <v>0.34437501005896498</v>
      </c>
      <c r="AB52">
        <v>0.34449514380433038</v>
      </c>
      <c r="AC52">
        <v>0.34593853854645895</v>
      </c>
      <c r="AD52">
        <v>0.35189852133217192</v>
      </c>
      <c r="AE52">
        <v>0.35964563640705433</v>
      </c>
      <c r="AF52">
        <v>0.35993512793008192</v>
      </c>
      <c r="AG52">
        <v>0.35180391003501732</v>
      </c>
      <c r="AH52">
        <v>0.2952746181423605</v>
      </c>
      <c r="AI52">
        <v>0.27596853158156076</v>
      </c>
      <c r="AJ52">
        <v>0.26291653493101746</v>
      </c>
      <c r="AK52">
        <v>0.25480521819500423</v>
      </c>
      <c r="AL52">
        <v>0.25734788167990957</v>
      </c>
      <c r="AM52">
        <v>0.27690662446905662</v>
      </c>
      <c r="AN52">
        <v>0.29820703789297287</v>
      </c>
      <c r="AO52">
        <v>0.29653165315141888</v>
      </c>
      <c r="AP52">
        <v>0.27741608207126778</v>
      </c>
      <c r="AQ52">
        <v>0.28437743769531393</v>
      </c>
      <c r="EA52" t="s">
        <v>357</v>
      </c>
      <c r="EB52">
        <v>0.67244081656759014</v>
      </c>
      <c r="EC52">
        <v>0.66534132738367879</v>
      </c>
      <c r="ED52">
        <v>0.66661519077918685</v>
      </c>
      <c r="EE52">
        <v>0.67909627969043962</v>
      </c>
      <c r="EF52">
        <v>0.6931664775062657</v>
      </c>
      <c r="EG52">
        <v>0.69543412898042178</v>
      </c>
      <c r="EH52">
        <v>0.67838477001740338</v>
      </c>
      <c r="EI52">
        <v>0.67533367408700151</v>
      </c>
      <c r="EJ52">
        <v>0.67913960280396357</v>
      </c>
      <c r="EK52">
        <v>0.68730021179806089</v>
      </c>
      <c r="EL52">
        <v>0.55922020107574966</v>
      </c>
      <c r="EM52">
        <v>0.5441866488535092</v>
      </c>
      <c r="EN52">
        <v>0.53863364556821436</v>
      </c>
      <c r="EO52">
        <v>0.53279076102051381</v>
      </c>
      <c r="EP52">
        <v>0.52973188858651521</v>
      </c>
      <c r="EQ52">
        <v>0.52416000784608974</v>
      </c>
      <c r="ER52">
        <v>0.52610867772902947</v>
      </c>
      <c r="ES52">
        <v>0.53851351308626816</v>
      </c>
      <c r="ET52">
        <v>0.5577677576543022</v>
      </c>
      <c r="EU52">
        <v>0.57093962775864981</v>
      </c>
      <c r="EV52">
        <v>0.45098870426303317</v>
      </c>
      <c r="EW52">
        <v>0.44547137721121211</v>
      </c>
      <c r="EX52">
        <v>0.45346682672864874</v>
      </c>
      <c r="EY52">
        <v>0.45899472126091373</v>
      </c>
      <c r="EZ52">
        <v>0.47285890324313368</v>
      </c>
      <c r="FA52">
        <v>0.48626471625604883</v>
      </c>
      <c r="FB52">
        <v>0.49320716007731014</v>
      </c>
      <c r="FC52">
        <v>0.4854126156913513</v>
      </c>
      <c r="FD52">
        <v>0.47302489252124269</v>
      </c>
      <c r="FE52">
        <v>0.46583746568114942</v>
      </c>
      <c r="FF52">
        <v>0.57073086069141465</v>
      </c>
      <c r="FG52">
        <v>0.57750458681938799</v>
      </c>
      <c r="FH52">
        <v>0.58420726768159825</v>
      </c>
      <c r="FI52">
        <v>0.59024570962918443</v>
      </c>
      <c r="FJ52">
        <v>0.59570804704532476</v>
      </c>
      <c r="FK52">
        <v>0.59304066932994293</v>
      </c>
      <c r="FL52">
        <v>0.5823957757858168</v>
      </c>
      <c r="FM52">
        <v>0.56804158952502104</v>
      </c>
      <c r="FN52">
        <v>0.57136979689963519</v>
      </c>
      <c r="FO52">
        <v>0.58150094742682346</v>
      </c>
      <c r="FQ52" t="s">
        <v>358</v>
      </c>
      <c r="FR52" t="s">
        <v>127</v>
      </c>
      <c r="FS52" t="s">
        <v>128</v>
      </c>
      <c r="FT52">
        <v>0.75933164579018853</v>
      </c>
    </row>
    <row r="53" spans="2:176" x14ac:dyDescent="0.45">
      <c r="B53" t="s">
        <v>359</v>
      </c>
      <c r="C53" t="s">
        <v>123</v>
      </c>
      <c r="D53">
        <v>0.2128865618420486</v>
      </c>
      <c r="E53">
        <v>0.23786589894588908</v>
      </c>
      <c r="F53">
        <v>0.21962320766397764</v>
      </c>
      <c r="G53">
        <v>0.20558299787319365</v>
      </c>
      <c r="H53">
        <v>0.19892632643687536</v>
      </c>
      <c r="I53">
        <v>0.19896447325276648</v>
      </c>
      <c r="J53">
        <v>0.21891955315574904</v>
      </c>
      <c r="K53">
        <v>0.23947830279963825</v>
      </c>
      <c r="L53">
        <v>0.22271295900793223</v>
      </c>
      <c r="M53">
        <v>0.18947559739352335</v>
      </c>
      <c r="N53">
        <v>0.30208593362421193</v>
      </c>
      <c r="O53">
        <v>0.30947625306799265</v>
      </c>
      <c r="P53">
        <v>0.30655320229352362</v>
      </c>
      <c r="Q53">
        <v>0.30769367665702591</v>
      </c>
      <c r="R53">
        <v>0.30517552745446386</v>
      </c>
      <c r="S53">
        <v>0.30330261602982694</v>
      </c>
      <c r="T53">
        <v>0.29519256099073959</v>
      </c>
      <c r="U53">
        <v>0.29181390655973849</v>
      </c>
      <c r="V53">
        <v>0.28337599293708393</v>
      </c>
      <c r="W53">
        <v>0.28527137891073778</v>
      </c>
      <c r="X53">
        <v>0.33744030835925698</v>
      </c>
      <c r="Y53">
        <v>0.34275176285086845</v>
      </c>
      <c r="Z53">
        <v>0.34059508750680978</v>
      </c>
      <c r="AA53">
        <v>0.34894856493077303</v>
      </c>
      <c r="AB53">
        <v>0.34046302970783587</v>
      </c>
      <c r="AC53">
        <v>0.32528212153332936</v>
      </c>
      <c r="AD53">
        <v>0.32289612472453277</v>
      </c>
      <c r="AE53">
        <v>0.32902539774337936</v>
      </c>
      <c r="AF53">
        <v>0.33572999267013182</v>
      </c>
      <c r="AG53">
        <v>0.33666185024112699</v>
      </c>
      <c r="AH53">
        <v>0.27917262761146561</v>
      </c>
      <c r="AI53">
        <v>0.25889296426055602</v>
      </c>
      <c r="AJ53">
        <v>0.24567275898522681</v>
      </c>
      <c r="AK53">
        <v>0.25089076075705585</v>
      </c>
      <c r="AL53">
        <v>0.25996634527724144</v>
      </c>
      <c r="AM53">
        <v>0.25992220077885725</v>
      </c>
      <c r="AN53">
        <v>0.27312933915657767</v>
      </c>
      <c r="AO53">
        <v>0.27039007156867462</v>
      </c>
      <c r="AP53">
        <v>0.25778014716692255</v>
      </c>
      <c r="AQ53">
        <v>0.2696978367224796</v>
      </c>
      <c r="EA53" t="s">
        <v>359</v>
      </c>
      <c r="EB53">
        <v>0.69638308871304688</v>
      </c>
      <c r="EC53">
        <v>0.67334176469189733</v>
      </c>
      <c r="ED53">
        <v>0.6717343362445567</v>
      </c>
      <c r="EE53">
        <v>0.68721785128127943</v>
      </c>
      <c r="EF53">
        <v>0.70864659443241651</v>
      </c>
      <c r="EG53">
        <v>0.70074604664534168</v>
      </c>
      <c r="EH53">
        <v>0.67858065874181028</v>
      </c>
      <c r="EI53">
        <v>0.67150078407652214</v>
      </c>
      <c r="EJ53">
        <v>0.68714542078394436</v>
      </c>
      <c r="EK53">
        <v>0.71368865759762257</v>
      </c>
      <c r="EL53">
        <v>0.55565085095191946</v>
      </c>
      <c r="EM53">
        <v>0.54166978243113606</v>
      </c>
      <c r="EN53">
        <v>0.53657606951742354</v>
      </c>
      <c r="EO53">
        <v>0.53453599012852782</v>
      </c>
      <c r="EP53">
        <v>0.53272764794168015</v>
      </c>
      <c r="EQ53">
        <v>0.53472828480159063</v>
      </c>
      <c r="ER53">
        <v>0.54289693519602256</v>
      </c>
      <c r="ES53">
        <v>0.56333375166229405</v>
      </c>
      <c r="ET53">
        <v>0.57943067479121668</v>
      </c>
      <c r="EU53">
        <v>0.56799327626785012</v>
      </c>
      <c r="EV53">
        <v>0.46498395670513309</v>
      </c>
      <c r="EW53">
        <v>0.46214271966948178</v>
      </c>
      <c r="EX53">
        <v>0.47023941722695406</v>
      </c>
      <c r="EY53">
        <v>0.46462514522505849</v>
      </c>
      <c r="EZ53">
        <v>0.46925077247822822</v>
      </c>
      <c r="FA53">
        <v>0.4791976278723194</v>
      </c>
      <c r="FB53">
        <v>0.47982971478027675</v>
      </c>
      <c r="FC53">
        <v>0.47814830272769937</v>
      </c>
      <c r="FD53">
        <v>0.47324238280175945</v>
      </c>
      <c r="FE53">
        <v>0.47471579232515154</v>
      </c>
      <c r="FF53">
        <v>0.60654074448043904</v>
      </c>
      <c r="FG53">
        <v>0.60935410670104628</v>
      </c>
      <c r="FH53">
        <v>0.6163845578198025</v>
      </c>
      <c r="FI53">
        <v>0.62295669863752123</v>
      </c>
      <c r="FJ53">
        <v>0.61411796565299759</v>
      </c>
      <c r="FK53">
        <v>0.61063443583543298</v>
      </c>
      <c r="FL53">
        <v>0.60031612024964998</v>
      </c>
      <c r="FM53">
        <v>0.59721806706249747</v>
      </c>
      <c r="FN53">
        <v>0.61642360094105719</v>
      </c>
      <c r="FO53">
        <v>0.61947691989748832</v>
      </c>
      <c r="FQ53" t="s">
        <v>317</v>
      </c>
      <c r="FR53" t="s">
        <v>127</v>
      </c>
      <c r="FS53" t="s">
        <v>128</v>
      </c>
      <c r="FT53">
        <v>0.61232344661859228</v>
      </c>
    </row>
    <row r="54" spans="2:176" x14ac:dyDescent="0.45">
      <c r="B54" t="s">
        <v>360</v>
      </c>
      <c r="C54" t="s">
        <v>123</v>
      </c>
      <c r="D54">
        <v>0.24295700541800841</v>
      </c>
      <c r="E54">
        <v>0.23710990533413875</v>
      </c>
      <c r="F54">
        <v>0.24358323087030007</v>
      </c>
      <c r="G54">
        <v>0.24503884336021292</v>
      </c>
      <c r="H54">
        <v>0.24987219097673069</v>
      </c>
      <c r="I54">
        <v>0.23615015433610126</v>
      </c>
      <c r="J54">
        <v>0.24576840548181161</v>
      </c>
      <c r="K54">
        <v>0.2574259413612659</v>
      </c>
      <c r="L54">
        <v>0.25990766127215142</v>
      </c>
      <c r="M54">
        <v>0.25761739278591067</v>
      </c>
      <c r="N54">
        <v>0.3245308913922228</v>
      </c>
      <c r="O54">
        <v>0.32378577287448468</v>
      </c>
      <c r="P54">
        <v>0.33606445462743417</v>
      </c>
      <c r="Q54">
        <v>0.34779975448878747</v>
      </c>
      <c r="R54">
        <v>0.34513569510103786</v>
      </c>
      <c r="S54">
        <v>0.34012921405973506</v>
      </c>
      <c r="T54">
        <v>0.33596494631999568</v>
      </c>
      <c r="U54">
        <v>0.32030395463489764</v>
      </c>
      <c r="V54">
        <v>0.30514684492463423</v>
      </c>
      <c r="W54">
        <v>0.31556641956275477</v>
      </c>
      <c r="X54">
        <v>0.34786018614410547</v>
      </c>
      <c r="Y54">
        <v>0.34226550765150704</v>
      </c>
      <c r="Z54">
        <v>0.33475624821276179</v>
      </c>
      <c r="AA54">
        <v>0.33582492556041027</v>
      </c>
      <c r="AB54">
        <v>0.34104356522307921</v>
      </c>
      <c r="AC54">
        <v>0.34225433153507462</v>
      </c>
      <c r="AD54">
        <v>0.33621920804827293</v>
      </c>
      <c r="AE54">
        <v>0.33109391885666384</v>
      </c>
      <c r="AF54">
        <v>0.3247182478361727</v>
      </c>
      <c r="AG54">
        <v>0.33434559205719488</v>
      </c>
      <c r="AH54">
        <v>0.27251550852448031</v>
      </c>
      <c r="AI54">
        <v>0.27541586579761118</v>
      </c>
      <c r="AJ54">
        <v>0.2682118469668347</v>
      </c>
      <c r="AK54">
        <v>0.25989155430619593</v>
      </c>
      <c r="AL54">
        <v>0.25276156700967484</v>
      </c>
      <c r="AM54">
        <v>0.25033677817263789</v>
      </c>
      <c r="AN54">
        <v>0.24936526545030191</v>
      </c>
      <c r="AO54">
        <v>0.25731741793979623</v>
      </c>
      <c r="AP54">
        <v>0.25137966344167917</v>
      </c>
      <c r="AQ54">
        <v>0.25272650482625009</v>
      </c>
      <c r="EA54" t="s">
        <v>360</v>
      </c>
      <c r="EB54">
        <v>0.65229837577774707</v>
      </c>
      <c r="EC54">
        <v>0.65614254426407981</v>
      </c>
      <c r="ED54">
        <v>0.64620779235517034</v>
      </c>
      <c r="EE54">
        <v>0.64118864540021336</v>
      </c>
      <c r="EF54">
        <v>0.64158526229985835</v>
      </c>
      <c r="EG54">
        <v>0.64723184190503291</v>
      </c>
      <c r="EH54">
        <v>0.64230967021688479</v>
      </c>
      <c r="EI54">
        <v>0.63153678865595608</v>
      </c>
      <c r="EJ54">
        <v>0.630955267732352</v>
      </c>
      <c r="EK54">
        <v>0.6313885052769872</v>
      </c>
      <c r="EL54">
        <v>0.53426931532010169</v>
      </c>
      <c r="EM54">
        <v>0.51754578799136208</v>
      </c>
      <c r="EN54">
        <v>0.50612227834022072</v>
      </c>
      <c r="EO54">
        <v>0.48900192224169675</v>
      </c>
      <c r="EP54">
        <v>0.47259161104476044</v>
      </c>
      <c r="EQ54">
        <v>0.46612235864705037</v>
      </c>
      <c r="ER54">
        <v>0.47413591225648866</v>
      </c>
      <c r="ES54">
        <v>0.49878978161103066</v>
      </c>
      <c r="ET54">
        <v>0.52721277727783378</v>
      </c>
      <c r="EU54">
        <v>0.53686006465887692</v>
      </c>
      <c r="EV54">
        <v>0.44242317957140898</v>
      </c>
      <c r="EW54">
        <v>0.44574379678038367</v>
      </c>
      <c r="EX54">
        <v>0.4646088244463783</v>
      </c>
      <c r="EY54">
        <v>0.47336218682337028</v>
      </c>
      <c r="EZ54">
        <v>0.48227123499327612</v>
      </c>
      <c r="FA54">
        <v>0.49128716577745296</v>
      </c>
      <c r="FB54">
        <v>0.48938594807364544</v>
      </c>
      <c r="FC54">
        <v>0.48058067138492866</v>
      </c>
      <c r="FD54">
        <v>0.47171436512111908</v>
      </c>
      <c r="FE54">
        <v>0.46456352710575255</v>
      </c>
      <c r="FF54">
        <v>0.59880454897854385</v>
      </c>
      <c r="FG54">
        <v>0.59352397283388181</v>
      </c>
      <c r="FH54">
        <v>0.58778577066377036</v>
      </c>
      <c r="FI54">
        <v>0.59002304407024131</v>
      </c>
      <c r="FJ54">
        <v>0.59595954408950758</v>
      </c>
      <c r="FK54">
        <v>0.60569811368562354</v>
      </c>
      <c r="FL54">
        <v>0.60370872826849931</v>
      </c>
      <c r="FM54">
        <v>0.59535709467270259</v>
      </c>
      <c r="FN54">
        <v>0.59405495076309622</v>
      </c>
      <c r="FO54">
        <v>0.59671219752298454</v>
      </c>
      <c r="FQ54" t="s">
        <v>319</v>
      </c>
      <c r="FR54" t="s">
        <v>127</v>
      </c>
      <c r="FS54" t="s">
        <v>128</v>
      </c>
      <c r="FT54">
        <v>0.62324380678771851</v>
      </c>
    </row>
    <row r="55" spans="2:176" x14ac:dyDescent="0.45">
      <c r="B55" t="s">
        <v>361</v>
      </c>
      <c r="C55" t="s">
        <v>123</v>
      </c>
      <c r="D55">
        <v>0.25964043904320028</v>
      </c>
      <c r="E55">
        <v>0.25201955849506202</v>
      </c>
      <c r="F55">
        <v>0.27202584543968505</v>
      </c>
      <c r="G55">
        <v>0.28443792563259074</v>
      </c>
      <c r="H55">
        <v>0.27783620863433084</v>
      </c>
      <c r="I55">
        <v>0.2592191240843309</v>
      </c>
      <c r="J55">
        <v>0.26162602883682129</v>
      </c>
      <c r="K55">
        <v>0.25902215796772848</v>
      </c>
      <c r="L55">
        <v>0.26584955774897417</v>
      </c>
      <c r="M55">
        <v>0.26655120752216754</v>
      </c>
      <c r="N55">
        <v>0.31630217418273754</v>
      </c>
      <c r="O55">
        <v>0.31239150767920559</v>
      </c>
      <c r="P55">
        <v>0.31393934267880869</v>
      </c>
      <c r="Q55">
        <v>0.32489930540102591</v>
      </c>
      <c r="R55">
        <v>0.33533479363683033</v>
      </c>
      <c r="S55">
        <v>0.32850792438644211</v>
      </c>
      <c r="T55">
        <v>0.32353908940660897</v>
      </c>
      <c r="U55">
        <v>0.32400092092230193</v>
      </c>
      <c r="V55">
        <v>0.31662685829292453</v>
      </c>
      <c r="W55">
        <v>0.3177639815571166</v>
      </c>
      <c r="X55">
        <v>0.33531251869370882</v>
      </c>
      <c r="Y55">
        <v>0.34177494408599901</v>
      </c>
      <c r="Z55">
        <v>0.34459930642298037</v>
      </c>
      <c r="AA55">
        <v>0.31353084727445019</v>
      </c>
      <c r="AB55">
        <v>0.30589027455558954</v>
      </c>
      <c r="AC55">
        <v>0.29911019927062854</v>
      </c>
      <c r="AD55">
        <v>0.29579108056268566</v>
      </c>
      <c r="AE55">
        <v>0.30878592892758505</v>
      </c>
      <c r="AF55">
        <v>0.31377770128496824</v>
      </c>
      <c r="AG55">
        <v>0.31925388070838551</v>
      </c>
      <c r="AH55">
        <v>0.2554888409837226</v>
      </c>
      <c r="AI55">
        <v>0.24082290752960889</v>
      </c>
      <c r="AJ55">
        <v>0.22716872683545389</v>
      </c>
      <c r="AK55">
        <v>0.22522217605972339</v>
      </c>
      <c r="AL55">
        <v>0.24728133881714962</v>
      </c>
      <c r="AM55">
        <v>0.2581862182770539</v>
      </c>
      <c r="AN55">
        <v>0.25929663188730023</v>
      </c>
      <c r="AO55">
        <v>0.25717712024267719</v>
      </c>
      <c r="AP55">
        <v>0.25343569229744639</v>
      </c>
      <c r="AQ55">
        <v>0.25960693617747316</v>
      </c>
      <c r="EA55" t="s">
        <v>361</v>
      </c>
      <c r="EB55">
        <v>0.64162913528580978</v>
      </c>
      <c r="EC55">
        <v>0.64839469308377196</v>
      </c>
      <c r="ED55">
        <v>0.61946942436988073</v>
      </c>
      <c r="EE55">
        <v>0.59903184027480672</v>
      </c>
      <c r="EF55">
        <v>0.60160091621265521</v>
      </c>
      <c r="EG55">
        <v>0.62071180408100901</v>
      </c>
      <c r="EH55">
        <v>0.61940700418145933</v>
      </c>
      <c r="EI55">
        <v>0.61529135902040955</v>
      </c>
      <c r="EJ55">
        <v>0.61405758012493372</v>
      </c>
      <c r="EK55">
        <v>0.6154977752889883</v>
      </c>
      <c r="EL55">
        <v>0.5156587276612602</v>
      </c>
      <c r="EM55">
        <v>0.51234584585874554</v>
      </c>
      <c r="EN55">
        <v>0.5026370593485131</v>
      </c>
      <c r="EO55">
        <v>0.48319407178917018</v>
      </c>
      <c r="EP55">
        <v>0.46261852663796632</v>
      </c>
      <c r="EQ55">
        <v>0.45693485367184378</v>
      </c>
      <c r="ER55">
        <v>0.46147094198757366</v>
      </c>
      <c r="ES55">
        <v>0.48026092697199252</v>
      </c>
      <c r="ET55">
        <v>0.50995878712655096</v>
      </c>
      <c r="EU55">
        <v>0.51698482058615891</v>
      </c>
      <c r="EV55">
        <v>0.42672170124336883</v>
      </c>
      <c r="EW55">
        <v>0.43675670528279903</v>
      </c>
      <c r="EX55">
        <v>0.45048158251315007</v>
      </c>
      <c r="EY55">
        <v>0.46545149839782812</v>
      </c>
      <c r="EZ55">
        <v>0.47700249974466802</v>
      </c>
      <c r="FA55">
        <v>0.48836875160081206</v>
      </c>
      <c r="FB55">
        <v>0.47980368710052695</v>
      </c>
      <c r="FC55">
        <v>0.45875478559490546</v>
      </c>
      <c r="FD55">
        <v>0.4403518418509178</v>
      </c>
      <c r="FE55">
        <v>0.43073260438676791</v>
      </c>
      <c r="FF55">
        <v>0.62156814535770522</v>
      </c>
      <c r="FG55">
        <v>0.62886665982720757</v>
      </c>
      <c r="FH55">
        <v>0.61049746628861401</v>
      </c>
      <c r="FI55">
        <v>0.60300492014168339</v>
      </c>
      <c r="FJ55">
        <v>0.598490474142236</v>
      </c>
      <c r="FK55">
        <v>0.61436955927718473</v>
      </c>
      <c r="FL55">
        <v>0.62189794568980195</v>
      </c>
      <c r="FM55">
        <v>0.6225925280915181</v>
      </c>
      <c r="FN55">
        <v>0.63161032637054371</v>
      </c>
      <c r="FO55">
        <v>0.61762630953418607</v>
      </c>
      <c r="FQ55" t="s">
        <v>321</v>
      </c>
      <c r="FR55" t="s">
        <v>127</v>
      </c>
      <c r="FS55" t="s">
        <v>128</v>
      </c>
      <c r="FT55">
        <v>0.58612800806785192</v>
      </c>
    </row>
    <row r="56" spans="2:176" x14ac:dyDescent="0.45">
      <c r="B56" t="s">
        <v>362</v>
      </c>
      <c r="C56" t="s">
        <v>123</v>
      </c>
      <c r="D56">
        <v>0.22108958851178107</v>
      </c>
      <c r="E56">
        <v>0.23371527484430157</v>
      </c>
      <c r="F56">
        <v>0.2435734135376289</v>
      </c>
      <c r="G56">
        <v>0.24760796240443558</v>
      </c>
      <c r="H56">
        <v>0.24641234439223542</v>
      </c>
      <c r="I56">
        <v>0.24208990755166193</v>
      </c>
      <c r="J56">
        <v>0.24679292262997882</v>
      </c>
      <c r="K56">
        <v>0.2595265674760921</v>
      </c>
      <c r="L56">
        <v>0.25488069207469494</v>
      </c>
      <c r="M56">
        <v>0.22336081184103049</v>
      </c>
      <c r="N56">
        <v>0.30211256146374854</v>
      </c>
      <c r="O56">
        <v>0.30857463568887311</v>
      </c>
      <c r="P56">
        <v>0.31547928914701351</v>
      </c>
      <c r="Q56">
        <v>0.32410509641145002</v>
      </c>
      <c r="R56">
        <v>0.31375768967092005</v>
      </c>
      <c r="S56">
        <v>0.30909083730156917</v>
      </c>
      <c r="T56">
        <v>0.30598788182467063</v>
      </c>
      <c r="U56">
        <v>0.29484080572894</v>
      </c>
      <c r="V56">
        <v>0.28251843549993327</v>
      </c>
      <c r="W56">
        <v>0.28245388665137566</v>
      </c>
      <c r="X56">
        <v>0.33774433362066958</v>
      </c>
      <c r="Y56">
        <v>0.34718047437705468</v>
      </c>
      <c r="Z56">
        <v>0.3348736128379784</v>
      </c>
      <c r="AA56">
        <v>0.32456703681936833</v>
      </c>
      <c r="AB56">
        <v>0.32810945586755424</v>
      </c>
      <c r="AC56">
        <v>0.31473834937624751</v>
      </c>
      <c r="AD56">
        <v>0.30912640191238</v>
      </c>
      <c r="AE56">
        <v>0.31294839738839403</v>
      </c>
      <c r="AF56">
        <v>0.31325569233706679</v>
      </c>
      <c r="AG56">
        <v>0.31758843450123347</v>
      </c>
      <c r="AH56">
        <v>0.25586789736823906</v>
      </c>
      <c r="AI56">
        <v>0.25005690711607925</v>
      </c>
      <c r="AJ56">
        <v>0.24784033552196008</v>
      </c>
      <c r="AK56">
        <v>0.25254558343438577</v>
      </c>
      <c r="AL56">
        <v>0.26438129636188279</v>
      </c>
      <c r="AM56">
        <v>0.24972631195625436</v>
      </c>
      <c r="AN56">
        <v>0.25442999467282967</v>
      </c>
      <c r="AO56">
        <v>0.25028842346955804</v>
      </c>
      <c r="AP56">
        <v>0.24419923315365036</v>
      </c>
      <c r="AQ56">
        <v>0.25359284923556652</v>
      </c>
      <c r="EA56" t="s">
        <v>362</v>
      </c>
      <c r="EB56">
        <v>0.68556445241566888</v>
      </c>
      <c r="EC56">
        <v>0.6615346929662288</v>
      </c>
      <c r="ED56">
        <v>0.65333150941892448</v>
      </c>
      <c r="EE56">
        <v>0.6447859856340199</v>
      </c>
      <c r="EF56">
        <v>0.6498375563713622</v>
      </c>
      <c r="EG56">
        <v>0.65732928802898805</v>
      </c>
      <c r="EH56">
        <v>0.64108330206514763</v>
      </c>
      <c r="EI56">
        <v>0.63278678099697083</v>
      </c>
      <c r="EJ56">
        <v>0.6471455997619816</v>
      </c>
      <c r="EK56">
        <v>0.67404756112686626</v>
      </c>
      <c r="EL56">
        <v>0.54140051580916615</v>
      </c>
      <c r="EM56">
        <v>0.54168161811428728</v>
      </c>
      <c r="EN56">
        <v>0.53625584937305892</v>
      </c>
      <c r="EO56">
        <v>0.52077756859911273</v>
      </c>
      <c r="EP56">
        <v>0.51189637210210004</v>
      </c>
      <c r="EQ56">
        <v>0.51535747382359298</v>
      </c>
      <c r="ER56">
        <v>0.51725917134538602</v>
      </c>
      <c r="ES56">
        <v>0.52691002139231746</v>
      </c>
      <c r="ET56">
        <v>0.55256342750075693</v>
      </c>
      <c r="EU56">
        <v>0.5490476346756249</v>
      </c>
      <c r="EV56">
        <v>0.43885837978352393</v>
      </c>
      <c r="EW56">
        <v>0.44646760628025856</v>
      </c>
      <c r="EX56">
        <v>0.46402583305503381</v>
      </c>
      <c r="EY56">
        <v>0.47758788470221097</v>
      </c>
      <c r="EZ56">
        <v>0.48160280546694367</v>
      </c>
      <c r="FA56">
        <v>0.4847086621022374</v>
      </c>
      <c r="FB56">
        <v>0.46777843670624003</v>
      </c>
      <c r="FC56">
        <v>0.44561558064485324</v>
      </c>
      <c r="FD56">
        <v>0.42858500969837598</v>
      </c>
      <c r="FE56">
        <v>0.42820373439312259</v>
      </c>
      <c r="FF56">
        <v>0.63216616359204991</v>
      </c>
      <c r="FG56">
        <v>0.617505586504976</v>
      </c>
      <c r="FH56">
        <v>0.60690751885920546</v>
      </c>
      <c r="FI56">
        <v>0.606966286415488</v>
      </c>
      <c r="FJ56">
        <v>0.60328254614037291</v>
      </c>
      <c r="FK56">
        <v>0.62055261832767039</v>
      </c>
      <c r="FL56">
        <v>0.61920447140211432</v>
      </c>
      <c r="FM56">
        <v>0.61335862142502062</v>
      </c>
      <c r="FN56">
        <v>0.62756546947809033</v>
      </c>
      <c r="FO56">
        <v>0.62696627725341691</v>
      </c>
      <c r="FQ56" t="s">
        <v>323</v>
      </c>
      <c r="FR56" t="s">
        <v>127</v>
      </c>
      <c r="FS56" t="s">
        <v>128</v>
      </c>
      <c r="FT56">
        <v>0.67243621631782435</v>
      </c>
    </row>
    <row r="57" spans="2:176" x14ac:dyDescent="0.45">
      <c r="B57" t="s">
        <v>363</v>
      </c>
      <c r="C57" t="s">
        <v>123</v>
      </c>
      <c r="D57">
        <v>0.23479915858087425</v>
      </c>
      <c r="E57">
        <v>0.23521996423244837</v>
      </c>
      <c r="F57">
        <v>0.23862467186280542</v>
      </c>
      <c r="G57">
        <v>0.23864161023201128</v>
      </c>
      <c r="H57">
        <v>0.24829743385937283</v>
      </c>
      <c r="I57">
        <v>0.25463239637446511</v>
      </c>
      <c r="J57">
        <v>0.25079941996038296</v>
      </c>
      <c r="K57">
        <v>0.22937231964240334</v>
      </c>
      <c r="L57">
        <v>0.21169573849612877</v>
      </c>
      <c r="M57">
        <v>0.2222523428205293</v>
      </c>
      <c r="N57">
        <v>0.25912197755024835</v>
      </c>
      <c r="O57">
        <v>0.24491888966094194</v>
      </c>
      <c r="P57">
        <v>0.24903976646884018</v>
      </c>
      <c r="Q57">
        <v>0.26180791697243694</v>
      </c>
      <c r="R57">
        <v>0.27196740383680768</v>
      </c>
      <c r="S57">
        <v>0.2641457903326902</v>
      </c>
      <c r="T57">
        <v>0.25288647178662099</v>
      </c>
      <c r="U57">
        <v>0.23881380008153932</v>
      </c>
      <c r="V57">
        <v>0.23920529091091008</v>
      </c>
      <c r="W57">
        <v>0.25240562611385758</v>
      </c>
      <c r="X57">
        <v>0.34670586703662182</v>
      </c>
      <c r="Y57">
        <v>0.34428702014858953</v>
      </c>
      <c r="Z57">
        <v>0.33812632293565287</v>
      </c>
      <c r="AA57">
        <v>0.34755893906038754</v>
      </c>
      <c r="AB57">
        <v>0.36704900676622965</v>
      </c>
      <c r="AC57">
        <v>0.35488484441957546</v>
      </c>
      <c r="AD57">
        <v>0.35388467012410602</v>
      </c>
      <c r="AE57">
        <v>0.34541099243223283</v>
      </c>
      <c r="AF57">
        <v>0.33453030287051194</v>
      </c>
      <c r="AG57">
        <v>0.330114899029538</v>
      </c>
      <c r="AH57">
        <v>0.23638629629002644</v>
      </c>
      <c r="AI57">
        <v>0.25064027311926118</v>
      </c>
      <c r="AJ57">
        <v>0.24416657240263312</v>
      </c>
      <c r="AK57">
        <v>0.23683895078571113</v>
      </c>
      <c r="AL57">
        <v>0.23506365730750811</v>
      </c>
      <c r="AM57">
        <v>0.23696891361549358</v>
      </c>
      <c r="AN57">
        <v>0.2426356430189783</v>
      </c>
      <c r="AO57">
        <v>0.24967970705902112</v>
      </c>
      <c r="AP57">
        <v>0.25086648822845092</v>
      </c>
      <c r="AQ57">
        <v>0.24546697349973776</v>
      </c>
      <c r="EA57" t="s">
        <v>363</v>
      </c>
      <c r="EB57">
        <v>0.65327479294002821</v>
      </c>
      <c r="EC57">
        <v>0.65606338424914212</v>
      </c>
      <c r="ED57">
        <v>0.64692339381900577</v>
      </c>
      <c r="EE57">
        <v>0.64374939523320418</v>
      </c>
      <c r="EF57">
        <v>0.64010839151633092</v>
      </c>
      <c r="EG57">
        <v>0.63457012480962083</v>
      </c>
      <c r="EH57">
        <v>0.63371773902793349</v>
      </c>
      <c r="EI57">
        <v>0.65456124239404556</v>
      </c>
      <c r="EJ57">
        <v>0.67584723491422549</v>
      </c>
      <c r="EK57">
        <v>0.6739902779425283</v>
      </c>
      <c r="EL57">
        <v>0.5729724701304999</v>
      </c>
      <c r="EM57">
        <v>0.58553282963719344</v>
      </c>
      <c r="EN57">
        <v>0.59651579202757721</v>
      </c>
      <c r="EO57">
        <v>0.578247572471148</v>
      </c>
      <c r="EP57">
        <v>0.56334425923981879</v>
      </c>
      <c r="EQ57">
        <v>0.56911171311406539</v>
      </c>
      <c r="ER57">
        <v>0.58253735452046318</v>
      </c>
      <c r="ES57">
        <v>0.59397585227491467</v>
      </c>
      <c r="ET57">
        <v>0.59603368490748221</v>
      </c>
      <c r="EU57">
        <v>0.58264696201188293</v>
      </c>
      <c r="EV57">
        <v>0.39538179541833529</v>
      </c>
      <c r="EW57">
        <v>0.38186807848169185</v>
      </c>
      <c r="EX57">
        <v>0.37080669004348382</v>
      </c>
      <c r="EY57">
        <v>0.3433905012270177</v>
      </c>
      <c r="EZ57">
        <v>0.31713492636360857</v>
      </c>
      <c r="FA57">
        <v>0.32057056006390977</v>
      </c>
      <c r="FB57">
        <v>0.33089387537031401</v>
      </c>
      <c r="FC57">
        <v>0.33823990866044029</v>
      </c>
      <c r="FD57">
        <v>0.34923267009586229</v>
      </c>
      <c r="FE57">
        <v>0.37122057663197172</v>
      </c>
      <c r="FF57">
        <v>0.62829027130082649</v>
      </c>
      <c r="FG57">
        <v>0.61624153765101419</v>
      </c>
      <c r="FH57">
        <v>0.62394597819410147</v>
      </c>
      <c r="FI57">
        <v>0.61978202286417727</v>
      </c>
      <c r="FJ57">
        <v>0.60922922242688093</v>
      </c>
      <c r="FK57">
        <v>0.61681184069148243</v>
      </c>
      <c r="FL57">
        <v>0.6263405385578269</v>
      </c>
      <c r="FM57">
        <v>0.62609812268708731</v>
      </c>
      <c r="FN57">
        <v>0.62361503199345814</v>
      </c>
      <c r="FO57">
        <v>0.61792728607118741</v>
      </c>
      <c r="FQ57" t="s">
        <v>325</v>
      </c>
      <c r="FR57" t="s">
        <v>127</v>
      </c>
      <c r="FS57" t="s">
        <v>128</v>
      </c>
      <c r="FT57">
        <v>0.69370002702586731</v>
      </c>
    </row>
    <row r="58" spans="2:176" x14ac:dyDescent="0.45">
      <c r="B58" t="s">
        <v>364</v>
      </c>
      <c r="C58" t="s">
        <v>123</v>
      </c>
      <c r="D58">
        <v>0.23126442386970009</v>
      </c>
      <c r="E58">
        <v>0.22621969825302218</v>
      </c>
      <c r="F58">
        <v>0.2264854592671165</v>
      </c>
      <c r="G58">
        <v>0.22753804483946366</v>
      </c>
      <c r="H58">
        <v>0.23451695984948659</v>
      </c>
      <c r="I58">
        <v>0.23989513277926375</v>
      </c>
      <c r="J58">
        <v>0.23015308371997872</v>
      </c>
      <c r="K58">
        <v>0.2152683763262235</v>
      </c>
      <c r="L58">
        <v>0.20535973735584939</v>
      </c>
      <c r="M58">
        <v>0.21685878868190792</v>
      </c>
      <c r="N58">
        <v>0.25391674920397245</v>
      </c>
      <c r="O58">
        <v>0.24868047166964091</v>
      </c>
      <c r="P58">
        <v>0.2496739408226992</v>
      </c>
      <c r="Q58">
        <v>0.26715835970908569</v>
      </c>
      <c r="R58">
        <v>0.27316451204141196</v>
      </c>
      <c r="S58">
        <v>0.26724322925293881</v>
      </c>
      <c r="T58">
        <v>0.27201611352412342</v>
      </c>
      <c r="U58">
        <v>0.27600773641860421</v>
      </c>
      <c r="V58">
        <v>0.27425068022130317</v>
      </c>
      <c r="W58">
        <v>0.25229144808246634</v>
      </c>
      <c r="X58">
        <v>0.37625625952377589</v>
      </c>
      <c r="Y58">
        <v>0.37173498087947965</v>
      </c>
      <c r="Z58">
        <v>0.37150397345329128</v>
      </c>
      <c r="AA58">
        <v>0.40439733321139054</v>
      </c>
      <c r="AB58">
        <v>0.44670067370063898</v>
      </c>
      <c r="AC58">
        <v>0.45793325144783292</v>
      </c>
      <c r="AD58">
        <v>0.41751610204566858</v>
      </c>
      <c r="AE58">
        <v>0.38534212281996238</v>
      </c>
      <c r="AF58">
        <v>0.36607516651249322</v>
      </c>
      <c r="AG58">
        <v>0.36399608854330096</v>
      </c>
      <c r="AH58">
        <v>0.20346712122813523</v>
      </c>
      <c r="AI58">
        <v>0.22748996249613321</v>
      </c>
      <c r="AJ58">
        <v>0.23789590511566641</v>
      </c>
      <c r="AK58">
        <v>0.23352727070463949</v>
      </c>
      <c r="AL58">
        <v>0.2381261855944744</v>
      </c>
      <c r="AM58">
        <v>0.23864806888775722</v>
      </c>
      <c r="AN58">
        <v>0.23185115351055208</v>
      </c>
      <c r="AO58">
        <v>0.21572214942036799</v>
      </c>
      <c r="AP58">
        <v>0.20894371861780225</v>
      </c>
      <c r="AQ58">
        <v>0.20101200550499901</v>
      </c>
      <c r="EA58" t="s">
        <v>364</v>
      </c>
      <c r="EB58">
        <v>0.6592354020211546</v>
      </c>
      <c r="EC58">
        <v>0.65274181758777239</v>
      </c>
      <c r="ED58">
        <v>0.64354592910845454</v>
      </c>
      <c r="EE58">
        <v>0.64792689150016969</v>
      </c>
      <c r="EF58">
        <v>0.65272782820725295</v>
      </c>
      <c r="EG58">
        <v>0.64178200693567067</v>
      </c>
      <c r="EH58">
        <v>0.64021235014951272</v>
      </c>
      <c r="EI58">
        <v>0.66114301192444036</v>
      </c>
      <c r="EJ58">
        <v>0.68075323821009481</v>
      </c>
      <c r="EK58">
        <v>0.67793362907579324</v>
      </c>
      <c r="EL58">
        <v>0.5551539901654613</v>
      </c>
      <c r="EM58">
        <v>0.57168046843418407</v>
      </c>
      <c r="EN58">
        <v>0.58351984047955963</v>
      </c>
      <c r="EO58">
        <v>0.57327110207469822</v>
      </c>
      <c r="EP58">
        <v>0.55594613454177721</v>
      </c>
      <c r="EQ58">
        <v>0.5430691326110505</v>
      </c>
      <c r="ER58">
        <v>0.5404890261514651</v>
      </c>
      <c r="ES58">
        <v>0.53921930797178264</v>
      </c>
      <c r="ET58">
        <v>0.54321183652267158</v>
      </c>
      <c r="EU58">
        <v>0.55173649028351535</v>
      </c>
      <c r="EV58">
        <v>0.30671663247680792</v>
      </c>
      <c r="EW58">
        <v>0.28896707181999792</v>
      </c>
      <c r="EX58">
        <v>0.2869823772488701</v>
      </c>
      <c r="EY58">
        <v>0.2751273427515894</v>
      </c>
      <c r="EZ58">
        <v>0.25317067877560218</v>
      </c>
      <c r="FA58">
        <v>0.25619999965144225</v>
      </c>
      <c r="FB58">
        <v>0.27848023128173854</v>
      </c>
      <c r="FC58">
        <v>0.29498449460875537</v>
      </c>
      <c r="FD58">
        <v>0.30849332712399286</v>
      </c>
      <c r="FE58">
        <v>0.32108743960157238</v>
      </c>
      <c r="FF58">
        <v>0.62538159350262501</v>
      </c>
      <c r="FG58">
        <v>0.59656895136300481</v>
      </c>
      <c r="FH58">
        <v>0.58420393509941138</v>
      </c>
      <c r="FI58">
        <v>0.58658216854740919</v>
      </c>
      <c r="FJ58">
        <v>0.59318346575567538</v>
      </c>
      <c r="FK58">
        <v>0.60182266132662765</v>
      </c>
      <c r="FL58">
        <v>0.60680636012139577</v>
      </c>
      <c r="FM58">
        <v>0.62509645422223525</v>
      </c>
      <c r="FN58">
        <v>0.62952720730301903</v>
      </c>
      <c r="FO58">
        <v>0.63920273254692561</v>
      </c>
      <c r="FQ58" t="s">
        <v>327</v>
      </c>
      <c r="FR58" t="s">
        <v>127</v>
      </c>
      <c r="FS58" t="s">
        <v>128</v>
      </c>
      <c r="FT58">
        <v>0.6291328394601271</v>
      </c>
    </row>
    <row r="59" spans="2:176" x14ac:dyDescent="0.45">
      <c r="B59" t="s">
        <v>365</v>
      </c>
      <c r="C59" t="s">
        <v>123</v>
      </c>
      <c r="D59">
        <v>0.21708724834453258</v>
      </c>
      <c r="E59">
        <v>0.21736528065548183</v>
      </c>
      <c r="F59">
        <v>0.21939090302412714</v>
      </c>
      <c r="G59">
        <v>0.22910664011073567</v>
      </c>
      <c r="H59">
        <v>0.22992201227552495</v>
      </c>
      <c r="I59">
        <v>0.23650328254386913</v>
      </c>
      <c r="J59">
        <v>0.22533298326564452</v>
      </c>
      <c r="K59">
        <v>0.20284832947577397</v>
      </c>
      <c r="L59">
        <v>0.18405182585591751</v>
      </c>
      <c r="M59">
        <v>0.19290240097175726</v>
      </c>
      <c r="N59">
        <v>0.23337900361439673</v>
      </c>
      <c r="O59">
        <v>0.22619744935808173</v>
      </c>
      <c r="P59">
        <v>0.23193463728896185</v>
      </c>
      <c r="Q59">
        <v>0.23965443789132349</v>
      </c>
      <c r="R59">
        <v>0.2479782079866093</v>
      </c>
      <c r="S59">
        <v>0.25192690006237606</v>
      </c>
      <c r="T59">
        <v>0.24766405159026961</v>
      </c>
      <c r="U59">
        <v>0.25000118529814891</v>
      </c>
      <c r="V59">
        <v>0.2482667499747829</v>
      </c>
      <c r="W59">
        <v>0.24205145964475541</v>
      </c>
      <c r="X59">
        <v>0.35390701562874488</v>
      </c>
      <c r="Y59">
        <v>0.35404190762247795</v>
      </c>
      <c r="Z59">
        <v>0.34594254073713915</v>
      </c>
      <c r="AA59">
        <v>0.36055724936764</v>
      </c>
      <c r="AB59">
        <v>0.39350469922869874</v>
      </c>
      <c r="AC59">
        <v>0.41125697854188159</v>
      </c>
      <c r="AD59">
        <v>0.42050968865895066</v>
      </c>
      <c r="AE59">
        <v>0.39558415162698413</v>
      </c>
      <c r="AF59">
        <v>0.37601825956778395</v>
      </c>
      <c r="AG59">
        <v>0.35461475672793391</v>
      </c>
      <c r="AH59">
        <v>0.19803638133620871</v>
      </c>
      <c r="AI59">
        <v>0.22073341368828428</v>
      </c>
      <c r="AJ59">
        <v>0.22841224793653492</v>
      </c>
      <c r="AK59">
        <v>0.21719597059452114</v>
      </c>
      <c r="AL59">
        <v>0.2052595571877544</v>
      </c>
      <c r="AM59">
        <v>0.20294676523848992</v>
      </c>
      <c r="AN59">
        <v>0.20668990944492746</v>
      </c>
      <c r="AO59">
        <v>0.20696125077069236</v>
      </c>
      <c r="AP59">
        <v>0.19657416486979215</v>
      </c>
      <c r="AQ59">
        <v>0.19169090491964677</v>
      </c>
      <c r="EA59" t="s">
        <v>365</v>
      </c>
      <c r="EB59">
        <v>0.69672580017008057</v>
      </c>
      <c r="EC59">
        <v>0.68286164092726676</v>
      </c>
      <c r="ED59">
        <v>0.67645438545043868</v>
      </c>
      <c r="EE59">
        <v>0.67702588129541508</v>
      </c>
      <c r="EF59">
        <v>0.68125280902230412</v>
      </c>
      <c r="EG59">
        <v>0.67083838854993416</v>
      </c>
      <c r="EH59">
        <v>0.67057402674157973</v>
      </c>
      <c r="EI59">
        <v>0.68461668524976926</v>
      </c>
      <c r="EJ59">
        <v>0.70165348419686968</v>
      </c>
      <c r="EK59">
        <v>0.7097811978959</v>
      </c>
      <c r="EL59">
        <v>0.60120990607605906</v>
      </c>
      <c r="EM59">
        <v>0.6202894391710233</v>
      </c>
      <c r="EN59">
        <v>0.63429375022844814</v>
      </c>
      <c r="EO59">
        <v>0.62772180472013128</v>
      </c>
      <c r="EP59">
        <v>0.61200846614065674</v>
      </c>
      <c r="EQ59">
        <v>0.5976886338345333</v>
      </c>
      <c r="ER59">
        <v>0.59593826853670351</v>
      </c>
      <c r="ES59">
        <v>0.59951594539628128</v>
      </c>
      <c r="ET59">
        <v>0.60578136554844875</v>
      </c>
      <c r="EU59">
        <v>0.60688020878632098</v>
      </c>
      <c r="EV59">
        <v>0.37377665222141304</v>
      </c>
      <c r="EW59">
        <v>0.35684011620189299</v>
      </c>
      <c r="EX59">
        <v>0.35108024138699817</v>
      </c>
      <c r="EY59">
        <v>0.33539256427510428</v>
      </c>
      <c r="EZ59">
        <v>0.31548810232450952</v>
      </c>
      <c r="FA59">
        <v>0.31153583633431198</v>
      </c>
      <c r="FB59">
        <v>0.31705538795872817</v>
      </c>
      <c r="FC59">
        <v>0.33253561367075141</v>
      </c>
      <c r="FD59">
        <v>0.35483537278680155</v>
      </c>
      <c r="FE59">
        <v>0.37611080754709836</v>
      </c>
      <c r="FF59">
        <v>0.68012538302714642</v>
      </c>
      <c r="FG59">
        <v>0.65958614821289996</v>
      </c>
      <c r="FH59">
        <v>0.65050007943652011</v>
      </c>
      <c r="FI59">
        <v>0.65232436634619984</v>
      </c>
      <c r="FJ59">
        <v>0.65932891859005915</v>
      </c>
      <c r="FK59">
        <v>0.65970169992844008</v>
      </c>
      <c r="FL59">
        <v>0.6562179258697487</v>
      </c>
      <c r="FM59">
        <v>0.66380648437128709</v>
      </c>
      <c r="FN59">
        <v>0.67597660452393615</v>
      </c>
      <c r="FO59">
        <v>0.69362824967782899</v>
      </c>
      <c r="FQ59" t="s">
        <v>329</v>
      </c>
      <c r="FR59" t="s">
        <v>127</v>
      </c>
      <c r="FS59" t="s">
        <v>128</v>
      </c>
      <c r="FT59">
        <v>0.6700743594688694</v>
      </c>
    </row>
    <row r="60" spans="2:176" x14ac:dyDescent="0.45">
      <c r="B60" t="s">
        <v>366</v>
      </c>
      <c r="C60" t="s">
        <v>123</v>
      </c>
      <c r="D60">
        <v>0.22722646832489357</v>
      </c>
      <c r="E60">
        <v>0.22536502928544336</v>
      </c>
      <c r="F60">
        <v>0.22644727028848083</v>
      </c>
      <c r="G60">
        <v>0.21885613816690927</v>
      </c>
      <c r="H60">
        <v>0.21479332357679523</v>
      </c>
      <c r="I60">
        <v>0.21372539451091654</v>
      </c>
      <c r="J60">
        <v>0.21688174517409523</v>
      </c>
      <c r="K60">
        <v>0.22262063110535948</v>
      </c>
      <c r="L60">
        <v>0.22470266573914185</v>
      </c>
      <c r="M60">
        <v>0.23936850306034244</v>
      </c>
      <c r="N60">
        <v>0.26261412603496675</v>
      </c>
      <c r="O60">
        <v>0.25720612871024517</v>
      </c>
      <c r="P60">
        <v>0.25563610378044227</v>
      </c>
      <c r="Q60">
        <v>0.26097729763181043</v>
      </c>
      <c r="R60">
        <v>0.27006569061897856</v>
      </c>
      <c r="S60">
        <v>0.27109622011573453</v>
      </c>
      <c r="T60">
        <v>0.27796942940638136</v>
      </c>
      <c r="U60">
        <v>0.28113944334440694</v>
      </c>
      <c r="V60">
        <v>0.28190657120518892</v>
      </c>
      <c r="W60">
        <v>0.26350870833613488</v>
      </c>
      <c r="X60">
        <v>0.32195810676633596</v>
      </c>
      <c r="Y60">
        <v>0.31541827943516709</v>
      </c>
      <c r="Z60">
        <v>0.31735769569712635</v>
      </c>
      <c r="AA60">
        <v>0.32818288154676956</v>
      </c>
      <c r="AB60">
        <v>0.33581368084042906</v>
      </c>
      <c r="AC60">
        <v>0.35428129892666016</v>
      </c>
      <c r="AD60">
        <v>0.37248621020890404</v>
      </c>
      <c r="AE60">
        <v>0.36973903697493637</v>
      </c>
      <c r="AF60">
        <v>0.33980125180485687</v>
      </c>
      <c r="AG60">
        <v>0.31396008040329176</v>
      </c>
      <c r="AH60">
        <v>0.20097828139221929</v>
      </c>
      <c r="AI60">
        <v>0.21455784558038804</v>
      </c>
      <c r="AJ60">
        <v>0.23593294568452905</v>
      </c>
      <c r="AK60">
        <v>0.24520271590488424</v>
      </c>
      <c r="AL60">
        <v>0.22774006226963966</v>
      </c>
      <c r="AM60">
        <v>0.20757134950941436</v>
      </c>
      <c r="AN60">
        <v>0.19861418315616838</v>
      </c>
      <c r="AO60">
        <v>0.19845033225447462</v>
      </c>
      <c r="AP60">
        <v>0.19405388483663785</v>
      </c>
      <c r="AQ60">
        <v>0.19373525817596773</v>
      </c>
      <c r="EA60" t="s">
        <v>366</v>
      </c>
      <c r="EB60">
        <v>0.68157720467248906</v>
      </c>
      <c r="EC60">
        <v>0.68094475973276014</v>
      </c>
      <c r="ED60">
        <v>0.6876271248296898</v>
      </c>
      <c r="EE60">
        <v>0.69650646597021326</v>
      </c>
      <c r="EF60">
        <v>0.69955564381167235</v>
      </c>
      <c r="EG60">
        <v>0.69278677265113187</v>
      </c>
      <c r="EH60">
        <v>0.67768833579046173</v>
      </c>
      <c r="EI60">
        <v>0.6695011196519467</v>
      </c>
      <c r="EJ60">
        <v>0.66367263877801608</v>
      </c>
      <c r="EK60">
        <v>0.65308799530236394</v>
      </c>
      <c r="EL60">
        <v>0.60019240924299233</v>
      </c>
      <c r="EM60">
        <v>0.61278448544230646</v>
      </c>
      <c r="EN60">
        <v>0.61758697217070957</v>
      </c>
      <c r="EO60">
        <v>0.60824011299408576</v>
      </c>
      <c r="EP60">
        <v>0.58933210119283974</v>
      </c>
      <c r="EQ60">
        <v>0.57440950436150329</v>
      </c>
      <c r="ER60">
        <v>0.56300403341637073</v>
      </c>
      <c r="ES60">
        <v>0.56827069757394777</v>
      </c>
      <c r="ET60">
        <v>0.58171386340971254</v>
      </c>
      <c r="EU60">
        <v>0.59517295144967897</v>
      </c>
      <c r="EV60">
        <v>0.36882030313815251</v>
      </c>
      <c r="EW60">
        <v>0.35951799820173963</v>
      </c>
      <c r="EX60">
        <v>0.37176944695446679</v>
      </c>
      <c r="EY60">
        <v>0.36584606140192633</v>
      </c>
      <c r="EZ60">
        <v>0.34971028683743649</v>
      </c>
      <c r="FA60">
        <v>0.34443449030198992</v>
      </c>
      <c r="FB60">
        <v>0.34470543995617098</v>
      </c>
      <c r="FC60">
        <v>0.35276875219080922</v>
      </c>
      <c r="FD60">
        <v>0.37028467490678413</v>
      </c>
      <c r="FE60">
        <v>0.38294911487397987</v>
      </c>
      <c r="FF60">
        <v>0.66984904739167983</v>
      </c>
      <c r="FG60">
        <v>0.65443190975460686</v>
      </c>
      <c r="FH60">
        <v>0.63367186002693432</v>
      </c>
      <c r="FI60">
        <v>0.62207185206274918</v>
      </c>
      <c r="FJ60">
        <v>0.62740669212197608</v>
      </c>
      <c r="FK60">
        <v>0.64449449358954392</v>
      </c>
      <c r="FL60">
        <v>0.65605678738948825</v>
      </c>
      <c r="FM60">
        <v>0.66639139498087896</v>
      </c>
      <c r="FN60">
        <v>0.68585517272736396</v>
      </c>
      <c r="FO60">
        <v>0.68837442743369792</v>
      </c>
      <c r="FQ60" t="s">
        <v>331</v>
      </c>
      <c r="FR60" t="s">
        <v>127</v>
      </c>
      <c r="FS60" t="s">
        <v>128</v>
      </c>
      <c r="FT60">
        <v>0.66651820931485806</v>
      </c>
    </row>
    <row r="61" spans="2:176" x14ac:dyDescent="0.45">
      <c r="B61" t="s">
        <v>367</v>
      </c>
      <c r="C61" t="s">
        <v>123</v>
      </c>
      <c r="D61">
        <v>0.22914109717574874</v>
      </c>
      <c r="E61">
        <v>0.22767417501705062</v>
      </c>
      <c r="F61">
        <v>0.23599088581939984</v>
      </c>
      <c r="G61">
        <v>0.23550794362455568</v>
      </c>
      <c r="H61">
        <v>0.24103907455249221</v>
      </c>
      <c r="I61">
        <v>0.24572725408533841</v>
      </c>
      <c r="J61">
        <v>0.24514439358759246</v>
      </c>
      <c r="K61">
        <v>0.24902999818200022</v>
      </c>
      <c r="L61">
        <v>0.25184700261428156</v>
      </c>
      <c r="M61">
        <v>0.2459224765593746</v>
      </c>
      <c r="N61">
        <v>0.27564763744387399</v>
      </c>
      <c r="O61">
        <v>0.26868187471743771</v>
      </c>
      <c r="P61">
        <v>0.27137402280568568</v>
      </c>
      <c r="Q61">
        <v>0.28404164232252949</v>
      </c>
      <c r="R61">
        <v>0.30735600728133222</v>
      </c>
      <c r="S61">
        <v>0.3141794117683348</v>
      </c>
      <c r="T61">
        <v>0.30433960417847034</v>
      </c>
      <c r="U61">
        <v>0.29601701640634381</v>
      </c>
      <c r="V61">
        <v>0.28036060941565871</v>
      </c>
      <c r="W61">
        <v>0.27488460794322189</v>
      </c>
      <c r="X61">
        <v>0.32046587279913724</v>
      </c>
      <c r="Y61">
        <v>0.31615147200564347</v>
      </c>
      <c r="Z61">
        <v>0.30419679877749267</v>
      </c>
      <c r="AA61">
        <v>0.30123213149355149</v>
      </c>
      <c r="AB61">
        <v>0.30259387066687982</v>
      </c>
      <c r="AC61">
        <v>0.29950906809718575</v>
      </c>
      <c r="AD61">
        <v>0.30781603978842603</v>
      </c>
      <c r="AE61">
        <v>0.3190301126738313</v>
      </c>
      <c r="AF61">
        <v>0.31940684690038301</v>
      </c>
      <c r="AG61">
        <v>0.32129921120681959</v>
      </c>
      <c r="AH61">
        <v>0.22487496744066499</v>
      </c>
      <c r="AI61">
        <v>0.22790402182440705</v>
      </c>
      <c r="AJ61">
        <v>0.24511000435158045</v>
      </c>
      <c r="AK61">
        <v>0.2520397631264949</v>
      </c>
      <c r="AL61">
        <v>0.24030553619925085</v>
      </c>
      <c r="AM61">
        <v>0.23400225688673293</v>
      </c>
      <c r="AN61">
        <v>0.2328601792402005</v>
      </c>
      <c r="AO61">
        <v>0.23889351591633429</v>
      </c>
      <c r="AP61">
        <v>0.23303723518588071</v>
      </c>
      <c r="AQ61">
        <v>0.2233547341617709</v>
      </c>
      <c r="EA61" t="s">
        <v>367</v>
      </c>
      <c r="EB61">
        <v>0.68763324851970054</v>
      </c>
      <c r="EC61">
        <v>0.68543207495821656</v>
      </c>
      <c r="ED61">
        <v>0.68055870714962685</v>
      </c>
      <c r="EE61">
        <v>0.68066802327129949</v>
      </c>
      <c r="EF61">
        <v>0.67170007153771993</v>
      </c>
      <c r="EG61">
        <v>0.66115026540310784</v>
      </c>
      <c r="EH61">
        <v>0.64988754788104708</v>
      </c>
      <c r="EI61">
        <v>0.64484206387297605</v>
      </c>
      <c r="EJ61">
        <v>0.64972149712764926</v>
      </c>
      <c r="EK61">
        <v>0.65513874554063467</v>
      </c>
      <c r="EL61">
        <v>0.57710536276573021</v>
      </c>
      <c r="EM61">
        <v>0.5924567439669739</v>
      </c>
      <c r="EN61">
        <v>0.59011087359997672</v>
      </c>
      <c r="EO61">
        <v>0.5621458540897426</v>
      </c>
      <c r="EP61">
        <v>0.53695565850184157</v>
      </c>
      <c r="EQ61">
        <v>0.53084757410907668</v>
      </c>
      <c r="ER61">
        <v>0.53364256745962513</v>
      </c>
      <c r="ES61">
        <v>0.55067166974469739</v>
      </c>
      <c r="ET61">
        <v>0.57216761337554201</v>
      </c>
      <c r="EU61">
        <v>0.5740455212262604</v>
      </c>
      <c r="EV61">
        <v>0.39455477836545944</v>
      </c>
      <c r="EW61">
        <v>0.40791264819762635</v>
      </c>
      <c r="EX61">
        <v>0.42548454112784279</v>
      </c>
      <c r="EY61">
        <v>0.43865268286789039</v>
      </c>
      <c r="EZ61">
        <v>0.44004468263963031</v>
      </c>
      <c r="FA61">
        <v>0.4266947627556914</v>
      </c>
      <c r="FB61">
        <v>0.39940320509629751</v>
      </c>
      <c r="FC61">
        <v>0.37940271079464877</v>
      </c>
      <c r="FD61">
        <v>0.37367943395162739</v>
      </c>
      <c r="FE61">
        <v>0.38064903941395517</v>
      </c>
      <c r="FF61">
        <v>0.66090518100032336</v>
      </c>
      <c r="FG61">
        <v>0.64440606589632499</v>
      </c>
      <c r="FH61">
        <v>0.62817082032896199</v>
      </c>
      <c r="FI61">
        <v>0.62590994196162031</v>
      </c>
      <c r="FJ61">
        <v>0.62693292795055044</v>
      </c>
      <c r="FK61">
        <v>0.63734766719180291</v>
      </c>
      <c r="FL61">
        <v>0.64749797363812212</v>
      </c>
      <c r="FM61">
        <v>0.65331776598919611</v>
      </c>
      <c r="FN61">
        <v>0.66579120722559748</v>
      </c>
      <c r="FO61">
        <v>0.66765895122912666</v>
      </c>
      <c r="FQ61" t="s">
        <v>333</v>
      </c>
      <c r="FR61" t="s">
        <v>127</v>
      </c>
      <c r="FS61" t="s">
        <v>128</v>
      </c>
      <c r="FT61">
        <v>0.60264587617366161</v>
      </c>
    </row>
    <row r="62" spans="2:176" x14ac:dyDescent="0.45">
      <c r="B62" t="s">
        <v>368</v>
      </c>
      <c r="C62" t="s">
        <v>123</v>
      </c>
      <c r="D62">
        <v>0.21394375051329234</v>
      </c>
      <c r="E62">
        <v>0.22250424386157946</v>
      </c>
      <c r="F62">
        <v>0.21519781824135567</v>
      </c>
      <c r="G62">
        <v>0.20497048903701717</v>
      </c>
      <c r="H62">
        <v>0.20341906651657651</v>
      </c>
      <c r="I62">
        <v>0.20938035131955046</v>
      </c>
      <c r="J62">
        <v>0.20579451021106235</v>
      </c>
      <c r="K62">
        <v>0.20235853088273165</v>
      </c>
      <c r="L62">
        <v>0.20407649311290221</v>
      </c>
      <c r="M62">
        <v>0.20902262917828082</v>
      </c>
      <c r="N62">
        <v>0.28343134729224412</v>
      </c>
      <c r="O62">
        <v>0.27181142654031637</v>
      </c>
      <c r="P62">
        <v>0.26313173821658814</v>
      </c>
      <c r="Q62">
        <v>0.26037430165075959</v>
      </c>
      <c r="R62">
        <v>0.26848407195426194</v>
      </c>
      <c r="S62">
        <v>0.28706632661997949</v>
      </c>
      <c r="T62">
        <v>0.28494939167498129</v>
      </c>
      <c r="U62">
        <v>0.2797978253278372</v>
      </c>
      <c r="V62">
        <v>0.27002220809414584</v>
      </c>
      <c r="W62">
        <v>0.26379815003733526</v>
      </c>
      <c r="X62">
        <v>0.33995182184687711</v>
      </c>
      <c r="Y62">
        <v>0.3505808489176106</v>
      </c>
      <c r="Z62">
        <v>0.36388731710317845</v>
      </c>
      <c r="AA62">
        <v>0.38546409857371289</v>
      </c>
      <c r="AB62">
        <v>0.40475361831116602</v>
      </c>
      <c r="AC62">
        <v>0.40071849732155296</v>
      </c>
      <c r="AD62">
        <v>0.36262045876353649</v>
      </c>
      <c r="AE62">
        <v>0.32227506387345556</v>
      </c>
      <c r="AF62">
        <v>0.29975145031107225</v>
      </c>
      <c r="AG62">
        <v>0.31260272019665913</v>
      </c>
      <c r="AH62">
        <v>0.19334353353347203</v>
      </c>
      <c r="AI62">
        <v>0.22259623650149837</v>
      </c>
      <c r="AJ62">
        <v>0.23139702129909506</v>
      </c>
      <c r="AK62">
        <v>0.22135261587842289</v>
      </c>
      <c r="AL62">
        <v>0.21908444104223146</v>
      </c>
      <c r="AM62">
        <v>0.21942337796364905</v>
      </c>
      <c r="AN62">
        <v>0.22264852122845369</v>
      </c>
      <c r="AO62">
        <v>0.20769138381184954</v>
      </c>
      <c r="AP62">
        <v>0.18935650132823184</v>
      </c>
      <c r="AQ62">
        <v>0.17946508138937023</v>
      </c>
      <c r="EA62" t="s">
        <v>368</v>
      </c>
      <c r="EB62">
        <v>0.68595781435478198</v>
      </c>
      <c r="EC62">
        <v>0.67405287008613024</v>
      </c>
      <c r="ED62">
        <v>0.67826210052945912</v>
      </c>
      <c r="EE62">
        <v>0.68766832527456312</v>
      </c>
      <c r="EF62">
        <v>0.68659883597726179</v>
      </c>
      <c r="EG62">
        <v>0.67832043148944798</v>
      </c>
      <c r="EH62">
        <v>0.67424950281054852</v>
      </c>
      <c r="EI62">
        <v>0.67758381824467595</v>
      </c>
      <c r="EJ62">
        <v>0.68288172231989919</v>
      </c>
      <c r="EK62">
        <v>0.68803285083502097</v>
      </c>
      <c r="EL62">
        <v>0.56051963748466171</v>
      </c>
      <c r="EM62">
        <v>0.57514520476243258</v>
      </c>
      <c r="EN62">
        <v>0.58296287633708255</v>
      </c>
      <c r="EO62">
        <v>0.57525999259058214</v>
      </c>
      <c r="EP62">
        <v>0.55697413267754858</v>
      </c>
      <c r="EQ62">
        <v>0.54738728826573746</v>
      </c>
      <c r="ER62">
        <v>0.54814509773507469</v>
      </c>
      <c r="ES62">
        <v>0.55381063708483003</v>
      </c>
      <c r="ET62">
        <v>0.5636179257037417</v>
      </c>
      <c r="EU62">
        <v>0.57601793867653128</v>
      </c>
      <c r="EV62">
        <v>0.34036483671848922</v>
      </c>
      <c r="EW62">
        <v>0.32386566243666409</v>
      </c>
      <c r="EX62">
        <v>0.31492972360034682</v>
      </c>
      <c r="EY62">
        <v>0.29851708202939742</v>
      </c>
      <c r="EZ62">
        <v>0.28442618113686396</v>
      </c>
      <c r="FA62">
        <v>0.29458693451303658</v>
      </c>
      <c r="FB62">
        <v>0.3311711742373038</v>
      </c>
      <c r="FC62">
        <v>0.37257573729830618</v>
      </c>
      <c r="FD62">
        <v>0.39396624090308402</v>
      </c>
      <c r="FE62">
        <v>0.38435731075884427</v>
      </c>
      <c r="FF62">
        <v>0.65750790534191283</v>
      </c>
      <c r="FG62">
        <v>0.62694523348390729</v>
      </c>
      <c r="FH62">
        <v>0.61562561359740842</v>
      </c>
      <c r="FI62">
        <v>0.61822706039543729</v>
      </c>
      <c r="FJ62">
        <v>0.62549660837882592</v>
      </c>
      <c r="FK62">
        <v>0.62984180064669637</v>
      </c>
      <c r="FL62">
        <v>0.63068238286410172</v>
      </c>
      <c r="FM62">
        <v>0.64690109870637358</v>
      </c>
      <c r="FN62">
        <v>0.66618923457927404</v>
      </c>
      <c r="FO62">
        <v>0.67322424237131417</v>
      </c>
      <c r="FQ62" t="s">
        <v>335</v>
      </c>
      <c r="FR62" t="s">
        <v>127</v>
      </c>
      <c r="FS62" t="s">
        <v>128</v>
      </c>
      <c r="FT62">
        <v>0.49573548411518836</v>
      </c>
    </row>
    <row r="63" spans="2:176" x14ac:dyDescent="0.45">
      <c r="B63" t="s">
        <v>369</v>
      </c>
      <c r="C63" t="s">
        <v>123</v>
      </c>
      <c r="D63">
        <v>0.21930048065062507</v>
      </c>
      <c r="E63">
        <v>0.21314441889288221</v>
      </c>
      <c r="F63">
        <v>0.21135754164105122</v>
      </c>
      <c r="G63">
        <v>0.2083676434474476</v>
      </c>
      <c r="H63">
        <v>0.21871733786214967</v>
      </c>
      <c r="I63">
        <v>0.21882413744067108</v>
      </c>
      <c r="J63">
        <v>0.22359228163948111</v>
      </c>
      <c r="K63">
        <v>0.2174108651960466</v>
      </c>
      <c r="L63">
        <v>0.2100275614226863</v>
      </c>
      <c r="M63">
        <v>0.2095843145760633</v>
      </c>
      <c r="N63">
        <v>0.31759154644909793</v>
      </c>
      <c r="O63">
        <v>0.32427773718543906</v>
      </c>
      <c r="P63">
        <v>0.33260957912740724</v>
      </c>
      <c r="Q63">
        <v>0.34851723643925481</v>
      </c>
      <c r="R63">
        <v>0.35192117438521758</v>
      </c>
      <c r="S63">
        <v>0.33400130916751636</v>
      </c>
      <c r="T63">
        <v>0.30916871100753196</v>
      </c>
      <c r="U63">
        <v>0.28560228734793963</v>
      </c>
      <c r="V63">
        <v>0.28201555831437941</v>
      </c>
      <c r="W63">
        <v>0.28872300169677767</v>
      </c>
      <c r="X63">
        <v>0.29892917797969581</v>
      </c>
      <c r="Y63">
        <v>0.30913648059524879</v>
      </c>
      <c r="Z63">
        <v>0.31659914174739501</v>
      </c>
      <c r="AA63">
        <v>0.32703016881076891</v>
      </c>
      <c r="AB63">
        <v>0.33832341453459608</v>
      </c>
      <c r="AC63">
        <v>0.3365597288018124</v>
      </c>
      <c r="AD63">
        <v>0.32224743075711115</v>
      </c>
      <c r="AE63">
        <v>0.31724678676322582</v>
      </c>
      <c r="AF63">
        <v>0.32330010653384089</v>
      </c>
      <c r="AG63">
        <v>0.32216559577085202</v>
      </c>
      <c r="AH63">
        <v>0.23819123185055427</v>
      </c>
      <c r="AI63">
        <v>0.24277779733549532</v>
      </c>
      <c r="AJ63">
        <v>0.24484803297860927</v>
      </c>
      <c r="AK63">
        <v>0.2421962179047111</v>
      </c>
      <c r="AL63">
        <v>0.24195607096094418</v>
      </c>
      <c r="AM63">
        <v>0.24412545803481583</v>
      </c>
      <c r="AN63">
        <v>0.24355461347862711</v>
      </c>
      <c r="AO63">
        <v>0.23127793195727406</v>
      </c>
      <c r="AP63">
        <v>0.20843018546272865</v>
      </c>
      <c r="AQ63">
        <v>0.2161962134184634</v>
      </c>
      <c r="EA63" t="s">
        <v>369</v>
      </c>
      <c r="EB63">
        <v>0.67618508675127009</v>
      </c>
      <c r="EC63">
        <v>0.67060690677686607</v>
      </c>
      <c r="ED63">
        <v>0.68153414934037615</v>
      </c>
      <c r="EE63">
        <v>0.67462672461091899</v>
      </c>
      <c r="EF63">
        <v>0.65085095610434729</v>
      </c>
      <c r="EG63">
        <v>0.64614085510809982</v>
      </c>
      <c r="EH63">
        <v>0.63941984306268851</v>
      </c>
      <c r="EI63">
        <v>0.65002821835061331</v>
      </c>
      <c r="EJ63">
        <v>0.66752848133338494</v>
      </c>
      <c r="EK63">
        <v>0.67450412485609224</v>
      </c>
      <c r="EL63">
        <v>0.51933871366871143</v>
      </c>
      <c r="EM63">
        <v>0.48943432995771596</v>
      </c>
      <c r="EN63">
        <v>0.47598992854602984</v>
      </c>
      <c r="EO63">
        <v>0.47009990165533777</v>
      </c>
      <c r="EP63">
        <v>0.47275424526110393</v>
      </c>
      <c r="EQ63">
        <v>0.49122758939647609</v>
      </c>
      <c r="ER63">
        <v>0.51699393790200188</v>
      </c>
      <c r="ES63">
        <v>0.53718111938782054</v>
      </c>
      <c r="ET63">
        <v>0.5434315879553604</v>
      </c>
      <c r="EU63">
        <v>0.54019631654802103</v>
      </c>
      <c r="EV63">
        <v>0.3731275093848358</v>
      </c>
      <c r="EW63">
        <v>0.38032497468130566</v>
      </c>
      <c r="EX63">
        <v>0.38444595704580253</v>
      </c>
      <c r="EY63">
        <v>0.38261815797448684</v>
      </c>
      <c r="EZ63">
        <v>0.377093407833132</v>
      </c>
      <c r="FA63">
        <v>0.37516069223719289</v>
      </c>
      <c r="FB63">
        <v>0.38154720683577187</v>
      </c>
      <c r="FC63">
        <v>0.3861783900272891</v>
      </c>
      <c r="FD63">
        <v>0.38583232778549964</v>
      </c>
      <c r="FE63">
        <v>0.37585823219328879</v>
      </c>
      <c r="FF63">
        <v>0.62067484086238345</v>
      </c>
      <c r="FG63">
        <v>0.60690129250513658</v>
      </c>
      <c r="FH63">
        <v>0.60728997266594031</v>
      </c>
      <c r="FI63">
        <v>0.60030645004231009</v>
      </c>
      <c r="FJ63">
        <v>0.59651627008819608</v>
      </c>
      <c r="FK63">
        <v>0.60013087229044759</v>
      </c>
      <c r="FL63">
        <v>0.60063129590632347</v>
      </c>
      <c r="FM63">
        <v>0.61281082778586915</v>
      </c>
      <c r="FN63">
        <v>0.63270283185315035</v>
      </c>
      <c r="FO63">
        <v>0.6371159639281172</v>
      </c>
      <c r="FQ63" t="s">
        <v>337</v>
      </c>
      <c r="FR63" t="s">
        <v>127</v>
      </c>
      <c r="FS63" t="s">
        <v>128</v>
      </c>
      <c r="FT63">
        <v>0.68475053181113033</v>
      </c>
    </row>
    <row r="64" spans="2:176" x14ac:dyDescent="0.45">
      <c r="B64" t="s">
        <v>370</v>
      </c>
      <c r="C64" t="s">
        <v>123</v>
      </c>
      <c r="D64">
        <v>0.23147497522066254</v>
      </c>
      <c r="E64">
        <v>0.23945010983379289</v>
      </c>
      <c r="F64">
        <v>0.21462252383286903</v>
      </c>
      <c r="G64">
        <v>0.21499723982487701</v>
      </c>
      <c r="H64">
        <v>0.21227849455990108</v>
      </c>
      <c r="I64">
        <v>0.22018848924686957</v>
      </c>
      <c r="J64">
        <v>0.22751160322829511</v>
      </c>
      <c r="K64">
        <v>0.22953812559603567</v>
      </c>
      <c r="L64">
        <v>0.20346773754646141</v>
      </c>
      <c r="M64">
        <v>0.19945264969962651</v>
      </c>
      <c r="N64">
        <v>0.29160903644576969</v>
      </c>
      <c r="O64">
        <v>0.30757810308816791</v>
      </c>
      <c r="P64">
        <v>0.32044950076957107</v>
      </c>
      <c r="Q64">
        <v>0.32404484162799091</v>
      </c>
      <c r="R64">
        <v>0.33486821841413195</v>
      </c>
      <c r="S64">
        <v>0.32630099026567522</v>
      </c>
      <c r="T64">
        <v>0.30516697524097353</v>
      </c>
      <c r="U64">
        <v>0.28475974864830772</v>
      </c>
      <c r="V64">
        <v>0.27895410665935705</v>
      </c>
      <c r="W64">
        <v>0.28911661976118452</v>
      </c>
      <c r="X64">
        <v>0.33835939397008913</v>
      </c>
      <c r="Y64">
        <v>0.33294287747082668</v>
      </c>
      <c r="Z64">
        <v>0.32600456598751415</v>
      </c>
      <c r="AA64">
        <v>0.31847980222714828</v>
      </c>
      <c r="AB64">
        <v>0.31699111546635966</v>
      </c>
      <c r="AC64">
        <v>0.31321739415001526</v>
      </c>
      <c r="AD64">
        <v>0.32112625823740309</v>
      </c>
      <c r="AE64">
        <v>0.31878229557800153</v>
      </c>
      <c r="AF64">
        <v>0.3265138672836323</v>
      </c>
      <c r="AG64">
        <v>0.34341759314512238</v>
      </c>
      <c r="AH64">
        <v>0.23940032213979909</v>
      </c>
      <c r="AI64">
        <v>0.23353092128849792</v>
      </c>
      <c r="AJ64">
        <v>0.22353378522101788</v>
      </c>
      <c r="AK64">
        <v>0.23703934091850803</v>
      </c>
      <c r="AL64">
        <v>0.26034458680848449</v>
      </c>
      <c r="AM64">
        <v>0.25725800197960635</v>
      </c>
      <c r="AN64">
        <v>0.25046338776758587</v>
      </c>
      <c r="AO64">
        <v>0.24554650927156163</v>
      </c>
      <c r="AP64">
        <v>0.23061581582778964</v>
      </c>
      <c r="AQ64">
        <v>0.24036837279589066</v>
      </c>
      <c r="EA64" t="s">
        <v>370</v>
      </c>
      <c r="EB64">
        <v>0.69884193301984676</v>
      </c>
      <c r="EC64">
        <v>0.67545090178523426</v>
      </c>
      <c r="ED64">
        <v>0.69701326127252194</v>
      </c>
      <c r="EE64">
        <v>0.70329911823747027</v>
      </c>
      <c r="EF64">
        <v>0.69789319453890186</v>
      </c>
      <c r="EG64">
        <v>0.68680778105457552</v>
      </c>
      <c r="EH64">
        <v>0.67997407372773</v>
      </c>
      <c r="EI64">
        <v>0.67690254627198532</v>
      </c>
      <c r="EJ64">
        <v>0.69983118185823312</v>
      </c>
      <c r="EK64">
        <v>0.72094290297904784</v>
      </c>
      <c r="EL64">
        <v>0.57877081049934465</v>
      </c>
      <c r="EM64">
        <v>0.55859479858918193</v>
      </c>
      <c r="EN64">
        <v>0.54034074105680074</v>
      </c>
      <c r="EO64">
        <v>0.52775237633911742</v>
      </c>
      <c r="EP64">
        <v>0.51804105333121808</v>
      </c>
      <c r="EQ64">
        <v>0.52474834492864642</v>
      </c>
      <c r="ER64">
        <v>0.54703886615001851</v>
      </c>
      <c r="ES64">
        <v>0.57195991747247976</v>
      </c>
      <c r="ET64">
        <v>0.5846066153919377</v>
      </c>
      <c r="EU64">
        <v>0.58735781435184586</v>
      </c>
      <c r="EV64">
        <v>0.43739026079700888</v>
      </c>
      <c r="EW64">
        <v>0.44449102137952723</v>
      </c>
      <c r="EX64">
        <v>0.45340773950209129</v>
      </c>
      <c r="EY64">
        <v>0.45220962608497539</v>
      </c>
      <c r="EZ64">
        <v>0.45162085458340701</v>
      </c>
      <c r="FA64">
        <v>0.44990296395730217</v>
      </c>
      <c r="FB64">
        <v>0.4302758181414767</v>
      </c>
      <c r="FC64">
        <v>0.42031575628318052</v>
      </c>
      <c r="FD64">
        <v>0.4234391752340988</v>
      </c>
      <c r="FE64">
        <v>0.43356570841130904</v>
      </c>
      <c r="FF64">
        <v>0.67446986075143223</v>
      </c>
      <c r="FG64">
        <v>0.6611520188135015</v>
      </c>
      <c r="FH64">
        <v>0.66703477523635846</v>
      </c>
      <c r="FI64">
        <v>0.65357769014755107</v>
      </c>
      <c r="FJ64">
        <v>0.63074332276510203</v>
      </c>
      <c r="FK64">
        <v>0.62765100555450104</v>
      </c>
      <c r="FL64">
        <v>0.63892389306779418</v>
      </c>
      <c r="FM64">
        <v>0.64648915368682314</v>
      </c>
      <c r="FN64">
        <v>0.66632691985641801</v>
      </c>
      <c r="FO64">
        <v>0.66841690518898378</v>
      </c>
      <c r="FQ64" t="s">
        <v>339</v>
      </c>
      <c r="FR64" t="s">
        <v>127</v>
      </c>
      <c r="FS64" t="s">
        <v>128</v>
      </c>
      <c r="FT64">
        <v>0.70843195690984484</v>
      </c>
    </row>
    <row r="65" spans="2:176" x14ac:dyDescent="0.45">
      <c r="B65" t="s">
        <v>371</v>
      </c>
      <c r="C65" t="s">
        <v>123</v>
      </c>
      <c r="D65">
        <v>0.21042044114500597</v>
      </c>
      <c r="E65">
        <v>0.21062627832337316</v>
      </c>
      <c r="F65">
        <v>0.19758180490186525</v>
      </c>
      <c r="G65">
        <v>0.19591277262002216</v>
      </c>
      <c r="H65">
        <v>0.19741781171338962</v>
      </c>
      <c r="I65">
        <v>0.21007288284485776</v>
      </c>
      <c r="J65">
        <v>0.21402218909989279</v>
      </c>
      <c r="K65">
        <v>0.20906223188328349</v>
      </c>
      <c r="L65">
        <v>0.20062095885261819</v>
      </c>
      <c r="M65">
        <v>0.21148719697932364</v>
      </c>
      <c r="N65">
        <v>0.29294546188764603</v>
      </c>
      <c r="O65">
        <v>0.30542191661065826</v>
      </c>
      <c r="P65">
        <v>0.31273145235774297</v>
      </c>
      <c r="Q65">
        <v>0.31364988267284422</v>
      </c>
      <c r="R65">
        <v>0.31190573969882807</v>
      </c>
      <c r="S65">
        <v>0.31340245305984626</v>
      </c>
      <c r="T65">
        <v>0.31440881764885809</v>
      </c>
      <c r="U65">
        <v>0.30737060863563198</v>
      </c>
      <c r="V65">
        <v>0.28506396015200697</v>
      </c>
      <c r="W65">
        <v>0.28696806279319453</v>
      </c>
      <c r="X65">
        <v>0.33228127334341062</v>
      </c>
      <c r="Y65">
        <v>0.33420289609308179</v>
      </c>
      <c r="Z65">
        <v>0.32307242772124506</v>
      </c>
      <c r="AA65">
        <v>0.31666071518146471</v>
      </c>
      <c r="AB65">
        <v>0.32967022474764912</v>
      </c>
      <c r="AC65">
        <v>0.3566969206756137</v>
      </c>
      <c r="AD65">
        <v>0.36424266519402876</v>
      </c>
      <c r="AE65">
        <v>0.34498111447719926</v>
      </c>
      <c r="AF65">
        <v>0.3313061690374639</v>
      </c>
      <c r="AG65">
        <v>0.3334748018873091</v>
      </c>
      <c r="AH65">
        <v>0.21271898138931131</v>
      </c>
      <c r="AI65">
        <v>0.21944756149349218</v>
      </c>
      <c r="AJ65">
        <v>0.23350790374389277</v>
      </c>
      <c r="AK65">
        <v>0.23513244131183569</v>
      </c>
      <c r="AL65">
        <v>0.22219740961294987</v>
      </c>
      <c r="AM65">
        <v>0.21381001422951404</v>
      </c>
      <c r="AN65">
        <v>0.21678415731007208</v>
      </c>
      <c r="AO65">
        <v>0.21284841469687482</v>
      </c>
      <c r="AP65">
        <v>0.20338260145356066</v>
      </c>
      <c r="AQ65">
        <v>0.20747760782220934</v>
      </c>
      <c r="EA65" t="s">
        <v>371</v>
      </c>
      <c r="EB65">
        <v>0.69816113721695272</v>
      </c>
      <c r="EC65">
        <v>0.69215271971844894</v>
      </c>
      <c r="ED65">
        <v>0.70317326467658503</v>
      </c>
      <c r="EE65">
        <v>0.70603824890753142</v>
      </c>
      <c r="EF65">
        <v>0.69488892509804323</v>
      </c>
      <c r="EG65">
        <v>0.67606824217258199</v>
      </c>
      <c r="EH65">
        <v>0.66550350036719996</v>
      </c>
      <c r="EI65">
        <v>0.66945007292644465</v>
      </c>
      <c r="EJ65">
        <v>0.67827823818277411</v>
      </c>
      <c r="EK65">
        <v>0.68686392783502581</v>
      </c>
      <c r="EL65">
        <v>0.56835637528375094</v>
      </c>
      <c r="EM65">
        <v>0.55786312224312651</v>
      </c>
      <c r="EN65">
        <v>0.54782705775168672</v>
      </c>
      <c r="EO65">
        <v>0.53669070668960661</v>
      </c>
      <c r="EP65">
        <v>0.52509367507341442</v>
      </c>
      <c r="EQ65">
        <v>0.52570471282156028</v>
      </c>
      <c r="ER65">
        <v>0.53027702448490965</v>
      </c>
      <c r="ES65">
        <v>0.54218046932854591</v>
      </c>
      <c r="ET65">
        <v>0.56618798208280052</v>
      </c>
      <c r="EU65">
        <v>0.57476855444389663</v>
      </c>
      <c r="EV65">
        <v>0.36057266903745244</v>
      </c>
      <c r="EW65">
        <v>0.36861052888331963</v>
      </c>
      <c r="EX65">
        <v>0.3815030039107899</v>
      </c>
      <c r="EY65">
        <v>0.3761110397638302</v>
      </c>
      <c r="EZ65">
        <v>0.35164943858422043</v>
      </c>
      <c r="FA65">
        <v>0.33872385866879023</v>
      </c>
      <c r="FB65">
        <v>0.34749049345031685</v>
      </c>
      <c r="FC65">
        <v>0.36418860710401807</v>
      </c>
      <c r="FD65">
        <v>0.37789029658788975</v>
      </c>
      <c r="FE65">
        <v>0.37682446210776377</v>
      </c>
      <c r="FF65">
        <v>0.65493997915624846</v>
      </c>
      <c r="FG65">
        <v>0.63341848231674136</v>
      </c>
      <c r="FH65">
        <v>0.62555457016490612</v>
      </c>
      <c r="FI65">
        <v>0.62025798523976072</v>
      </c>
      <c r="FJ65">
        <v>0.62923768434321858</v>
      </c>
      <c r="FK65">
        <v>0.64117336484601395</v>
      </c>
      <c r="FL65">
        <v>0.64302987141967705</v>
      </c>
      <c r="FM65">
        <v>0.65239747335519305</v>
      </c>
      <c r="FN65">
        <v>0.66827500214882629</v>
      </c>
      <c r="FO65">
        <v>0.66543517697844523</v>
      </c>
      <c r="FQ65" t="s">
        <v>341</v>
      </c>
      <c r="FR65" t="s">
        <v>127</v>
      </c>
      <c r="FS65" t="s">
        <v>128</v>
      </c>
      <c r="FT65">
        <v>0.76586604072436604</v>
      </c>
    </row>
    <row r="66" spans="2:176" x14ac:dyDescent="0.45">
      <c r="B66" t="s">
        <v>318</v>
      </c>
      <c r="C66" t="s">
        <v>123</v>
      </c>
      <c r="D66">
        <v>0.20979678097777243</v>
      </c>
      <c r="E66">
        <v>0.20902791564564535</v>
      </c>
      <c r="F66">
        <v>0.21194711874140809</v>
      </c>
      <c r="G66">
        <v>0.21825003127838785</v>
      </c>
      <c r="H66">
        <v>0.22163306911091729</v>
      </c>
      <c r="I66">
        <v>0.22776245881925147</v>
      </c>
      <c r="J66">
        <v>0.23451586626854132</v>
      </c>
      <c r="K66">
        <v>0.22506063524222367</v>
      </c>
      <c r="L66">
        <v>0.21111678782930912</v>
      </c>
      <c r="M66">
        <v>0.2104329018040601</v>
      </c>
      <c r="N66">
        <v>0.26264677276259618</v>
      </c>
      <c r="O66">
        <v>0.27016827570821128</v>
      </c>
      <c r="P66">
        <v>0.25899188690105895</v>
      </c>
      <c r="Q66">
        <v>0.26313631562688139</v>
      </c>
      <c r="R66">
        <v>0.2679588163317782</v>
      </c>
      <c r="S66">
        <v>0.26449335138974372</v>
      </c>
      <c r="T66">
        <v>0.25736681941381595</v>
      </c>
      <c r="U66">
        <v>0.25121930708715179</v>
      </c>
      <c r="V66">
        <v>0.24048142871254644</v>
      </c>
      <c r="W66">
        <v>0.2399151976820576</v>
      </c>
      <c r="X66">
        <v>0.36309952113337846</v>
      </c>
      <c r="Y66">
        <v>0.37562855101672282</v>
      </c>
      <c r="Z66">
        <v>0.38748091547234648</v>
      </c>
      <c r="AA66">
        <v>0.40488686942085084</v>
      </c>
      <c r="AB66">
        <v>0.38411146878737745</v>
      </c>
      <c r="AC66">
        <v>0.34640609377119491</v>
      </c>
      <c r="AD66">
        <v>0.3372601662875292</v>
      </c>
      <c r="AE66">
        <v>0.33078063124155255</v>
      </c>
      <c r="AF66">
        <v>0.34043196892554212</v>
      </c>
      <c r="AG66">
        <v>0.34323916796389897</v>
      </c>
      <c r="AH66">
        <v>0.22068770499998391</v>
      </c>
      <c r="AI66">
        <v>0.23612756681727029</v>
      </c>
      <c r="AJ66">
        <v>0.24636482841048041</v>
      </c>
      <c r="AK66">
        <v>0.24843729833237257</v>
      </c>
      <c r="AL66">
        <v>0.25874504421215788</v>
      </c>
      <c r="AM66">
        <v>0.26329149038061123</v>
      </c>
      <c r="AN66">
        <v>0.26265972211733174</v>
      </c>
      <c r="AO66">
        <v>0.25222550930506588</v>
      </c>
      <c r="AP66">
        <v>0.24125047278801648</v>
      </c>
      <c r="AQ66">
        <v>0.22593526259657237</v>
      </c>
      <c r="EA66" t="s">
        <v>318</v>
      </c>
      <c r="EB66">
        <v>0.66996411966310099</v>
      </c>
      <c r="EC66">
        <v>0.65615009517985257</v>
      </c>
      <c r="ED66">
        <v>0.66051940320430458</v>
      </c>
      <c r="EE66">
        <v>0.64651793533771207</v>
      </c>
      <c r="EF66">
        <v>0.63620457565903255</v>
      </c>
      <c r="EG66">
        <v>0.63851536128571518</v>
      </c>
      <c r="EH66">
        <v>0.63731970377418745</v>
      </c>
      <c r="EI66">
        <v>0.65336671354584075</v>
      </c>
      <c r="EJ66">
        <v>0.67641342487841893</v>
      </c>
      <c r="EK66">
        <v>0.67669835002230927</v>
      </c>
      <c r="EL66">
        <v>0.58171556395194801</v>
      </c>
      <c r="EM66">
        <v>0.58473019651441804</v>
      </c>
      <c r="EN66">
        <v>0.60300879865198564</v>
      </c>
      <c r="EO66">
        <v>0.60137300734284294</v>
      </c>
      <c r="EP66">
        <v>0.59109729426990465</v>
      </c>
      <c r="EQ66">
        <v>0.59146634500531781</v>
      </c>
      <c r="ER66">
        <v>0.59009839256548458</v>
      </c>
      <c r="ES66">
        <v>0.57909519433929657</v>
      </c>
      <c r="ET66">
        <v>0.59476723095646467</v>
      </c>
      <c r="EU66">
        <v>0.60335097895340628</v>
      </c>
      <c r="EV66">
        <v>0.3605715740214675</v>
      </c>
      <c r="EW66">
        <v>0.34112183002261043</v>
      </c>
      <c r="EX66">
        <v>0.34394587652044573</v>
      </c>
      <c r="EY66">
        <v>0.32993514427157794</v>
      </c>
      <c r="EZ66">
        <v>0.32909860549932768</v>
      </c>
      <c r="FA66">
        <v>0.35538263322067698</v>
      </c>
      <c r="FB66">
        <v>0.36929979859295747</v>
      </c>
      <c r="FC66">
        <v>0.38106394466848842</v>
      </c>
      <c r="FD66">
        <v>0.38476875368704577</v>
      </c>
      <c r="FE66">
        <v>0.3847687740277585</v>
      </c>
      <c r="FF66">
        <v>0.59756582802459257</v>
      </c>
      <c r="FG66">
        <v>0.58143509552550865</v>
      </c>
      <c r="FH66">
        <v>0.58140175064230415</v>
      </c>
      <c r="FI66">
        <v>0.58330016195443957</v>
      </c>
      <c r="FJ66">
        <v>0.58704595132004</v>
      </c>
      <c r="FK66">
        <v>0.58183787334198245</v>
      </c>
      <c r="FL66">
        <v>0.58318825375394812</v>
      </c>
      <c r="FM66">
        <v>0.59092600986327914</v>
      </c>
      <c r="FN66">
        <v>0.60831714214205224</v>
      </c>
      <c r="FO66">
        <v>0.61796189432646287</v>
      </c>
      <c r="FQ66" t="s">
        <v>343</v>
      </c>
      <c r="FR66" t="s">
        <v>127</v>
      </c>
      <c r="FS66" t="s">
        <v>128</v>
      </c>
      <c r="FT66">
        <v>0.78297301874732894</v>
      </c>
    </row>
    <row r="67" spans="2:176" x14ac:dyDescent="0.45">
      <c r="B67" t="s">
        <v>320</v>
      </c>
      <c r="C67" t="s">
        <v>123</v>
      </c>
      <c r="D67">
        <v>0.23235360122146595</v>
      </c>
      <c r="E67">
        <v>0.23736169650289043</v>
      </c>
      <c r="F67">
        <v>0.24187137746135581</v>
      </c>
      <c r="G67">
        <v>0.25958993609346581</v>
      </c>
      <c r="H67">
        <v>0.26632805755571054</v>
      </c>
      <c r="I67">
        <v>0.27138347659464818</v>
      </c>
      <c r="J67">
        <v>0.27490192136176139</v>
      </c>
      <c r="K67">
        <v>0.26491961634931532</v>
      </c>
      <c r="L67">
        <v>0.24921172272670089</v>
      </c>
      <c r="M67">
        <v>0.23138254532792735</v>
      </c>
      <c r="N67">
        <v>0.30528761680538985</v>
      </c>
      <c r="O67">
        <v>0.30455560592982939</v>
      </c>
      <c r="P67">
        <v>0.29247535241512324</v>
      </c>
      <c r="Q67">
        <v>0.28959064454319722</v>
      </c>
      <c r="R67">
        <v>0.29846099769432544</v>
      </c>
      <c r="S67">
        <v>0.29922322490860698</v>
      </c>
      <c r="T67">
        <v>0.29135043900788316</v>
      </c>
      <c r="U67">
        <v>0.28572411696993899</v>
      </c>
      <c r="V67">
        <v>0.2900560608708545</v>
      </c>
      <c r="W67">
        <v>0.29596695824960589</v>
      </c>
      <c r="X67">
        <v>0.34593946964450045</v>
      </c>
      <c r="Y67">
        <v>0.36343236883847901</v>
      </c>
      <c r="Z67">
        <v>0.39499483254396944</v>
      </c>
      <c r="AA67">
        <v>0.39383037307980501</v>
      </c>
      <c r="AB67">
        <v>0.38067194944662736</v>
      </c>
      <c r="AC67">
        <v>0.35370275364942716</v>
      </c>
      <c r="AD67">
        <v>0.33132318151986828</v>
      </c>
      <c r="AE67">
        <v>0.32287138894839346</v>
      </c>
      <c r="AF67">
        <v>0.33866762411629181</v>
      </c>
      <c r="AG67">
        <v>0.34096377661028104</v>
      </c>
      <c r="AH67">
        <v>0.29542895097760508</v>
      </c>
      <c r="AI67">
        <v>0.29450988317503685</v>
      </c>
      <c r="AJ67">
        <v>0.30496962785936815</v>
      </c>
      <c r="AK67">
        <v>0.31090775687616728</v>
      </c>
      <c r="AL67">
        <v>0.3055908045210512</v>
      </c>
      <c r="AM67">
        <v>0.30736225083986179</v>
      </c>
      <c r="AN67">
        <v>0.30679613239595438</v>
      </c>
      <c r="AO67">
        <v>0.2987511454659274</v>
      </c>
      <c r="AP67">
        <v>0.29918588680030089</v>
      </c>
      <c r="AQ67">
        <v>0.30208771338843399</v>
      </c>
      <c r="EA67" t="s">
        <v>320</v>
      </c>
      <c r="EB67">
        <v>0.5707325759048808</v>
      </c>
      <c r="EC67">
        <v>0.55340756119392598</v>
      </c>
      <c r="ED67">
        <v>0.55913233463704792</v>
      </c>
      <c r="EE67">
        <v>0.54719762199557298</v>
      </c>
      <c r="EF67">
        <v>0.55473013409054917</v>
      </c>
      <c r="EG67">
        <v>0.5572331582324509</v>
      </c>
      <c r="EH67">
        <v>0.54823347940829747</v>
      </c>
      <c r="EI67">
        <v>0.55757099497096585</v>
      </c>
      <c r="EJ67">
        <v>0.57476192965904005</v>
      </c>
      <c r="EK67">
        <v>0.57633707605649087</v>
      </c>
      <c r="EL67">
        <v>0.46359446029612394</v>
      </c>
      <c r="EM67">
        <v>0.47046492487063196</v>
      </c>
      <c r="EN67">
        <v>0.49281954811792217</v>
      </c>
      <c r="EO67">
        <v>0.51342647131723218</v>
      </c>
      <c r="EP67">
        <v>0.50230999594832593</v>
      </c>
      <c r="EQ67">
        <v>0.49354606731602046</v>
      </c>
      <c r="ER67">
        <v>0.49215108663587748</v>
      </c>
      <c r="ES67">
        <v>0.4702763533667646</v>
      </c>
      <c r="ET67">
        <v>0.46255100136701549</v>
      </c>
      <c r="EU67">
        <v>0.46057028534927208</v>
      </c>
      <c r="EV67">
        <v>0.30073477211607391</v>
      </c>
      <c r="EW67">
        <v>0.27682245795183658</v>
      </c>
      <c r="EX67">
        <v>0.28117045984330147</v>
      </c>
      <c r="EY67">
        <v>0.27217213561176179</v>
      </c>
      <c r="EZ67">
        <v>0.27610336437421801</v>
      </c>
      <c r="FA67">
        <v>0.30188413571462147</v>
      </c>
      <c r="FB67">
        <v>0.33011121836636564</v>
      </c>
      <c r="FC67">
        <v>0.34020318575773228</v>
      </c>
      <c r="FD67">
        <v>0.3178317498383964</v>
      </c>
      <c r="FE67">
        <v>0.3105052491011675</v>
      </c>
      <c r="FF67">
        <v>0.43590681885489252</v>
      </c>
      <c r="FG67">
        <v>0.43414091788236947</v>
      </c>
      <c r="FH67">
        <v>0.44589437456144609</v>
      </c>
      <c r="FI67">
        <v>0.46207768586213727</v>
      </c>
      <c r="FJ67">
        <v>0.4717812920552909</v>
      </c>
      <c r="FK67">
        <v>0.47332708386424655</v>
      </c>
      <c r="FL67">
        <v>0.47693393048309413</v>
      </c>
      <c r="FM67">
        <v>0.46793774327923299</v>
      </c>
      <c r="FN67">
        <v>0.44936493467908895</v>
      </c>
      <c r="FO67">
        <v>0.44260343273413577</v>
      </c>
      <c r="FQ67" t="s">
        <v>345</v>
      </c>
      <c r="FR67" t="s">
        <v>127</v>
      </c>
      <c r="FS67" t="s">
        <v>128</v>
      </c>
      <c r="FT67">
        <v>0.78198252563815607</v>
      </c>
    </row>
    <row r="68" spans="2:176" x14ac:dyDescent="0.45">
      <c r="B68" t="s">
        <v>322</v>
      </c>
      <c r="C68" t="s">
        <v>123</v>
      </c>
      <c r="D68">
        <v>0.26475441166747998</v>
      </c>
      <c r="E68">
        <v>0.27037061727121753</v>
      </c>
      <c r="F68">
        <v>0.26700942527473515</v>
      </c>
      <c r="G68">
        <v>0.27937768787355455</v>
      </c>
      <c r="H68">
        <v>0.28249785450117981</v>
      </c>
      <c r="I68">
        <v>0.28595997185459554</v>
      </c>
      <c r="J68">
        <v>0.28614854800324391</v>
      </c>
      <c r="K68">
        <v>0.26791573280247999</v>
      </c>
      <c r="L68">
        <v>0.25297710110968741</v>
      </c>
      <c r="M68">
        <v>0.25972725983275657</v>
      </c>
      <c r="N68">
        <v>0.27508457909636796</v>
      </c>
      <c r="O68">
        <v>0.28317730806808361</v>
      </c>
      <c r="P68">
        <v>0.30673158693660968</v>
      </c>
      <c r="Q68">
        <v>0.30420079466490002</v>
      </c>
      <c r="R68">
        <v>0.2970512764124062</v>
      </c>
      <c r="S68">
        <v>0.30184334944916463</v>
      </c>
      <c r="T68">
        <v>0.29233720782359895</v>
      </c>
      <c r="U68">
        <v>0.2808198469038557</v>
      </c>
      <c r="V68">
        <v>0.26227947210565211</v>
      </c>
      <c r="W68">
        <v>0.25929832171324424</v>
      </c>
      <c r="X68">
        <v>0.36316393191053137</v>
      </c>
      <c r="Y68">
        <v>0.34880956684523157</v>
      </c>
      <c r="Z68">
        <v>0.38798958063433542</v>
      </c>
      <c r="AA68">
        <v>0.3996215561147522</v>
      </c>
      <c r="AB68">
        <v>0.40135745976950271</v>
      </c>
      <c r="AC68">
        <v>0.39069064777414936</v>
      </c>
      <c r="AD68">
        <v>0.35318912092787119</v>
      </c>
      <c r="AE68">
        <v>0.32982576565458693</v>
      </c>
      <c r="AF68">
        <v>0.32585514240740654</v>
      </c>
      <c r="AG68">
        <v>0.34009701309556722</v>
      </c>
      <c r="AH68">
        <v>0.25521583681047677</v>
      </c>
      <c r="AI68">
        <v>0.26414928225116607</v>
      </c>
      <c r="AJ68">
        <v>0.25808748894004629</v>
      </c>
      <c r="AK68">
        <v>0.27028472260723213</v>
      </c>
      <c r="AL68">
        <v>0.28883610739450744</v>
      </c>
      <c r="AM68">
        <v>0.28987786655515563</v>
      </c>
      <c r="AN68">
        <v>0.29695909072025589</v>
      </c>
      <c r="AO68">
        <v>0.2925498046208585</v>
      </c>
      <c r="AP68">
        <v>0.28599629605090282</v>
      </c>
      <c r="AQ68">
        <v>0.26326974372407769</v>
      </c>
      <c r="EA68" t="s">
        <v>322</v>
      </c>
      <c r="EB68">
        <v>0.54551151324509783</v>
      </c>
      <c r="EC68">
        <v>0.5337643080437936</v>
      </c>
      <c r="ED68">
        <v>0.52994315283384708</v>
      </c>
      <c r="EE68">
        <v>0.51321652836735354</v>
      </c>
      <c r="EF68">
        <v>0.51669268381966826</v>
      </c>
      <c r="EG68">
        <v>0.52078597154997952</v>
      </c>
      <c r="EH68">
        <v>0.52210219091342003</v>
      </c>
      <c r="EI68">
        <v>0.53810240834174405</v>
      </c>
      <c r="EJ68">
        <v>0.55869416672977212</v>
      </c>
      <c r="EK68">
        <v>0.55816649949092156</v>
      </c>
      <c r="EL68">
        <v>0.43243231025463841</v>
      </c>
      <c r="EM68">
        <v>0.43383498983693158</v>
      </c>
      <c r="EN68">
        <v>0.44539035927598214</v>
      </c>
      <c r="EO68">
        <v>0.47221044824260955</v>
      </c>
      <c r="EP68">
        <v>0.48805384090738968</v>
      </c>
      <c r="EQ68">
        <v>0.48912270093652166</v>
      </c>
      <c r="ER68">
        <v>0.48877377450975856</v>
      </c>
      <c r="ES68">
        <v>0.46020614115299308</v>
      </c>
      <c r="ET68">
        <v>0.45139941474097156</v>
      </c>
      <c r="EU68">
        <v>0.43744827650811774</v>
      </c>
      <c r="EV68">
        <v>0.26661577741507397</v>
      </c>
      <c r="EW68">
        <v>0.24143041566591328</v>
      </c>
      <c r="EX68">
        <v>0.24740583910491371</v>
      </c>
      <c r="EY68">
        <v>0.25609287388154112</v>
      </c>
      <c r="EZ68">
        <v>0.27414888160989376</v>
      </c>
      <c r="FA68">
        <v>0.29582261214662819</v>
      </c>
      <c r="FB68">
        <v>0.30082898658037216</v>
      </c>
      <c r="FC68">
        <v>0.28426917359291826</v>
      </c>
      <c r="FD68">
        <v>0.28122906242151718</v>
      </c>
      <c r="FE68">
        <v>0.2779210609897636</v>
      </c>
      <c r="FF68">
        <v>0.48198530836098341</v>
      </c>
      <c r="FG68">
        <v>0.46026751351245127</v>
      </c>
      <c r="FH68">
        <v>0.45738449219106814</v>
      </c>
      <c r="FI68">
        <v>0.45298960345765032</v>
      </c>
      <c r="FJ68">
        <v>0.46016318140584089</v>
      </c>
      <c r="FK68">
        <v>0.47371543194133409</v>
      </c>
      <c r="FL68">
        <v>0.47808495699156534</v>
      </c>
      <c r="FM68">
        <v>0.48283164957183328</v>
      </c>
      <c r="FN68">
        <v>0.48916993423497224</v>
      </c>
      <c r="FO68">
        <v>0.49054970989957958</v>
      </c>
      <c r="FQ68" t="s">
        <v>347</v>
      </c>
      <c r="FR68" t="s">
        <v>127</v>
      </c>
      <c r="FS68" t="s">
        <v>128</v>
      </c>
      <c r="FT68">
        <v>0.772232791185124</v>
      </c>
    </row>
    <row r="69" spans="2:176" x14ac:dyDescent="0.45">
      <c r="B69" t="s">
        <v>324</v>
      </c>
      <c r="C69" t="s">
        <v>123</v>
      </c>
      <c r="D69">
        <v>0.2706747463421143</v>
      </c>
      <c r="E69">
        <v>0.28496248349969716</v>
      </c>
      <c r="F69">
        <v>0.28094584289193558</v>
      </c>
      <c r="G69">
        <v>0.29155948166215517</v>
      </c>
      <c r="H69">
        <v>0.29211550762553345</v>
      </c>
      <c r="I69">
        <v>0.30270987053193604</v>
      </c>
      <c r="J69">
        <v>0.30508663811783382</v>
      </c>
      <c r="K69">
        <v>0.29118005155531118</v>
      </c>
      <c r="L69">
        <v>0.27097893423998237</v>
      </c>
      <c r="M69">
        <v>0.26403152633413718</v>
      </c>
      <c r="N69">
        <v>0.30834408935467988</v>
      </c>
      <c r="O69">
        <v>0.30639990963990427</v>
      </c>
      <c r="P69">
        <v>0.31983153880312953</v>
      </c>
      <c r="Q69">
        <v>0.32283664121284344</v>
      </c>
      <c r="R69">
        <v>0.32338456033535351</v>
      </c>
      <c r="S69">
        <v>0.31694178141116175</v>
      </c>
      <c r="T69">
        <v>0.30154519142552028</v>
      </c>
      <c r="U69">
        <v>0.30394486141910959</v>
      </c>
      <c r="V69">
        <v>0.28671816297862612</v>
      </c>
      <c r="W69">
        <v>0.29227538062136899</v>
      </c>
      <c r="X69">
        <v>0.34298052681429753</v>
      </c>
      <c r="Y69">
        <v>0.36969891696321167</v>
      </c>
      <c r="Z69">
        <v>0.39719036182479994</v>
      </c>
      <c r="AA69">
        <v>0.39767906659068369</v>
      </c>
      <c r="AB69">
        <v>0.38491739713821738</v>
      </c>
      <c r="AC69">
        <v>0.38799680494130384</v>
      </c>
      <c r="AD69">
        <v>0.37868911460185328</v>
      </c>
      <c r="AE69">
        <v>0.3684484766235312</v>
      </c>
      <c r="AF69">
        <v>0.34829360339034937</v>
      </c>
      <c r="AG69">
        <v>0.32927256717008152</v>
      </c>
      <c r="AH69">
        <v>0.28374171760146039</v>
      </c>
      <c r="AI69">
        <v>0.28867821766656115</v>
      </c>
      <c r="AJ69">
        <v>0.28541398544623037</v>
      </c>
      <c r="AK69">
        <v>0.29622573073193642</v>
      </c>
      <c r="AL69">
        <v>0.31135224421094321</v>
      </c>
      <c r="AM69">
        <v>0.31586531580282756</v>
      </c>
      <c r="AN69">
        <v>0.32319667059590351</v>
      </c>
      <c r="AO69">
        <v>0.32733115624624143</v>
      </c>
      <c r="AP69">
        <v>0.31729406770361807</v>
      </c>
      <c r="AQ69">
        <v>0.28508358613680357</v>
      </c>
      <c r="EA69" t="s">
        <v>324</v>
      </c>
      <c r="EB69">
        <v>0.52076747209487606</v>
      </c>
      <c r="EC69">
        <v>0.49970248785091037</v>
      </c>
      <c r="ED69">
        <v>0.50757838956084544</v>
      </c>
      <c r="EE69">
        <v>0.49516254497968537</v>
      </c>
      <c r="EF69">
        <v>0.49256825205346233</v>
      </c>
      <c r="EG69">
        <v>0.49620762259109941</v>
      </c>
      <c r="EH69">
        <v>0.49792848769278147</v>
      </c>
      <c r="EI69">
        <v>0.507000423276878</v>
      </c>
      <c r="EJ69">
        <v>0.53142664375207238</v>
      </c>
      <c r="EK69">
        <v>0.53879488928621855</v>
      </c>
      <c r="EL69">
        <v>0.41513910313227698</v>
      </c>
      <c r="EM69">
        <v>0.41374007137614699</v>
      </c>
      <c r="EN69">
        <v>0.43332484079095079</v>
      </c>
      <c r="EO69">
        <v>0.45886704592068911</v>
      </c>
      <c r="EP69">
        <v>0.47835451118784511</v>
      </c>
      <c r="EQ69">
        <v>0.4897029084609269</v>
      </c>
      <c r="ER69">
        <v>0.48370923205561839</v>
      </c>
      <c r="ES69">
        <v>0.45481559986455172</v>
      </c>
      <c r="ET69">
        <v>0.45223473321928337</v>
      </c>
      <c r="EU69">
        <v>0.43738940204483778</v>
      </c>
      <c r="EV69">
        <v>0.25550451325551626</v>
      </c>
      <c r="EW69">
        <v>0.23310684883182298</v>
      </c>
      <c r="EX69">
        <v>0.24887320850087336</v>
      </c>
      <c r="EY69">
        <v>0.25267592897334534</v>
      </c>
      <c r="EZ69">
        <v>0.26468953311484777</v>
      </c>
      <c r="FA69">
        <v>0.28017037143786394</v>
      </c>
      <c r="FB69">
        <v>0.28001658959636083</v>
      </c>
      <c r="FC69">
        <v>0.26809989585678656</v>
      </c>
      <c r="FD69">
        <v>0.26393296755531781</v>
      </c>
      <c r="FE69">
        <v>0.27025667831677247</v>
      </c>
      <c r="FF69">
        <v>0.44421379876350597</v>
      </c>
      <c r="FG69">
        <v>0.42043745306792685</v>
      </c>
      <c r="FH69">
        <v>0.42143065239474742</v>
      </c>
      <c r="FI69">
        <v>0.42110980766975104</v>
      </c>
      <c r="FJ69">
        <v>0.4316969523824688</v>
      </c>
      <c r="FK69">
        <v>0.44654160781556673</v>
      </c>
      <c r="FL69">
        <v>0.44919976514103921</v>
      </c>
      <c r="FM69">
        <v>0.44985388498613355</v>
      </c>
      <c r="FN69">
        <v>0.45361395567290874</v>
      </c>
      <c r="FO69">
        <v>0.45213046340188717</v>
      </c>
      <c r="FQ69" t="s">
        <v>349</v>
      </c>
      <c r="FR69" t="s">
        <v>127</v>
      </c>
      <c r="FS69" t="s">
        <v>128</v>
      </c>
      <c r="FT69">
        <v>0.7795953787507619</v>
      </c>
    </row>
    <row r="70" spans="2:176" x14ac:dyDescent="0.45">
      <c r="B70" t="s">
        <v>326</v>
      </c>
      <c r="C70" t="s">
        <v>123</v>
      </c>
      <c r="D70">
        <v>0.29243465054121442</v>
      </c>
      <c r="E70">
        <v>0.29934702330441293</v>
      </c>
      <c r="F70">
        <v>0.30036748052361006</v>
      </c>
      <c r="G70">
        <v>0.31632975197434171</v>
      </c>
      <c r="H70">
        <v>0.31287817054580741</v>
      </c>
      <c r="I70">
        <v>0.31478323812042946</v>
      </c>
      <c r="J70">
        <v>0.32167770675854079</v>
      </c>
      <c r="K70">
        <v>0.32159173280994324</v>
      </c>
      <c r="L70">
        <v>0.30050347413578687</v>
      </c>
      <c r="M70">
        <v>0.28967730670133957</v>
      </c>
      <c r="N70">
        <v>0.33904327510225352</v>
      </c>
      <c r="O70">
        <v>0.34985309668887798</v>
      </c>
      <c r="P70">
        <v>0.34976030061009683</v>
      </c>
      <c r="Q70">
        <v>0.3392596406020264</v>
      </c>
      <c r="R70">
        <v>0.34315383896407436</v>
      </c>
      <c r="S70">
        <v>0.33558741430565581</v>
      </c>
      <c r="T70">
        <v>0.32718149707992134</v>
      </c>
      <c r="U70">
        <v>0.32406758377106093</v>
      </c>
      <c r="V70">
        <v>0.30818217562419048</v>
      </c>
      <c r="W70">
        <v>0.31760891556008142</v>
      </c>
      <c r="X70">
        <v>0.35920720498317488</v>
      </c>
      <c r="Y70">
        <v>0.3933479914714389</v>
      </c>
      <c r="Z70">
        <v>0.43010750787041657</v>
      </c>
      <c r="AA70">
        <v>0.40168632512842717</v>
      </c>
      <c r="AB70">
        <v>0.38475886614979721</v>
      </c>
      <c r="AC70">
        <v>0.36173265555989192</v>
      </c>
      <c r="AD70">
        <v>0.34598803404242873</v>
      </c>
      <c r="AE70">
        <v>0.35095944533567569</v>
      </c>
      <c r="AF70">
        <v>0.34713429832952108</v>
      </c>
      <c r="AG70">
        <v>0.34156609088677164</v>
      </c>
      <c r="AH70">
        <v>0.3236556628422026</v>
      </c>
      <c r="AI70">
        <v>0.31849500319280599</v>
      </c>
      <c r="AJ70">
        <v>0.31990264611643726</v>
      </c>
      <c r="AK70">
        <v>0.33969819414577768</v>
      </c>
      <c r="AL70">
        <v>0.33892418581281897</v>
      </c>
      <c r="AM70">
        <v>0.33929413829387289</v>
      </c>
      <c r="AN70">
        <v>0.35186605110526181</v>
      </c>
      <c r="AO70">
        <v>0.33506217811843986</v>
      </c>
      <c r="AP70">
        <v>0.33369220500595309</v>
      </c>
      <c r="AQ70">
        <v>0.32424024967314313</v>
      </c>
      <c r="EA70" t="s">
        <v>326</v>
      </c>
      <c r="EB70">
        <v>0.46030582734977393</v>
      </c>
      <c r="EC70">
        <v>0.43431873416648087</v>
      </c>
      <c r="ED70">
        <v>0.44369804644825728</v>
      </c>
      <c r="EE70">
        <v>0.4389356091984517</v>
      </c>
      <c r="EF70">
        <v>0.45395349355405018</v>
      </c>
      <c r="EG70">
        <v>0.46316012070701917</v>
      </c>
      <c r="EH70">
        <v>0.45631121299596156</v>
      </c>
      <c r="EI70">
        <v>0.45200248214412569</v>
      </c>
      <c r="EJ70">
        <v>0.46726978540590325</v>
      </c>
      <c r="EK70">
        <v>0.46781319037103991</v>
      </c>
      <c r="EL70">
        <v>0.35350790847869207</v>
      </c>
      <c r="EM70">
        <v>0.3542683893218399</v>
      </c>
      <c r="EN70">
        <v>0.38137483350001383</v>
      </c>
      <c r="EO70">
        <v>0.41163567057642586</v>
      </c>
      <c r="EP70">
        <v>0.42650564385207224</v>
      </c>
      <c r="EQ70">
        <v>0.43556177010798125</v>
      </c>
      <c r="ER70">
        <v>0.42744436373534334</v>
      </c>
      <c r="ES70">
        <v>0.39239021407882335</v>
      </c>
      <c r="ET70">
        <v>0.38010692750598546</v>
      </c>
      <c r="EU70">
        <v>0.37003554106984515</v>
      </c>
      <c r="EV70">
        <v>0.20448775647871645</v>
      </c>
      <c r="EW70">
        <v>0.18819657999647227</v>
      </c>
      <c r="EX70">
        <v>0.20991102041680265</v>
      </c>
      <c r="EY70">
        <v>0.21379354743635293</v>
      </c>
      <c r="EZ70">
        <v>0.2274412307290761</v>
      </c>
      <c r="FA70">
        <v>0.24694704689845251</v>
      </c>
      <c r="FB70">
        <v>0.25801824390063205</v>
      </c>
      <c r="FC70">
        <v>0.25927114186911571</v>
      </c>
      <c r="FD70">
        <v>0.23925260224344572</v>
      </c>
      <c r="FE70">
        <v>0.22865359261474663</v>
      </c>
      <c r="FF70">
        <v>0.33546852719546172</v>
      </c>
      <c r="FG70">
        <v>0.32199129793383319</v>
      </c>
      <c r="FH70">
        <v>0.33519874858258214</v>
      </c>
      <c r="FI70">
        <v>0.3546791595241322</v>
      </c>
      <c r="FJ70">
        <v>0.37260044039377183</v>
      </c>
      <c r="FK70">
        <v>0.38894489433696255</v>
      </c>
      <c r="FL70">
        <v>0.39088065075126216</v>
      </c>
      <c r="FM70">
        <v>0.37358648988432097</v>
      </c>
      <c r="FN70">
        <v>0.36193856468442398</v>
      </c>
      <c r="FO70">
        <v>0.34688914252459013</v>
      </c>
      <c r="FQ70" t="s">
        <v>351</v>
      </c>
      <c r="FR70" t="s">
        <v>127</v>
      </c>
      <c r="FS70" t="s">
        <v>128</v>
      </c>
      <c r="FT70">
        <v>0.77979969958931328</v>
      </c>
    </row>
    <row r="71" spans="2:176" x14ac:dyDescent="0.45">
      <c r="B71" t="s">
        <v>328</v>
      </c>
      <c r="C71" t="s">
        <v>123</v>
      </c>
      <c r="D71">
        <v>0.23925988397464823</v>
      </c>
      <c r="E71">
        <v>0.23797027254398515</v>
      </c>
      <c r="F71">
        <v>0.23908409862483368</v>
      </c>
      <c r="G71">
        <v>0.25565547184602616</v>
      </c>
      <c r="H71">
        <v>0.26379701906659997</v>
      </c>
      <c r="I71">
        <v>0.2720824749890044</v>
      </c>
      <c r="J71">
        <v>0.27806082436382462</v>
      </c>
      <c r="K71">
        <v>0.27274433838744688</v>
      </c>
      <c r="L71">
        <v>0.26736271450976423</v>
      </c>
      <c r="M71">
        <v>0.25230182628354675</v>
      </c>
      <c r="N71">
        <v>0.29718868923004499</v>
      </c>
      <c r="O71">
        <v>0.30270307072735919</v>
      </c>
      <c r="P71">
        <v>0.30917283095317849</v>
      </c>
      <c r="Q71">
        <v>0.30103343423851281</v>
      </c>
      <c r="R71">
        <v>0.28633795646662391</v>
      </c>
      <c r="S71">
        <v>0.26854224957043821</v>
      </c>
      <c r="T71">
        <v>0.26230143946627488</v>
      </c>
      <c r="U71">
        <v>0.25834351038924513</v>
      </c>
      <c r="V71">
        <v>0.25747026755058089</v>
      </c>
      <c r="W71">
        <v>0.27714255022174522</v>
      </c>
      <c r="X71">
        <v>0.33955451233149891</v>
      </c>
      <c r="Y71">
        <v>0.35167990720955566</v>
      </c>
      <c r="Z71">
        <v>0.37147666841450172</v>
      </c>
      <c r="AA71">
        <v>0.36962243279996487</v>
      </c>
      <c r="AB71">
        <v>0.36557622036910992</v>
      </c>
      <c r="AC71">
        <v>0.34896225729649144</v>
      </c>
      <c r="AD71">
        <v>0.32099133995267748</v>
      </c>
      <c r="AE71">
        <v>0.31464859781355892</v>
      </c>
      <c r="AF71">
        <v>0.29926097321389272</v>
      </c>
      <c r="AG71">
        <v>0.31870792770319967</v>
      </c>
      <c r="AH71">
        <v>0.30489381684324263</v>
      </c>
      <c r="AI71">
        <v>0.31260725383178728</v>
      </c>
      <c r="AJ71">
        <v>0.32036119394203233</v>
      </c>
      <c r="AK71">
        <v>0.33309372028206047</v>
      </c>
      <c r="AL71">
        <v>0.31907158565792504</v>
      </c>
      <c r="AM71">
        <v>0.29737114652435775</v>
      </c>
      <c r="AN71">
        <v>0.30311308612314403</v>
      </c>
      <c r="AO71">
        <v>0.30998781124929581</v>
      </c>
      <c r="AP71">
        <v>0.3137696411690078</v>
      </c>
      <c r="AQ71">
        <v>0.30572370498596957</v>
      </c>
      <c r="EA71" t="s">
        <v>328</v>
      </c>
      <c r="EB71">
        <v>0.56186160225905291</v>
      </c>
      <c r="EC71">
        <v>0.55326516253267544</v>
      </c>
      <c r="ED71">
        <v>0.55761434378885599</v>
      </c>
      <c r="EE71">
        <v>0.53467176037947162</v>
      </c>
      <c r="EF71">
        <v>0.53575198239860955</v>
      </c>
      <c r="EG71">
        <v>0.54741423716555204</v>
      </c>
      <c r="EH71">
        <v>0.54194026554625618</v>
      </c>
      <c r="EI71">
        <v>0.55373621136624962</v>
      </c>
      <c r="EJ71">
        <v>0.56369615020483299</v>
      </c>
      <c r="EK71">
        <v>0.56248154940077144</v>
      </c>
      <c r="EL71">
        <v>0.48441633969465842</v>
      </c>
      <c r="EM71">
        <v>0.47939159147523841</v>
      </c>
      <c r="EN71">
        <v>0.4959455432933737</v>
      </c>
      <c r="EO71">
        <v>0.50759898693029981</v>
      </c>
      <c r="EP71">
        <v>0.5064484837411265</v>
      </c>
      <c r="EQ71">
        <v>0.52221952757754886</v>
      </c>
      <c r="ER71">
        <v>0.5361923265938231</v>
      </c>
      <c r="ES71">
        <v>0.52934189079696969</v>
      </c>
      <c r="ET71">
        <v>0.51465309439022566</v>
      </c>
      <c r="EU71">
        <v>0.48580123453144497</v>
      </c>
      <c r="EV71">
        <v>0.33503087747832405</v>
      </c>
      <c r="EW71">
        <v>0.30875856419463193</v>
      </c>
      <c r="EX71">
        <v>0.30390371213969108</v>
      </c>
      <c r="EY71">
        <v>0.29515586257893167</v>
      </c>
      <c r="EZ71">
        <v>0.29671018851864556</v>
      </c>
      <c r="FA71">
        <v>0.3283396815172267</v>
      </c>
      <c r="FB71">
        <v>0.35594053928926678</v>
      </c>
      <c r="FC71">
        <v>0.36175643231495241</v>
      </c>
      <c r="FD71">
        <v>0.34664985071405019</v>
      </c>
      <c r="FE71">
        <v>0.33423368507440726</v>
      </c>
      <c r="FF71">
        <v>0.44297139962807902</v>
      </c>
      <c r="FG71">
        <v>0.43408184297135993</v>
      </c>
      <c r="FH71">
        <v>0.4418276308709278</v>
      </c>
      <c r="FI71">
        <v>0.44461537898517384</v>
      </c>
      <c r="FJ71">
        <v>0.45927645105727027</v>
      </c>
      <c r="FK71">
        <v>0.489329745793675</v>
      </c>
      <c r="FL71">
        <v>0.4965923276367436</v>
      </c>
      <c r="FM71">
        <v>0.49303540211463404</v>
      </c>
      <c r="FN71">
        <v>0.4760929532315179</v>
      </c>
      <c r="FO71">
        <v>0.4451724712414748</v>
      </c>
      <c r="FQ71" t="s">
        <v>353</v>
      </c>
      <c r="FR71" t="s">
        <v>127</v>
      </c>
      <c r="FS71" t="s">
        <v>128</v>
      </c>
      <c r="FT71">
        <v>0.72011828319926652</v>
      </c>
    </row>
    <row r="72" spans="2:176" x14ac:dyDescent="0.45">
      <c r="B72" t="s">
        <v>330</v>
      </c>
      <c r="C72" t="s">
        <v>123</v>
      </c>
      <c r="D72">
        <v>0.25646885564969696</v>
      </c>
      <c r="E72">
        <v>0.26017667903816738</v>
      </c>
      <c r="F72">
        <v>0.254143105456618</v>
      </c>
      <c r="G72">
        <v>0.27850659579363646</v>
      </c>
      <c r="H72">
        <v>0.29577096522622048</v>
      </c>
      <c r="I72">
        <v>0.28447909997835041</v>
      </c>
      <c r="J72">
        <v>0.29150483425782453</v>
      </c>
      <c r="K72">
        <v>0.28172984017990177</v>
      </c>
      <c r="L72">
        <v>0.27874905349676082</v>
      </c>
      <c r="M72">
        <v>0.26871251902268412</v>
      </c>
      <c r="N72">
        <v>0.29349983757208281</v>
      </c>
      <c r="O72">
        <v>0.31415484311845232</v>
      </c>
      <c r="P72">
        <v>0.32959149089609602</v>
      </c>
      <c r="Q72">
        <v>0.34007185479773738</v>
      </c>
      <c r="R72">
        <v>0.3258722232123763</v>
      </c>
      <c r="S72">
        <v>0.30742472690816641</v>
      </c>
      <c r="T72">
        <v>0.29614037355060879</v>
      </c>
      <c r="U72">
        <v>0.29341217056866314</v>
      </c>
      <c r="V72">
        <v>0.27546256514665118</v>
      </c>
      <c r="W72">
        <v>0.27886898556683654</v>
      </c>
      <c r="X72">
        <v>0.30233641938787875</v>
      </c>
      <c r="Y72">
        <v>0.32387237954082082</v>
      </c>
      <c r="Z72">
        <v>0.36628774016265425</v>
      </c>
      <c r="AA72">
        <v>0.374281695707116</v>
      </c>
      <c r="AB72">
        <v>0.36088484988718278</v>
      </c>
      <c r="AC72">
        <v>0.34441406081253589</v>
      </c>
      <c r="AD72">
        <v>0.31640974651188325</v>
      </c>
      <c r="AE72">
        <v>0.3001789052984386</v>
      </c>
      <c r="AF72">
        <v>0.28567040805176347</v>
      </c>
      <c r="AG72">
        <v>0.26907222771268907</v>
      </c>
      <c r="AH72">
        <v>0.31976357665232036</v>
      </c>
      <c r="AI72">
        <v>0.33649825772968556</v>
      </c>
      <c r="AJ72">
        <v>0.33011974181134995</v>
      </c>
      <c r="AK72">
        <v>0.33048844716926684</v>
      </c>
      <c r="AL72">
        <v>0.33957843466904192</v>
      </c>
      <c r="AM72">
        <v>0.323798832396965</v>
      </c>
      <c r="AN72">
        <v>0.32125454481424676</v>
      </c>
      <c r="AO72">
        <v>0.31473174981135743</v>
      </c>
      <c r="AP72">
        <v>0.31252319165342513</v>
      </c>
      <c r="AQ72">
        <v>0.31815791327190895</v>
      </c>
      <c r="EA72" t="s">
        <v>330</v>
      </c>
      <c r="EB72">
        <v>0.50389713677879366</v>
      </c>
      <c r="EC72">
        <v>0.49000200213560058</v>
      </c>
      <c r="ED72">
        <v>0.49501829283485976</v>
      </c>
      <c r="EE72">
        <v>0.4722720244989338</v>
      </c>
      <c r="EF72">
        <v>0.46645344963775526</v>
      </c>
      <c r="EG72">
        <v>0.4841118443303426</v>
      </c>
      <c r="EH72">
        <v>0.48263556855800388</v>
      </c>
      <c r="EI72">
        <v>0.48946462494899773</v>
      </c>
      <c r="EJ72">
        <v>0.50706175899266714</v>
      </c>
      <c r="EK72">
        <v>0.50402832204713055</v>
      </c>
      <c r="EL72">
        <v>0.42931933726140598</v>
      </c>
      <c r="EM72">
        <v>0.41199458788838361</v>
      </c>
      <c r="EN72">
        <v>0.42157101445478951</v>
      </c>
      <c r="EO72">
        <v>0.43019993434134207</v>
      </c>
      <c r="EP72">
        <v>0.43311331350010523</v>
      </c>
      <c r="EQ72">
        <v>0.45196333412393769</v>
      </c>
      <c r="ER72">
        <v>0.46923430477610634</v>
      </c>
      <c r="ES72">
        <v>0.45351261936222226</v>
      </c>
      <c r="ET72">
        <v>0.45184744667543425</v>
      </c>
      <c r="EU72">
        <v>0.43625808491883594</v>
      </c>
      <c r="EV72">
        <v>0.29613370262137345</v>
      </c>
      <c r="EW72">
        <v>0.27069051299434749</v>
      </c>
      <c r="EX72">
        <v>0.27049614305318703</v>
      </c>
      <c r="EY72">
        <v>0.26542388699605562</v>
      </c>
      <c r="EZ72">
        <v>0.27316196967354822</v>
      </c>
      <c r="FA72">
        <v>0.30537554587433408</v>
      </c>
      <c r="FB72">
        <v>0.3302751359135318</v>
      </c>
      <c r="FC72">
        <v>0.33097275328330122</v>
      </c>
      <c r="FD72">
        <v>0.32697936459152077</v>
      </c>
      <c r="FE72">
        <v>0.31362935869634284</v>
      </c>
      <c r="FF72">
        <v>0.39888706767600757</v>
      </c>
      <c r="FG72">
        <v>0.38889368286392045</v>
      </c>
      <c r="FH72">
        <v>0.39512022269964731</v>
      </c>
      <c r="FI72">
        <v>0.38610965531852981</v>
      </c>
      <c r="FJ72">
        <v>0.40033869718045767</v>
      </c>
      <c r="FK72">
        <v>0.4288117048877505</v>
      </c>
      <c r="FL72">
        <v>0.43212096862769667</v>
      </c>
      <c r="FM72">
        <v>0.4353931303336171</v>
      </c>
      <c r="FN72">
        <v>0.43208941032022752</v>
      </c>
      <c r="FO72">
        <v>0.40808097857873554</v>
      </c>
      <c r="FQ72" t="s">
        <v>355</v>
      </c>
      <c r="FR72" t="s">
        <v>127</v>
      </c>
      <c r="FS72" t="s">
        <v>128</v>
      </c>
      <c r="FT72">
        <v>0.71831904860020435</v>
      </c>
    </row>
    <row r="73" spans="2:176" x14ac:dyDescent="0.45">
      <c r="B73" t="s">
        <v>332</v>
      </c>
      <c r="C73" t="s">
        <v>123</v>
      </c>
      <c r="D73">
        <v>0.23506723952374978</v>
      </c>
      <c r="E73">
        <v>0.23512549567851493</v>
      </c>
      <c r="F73">
        <v>0.24278065629900744</v>
      </c>
      <c r="G73">
        <v>0.2572984063683208</v>
      </c>
      <c r="H73">
        <v>0.28236793580195674</v>
      </c>
      <c r="I73">
        <v>0.27836871836030158</v>
      </c>
      <c r="J73">
        <v>0.26968577604434074</v>
      </c>
      <c r="K73">
        <v>0.25299667382708346</v>
      </c>
      <c r="L73">
        <v>0.24467213075309341</v>
      </c>
      <c r="M73">
        <v>0.23670053377173605</v>
      </c>
      <c r="N73">
        <v>0.26676433685185269</v>
      </c>
      <c r="O73">
        <v>0.26472594355204437</v>
      </c>
      <c r="P73">
        <v>0.27606004637839299</v>
      </c>
      <c r="Q73">
        <v>0.30820826689419967</v>
      </c>
      <c r="R73">
        <v>0.32860840187110868</v>
      </c>
      <c r="S73">
        <v>0.31176881873268525</v>
      </c>
      <c r="T73">
        <v>0.29060279030275898</v>
      </c>
      <c r="U73">
        <v>0.27279375489079982</v>
      </c>
      <c r="V73">
        <v>0.26270113910056991</v>
      </c>
      <c r="W73">
        <v>0.26652436495253878</v>
      </c>
      <c r="X73">
        <v>0.30939611325200161</v>
      </c>
      <c r="Y73">
        <v>0.33274253943053372</v>
      </c>
      <c r="Z73">
        <v>0.35296519814611943</v>
      </c>
      <c r="AA73">
        <v>0.35951199019118768</v>
      </c>
      <c r="AB73">
        <v>0.35803206557327205</v>
      </c>
      <c r="AC73">
        <v>0.34130066635982315</v>
      </c>
      <c r="AD73">
        <v>0.3153719602393894</v>
      </c>
      <c r="AE73">
        <v>0.31122836641443696</v>
      </c>
      <c r="AF73">
        <v>0.29082821299159911</v>
      </c>
      <c r="AG73">
        <v>0.28519853260359934</v>
      </c>
      <c r="AH73">
        <v>0.30289678768611344</v>
      </c>
      <c r="AI73">
        <v>0.32764509740319803</v>
      </c>
      <c r="AJ73">
        <v>0.3305030515479559</v>
      </c>
      <c r="AK73">
        <v>0.32328710875701494</v>
      </c>
      <c r="AL73">
        <v>0.31206856789794335</v>
      </c>
      <c r="AM73">
        <v>0.30072169222322542</v>
      </c>
      <c r="AN73">
        <v>0.28595805613514091</v>
      </c>
      <c r="AO73">
        <v>0.26032399477580265</v>
      </c>
      <c r="AP73">
        <v>0.25488399234569736</v>
      </c>
      <c r="AQ73">
        <v>0.26452085960971361</v>
      </c>
      <c r="EA73" t="s">
        <v>332</v>
      </c>
      <c r="EB73">
        <v>0.56622732757757621</v>
      </c>
      <c r="EC73">
        <v>0.55639110400582925</v>
      </c>
      <c r="ED73">
        <v>0.55008254291347614</v>
      </c>
      <c r="EE73">
        <v>0.53967315778678226</v>
      </c>
      <c r="EF73">
        <v>0.52789605784174598</v>
      </c>
      <c r="EG73">
        <v>0.53856079728399764</v>
      </c>
      <c r="EH73">
        <v>0.54333092032846131</v>
      </c>
      <c r="EI73">
        <v>0.55615666369911099</v>
      </c>
      <c r="EJ73">
        <v>0.57259422675077365</v>
      </c>
      <c r="EK73">
        <v>0.57251342234182345</v>
      </c>
      <c r="EL73">
        <v>0.49850882332374535</v>
      </c>
      <c r="EM73">
        <v>0.49269904747598148</v>
      </c>
      <c r="EN73">
        <v>0.49380107368069603</v>
      </c>
      <c r="EO73">
        <v>0.46746054779432394</v>
      </c>
      <c r="EP73">
        <v>0.45197590108867719</v>
      </c>
      <c r="EQ73">
        <v>0.47167036438571702</v>
      </c>
      <c r="ER73">
        <v>0.4885114298488169</v>
      </c>
      <c r="ES73">
        <v>0.48786103069997994</v>
      </c>
      <c r="ET73">
        <v>0.50833176474515629</v>
      </c>
      <c r="EU73">
        <v>0.5086539842354808</v>
      </c>
      <c r="EV73">
        <v>0.39538782106110759</v>
      </c>
      <c r="EW73">
        <v>0.36567276143017791</v>
      </c>
      <c r="EX73">
        <v>0.35519256546311218</v>
      </c>
      <c r="EY73">
        <v>0.34204037369293466</v>
      </c>
      <c r="EZ73">
        <v>0.35306559399468407</v>
      </c>
      <c r="FA73">
        <v>0.38442440166687364</v>
      </c>
      <c r="FB73">
        <v>0.41195558319632936</v>
      </c>
      <c r="FC73">
        <v>0.41107234119744601</v>
      </c>
      <c r="FD73">
        <v>0.41672349515633916</v>
      </c>
      <c r="FE73">
        <v>0.42635198055905427</v>
      </c>
      <c r="FF73">
        <v>0.49339132421420584</v>
      </c>
      <c r="FG73">
        <v>0.47660782288278469</v>
      </c>
      <c r="FH73">
        <v>0.47421624922992311</v>
      </c>
      <c r="FI73">
        <v>0.47577496076625431</v>
      </c>
      <c r="FJ73">
        <v>0.48148190107504163</v>
      </c>
      <c r="FK73">
        <v>0.49365894095149976</v>
      </c>
      <c r="FL73">
        <v>0.5010150158125789</v>
      </c>
      <c r="FM73">
        <v>0.52067676906103211</v>
      </c>
      <c r="FN73">
        <v>0.53270995317052772</v>
      </c>
      <c r="FO73">
        <v>0.52146551725159729</v>
      </c>
      <c r="FQ73" t="s">
        <v>357</v>
      </c>
      <c r="FR73" t="s">
        <v>127</v>
      </c>
      <c r="FS73" t="s">
        <v>128</v>
      </c>
      <c r="FT73">
        <v>0.67993127245012974</v>
      </c>
    </row>
    <row r="74" spans="2:176" x14ac:dyDescent="0.45">
      <c r="B74" t="s">
        <v>334</v>
      </c>
      <c r="C74" t="s">
        <v>123</v>
      </c>
      <c r="D74">
        <v>0.25714449024312525</v>
      </c>
      <c r="E74">
        <v>0.25558156621867056</v>
      </c>
      <c r="F74">
        <v>0.25749103089614067</v>
      </c>
      <c r="G74">
        <v>0.28187865638829607</v>
      </c>
      <c r="H74">
        <v>0.31267819773543271</v>
      </c>
      <c r="I74">
        <v>0.30466102617947394</v>
      </c>
      <c r="J74">
        <v>0.30098581084005216</v>
      </c>
      <c r="K74">
        <v>0.28657316544568084</v>
      </c>
      <c r="L74">
        <v>0.2709025544979855</v>
      </c>
      <c r="M74">
        <v>0.26395122371644858</v>
      </c>
      <c r="N74">
        <v>0.29663699176000907</v>
      </c>
      <c r="O74">
        <v>0.30190721267427523</v>
      </c>
      <c r="P74">
        <v>0.32915655323941145</v>
      </c>
      <c r="Q74">
        <v>0.33810707476175716</v>
      </c>
      <c r="R74">
        <v>0.34469625428101686</v>
      </c>
      <c r="S74">
        <v>0.32724232909712098</v>
      </c>
      <c r="T74">
        <v>0.31532248152177478</v>
      </c>
      <c r="U74">
        <v>0.30701171091513191</v>
      </c>
      <c r="V74">
        <v>0.28851344580936217</v>
      </c>
      <c r="W74">
        <v>0.28407872832205477</v>
      </c>
      <c r="X74">
        <v>0.29401632151928414</v>
      </c>
      <c r="Y74">
        <v>0.32099183717740032</v>
      </c>
      <c r="Z74">
        <v>0.37653376082242734</v>
      </c>
      <c r="AA74">
        <v>0.37078850745780495</v>
      </c>
      <c r="AB74">
        <v>0.36787259876140044</v>
      </c>
      <c r="AC74">
        <v>0.3509261911873115</v>
      </c>
      <c r="AD74">
        <v>0.33406952278388519</v>
      </c>
      <c r="AE74">
        <v>0.32932787974137295</v>
      </c>
      <c r="AF74">
        <v>0.31119714328841763</v>
      </c>
      <c r="AG74">
        <v>0.28420760376259158</v>
      </c>
      <c r="AH74">
        <v>0.30296490832281031</v>
      </c>
      <c r="AI74">
        <v>0.31301801868720452</v>
      </c>
      <c r="AJ74">
        <v>0.31871109934646114</v>
      </c>
      <c r="AK74">
        <v>0.34136267341667237</v>
      </c>
      <c r="AL74">
        <v>0.35846989618224323</v>
      </c>
      <c r="AM74">
        <v>0.35299919895434567</v>
      </c>
      <c r="AN74">
        <v>0.34171346395015384</v>
      </c>
      <c r="AO74">
        <v>0.3105156813817691</v>
      </c>
      <c r="AP74">
        <v>0.2855622086056106</v>
      </c>
      <c r="AQ74">
        <v>0.28503102312817263</v>
      </c>
      <c r="EA74" t="s">
        <v>334</v>
      </c>
      <c r="EB74">
        <v>0.49107125733332108</v>
      </c>
      <c r="EC74">
        <v>0.47396850011151942</v>
      </c>
      <c r="ED74">
        <v>0.4743256705617761</v>
      </c>
      <c r="EE74">
        <v>0.45183289754872291</v>
      </c>
      <c r="EF74">
        <v>0.44494576181713652</v>
      </c>
      <c r="EG74">
        <v>0.46290559412988869</v>
      </c>
      <c r="EH74">
        <v>0.46413523006260737</v>
      </c>
      <c r="EI74">
        <v>0.47935043101816571</v>
      </c>
      <c r="EJ74">
        <v>0.49339760066231114</v>
      </c>
      <c r="EK74">
        <v>0.49441622229317661</v>
      </c>
      <c r="EL74">
        <v>0.40846127806395144</v>
      </c>
      <c r="EM74">
        <v>0.39374967181539772</v>
      </c>
      <c r="EN74">
        <v>0.39808311553846393</v>
      </c>
      <c r="EO74">
        <v>0.40133188133337067</v>
      </c>
      <c r="EP74">
        <v>0.40092535213746727</v>
      </c>
      <c r="EQ74">
        <v>0.42399232931210523</v>
      </c>
      <c r="ER74">
        <v>0.43136594421200081</v>
      </c>
      <c r="ES74">
        <v>0.40977718900923571</v>
      </c>
      <c r="ET74">
        <v>0.42104666679872044</v>
      </c>
      <c r="EU74">
        <v>0.42076486952676168</v>
      </c>
      <c r="EV74">
        <v>0.29259341169130354</v>
      </c>
      <c r="EW74">
        <v>0.26588361456030191</v>
      </c>
      <c r="EX74">
        <v>0.25670733712928223</v>
      </c>
      <c r="EY74">
        <v>0.24254265112154075</v>
      </c>
      <c r="EZ74">
        <v>0.25524080532170762</v>
      </c>
      <c r="FA74">
        <v>0.28092553784260593</v>
      </c>
      <c r="FB74">
        <v>0.2965307546654371</v>
      </c>
      <c r="FC74">
        <v>0.28855288478082736</v>
      </c>
      <c r="FD74">
        <v>0.29633313246760989</v>
      </c>
      <c r="FE74">
        <v>0.30659275163133409</v>
      </c>
      <c r="FF74">
        <v>0.42166952381035605</v>
      </c>
      <c r="FG74">
        <v>0.4089771891440786</v>
      </c>
      <c r="FH74">
        <v>0.39966858739422412</v>
      </c>
      <c r="FI74">
        <v>0.3801564747285317</v>
      </c>
      <c r="FJ74">
        <v>0.38731665238897722</v>
      </c>
      <c r="FK74">
        <v>0.4074527110699861</v>
      </c>
      <c r="FL74">
        <v>0.40308733266433427</v>
      </c>
      <c r="FM74">
        <v>0.41232775518590542</v>
      </c>
      <c r="FN74">
        <v>0.43386246511926235</v>
      </c>
      <c r="FO74">
        <v>0.42944909814237348</v>
      </c>
      <c r="FQ74" t="s">
        <v>359</v>
      </c>
      <c r="FR74" t="s">
        <v>127</v>
      </c>
      <c r="FS74" t="s">
        <v>128</v>
      </c>
      <c r="FT74">
        <v>0.70732046601904008</v>
      </c>
    </row>
    <row r="75" spans="2:176" x14ac:dyDescent="0.45">
      <c r="B75" t="s">
        <v>336</v>
      </c>
      <c r="C75" t="s">
        <v>123</v>
      </c>
      <c r="D75">
        <v>0.2527596600583667</v>
      </c>
      <c r="E75">
        <v>0.25572587565750504</v>
      </c>
      <c r="F75">
        <v>0.25661503735330216</v>
      </c>
      <c r="G75">
        <v>0.25686415228699755</v>
      </c>
      <c r="H75">
        <v>0.26262998844372093</v>
      </c>
      <c r="I75">
        <v>0.25934447809839667</v>
      </c>
      <c r="J75">
        <v>0.26233672072608744</v>
      </c>
      <c r="K75">
        <v>0.2542495228818194</v>
      </c>
      <c r="L75">
        <v>0.24712235987123396</v>
      </c>
      <c r="M75">
        <v>0.24855978856074587</v>
      </c>
      <c r="N75">
        <v>0.30179945406352293</v>
      </c>
      <c r="O75">
        <v>0.28608935578798633</v>
      </c>
      <c r="P75">
        <v>0.28822425139001534</v>
      </c>
      <c r="Q75">
        <v>0.2864175790944653</v>
      </c>
      <c r="R75">
        <v>0.29046494792523464</v>
      </c>
      <c r="S75">
        <v>0.28986898891261587</v>
      </c>
      <c r="T75">
        <v>0.28594999818958722</v>
      </c>
      <c r="U75">
        <v>0.2959733467168647</v>
      </c>
      <c r="V75">
        <v>0.3046664428172598</v>
      </c>
      <c r="W75">
        <v>0.30067640524060624</v>
      </c>
      <c r="X75">
        <v>0.39070663433978908</v>
      </c>
      <c r="Y75">
        <v>0.38922312181929147</v>
      </c>
      <c r="Z75">
        <v>0.42177448590056704</v>
      </c>
      <c r="AA75">
        <v>0.43197407809761462</v>
      </c>
      <c r="AB75">
        <v>0.40452851800888756</v>
      </c>
      <c r="AC75">
        <v>0.39063846250560386</v>
      </c>
      <c r="AD75">
        <v>0.38513497160862176</v>
      </c>
      <c r="AE75">
        <v>0.3884917588893107</v>
      </c>
      <c r="AF75">
        <v>0.37990532830617563</v>
      </c>
      <c r="AG75">
        <v>0.36445251203884033</v>
      </c>
      <c r="AH75">
        <v>0.29528510840788208</v>
      </c>
      <c r="AI75">
        <v>0.29559292192429731</v>
      </c>
      <c r="AJ75">
        <v>0.29465996985513793</v>
      </c>
      <c r="AK75">
        <v>0.29300855244301327</v>
      </c>
      <c r="AL75">
        <v>0.30055272722038084</v>
      </c>
      <c r="AM75">
        <v>0.3095281111796066</v>
      </c>
      <c r="AN75">
        <v>0.31439344569613153</v>
      </c>
      <c r="AO75">
        <v>0.29173648654691942</v>
      </c>
      <c r="AP75">
        <v>0.28442048906494616</v>
      </c>
      <c r="AQ75">
        <v>0.2913088303116903</v>
      </c>
      <c r="EA75" t="s">
        <v>336</v>
      </c>
      <c r="EB75">
        <v>0.53520032190030054</v>
      </c>
      <c r="EC75">
        <v>0.51584349166990318</v>
      </c>
      <c r="ED75">
        <v>0.51143314221423197</v>
      </c>
      <c r="EE75">
        <v>0.51854536522268224</v>
      </c>
      <c r="EF75">
        <v>0.52477384326976839</v>
      </c>
      <c r="EG75">
        <v>0.54354210699050187</v>
      </c>
      <c r="EH75">
        <v>0.54395810092056895</v>
      </c>
      <c r="EI75">
        <v>0.5445712461302149</v>
      </c>
      <c r="EJ75">
        <v>0.55319892907319246</v>
      </c>
      <c r="EK75">
        <v>0.56611266181093578</v>
      </c>
      <c r="EL75">
        <v>0.42811257154625909</v>
      </c>
      <c r="EM75">
        <v>0.43119948204810599</v>
      </c>
      <c r="EN75">
        <v>0.43486645218871783</v>
      </c>
      <c r="EO75">
        <v>0.47311357523241965</v>
      </c>
      <c r="EP75">
        <v>0.48053235249851295</v>
      </c>
      <c r="EQ75">
        <v>0.48145802281143668</v>
      </c>
      <c r="ER75">
        <v>0.47715879823115143</v>
      </c>
      <c r="ES75">
        <v>0.45081756442254922</v>
      </c>
      <c r="ET75">
        <v>0.42575033023685133</v>
      </c>
      <c r="EU75">
        <v>0.42587995669204409</v>
      </c>
      <c r="EV75">
        <v>0.2111691688875123</v>
      </c>
      <c r="EW75">
        <v>0.21665733580008861</v>
      </c>
      <c r="EX75">
        <v>0.22855383839810597</v>
      </c>
      <c r="EY75">
        <v>0.23698267823918606</v>
      </c>
      <c r="EZ75">
        <v>0.24144612087669493</v>
      </c>
      <c r="FA75">
        <v>0.25366281502848592</v>
      </c>
      <c r="FB75">
        <v>0.25037121470966084</v>
      </c>
      <c r="FC75">
        <v>0.23169215822271266</v>
      </c>
      <c r="FD75">
        <v>0.20836427018798015</v>
      </c>
      <c r="FE75">
        <v>0.2055933898214698</v>
      </c>
      <c r="FF75">
        <v>0.37264786546068357</v>
      </c>
      <c r="FG75">
        <v>0.38533352018374784</v>
      </c>
      <c r="FH75">
        <v>0.40172419340962845</v>
      </c>
      <c r="FI75">
        <v>0.42046202689289297</v>
      </c>
      <c r="FJ75">
        <v>0.42210525332666166</v>
      </c>
      <c r="FK75">
        <v>0.4179189873844032</v>
      </c>
      <c r="FL75">
        <v>0.40054959017445146</v>
      </c>
      <c r="FM75">
        <v>0.37154215968458731</v>
      </c>
      <c r="FN75">
        <v>0.37171154419534747</v>
      </c>
      <c r="FO75">
        <v>0.37515022365164147</v>
      </c>
      <c r="FQ75" t="s">
        <v>360</v>
      </c>
      <c r="FR75" t="s">
        <v>127</v>
      </c>
      <c r="FS75" t="s">
        <v>128</v>
      </c>
      <c r="FT75">
        <v>0.64833385117380615</v>
      </c>
    </row>
    <row r="76" spans="2:176" x14ac:dyDescent="0.45">
      <c r="B76" t="s">
        <v>338</v>
      </c>
      <c r="C76" t="s">
        <v>123</v>
      </c>
      <c r="D76">
        <v>0.16171158140807435</v>
      </c>
      <c r="E76">
        <v>0.16563340447890787</v>
      </c>
      <c r="F76">
        <v>0.16951761532871346</v>
      </c>
      <c r="G76">
        <v>0.17869732158990159</v>
      </c>
      <c r="H76">
        <v>0.19112298318450768</v>
      </c>
      <c r="I76">
        <v>0.1998638314259861</v>
      </c>
      <c r="J76">
        <v>0.19881692545592522</v>
      </c>
      <c r="K76">
        <v>0.18747429711424948</v>
      </c>
      <c r="L76">
        <v>0.16798667469355297</v>
      </c>
      <c r="M76">
        <v>0.16805999075433645</v>
      </c>
      <c r="N76">
        <v>0.24465281026955968</v>
      </c>
      <c r="O76">
        <v>0.24964919804993782</v>
      </c>
      <c r="P76">
        <v>0.2393682366612663</v>
      </c>
      <c r="Q76">
        <v>0.23323505443086737</v>
      </c>
      <c r="R76">
        <v>0.23998257733682685</v>
      </c>
      <c r="S76">
        <v>0.23945960896178228</v>
      </c>
      <c r="T76">
        <v>0.23847030064405941</v>
      </c>
      <c r="U76">
        <v>0.2356213768445565</v>
      </c>
      <c r="V76">
        <v>0.22842111081372721</v>
      </c>
      <c r="W76">
        <v>0.22616498173603208</v>
      </c>
      <c r="X76">
        <v>0.35026517955661784</v>
      </c>
      <c r="Y76">
        <v>0.35927664084896332</v>
      </c>
      <c r="Z76">
        <v>0.37021910298190402</v>
      </c>
      <c r="AA76">
        <v>0.37430096004436902</v>
      </c>
      <c r="AB76">
        <v>0.36901318547137246</v>
      </c>
      <c r="AC76">
        <v>0.35619742950126532</v>
      </c>
      <c r="AD76">
        <v>0.3359278495478546</v>
      </c>
      <c r="AE76">
        <v>0.32921772435156532</v>
      </c>
      <c r="AF76">
        <v>0.32872981803115708</v>
      </c>
      <c r="AG76">
        <v>0.32937081847794419</v>
      </c>
      <c r="AH76">
        <v>0.23690537393222441</v>
      </c>
      <c r="AI76">
        <v>0.2385735145914005</v>
      </c>
      <c r="AJ76">
        <v>0.24167257277147974</v>
      </c>
      <c r="AK76">
        <v>0.2359626692174073</v>
      </c>
      <c r="AL76">
        <v>0.23948606428836247</v>
      </c>
      <c r="AM76">
        <v>0.23682619124205123</v>
      </c>
      <c r="AN76">
        <v>0.23226023466414392</v>
      </c>
      <c r="AO76">
        <v>0.22641001712710773</v>
      </c>
      <c r="AP76">
        <v>0.21867372672336408</v>
      </c>
      <c r="AQ76">
        <v>0.22156335688448889</v>
      </c>
      <c r="EA76" t="s">
        <v>338</v>
      </c>
      <c r="EB76">
        <v>0.71005210121279783</v>
      </c>
      <c r="EC76">
        <v>0.69395580086907604</v>
      </c>
      <c r="ED76">
        <v>0.69085237131962673</v>
      </c>
      <c r="EE76">
        <v>0.68918502718657948</v>
      </c>
      <c r="EF76">
        <v>0.68361733362376298</v>
      </c>
      <c r="EG76">
        <v>0.6877768883098595</v>
      </c>
      <c r="EH76">
        <v>0.68950596015540455</v>
      </c>
      <c r="EI76">
        <v>0.69539149614716367</v>
      </c>
      <c r="EJ76">
        <v>0.71255695068486047</v>
      </c>
      <c r="EK76">
        <v>0.71371331479877431</v>
      </c>
      <c r="EL76">
        <v>0.57971234885601119</v>
      </c>
      <c r="EM76">
        <v>0.57439922549664313</v>
      </c>
      <c r="EN76">
        <v>0.58161593001027889</v>
      </c>
      <c r="EO76">
        <v>0.59065264830814446</v>
      </c>
      <c r="EP76">
        <v>0.58881919503699254</v>
      </c>
      <c r="EQ76">
        <v>0.58722604912475251</v>
      </c>
      <c r="ER76">
        <v>0.5860446755650367</v>
      </c>
      <c r="ES76">
        <v>0.58171778251639161</v>
      </c>
      <c r="ET76">
        <v>0.58623225007443458</v>
      </c>
      <c r="EU76">
        <v>0.59051592464144997</v>
      </c>
      <c r="EV76">
        <v>0.32894861425714511</v>
      </c>
      <c r="EW76">
        <v>0.33099158104137044</v>
      </c>
      <c r="EX76">
        <v>0.33938500637246982</v>
      </c>
      <c r="EY76">
        <v>0.33312526862797937</v>
      </c>
      <c r="EZ76">
        <v>0.32653399221491441</v>
      </c>
      <c r="FA76">
        <v>0.33474905589008858</v>
      </c>
      <c r="FB76">
        <v>0.34029223108673706</v>
      </c>
      <c r="FC76">
        <v>0.33941080156778231</v>
      </c>
      <c r="FD76">
        <v>0.33232337154556119</v>
      </c>
      <c r="FE76">
        <v>0.3268376483940415</v>
      </c>
      <c r="FF76">
        <v>0.56162573895502932</v>
      </c>
      <c r="FG76">
        <v>0.56669102338416955</v>
      </c>
      <c r="FH76">
        <v>0.57678038921995878</v>
      </c>
      <c r="FI76">
        <v>0.5862869626443874</v>
      </c>
      <c r="FJ76">
        <v>0.57886167118340637</v>
      </c>
      <c r="FK76">
        <v>0.57129225509286086</v>
      </c>
      <c r="FL76">
        <v>0.56487019962857454</v>
      </c>
      <c r="FM76">
        <v>0.56331607096821212</v>
      </c>
      <c r="FN76">
        <v>0.57062675496235526</v>
      </c>
      <c r="FO76">
        <v>0.57220944821431652</v>
      </c>
      <c r="FQ76" t="s">
        <v>361</v>
      </c>
      <c r="FR76" t="s">
        <v>127</v>
      </c>
      <c r="FS76" t="s">
        <v>128</v>
      </c>
      <c r="FT76">
        <v>0.64238182999785509</v>
      </c>
    </row>
    <row r="77" spans="2:176" x14ac:dyDescent="0.45">
      <c r="B77" t="s">
        <v>340</v>
      </c>
      <c r="C77" t="s">
        <v>123</v>
      </c>
      <c r="D77">
        <v>0.26794139501027242</v>
      </c>
      <c r="E77">
        <v>0.25707238764588569</v>
      </c>
      <c r="F77">
        <v>0.25472909091093621</v>
      </c>
      <c r="G77">
        <v>0.2579479188832231</v>
      </c>
      <c r="H77">
        <v>0.2690579429967726</v>
      </c>
      <c r="I77">
        <v>0.26994165648304103</v>
      </c>
      <c r="J77">
        <v>0.26969936098546571</v>
      </c>
      <c r="K77">
        <v>0.26474530336727986</v>
      </c>
      <c r="L77">
        <v>0.26452624126079854</v>
      </c>
      <c r="M77">
        <v>0.27417665117479906</v>
      </c>
      <c r="N77">
        <v>0.31279626294376517</v>
      </c>
      <c r="O77">
        <v>0.30217844728977289</v>
      </c>
      <c r="P77">
        <v>0.30990594888092543</v>
      </c>
      <c r="Q77">
        <v>0.3047728942690261</v>
      </c>
      <c r="R77">
        <v>0.30124900153667888</v>
      </c>
      <c r="S77">
        <v>0.30128922905341587</v>
      </c>
      <c r="T77">
        <v>0.3031868634797163</v>
      </c>
      <c r="U77">
        <v>0.30210893948332007</v>
      </c>
      <c r="V77">
        <v>0.2979045780145726</v>
      </c>
      <c r="W77">
        <v>0.29789975432280902</v>
      </c>
      <c r="X77">
        <v>0.37852079114609649</v>
      </c>
      <c r="Y77">
        <v>0.38716093025001208</v>
      </c>
      <c r="Z77">
        <v>0.42715644116190249</v>
      </c>
      <c r="AA77">
        <v>0.42506030587851534</v>
      </c>
      <c r="AB77">
        <v>0.41826123614398747</v>
      </c>
      <c r="AC77">
        <v>0.39871431586830453</v>
      </c>
      <c r="AD77">
        <v>0.37315753779000371</v>
      </c>
      <c r="AE77">
        <v>0.35229279016277909</v>
      </c>
      <c r="AF77">
        <v>0.32675531548908865</v>
      </c>
      <c r="AG77">
        <v>0.32808741801979469</v>
      </c>
      <c r="AH77">
        <v>0.24810274529120188</v>
      </c>
      <c r="AI77">
        <v>0.26681858476198456</v>
      </c>
      <c r="AJ77">
        <v>0.27401946338349592</v>
      </c>
      <c r="AK77">
        <v>0.27199857132975774</v>
      </c>
      <c r="AL77">
        <v>0.27556115972959194</v>
      </c>
      <c r="AM77">
        <v>0.28026543729692283</v>
      </c>
      <c r="AN77">
        <v>0.26111852751269776</v>
      </c>
      <c r="AO77">
        <v>0.24945642191117007</v>
      </c>
      <c r="AP77">
        <v>0.23634648940142794</v>
      </c>
      <c r="AQ77">
        <v>0.23116370605851516</v>
      </c>
      <c r="EA77" t="s">
        <v>340</v>
      </c>
      <c r="EB77">
        <v>0.57693987175714301</v>
      </c>
      <c r="EC77">
        <v>0.56693326322055493</v>
      </c>
      <c r="ED77">
        <v>0.57213272133149584</v>
      </c>
      <c r="EE77">
        <v>0.57326586660754264</v>
      </c>
      <c r="EF77">
        <v>0.56787623240856111</v>
      </c>
      <c r="EG77">
        <v>0.56569816126447825</v>
      </c>
      <c r="EH77">
        <v>0.55945486668653899</v>
      </c>
      <c r="EI77">
        <v>0.57044956072323627</v>
      </c>
      <c r="EJ77">
        <v>0.58531922913849488</v>
      </c>
      <c r="EK77">
        <v>0.58589597949066097</v>
      </c>
      <c r="EL77">
        <v>0.43718311846746305</v>
      </c>
      <c r="EM77">
        <v>0.45225119066259017</v>
      </c>
      <c r="EN77">
        <v>0.47262581825013406</v>
      </c>
      <c r="EO77">
        <v>0.49303529944148872</v>
      </c>
      <c r="EP77">
        <v>0.48323241959479901</v>
      </c>
      <c r="EQ77">
        <v>0.48351818979355898</v>
      </c>
      <c r="ER77">
        <v>0.48233825482052678</v>
      </c>
      <c r="ES77">
        <v>0.45857837071298152</v>
      </c>
      <c r="ET77">
        <v>0.43899237881510933</v>
      </c>
      <c r="EU77">
        <v>0.4361414472053482</v>
      </c>
      <c r="EV77">
        <v>0.23601346497501274</v>
      </c>
      <c r="EW77">
        <v>0.2219413179613251</v>
      </c>
      <c r="EX77">
        <v>0.23010968308022139</v>
      </c>
      <c r="EY77">
        <v>0.24481743824135579</v>
      </c>
      <c r="EZ77">
        <v>0.25584082426405458</v>
      </c>
      <c r="FA77">
        <v>0.27401247127969108</v>
      </c>
      <c r="FB77">
        <v>0.29791727072642538</v>
      </c>
      <c r="FC77">
        <v>0.28774125914920434</v>
      </c>
      <c r="FD77">
        <v>0.26915463706521292</v>
      </c>
      <c r="FE77">
        <v>0.25895620813181508</v>
      </c>
      <c r="FF77">
        <v>0.50704371852111529</v>
      </c>
      <c r="FG77">
        <v>0.47937831524255753</v>
      </c>
      <c r="FH77">
        <v>0.47438711166570691</v>
      </c>
      <c r="FI77">
        <v>0.49145604828858841</v>
      </c>
      <c r="FJ77">
        <v>0.50061224200105003</v>
      </c>
      <c r="FK77">
        <v>0.5124199609868122</v>
      </c>
      <c r="FL77">
        <v>0.51556914306915635</v>
      </c>
      <c r="FM77">
        <v>0.50921339417593281</v>
      </c>
      <c r="FN77">
        <v>0.50976063877343847</v>
      </c>
      <c r="FO77">
        <v>0.51487560367435192</v>
      </c>
      <c r="FQ77" t="s">
        <v>362</v>
      </c>
      <c r="FR77" t="s">
        <v>127</v>
      </c>
      <c r="FS77" t="s">
        <v>128</v>
      </c>
      <c r="FT77">
        <v>0.6830415534569716</v>
      </c>
    </row>
    <row r="78" spans="2:176" x14ac:dyDescent="0.45">
      <c r="B78" t="s">
        <v>342</v>
      </c>
      <c r="C78" t="s">
        <v>123</v>
      </c>
      <c r="D78">
        <v>0.28404696563369036</v>
      </c>
      <c r="E78">
        <v>0.28565816069266053</v>
      </c>
      <c r="F78">
        <v>0.28503656845560038</v>
      </c>
      <c r="G78">
        <v>0.28280449449210993</v>
      </c>
      <c r="H78">
        <v>0.28203267022023282</v>
      </c>
      <c r="I78">
        <v>0.28093116500555421</v>
      </c>
      <c r="J78">
        <v>0.29414602349113617</v>
      </c>
      <c r="K78">
        <v>0.2956551863765351</v>
      </c>
      <c r="L78">
        <v>0.30138746210742773</v>
      </c>
      <c r="M78">
        <v>0.29613181494122054</v>
      </c>
      <c r="N78">
        <v>0.37250549855462772</v>
      </c>
      <c r="O78">
        <v>0.36951169454984145</v>
      </c>
      <c r="P78">
        <v>0.3716247572749054</v>
      </c>
      <c r="Q78">
        <v>0.33537635458969461</v>
      </c>
      <c r="R78">
        <v>0.33252350198433023</v>
      </c>
      <c r="S78">
        <v>0.32962836603280976</v>
      </c>
      <c r="T78">
        <v>0.33092587629925502</v>
      </c>
      <c r="U78">
        <v>0.35058777294432192</v>
      </c>
      <c r="V78">
        <v>0.35763071434141286</v>
      </c>
      <c r="W78">
        <v>0.37341619607520349</v>
      </c>
      <c r="X78">
        <v>0.38926179238100156</v>
      </c>
      <c r="Y78">
        <v>0.40817264078981103</v>
      </c>
      <c r="Z78">
        <v>0.43561440126119683</v>
      </c>
      <c r="AA78">
        <v>0.43567887886535611</v>
      </c>
      <c r="AB78">
        <v>0.42092463508173478</v>
      </c>
      <c r="AC78">
        <v>0.40382251892131371</v>
      </c>
      <c r="AD78">
        <v>0.38027830993010192</v>
      </c>
      <c r="AE78">
        <v>0.36721660036779635</v>
      </c>
      <c r="AF78">
        <v>0.36611466601646359</v>
      </c>
      <c r="AG78">
        <v>0.37061623371368185</v>
      </c>
      <c r="AH78">
        <v>0.29793853766821049</v>
      </c>
      <c r="AI78">
        <v>0.31402525074897647</v>
      </c>
      <c r="AJ78">
        <v>0.32067670617161198</v>
      </c>
      <c r="AK78">
        <v>0.31594965764914501</v>
      </c>
      <c r="AL78">
        <v>0.30737066602260227</v>
      </c>
      <c r="AM78">
        <v>0.30172303181308224</v>
      </c>
      <c r="AN78">
        <v>0.3192151423141158</v>
      </c>
      <c r="AO78">
        <v>0.30886760192926999</v>
      </c>
      <c r="AP78">
        <v>0.29659201684293723</v>
      </c>
      <c r="AQ78">
        <v>0.28839924594543354</v>
      </c>
      <c r="EA78" t="s">
        <v>342</v>
      </c>
      <c r="EB78">
        <v>0.54070822237067473</v>
      </c>
      <c r="EC78">
        <v>0.52606631018530436</v>
      </c>
      <c r="ED78">
        <v>0.52333803257476619</v>
      </c>
      <c r="EE78">
        <v>0.51119099414707447</v>
      </c>
      <c r="EF78">
        <v>0.5020033707168311</v>
      </c>
      <c r="EG78">
        <v>0.51368952149585945</v>
      </c>
      <c r="EH78">
        <v>0.50263368325511659</v>
      </c>
      <c r="EI78">
        <v>0.50010033760221839</v>
      </c>
      <c r="EJ78">
        <v>0.51705612404472312</v>
      </c>
      <c r="EK78">
        <v>0.52931996002803217</v>
      </c>
      <c r="EL78">
        <v>0.36390930392501503</v>
      </c>
      <c r="EM78">
        <v>0.34821005239617459</v>
      </c>
      <c r="EN78">
        <v>0.35623596272778929</v>
      </c>
      <c r="EO78">
        <v>0.38200974403864385</v>
      </c>
      <c r="EP78">
        <v>0.39915351797048065</v>
      </c>
      <c r="EQ78">
        <v>0.39780171743812631</v>
      </c>
      <c r="ER78">
        <v>0.39573601784528101</v>
      </c>
      <c r="ES78">
        <v>0.3684576506512523</v>
      </c>
      <c r="ET78">
        <v>0.35091881528004665</v>
      </c>
      <c r="EU78">
        <v>0.36093589350611205</v>
      </c>
      <c r="EV78">
        <v>0.16221478733611078</v>
      </c>
      <c r="EW78">
        <v>0.15681782023797702</v>
      </c>
      <c r="EX78">
        <v>0.16717496066239548</v>
      </c>
      <c r="EY78">
        <v>0.19088850704237784</v>
      </c>
      <c r="EZ78">
        <v>0.20780388958412044</v>
      </c>
      <c r="FA78">
        <v>0.22276528009252536</v>
      </c>
      <c r="FB78">
        <v>0.2306430221776159</v>
      </c>
      <c r="FC78">
        <v>0.20694065315146834</v>
      </c>
      <c r="FD78">
        <v>0.18317588741586208</v>
      </c>
      <c r="FE78">
        <v>0.16717981760265535</v>
      </c>
      <c r="FF78">
        <v>0.42228171505107903</v>
      </c>
      <c r="FG78">
        <v>0.41567817016038838</v>
      </c>
      <c r="FH78">
        <v>0.40383190384578804</v>
      </c>
      <c r="FI78">
        <v>0.41184791820990219</v>
      </c>
      <c r="FJ78">
        <v>0.433806267533073</v>
      </c>
      <c r="FK78">
        <v>0.44066318155610701</v>
      </c>
      <c r="FL78">
        <v>0.43744066623763056</v>
      </c>
      <c r="FM78">
        <v>0.42450432570512164</v>
      </c>
      <c r="FN78">
        <v>0.42721771625871308</v>
      </c>
      <c r="FO78">
        <v>0.42581655613071667</v>
      </c>
      <c r="FQ78" t="s">
        <v>363</v>
      </c>
      <c r="FR78" t="s">
        <v>127</v>
      </c>
      <c r="FS78" t="s">
        <v>128</v>
      </c>
      <c r="FT78">
        <v>0.6585853352598916</v>
      </c>
    </row>
    <row r="79" spans="2:176" x14ac:dyDescent="0.45">
      <c r="B79" t="s">
        <v>344</v>
      </c>
      <c r="C79" t="s">
        <v>123</v>
      </c>
      <c r="D79">
        <v>0.26928796879242611</v>
      </c>
      <c r="E79">
        <v>0.26444586587794361</v>
      </c>
      <c r="F79">
        <v>0.25325612536258202</v>
      </c>
      <c r="G79">
        <v>0.26078189972329718</v>
      </c>
      <c r="H79">
        <v>0.27756692378863485</v>
      </c>
      <c r="I79">
        <v>0.287750536074038</v>
      </c>
      <c r="J79">
        <v>0.28552967693000991</v>
      </c>
      <c r="K79">
        <v>0.2685791269694256</v>
      </c>
      <c r="L79">
        <v>0.25719561751017461</v>
      </c>
      <c r="M79">
        <v>0.26488424017364331</v>
      </c>
      <c r="N79">
        <v>0.29927524923542648</v>
      </c>
      <c r="O79">
        <v>0.31218934028284678</v>
      </c>
      <c r="P79">
        <v>0.32588632087385883</v>
      </c>
      <c r="Q79">
        <v>0.31454632157239104</v>
      </c>
      <c r="R79">
        <v>0.30345998410976743</v>
      </c>
      <c r="S79">
        <v>0.29737331215648588</v>
      </c>
      <c r="T79">
        <v>0.29019185426103611</v>
      </c>
      <c r="U79">
        <v>0.29017673058038995</v>
      </c>
      <c r="V79">
        <v>0.28150134643632119</v>
      </c>
      <c r="W79">
        <v>0.28145461652009396</v>
      </c>
      <c r="X79">
        <v>0.37971445587162544</v>
      </c>
      <c r="Y79">
        <v>0.40379878258653645</v>
      </c>
      <c r="Z79">
        <v>0.42699338540461723</v>
      </c>
      <c r="AA79">
        <v>0.42523947001543783</v>
      </c>
      <c r="AB79">
        <v>0.41571204686785895</v>
      </c>
      <c r="AC79">
        <v>0.39125265627222744</v>
      </c>
      <c r="AD79">
        <v>0.38210140825036826</v>
      </c>
      <c r="AE79">
        <v>0.38389903146909793</v>
      </c>
      <c r="AF79">
        <v>0.36979425307231917</v>
      </c>
      <c r="AG79">
        <v>0.36132091455681536</v>
      </c>
      <c r="AH79">
        <v>0.27450059887197986</v>
      </c>
      <c r="AI79">
        <v>0.27458155540397705</v>
      </c>
      <c r="AJ79">
        <v>0.26983354867593645</v>
      </c>
      <c r="AK79">
        <v>0.27258358214732642</v>
      </c>
      <c r="AL79">
        <v>0.27941697046461839</v>
      </c>
      <c r="AM79">
        <v>0.27272547193084418</v>
      </c>
      <c r="AN79">
        <v>0.26164482966185976</v>
      </c>
      <c r="AO79">
        <v>0.25209223718000812</v>
      </c>
      <c r="AP79">
        <v>0.24086691486702091</v>
      </c>
      <c r="AQ79">
        <v>0.25160823740809823</v>
      </c>
      <c r="EA79" t="s">
        <v>344</v>
      </c>
      <c r="EB79">
        <v>0.55374989839514666</v>
      </c>
      <c r="EC79">
        <v>0.53808025588964803</v>
      </c>
      <c r="ED79">
        <v>0.54390417899395738</v>
      </c>
      <c r="EE79">
        <v>0.54117225627360155</v>
      </c>
      <c r="EF79">
        <v>0.54065730859978267</v>
      </c>
      <c r="EG79">
        <v>0.54021405501960373</v>
      </c>
      <c r="EH79">
        <v>0.53503646581306263</v>
      </c>
      <c r="EI79">
        <v>0.54908967537302433</v>
      </c>
      <c r="EJ79">
        <v>0.56527096598601079</v>
      </c>
      <c r="EK79">
        <v>0.56129975170076962</v>
      </c>
      <c r="EL79">
        <v>0.4250286218244555</v>
      </c>
      <c r="EM79">
        <v>0.43208223937012941</v>
      </c>
      <c r="EN79">
        <v>0.4481791005881175</v>
      </c>
      <c r="EO79">
        <v>0.47941856663215809</v>
      </c>
      <c r="EP79">
        <v>0.47805892772940334</v>
      </c>
      <c r="EQ79">
        <v>0.48474695008615681</v>
      </c>
      <c r="ER79">
        <v>0.48561348797793291</v>
      </c>
      <c r="ES79">
        <v>0.45758210011093575</v>
      </c>
      <c r="ET79">
        <v>0.44674261088312578</v>
      </c>
      <c r="EU79">
        <v>0.43577623010954092</v>
      </c>
      <c r="EV79">
        <v>0.21379756127045857</v>
      </c>
      <c r="EW79">
        <v>0.21350907678175082</v>
      </c>
      <c r="EX79">
        <v>0.22533643852482402</v>
      </c>
      <c r="EY79">
        <v>0.24489663191594249</v>
      </c>
      <c r="EZ79">
        <v>0.26244494250138722</v>
      </c>
      <c r="FA79">
        <v>0.28355064970111349</v>
      </c>
      <c r="FB79">
        <v>0.28403594534638765</v>
      </c>
      <c r="FC79">
        <v>0.25936016481916152</v>
      </c>
      <c r="FD79">
        <v>0.2382529728772127</v>
      </c>
      <c r="FE79">
        <v>0.22857996940044917</v>
      </c>
      <c r="FF79">
        <v>0.4460601842457847</v>
      </c>
      <c r="FG79">
        <v>0.42483760068727522</v>
      </c>
      <c r="FH79">
        <v>0.43388363285147169</v>
      </c>
      <c r="FI79">
        <v>0.45519767796570576</v>
      </c>
      <c r="FJ79">
        <v>0.47063399952873475</v>
      </c>
      <c r="FK79">
        <v>0.47730138001052425</v>
      </c>
      <c r="FL79">
        <v>0.47405742931916289</v>
      </c>
      <c r="FM79">
        <v>0.45790763749129793</v>
      </c>
      <c r="FN79">
        <v>0.45548116307318998</v>
      </c>
      <c r="FO79">
        <v>0.46139001017611975</v>
      </c>
      <c r="FQ79" t="s">
        <v>364</v>
      </c>
      <c r="FR79" t="s">
        <v>127</v>
      </c>
      <c r="FS79" t="s">
        <v>128</v>
      </c>
      <c r="FT79">
        <v>0.6682320046418303</v>
      </c>
    </row>
    <row r="80" spans="2:176" x14ac:dyDescent="0.45">
      <c r="B80" t="s">
        <v>346</v>
      </c>
      <c r="C80" t="s">
        <v>123</v>
      </c>
      <c r="D80">
        <v>0.3017523325277166</v>
      </c>
      <c r="E80">
        <v>0.30589683569923276</v>
      </c>
      <c r="F80">
        <v>0.29972587856093713</v>
      </c>
      <c r="G80">
        <v>0.29864670396895326</v>
      </c>
      <c r="H80">
        <v>0.29793704193226789</v>
      </c>
      <c r="I80">
        <v>0.30116281892023544</v>
      </c>
      <c r="J80">
        <v>0.30219193933151262</v>
      </c>
      <c r="K80">
        <v>0.28547765922247226</v>
      </c>
      <c r="L80">
        <v>0.2727291430977391</v>
      </c>
      <c r="M80">
        <v>0.28769198805189877</v>
      </c>
      <c r="N80">
        <v>0.31111201639173575</v>
      </c>
      <c r="O80">
        <v>0.32947584321426066</v>
      </c>
      <c r="P80">
        <v>0.34473700157092119</v>
      </c>
      <c r="Q80">
        <v>0.33322310963615709</v>
      </c>
      <c r="R80">
        <v>0.30961235068426368</v>
      </c>
      <c r="S80">
        <v>0.30184230756372377</v>
      </c>
      <c r="T80">
        <v>0.30361377888440599</v>
      </c>
      <c r="U80">
        <v>0.31363598391439285</v>
      </c>
      <c r="V80">
        <v>0.30162528345611334</v>
      </c>
      <c r="W80">
        <v>0.30268663806209828</v>
      </c>
      <c r="X80">
        <v>0.38137347510958003</v>
      </c>
      <c r="Y80">
        <v>0.39374047383756805</v>
      </c>
      <c r="Z80">
        <v>0.42810965747961288</v>
      </c>
      <c r="AA80">
        <v>0.41969623043346982</v>
      </c>
      <c r="AB80">
        <v>0.40781132098438955</v>
      </c>
      <c r="AC80">
        <v>0.39549299889575978</v>
      </c>
      <c r="AD80">
        <v>0.38560801999167155</v>
      </c>
      <c r="AE80">
        <v>0.38038961890465417</v>
      </c>
      <c r="AF80">
        <v>0.35885477083951572</v>
      </c>
      <c r="AG80">
        <v>0.36382988563142676</v>
      </c>
      <c r="AH80">
        <v>0.28506314266470656</v>
      </c>
      <c r="AI80">
        <v>0.2970809076654517</v>
      </c>
      <c r="AJ80">
        <v>0.29632584260982558</v>
      </c>
      <c r="AK80">
        <v>0.30065542423806818</v>
      </c>
      <c r="AL80">
        <v>0.29781408817767874</v>
      </c>
      <c r="AM80">
        <v>0.29735369142588147</v>
      </c>
      <c r="AN80">
        <v>0.29139207436280701</v>
      </c>
      <c r="AO80">
        <v>0.28385698764446932</v>
      </c>
      <c r="AP80">
        <v>0.27728264039523737</v>
      </c>
      <c r="AQ80">
        <v>0.26983875258764312</v>
      </c>
      <c r="EA80" t="s">
        <v>346</v>
      </c>
      <c r="EB80">
        <v>0.50763203667539658</v>
      </c>
      <c r="EC80">
        <v>0.49517615276181232</v>
      </c>
      <c r="ED80">
        <v>0.50187470443697224</v>
      </c>
      <c r="EE80">
        <v>0.49986495606733894</v>
      </c>
      <c r="EF80">
        <v>0.5061069471376255</v>
      </c>
      <c r="EG80">
        <v>0.50584475983795596</v>
      </c>
      <c r="EH80">
        <v>0.49676311096772946</v>
      </c>
      <c r="EI80">
        <v>0.50895732935599036</v>
      </c>
      <c r="EJ80">
        <v>0.52764938284308993</v>
      </c>
      <c r="EK80">
        <v>0.52515026583698143</v>
      </c>
      <c r="EL80">
        <v>0.37609965995993982</v>
      </c>
      <c r="EM80">
        <v>0.38892630748555357</v>
      </c>
      <c r="EN80">
        <v>0.42279827179898427</v>
      </c>
      <c r="EO80">
        <v>0.46698553167151757</v>
      </c>
      <c r="EP80">
        <v>0.47679772552319166</v>
      </c>
      <c r="EQ80">
        <v>0.47139236199387269</v>
      </c>
      <c r="ER80">
        <v>0.4569855099062739</v>
      </c>
      <c r="ES80">
        <v>0.42181366319732405</v>
      </c>
      <c r="ET80">
        <v>0.39941294303333708</v>
      </c>
      <c r="EU80">
        <v>0.38156052738965157</v>
      </c>
      <c r="EV80">
        <v>0.18705461303754373</v>
      </c>
      <c r="EW80">
        <v>0.17596855211581364</v>
      </c>
      <c r="EX80">
        <v>0.19804045095468195</v>
      </c>
      <c r="EY80">
        <v>0.22626177061808211</v>
      </c>
      <c r="EZ80">
        <v>0.2550314112451974</v>
      </c>
      <c r="FA80">
        <v>0.27040626679713214</v>
      </c>
      <c r="FB80">
        <v>0.27349427903982526</v>
      </c>
      <c r="FC80">
        <v>0.24554840517025547</v>
      </c>
      <c r="FD80">
        <v>0.21702984636474848</v>
      </c>
      <c r="FE80">
        <v>0.20563572141988626</v>
      </c>
      <c r="FF80">
        <v>0.43225782925788936</v>
      </c>
      <c r="FG80">
        <v>0.40227626672354999</v>
      </c>
      <c r="FH80">
        <v>0.40033826323681593</v>
      </c>
      <c r="FI80">
        <v>0.42149243142186044</v>
      </c>
      <c r="FJ80">
        <v>0.44751659825598661</v>
      </c>
      <c r="FK80">
        <v>0.46390250310089826</v>
      </c>
      <c r="FL80">
        <v>0.46415670975052686</v>
      </c>
      <c r="FM80">
        <v>0.44635356327836179</v>
      </c>
      <c r="FN80">
        <v>0.4414275143226426</v>
      </c>
      <c r="FO80">
        <v>0.44635162566809305</v>
      </c>
      <c r="FQ80" t="s">
        <v>365</v>
      </c>
      <c r="FR80" t="s">
        <v>127</v>
      </c>
      <c r="FS80" t="s">
        <v>128</v>
      </c>
      <c r="FT80">
        <v>0.69806100459048703</v>
      </c>
    </row>
    <row r="81" spans="2:176" x14ac:dyDescent="0.45">
      <c r="B81" t="s">
        <v>348</v>
      </c>
      <c r="C81" t="s">
        <v>123</v>
      </c>
      <c r="D81">
        <v>0.34388994631641773</v>
      </c>
      <c r="E81">
        <v>0.34160282054193553</v>
      </c>
      <c r="F81">
        <v>0.33450463459696478</v>
      </c>
      <c r="G81">
        <v>0.33735481700166903</v>
      </c>
      <c r="H81">
        <v>0.32876666129395743</v>
      </c>
      <c r="I81">
        <v>0.32988977817064585</v>
      </c>
      <c r="J81">
        <v>0.34010275651184585</v>
      </c>
      <c r="K81">
        <v>0.3380902436485661</v>
      </c>
      <c r="L81">
        <v>0.34532774556633339</v>
      </c>
      <c r="M81">
        <v>0.35465666486410857</v>
      </c>
      <c r="N81">
        <v>0.38200999963710108</v>
      </c>
      <c r="O81">
        <v>0.38903697417217109</v>
      </c>
      <c r="P81">
        <v>0.3779401479730326</v>
      </c>
      <c r="Q81">
        <v>0.36045718683888006</v>
      </c>
      <c r="R81">
        <v>0.34286674789307531</v>
      </c>
      <c r="S81">
        <v>0.32733731509182523</v>
      </c>
      <c r="T81">
        <v>0.31351129185688897</v>
      </c>
      <c r="U81">
        <v>0.32370144736603412</v>
      </c>
      <c r="V81">
        <v>0.34146188340153449</v>
      </c>
      <c r="W81">
        <v>0.36403175773515384</v>
      </c>
      <c r="X81">
        <v>0.42129785495198685</v>
      </c>
      <c r="Y81">
        <v>0.4458826515455907</v>
      </c>
      <c r="Z81">
        <v>0.46602187605100914</v>
      </c>
      <c r="AA81">
        <v>0.43615999010558942</v>
      </c>
      <c r="AB81">
        <v>0.40431501125460062</v>
      </c>
      <c r="AC81">
        <v>0.39751628370134906</v>
      </c>
      <c r="AD81">
        <v>0.38573949512131417</v>
      </c>
      <c r="AE81">
        <v>0.39281431057474031</v>
      </c>
      <c r="AF81">
        <v>0.37627870137454894</v>
      </c>
      <c r="AG81">
        <v>0.39274282356059265</v>
      </c>
      <c r="AH81">
        <v>0.35761487397049713</v>
      </c>
      <c r="AI81">
        <v>0.36591838973945862</v>
      </c>
      <c r="AJ81">
        <v>0.36515952020917658</v>
      </c>
      <c r="AK81">
        <v>0.34324676714275054</v>
      </c>
      <c r="AL81">
        <v>0.32814379686567569</v>
      </c>
      <c r="AM81">
        <v>0.32541179850406798</v>
      </c>
      <c r="AN81">
        <v>0.33744250292325845</v>
      </c>
      <c r="AO81">
        <v>0.33630204478906178</v>
      </c>
      <c r="AP81">
        <v>0.3362366744257772</v>
      </c>
      <c r="AQ81">
        <v>0.33880375509285959</v>
      </c>
      <c r="EA81" t="s">
        <v>348</v>
      </c>
      <c r="EB81">
        <v>0.42534782089822265</v>
      </c>
      <c r="EC81">
        <v>0.40630663770928127</v>
      </c>
      <c r="ED81">
        <v>0.40133787753495764</v>
      </c>
      <c r="EE81">
        <v>0.39571278157627177</v>
      </c>
      <c r="EF81">
        <v>0.40407773400790897</v>
      </c>
      <c r="EG81">
        <v>0.4139647878835489</v>
      </c>
      <c r="EH81">
        <v>0.40012799440869795</v>
      </c>
      <c r="EI81">
        <v>0.395422900783378</v>
      </c>
      <c r="EJ81">
        <v>0.41337186015789601</v>
      </c>
      <c r="EK81">
        <v>0.42449205212515684</v>
      </c>
      <c r="EL81">
        <v>0.2930169550348059</v>
      </c>
      <c r="EM81">
        <v>0.27985277481826737</v>
      </c>
      <c r="EN81">
        <v>0.29731266066562922</v>
      </c>
      <c r="EO81">
        <v>0.34766186086213741</v>
      </c>
      <c r="EP81">
        <v>0.37475096530191132</v>
      </c>
      <c r="EQ81">
        <v>0.38014473765165624</v>
      </c>
      <c r="ER81">
        <v>0.37627365759098175</v>
      </c>
      <c r="ES81">
        <v>0.34406371607440489</v>
      </c>
      <c r="ET81">
        <v>0.32335995810000712</v>
      </c>
      <c r="EU81">
        <v>0.30700092852246613</v>
      </c>
      <c r="EV81">
        <v>0.1289246228304062</v>
      </c>
      <c r="EW81">
        <v>0.12490187622800766</v>
      </c>
      <c r="EX81">
        <v>0.15069321880176889</v>
      </c>
      <c r="EY81">
        <v>0.18067001985245845</v>
      </c>
      <c r="EZ81">
        <v>0.21194417160359172</v>
      </c>
      <c r="FA81">
        <v>0.22940707499283203</v>
      </c>
      <c r="FB81">
        <v>0.22403121176819168</v>
      </c>
      <c r="FC81">
        <v>0.20336242046783259</v>
      </c>
      <c r="FD81">
        <v>0.16685900226495073</v>
      </c>
      <c r="FE81">
        <v>0.14077251511780842</v>
      </c>
      <c r="FF81">
        <v>0.3065525616656174</v>
      </c>
      <c r="FG81">
        <v>0.30201158713610193</v>
      </c>
      <c r="FH81">
        <v>0.30790675395921308</v>
      </c>
      <c r="FI81">
        <v>0.33131529469737014</v>
      </c>
      <c r="FJ81">
        <v>0.3657003524843947</v>
      </c>
      <c r="FK81">
        <v>0.38052753341893542</v>
      </c>
      <c r="FL81">
        <v>0.368726258746643</v>
      </c>
      <c r="FM81">
        <v>0.33365467546545102</v>
      </c>
      <c r="FN81">
        <v>0.32081024677181119</v>
      </c>
      <c r="FO81">
        <v>0.30586119393697236</v>
      </c>
      <c r="FQ81" t="s">
        <v>366</v>
      </c>
      <c r="FR81" t="s">
        <v>127</v>
      </c>
      <c r="FS81" t="s">
        <v>128</v>
      </c>
      <c r="FT81">
        <v>0.69308748230001982</v>
      </c>
    </row>
    <row r="82" spans="2:176" x14ac:dyDescent="0.45">
      <c r="B82" t="s">
        <v>350</v>
      </c>
      <c r="C82" t="s">
        <v>123</v>
      </c>
      <c r="D82">
        <v>0.30922234865613968</v>
      </c>
      <c r="E82">
        <v>0.30243373535003581</v>
      </c>
      <c r="F82">
        <v>0.29416379857270686</v>
      </c>
      <c r="G82">
        <v>0.30224639692575306</v>
      </c>
      <c r="H82">
        <v>0.30949950953169214</v>
      </c>
      <c r="I82">
        <v>0.32365309784482393</v>
      </c>
      <c r="J82">
        <v>0.32635876038916817</v>
      </c>
      <c r="K82">
        <v>0.31674888751294011</v>
      </c>
      <c r="L82">
        <v>0.3145417900266978</v>
      </c>
      <c r="M82">
        <v>0.31118034077719131</v>
      </c>
      <c r="N82">
        <v>0.38282409881335872</v>
      </c>
      <c r="O82">
        <v>0.40246250318953453</v>
      </c>
      <c r="P82">
        <v>0.40658414701553008</v>
      </c>
      <c r="Q82">
        <v>0.38567091550349253</v>
      </c>
      <c r="R82">
        <v>0.35959897488125142</v>
      </c>
      <c r="S82">
        <v>0.33921180621367225</v>
      </c>
      <c r="T82">
        <v>0.32952091862180577</v>
      </c>
      <c r="U82">
        <v>0.3374776062430192</v>
      </c>
      <c r="V82">
        <v>0.34483925132357984</v>
      </c>
      <c r="W82">
        <v>0.35765562163990372</v>
      </c>
      <c r="X82">
        <v>0.41040968345560441</v>
      </c>
      <c r="Y82">
        <v>0.40902158007969358</v>
      </c>
      <c r="Z82">
        <v>0.41960185440236436</v>
      </c>
      <c r="AA82">
        <v>0.41571707872275732</v>
      </c>
      <c r="AB82">
        <v>0.40731590931455142</v>
      </c>
      <c r="AC82">
        <v>0.40321390208804642</v>
      </c>
      <c r="AD82">
        <v>0.39639534305599722</v>
      </c>
      <c r="AE82">
        <v>0.39655391325344708</v>
      </c>
      <c r="AF82">
        <v>0.39279267219296427</v>
      </c>
      <c r="AG82">
        <v>0.4083244245410938</v>
      </c>
      <c r="AH82">
        <v>0.34607668962266575</v>
      </c>
      <c r="AI82">
        <v>0.35449090799769017</v>
      </c>
      <c r="AJ82">
        <v>0.34618708823106242</v>
      </c>
      <c r="AK82">
        <v>0.32994361068881439</v>
      </c>
      <c r="AL82">
        <v>0.31719921978134341</v>
      </c>
      <c r="AM82">
        <v>0.31941543989109383</v>
      </c>
      <c r="AN82">
        <v>0.32854810296145731</v>
      </c>
      <c r="AO82">
        <v>0.31551939578937072</v>
      </c>
      <c r="AP82">
        <v>0.31670505385491476</v>
      </c>
      <c r="AQ82">
        <v>0.32011609979369615</v>
      </c>
      <c r="EA82" t="s">
        <v>350</v>
      </c>
      <c r="EB82">
        <v>0.48142832461191548</v>
      </c>
      <c r="EC82">
        <v>0.45935115670684412</v>
      </c>
      <c r="ED82">
        <v>0.45470863203116463</v>
      </c>
      <c r="EE82">
        <v>0.43814157574512663</v>
      </c>
      <c r="EF82">
        <v>0.43364512985374876</v>
      </c>
      <c r="EG82">
        <v>0.44743439620432357</v>
      </c>
      <c r="EH82">
        <v>0.45001104327895958</v>
      </c>
      <c r="EI82">
        <v>0.45419645710064521</v>
      </c>
      <c r="EJ82">
        <v>0.47266557049427038</v>
      </c>
      <c r="EK82">
        <v>0.47876744741237381</v>
      </c>
      <c r="EL82">
        <v>0.30956989329475487</v>
      </c>
      <c r="EM82">
        <v>0.28818215877095199</v>
      </c>
      <c r="EN82">
        <v>0.2982682906187003</v>
      </c>
      <c r="EO82">
        <v>0.34047887220352829</v>
      </c>
      <c r="EP82">
        <v>0.37413013294329195</v>
      </c>
      <c r="EQ82">
        <v>0.38757022016529502</v>
      </c>
      <c r="ER82">
        <v>0.38199727317759363</v>
      </c>
      <c r="ES82">
        <v>0.35990324221359765</v>
      </c>
      <c r="ET82">
        <v>0.34916690526291716</v>
      </c>
      <c r="EU82">
        <v>0.3327993425827846</v>
      </c>
      <c r="EV82">
        <v>0.18760745393118639</v>
      </c>
      <c r="EW82">
        <v>0.1933956357787375</v>
      </c>
      <c r="EX82">
        <v>0.21852810852706916</v>
      </c>
      <c r="EY82">
        <v>0.24682617654493838</v>
      </c>
      <c r="EZ82">
        <v>0.27274013299586697</v>
      </c>
      <c r="FA82">
        <v>0.28285408335339512</v>
      </c>
      <c r="FB82">
        <v>0.27206832553535831</v>
      </c>
      <c r="FC82">
        <v>0.24899500738505023</v>
      </c>
      <c r="FD82">
        <v>0.21407360849488646</v>
      </c>
      <c r="FE82">
        <v>0.19137684488854739</v>
      </c>
      <c r="FF82">
        <v>0.35948546558635508</v>
      </c>
      <c r="FG82">
        <v>0.35456528173758778</v>
      </c>
      <c r="FH82">
        <v>0.35958505526985401</v>
      </c>
      <c r="FI82">
        <v>0.38077615350906052</v>
      </c>
      <c r="FJ82">
        <v>0.40862258352882075</v>
      </c>
      <c r="FK82">
        <v>0.41848574308053554</v>
      </c>
      <c r="FL82">
        <v>0.41149321774630471</v>
      </c>
      <c r="FM82">
        <v>0.38860981219480206</v>
      </c>
      <c r="FN82">
        <v>0.3780577070120188</v>
      </c>
      <c r="FO82">
        <v>0.36583471728364242</v>
      </c>
      <c r="FQ82" t="s">
        <v>367</v>
      </c>
      <c r="FR82" t="s">
        <v>127</v>
      </c>
      <c r="FS82" t="s">
        <v>128</v>
      </c>
      <c r="FT82">
        <v>0.67078833345151434</v>
      </c>
    </row>
    <row r="83" spans="2:176" x14ac:dyDescent="0.45">
      <c r="B83" t="s">
        <v>352</v>
      </c>
      <c r="C83" t="s">
        <v>123</v>
      </c>
      <c r="D83">
        <v>0.23168588280576641</v>
      </c>
      <c r="E83">
        <v>0.23493565334449135</v>
      </c>
      <c r="F83">
        <v>0.21702160689281241</v>
      </c>
      <c r="G83">
        <v>0.22050699012315775</v>
      </c>
      <c r="H83">
        <v>0.2312831700281279</v>
      </c>
      <c r="I83">
        <v>0.24031828024085419</v>
      </c>
      <c r="J83">
        <v>0.24979593101143518</v>
      </c>
      <c r="K83">
        <v>0.23691106237054171</v>
      </c>
      <c r="L83">
        <v>0.23089031477956756</v>
      </c>
      <c r="M83">
        <v>0.23017993741887544</v>
      </c>
      <c r="N83">
        <v>0.33658581015540645</v>
      </c>
      <c r="O83">
        <v>0.34384227442901838</v>
      </c>
      <c r="P83">
        <v>0.36293941356403636</v>
      </c>
      <c r="Q83">
        <v>0.36858480605016614</v>
      </c>
      <c r="R83">
        <v>0.35394147356150829</v>
      </c>
      <c r="S83">
        <v>0.3333770615433258</v>
      </c>
      <c r="T83">
        <v>0.30418453726425754</v>
      </c>
      <c r="U83">
        <v>0.2856693009164773</v>
      </c>
      <c r="V83">
        <v>0.28230325058000783</v>
      </c>
      <c r="W83">
        <v>0.298176622705348</v>
      </c>
      <c r="X83">
        <v>0.31654794617972304</v>
      </c>
      <c r="Y83">
        <v>0.31394936526461631</v>
      </c>
      <c r="Z83">
        <v>0.33175457985854051</v>
      </c>
      <c r="AA83">
        <v>0.33539178089122168</v>
      </c>
      <c r="AB83">
        <v>0.33834160388889167</v>
      </c>
      <c r="AC83">
        <v>0.3385204056132422</v>
      </c>
      <c r="AD83">
        <v>0.3312812039454005</v>
      </c>
      <c r="AE83">
        <v>0.32978169868133156</v>
      </c>
      <c r="AF83">
        <v>0.32788891523536473</v>
      </c>
      <c r="AG83">
        <v>0.32611787080453519</v>
      </c>
      <c r="AH83">
        <v>0.26028810050526685</v>
      </c>
      <c r="AI83">
        <v>0.26846752944334867</v>
      </c>
      <c r="AJ83">
        <v>0.26368201958867488</v>
      </c>
      <c r="AK83">
        <v>0.25464363387070221</v>
      </c>
      <c r="AL83">
        <v>0.24986691700174943</v>
      </c>
      <c r="AM83">
        <v>0.25125187086372336</v>
      </c>
      <c r="AN83">
        <v>0.25575184566729442</v>
      </c>
      <c r="AO83">
        <v>0.24626729267034289</v>
      </c>
      <c r="AP83">
        <v>0.2356200826859772</v>
      </c>
      <c r="AQ83">
        <v>0.23962877519706915</v>
      </c>
      <c r="EA83" t="s">
        <v>352</v>
      </c>
      <c r="EB83">
        <v>0.65740072217748369</v>
      </c>
      <c r="EC83">
        <v>0.64377157332341262</v>
      </c>
      <c r="ED83">
        <v>0.65280966152244191</v>
      </c>
      <c r="EE83">
        <v>0.64122275156153763</v>
      </c>
      <c r="EF83">
        <v>0.61587687144605074</v>
      </c>
      <c r="EG83">
        <v>0.61576869540442347</v>
      </c>
      <c r="EH83">
        <v>0.61660837179083894</v>
      </c>
      <c r="EI83">
        <v>0.62932345674643642</v>
      </c>
      <c r="EJ83">
        <v>0.64398379863157029</v>
      </c>
      <c r="EK83">
        <v>0.65065889417280587</v>
      </c>
      <c r="EL83">
        <v>0.4695893733878761</v>
      </c>
      <c r="EM83">
        <v>0.43858695434264794</v>
      </c>
      <c r="EN83">
        <v>0.43618881833772166</v>
      </c>
      <c r="EO83">
        <v>0.45416417999074471</v>
      </c>
      <c r="EP83">
        <v>0.47464310773834917</v>
      </c>
      <c r="EQ83">
        <v>0.50039418570708882</v>
      </c>
      <c r="ER83">
        <v>0.51947173565450777</v>
      </c>
      <c r="ES83">
        <v>0.52310643244099331</v>
      </c>
      <c r="ET83">
        <v>0.52002666949942356</v>
      </c>
      <c r="EU83">
        <v>0.50524853742807474</v>
      </c>
      <c r="EV83">
        <v>0.35914924978461055</v>
      </c>
      <c r="EW83">
        <v>0.37068568588078493</v>
      </c>
      <c r="EX83">
        <v>0.38698651784133054</v>
      </c>
      <c r="EY83">
        <v>0.3969949181665654</v>
      </c>
      <c r="EZ83">
        <v>0.40000529676291452</v>
      </c>
      <c r="FA83">
        <v>0.39817777480652089</v>
      </c>
      <c r="FB83">
        <v>0.39070565519828548</v>
      </c>
      <c r="FC83">
        <v>0.37460772164085321</v>
      </c>
      <c r="FD83">
        <v>0.3608269454554433</v>
      </c>
      <c r="FE83">
        <v>0.35245392350449123</v>
      </c>
      <c r="FF83">
        <v>0.58391503488016894</v>
      </c>
      <c r="FG83">
        <v>0.56498423656519436</v>
      </c>
      <c r="FH83">
        <v>0.56778421024402304</v>
      </c>
      <c r="FI83">
        <v>0.578371125471008</v>
      </c>
      <c r="FJ83">
        <v>0.58975891907400302</v>
      </c>
      <c r="FK83">
        <v>0.58562420202984389</v>
      </c>
      <c r="FL83">
        <v>0.57704212116163611</v>
      </c>
      <c r="FM83">
        <v>0.58051748756605237</v>
      </c>
      <c r="FN83">
        <v>0.59523600039653701</v>
      </c>
      <c r="FO83">
        <v>0.60435411986852983</v>
      </c>
      <c r="FQ83" t="s">
        <v>368</v>
      </c>
      <c r="FR83" t="s">
        <v>127</v>
      </c>
      <c r="FS83" t="s">
        <v>128</v>
      </c>
      <c r="FT83">
        <v>0.67176890996783289</v>
      </c>
    </row>
    <row r="84" spans="2:176" x14ac:dyDescent="0.45">
      <c r="B84" t="s">
        <v>354</v>
      </c>
      <c r="C84" t="s">
        <v>123</v>
      </c>
      <c r="D84">
        <v>0.20382376132565852</v>
      </c>
      <c r="E84">
        <v>0.19219757966459416</v>
      </c>
      <c r="F84">
        <v>0.18184122198137981</v>
      </c>
      <c r="G84">
        <v>0.18434588853570494</v>
      </c>
      <c r="H84">
        <v>0.18949238116182915</v>
      </c>
      <c r="I84">
        <v>0.19342549464632602</v>
      </c>
      <c r="J84">
        <v>0.19701934137716662</v>
      </c>
      <c r="K84">
        <v>0.18557310701879867</v>
      </c>
      <c r="L84">
        <v>0.17466797394623837</v>
      </c>
      <c r="M84">
        <v>0.17900428910273003</v>
      </c>
      <c r="N84">
        <v>0.28558973978588709</v>
      </c>
      <c r="O84">
        <v>0.30175908090692299</v>
      </c>
      <c r="P84">
        <v>0.30169828094614376</v>
      </c>
      <c r="Q84">
        <v>0.31190712502239476</v>
      </c>
      <c r="R84">
        <v>0.32215314748684387</v>
      </c>
      <c r="S84">
        <v>0.30908594641725629</v>
      </c>
      <c r="T84">
        <v>0.28572915993279657</v>
      </c>
      <c r="U84">
        <v>0.26654161531871912</v>
      </c>
      <c r="V84">
        <v>0.26545089619850215</v>
      </c>
      <c r="W84">
        <v>0.2718637054884363</v>
      </c>
      <c r="X84">
        <v>0.28456064259452735</v>
      </c>
      <c r="Y84">
        <v>0.2897027556025607</v>
      </c>
      <c r="Z84">
        <v>0.28479462465081856</v>
      </c>
      <c r="AA84">
        <v>0.29340725637268167</v>
      </c>
      <c r="AB84">
        <v>0.29801571678192068</v>
      </c>
      <c r="AC84">
        <v>0.29191732687084337</v>
      </c>
      <c r="AD84">
        <v>0.28930077650371255</v>
      </c>
      <c r="AE84">
        <v>0.29909544652383346</v>
      </c>
      <c r="AF84">
        <v>0.30871227598497364</v>
      </c>
      <c r="AG84">
        <v>0.30423422593030314</v>
      </c>
      <c r="AH84">
        <v>0.21191757517337945</v>
      </c>
      <c r="AI84">
        <v>0.20251306850212239</v>
      </c>
      <c r="AJ84">
        <v>0.19932792510709235</v>
      </c>
      <c r="AK84">
        <v>0.21217786821883083</v>
      </c>
      <c r="AL84">
        <v>0.21793297409744841</v>
      </c>
      <c r="AM84">
        <v>0.22404266587053714</v>
      </c>
      <c r="AN84">
        <v>0.22603731347734443</v>
      </c>
      <c r="AO84">
        <v>0.2085194856978646</v>
      </c>
      <c r="AP84">
        <v>0.20119285028751077</v>
      </c>
      <c r="AQ84">
        <v>0.21082287353167112</v>
      </c>
      <c r="EA84" t="s">
        <v>354</v>
      </c>
      <c r="EB84">
        <v>0.7253042141482926</v>
      </c>
      <c r="EC84">
        <v>0.72075713028910748</v>
      </c>
      <c r="ED84">
        <v>0.74267453816272466</v>
      </c>
      <c r="EE84">
        <v>0.74564303389294539</v>
      </c>
      <c r="EF84">
        <v>0.73206864086693535</v>
      </c>
      <c r="EG84">
        <v>0.71833472289996858</v>
      </c>
      <c r="EH84">
        <v>0.71323843394740305</v>
      </c>
      <c r="EI84">
        <v>0.72888042594796587</v>
      </c>
      <c r="EJ84">
        <v>0.74426223600528063</v>
      </c>
      <c r="EK84">
        <v>0.74436051734299291</v>
      </c>
      <c r="EL84">
        <v>0.59969492945873815</v>
      </c>
      <c r="EM84">
        <v>0.56982397778110971</v>
      </c>
      <c r="EN84">
        <v>0.55000141637693123</v>
      </c>
      <c r="EO84">
        <v>0.53767836439729666</v>
      </c>
      <c r="EP84">
        <v>0.53981737011954611</v>
      </c>
      <c r="EQ84">
        <v>0.55837960636313433</v>
      </c>
      <c r="ER84">
        <v>0.58958140808416126</v>
      </c>
      <c r="ES84">
        <v>0.61352255921655829</v>
      </c>
      <c r="ET84">
        <v>0.6210217422732649</v>
      </c>
      <c r="EU84">
        <v>0.61451588849111116</v>
      </c>
      <c r="EV84">
        <v>0.49248772311337591</v>
      </c>
      <c r="EW84">
        <v>0.49764475475150166</v>
      </c>
      <c r="EX84">
        <v>0.50089989749603181</v>
      </c>
      <c r="EY84">
        <v>0.50255828097231192</v>
      </c>
      <c r="EZ84">
        <v>0.50505839650645379</v>
      </c>
      <c r="FA84">
        <v>0.50078960357897973</v>
      </c>
      <c r="FB84">
        <v>0.49137441865259218</v>
      </c>
      <c r="FC84">
        <v>0.48724537531959911</v>
      </c>
      <c r="FD84">
        <v>0.48271265616415271</v>
      </c>
      <c r="FE84">
        <v>0.48428147484547956</v>
      </c>
      <c r="FF84">
        <v>0.70096865514530649</v>
      </c>
      <c r="FG84">
        <v>0.7009504614002483</v>
      </c>
      <c r="FH84">
        <v>0.70274733083663898</v>
      </c>
      <c r="FI84">
        <v>0.68376339348994475</v>
      </c>
      <c r="FJ84">
        <v>0.66521844999039437</v>
      </c>
      <c r="FK84">
        <v>0.66330885255043981</v>
      </c>
      <c r="FL84">
        <v>0.66625829969057171</v>
      </c>
      <c r="FM84">
        <v>0.6808598952468139</v>
      </c>
      <c r="FN84">
        <v>0.70189132259977505</v>
      </c>
      <c r="FO84">
        <v>0.70145827922258774</v>
      </c>
      <c r="FQ84" t="s">
        <v>369</v>
      </c>
      <c r="FR84" t="s">
        <v>127</v>
      </c>
      <c r="FS84" t="s">
        <v>128</v>
      </c>
      <c r="FT84">
        <v>0.66681588242928891</v>
      </c>
    </row>
    <row r="85" spans="2:176" x14ac:dyDescent="0.45">
      <c r="B85" t="s">
        <v>356</v>
      </c>
      <c r="C85" t="s">
        <v>123</v>
      </c>
      <c r="D85">
        <v>0.18973894035414579</v>
      </c>
      <c r="E85">
        <v>0.19725115274258539</v>
      </c>
      <c r="F85">
        <v>0.20152726659665215</v>
      </c>
      <c r="G85">
        <v>0.21535996763223514</v>
      </c>
      <c r="H85">
        <v>0.22216130383800692</v>
      </c>
      <c r="I85">
        <v>0.22054140124765256</v>
      </c>
      <c r="J85">
        <v>0.22324980771788663</v>
      </c>
      <c r="K85">
        <v>0.21174163587383721</v>
      </c>
      <c r="L85">
        <v>0.19408206041331411</v>
      </c>
      <c r="M85">
        <v>0.18300178967342182</v>
      </c>
      <c r="N85">
        <v>0.31966264451153253</v>
      </c>
      <c r="O85">
        <v>0.32946875919307583</v>
      </c>
      <c r="P85">
        <v>0.32152964745890961</v>
      </c>
      <c r="Q85">
        <v>0.32470887977405793</v>
      </c>
      <c r="R85">
        <v>0.31820066956941906</v>
      </c>
      <c r="S85">
        <v>0.31213863196272479</v>
      </c>
      <c r="T85">
        <v>0.31660341612603854</v>
      </c>
      <c r="U85">
        <v>0.31438647279138737</v>
      </c>
      <c r="V85">
        <v>0.30602540447916637</v>
      </c>
      <c r="W85">
        <v>0.29941176035933537</v>
      </c>
      <c r="X85">
        <v>0.34164512246348838</v>
      </c>
      <c r="Y85">
        <v>0.34331877229264918</v>
      </c>
      <c r="Z85">
        <v>0.35170319209918294</v>
      </c>
      <c r="AA85">
        <v>0.35973238892363379</v>
      </c>
      <c r="AB85">
        <v>0.35679029121683986</v>
      </c>
      <c r="AC85">
        <v>0.3543548183906296</v>
      </c>
      <c r="AD85">
        <v>0.34657217702730786</v>
      </c>
      <c r="AE85">
        <v>0.33749291027773448</v>
      </c>
      <c r="AF85">
        <v>0.33675621157477076</v>
      </c>
      <c r="AG85">
        <v>0.3393254263094575</v>
      </c>
      <c r="AH85">
        <v>0.28462931768793437</v>
      </c>
      <c r="AI85">
        <v>0.27737087531248544</v>
      </c>
      <c r="AJ85">
        <v>0.27511352646562109</v>
      </c>
      <c r="AK85">
        <v>0.27761614791402373</v>
      </c>
      <c r="AL85">
        <v>0.27370667828672895</v>
      </c>
      <c r="AM85">
        <v>0.27982915556400523</v>
      </c>
      <c r="AN85">
        <v>0.28052253718543813</v>
      </c>
      <c r="AO85">
        <v>0.27667082527050674</v>
      </c>
      <c r="AP85">
        <v>0.27552889627894633</v>
      </c>
      <c r="AQ85">
        <v>0.27278497916075067</v>
      </c>
      <c r="EA85" t="s">
        <v>356</v>
      </c>
      <c r="EB85">
        <v>0.69965150012279798</v>
      </c>
      <c r="EC85">
        <v>0.68344858733388891</v>
      </c>
      <c r="ED85">
        <v>0.67057725822078729</v>
      </c>
      <c r="EE85">
        <v>0.65836340375980396</v>
      </c>
      <c r="EF85">
        <v>0.6551090666173317</v>
      </c>
      <c r="EG85">
        <v>0.67050405830809201</v>
      </c>
      <c r="EH85">
        <v>0.67529004366461587</v>
      </c>
      <c r="EI85">
        <v>0.68874025707370434</v>
      </c>
      <c r="EJ85">
        <v>0.70629843881768384</v>
      </c>
      <c r="EK85">
        <v>0.71592683626056342</v>
      </c>
      <c r="EL85">
        <v>0.50171461596143097</v>
      </c>
      <c r="EM85">
        <v>0.49000530394956221</v>
      </c>
      <c r="EN85">
        <v>0.49977738625546392</v>
      </c>
      <c r="EO85">
        <v>0.50159297918863011</v>
      </c>
      <c r="EP85">
        <v>0.5106481566285338</v>
      </c>
      <c r="EQ85">
        <v>0.52691078095113408</v>
      </c>
      <c r="ER85">
        <v>0.53983774810058516</v>
      </c>
      <c r="ES85">
        <v>0.54364364752923533</v>
      </c>
      <c r="ET85">
        <v>0.54389963186060242</v>
      </c>
      <c r="EU85">
        <v>0.53187043515253685</v>
      </c>
      <c r="EV85">
        <v>0.41958751785013615</v>
      </c>
      <c r="EW85">
        <v>0.41541521063124365</v>
      </c>
      <c r="EX85">
        <v>0.4222859607813092</v>
      </c>
      <c r="EY85">
        <v>0.42371804717408862</v>
      </c>
      <c r="EZ85">
        <v>0.43669683062599496</v>
      </c>
      <c r="FA85">
        <v>0.44779604395420242</v>
      </c>
      <c r="FB85">
        <v>0.44740025775713826</v>
      </c>
      <c r="FC85">
        <v>0.43956840006119718</v>
      </c>
      <c r="FD85">
        <v>0.41815321365743668</v>
      </c>
      <c r="FE85">
        <v>0.41065936814217635</v>
      </c>
      <c r="FF85">
        <v>0.55697509345493268</v>
      </c>
      <c r="FG85">
        <v>0.5659107358838098</v>
      </c>
      <c r="FH85">
        <v>0.57548283632909736</v>
      </c>
      <c r="FI85">
        <v>0.58361497751823088</v>
      </c>
      <c r="FJ85">
        <v>0.59050732760390823</v>
      </c>
      <c r="FK85">
        <v>0.5877567197823188</v>
      </c>
      <c r="FL85">
        <v>0.58732115924493278</v>
      </c>
      <c r="FM85">
        <v>0.58342121101151612</v>
      </c>
      <c r="FN85">
        <v>0.58205895529708995</v>
      </c>
      <c r="FO85">
        <v>0.57523545958546063</v>
      </c>
      <c r="FQ85" t="s">
        <v>370</v>
      </c>
      <c r="FR85" t="s">
        <v>127</v>
      </c>
      <c r="FS85" t="s">
        <v>128</v>
      </c>
      <c r="FT85">
        <v>0.70950033587032579</v>
      </c>
    </row>
    <row r="86" spans="2:176" x14ac:dyDescent="0.45">
      <c r="B86" t="s">
        <v>358</v>
      </c>
      <c r="C86" t="s">
        <v>123</v>
      </c>
      <c r="D86">
        <v>0.15515274724751932</v>
      </c>
      <c r="E86">
        <v>0.15821845723349701</v>
      </c>
      <c r="F86">
        <v>0.16658559036341911</v>
      </c>
      <c r="G86">
        <v>0.18354493696741156</v>
      </c>
      <c r="H86">
        <v>0.1906352880464964</v>
      </c>
      <c r="I86">
        <v>0.18349478339290715</v>
      </c>
      <c r="J86">
        <v>0.17468085259453145</v>
      </c>
      <c r="K86">
        <v>0.16458647841212781</v>
      </c>
      <c r="L86">
        <v>0.15752822764815358</v>
      </c>
      <c r="M86">
        <v>0.15605698992468892</v>
      </c>
      <c r="N86">
        <v>0.26845056172972098</v>
      </c>
      <c r="O86">
        <v>0.28061280934247018</v>
      </c>
      <c r="P86">
        <v>0.26763449233696313</v>
      </c>
      <c r="Q86">
        <v>0.26602890844713845</v>
      </c>
      <c r="R86">
        <v>0.26387482833734421</v>
      </c>
      <c r="S86">
        <v>0.25787441886288709</v>
      </c>
      <c r="T86">
        <v>0.26514902443821092</v>
      </c>
      <c r="U86">
        <v>0.27807727840225377</v>
      </c>
      <c r="V86">
        <v>0.2700399692619313</v>
      </c>
      <c r="W86">
        <v>0.2540108180406726</v>
      </c>
      <c r="X86">
        <v>0.32832398434995003</v>
      </c>
      <c r="Y86">
        <v>0.31121603726000552</v>
      </c>
      <c r="Z86">
        <v>0.3095373210229454</v>
      </c>
      <c r="AA86">
        <v>0.33003973211746873</v>
      </c>
      <c r="AB86">
        <v>0.34381912482406568</v>
      </c>
      <c r="AC86">
        <v>0.34970749195496059</v>
      </c>
      <c r="AD86">
        <v>0.35236316576416365</v>
      </c>
      <c r="AE86">
        <v>0.33497248089205173</v>
      </c>
      <c r="AF86">
        <v>0.33135789247895853</v>
      </c>
      <c r="AG86">
        <v>0.34254143722622366</v>
      </c>
      <c r="AH86">
        <v>0.25984505973481337</v>
      </c>
      <c r="AI86">
        <v>0.25267651858780599</v>
      </c>
      <c r="AJ86">
        <v>0.23984037916865023</v>
      </c>
      <c r="AK86">
        <v>0.23015974199481964</v>
      </c>
      <c r="AL86">
        <v>0.22793573273627485</v>
      </c>
      <c r="AM86">
        <v>0.23810039146763642</v>
      </c>
      <c r="AN86">
        <v>0.24834345113603085</v>
      </c>
      <c r="AO86">
        <v>0.24489841461349041</v>
      </c>
      <c r="AP86">
        <v>0.24769042387519435</v>
      </c>
      <c r="AQ86">
        <v>0.25621616344744574</v>
      </c>
      <c r="EA86" t="s">
        <v>358</v>
      </c>
      <c r="EB86">
        <v>0.76245621455283641</v>
      </c>
      <c r="EC86">
        <v>0.75239244878597034</v>
      </c>
      <c r="ED86">
        <v>0.73220620752846155</v>
      </c>
      <c r="EE86">
        <v>0.72224753773930572</v>
      </c>
      <c r="EF86">
        <v>0.7199085489585777</v>
      </c>
      <c r="EG86">
        <v>0.73076596315607834</v>
      </c>
      <c r="EH86">
        <v>0.74677422569259255</v>
      </c>
      <c r="EI86">
        <v>0.75490135479809406</v>
      </c>
      <c r="EJ86">
        <v>0.76834406094384378</v>
      </c>
      <c r="EK86">
        <v>0.76932428362437821</v>
      </c>
      <c r="EL86">
        <v>0.56346577863343394</v>
      </c>
      <c r="EM86">
        <v>0.54823569090678492</v>
      </c>
      <c r="EN86">
        <v>0.56390173758930406</v>
      </c>
      <c r="EO86">
        <v>0.56978751681264161</v>
      </c>
      <c r="EP86">
        <v>0.57882420255789668</v>
      </c>
      <c r="EQ86">
        <v>0.58362498533179474</v>
      </c>
      <c r="ER86">
        <v>0.58373963277366614</v>
      </c>
      <c r="ES86">
        <v>0.58890586104670284</v>
      </c>
      <c r="ET86">
        <v>0.59287381489102042</v>
      </c>
      <c r="EU86">
        <v>0.58954149093600883</v>
      </c>
      <c r="EV86">
        <v>0.44343409199424694</v>
      </c>
      <c r="EW86">
        <v>0.44585542573750325</v>
      </c>
      <c r="EX86">
        <v>0.44587514623643637</v>
      </c>
      <c r="EY86">
        <v>0.44216882016852177</v>
      </c>
      <c r="EZ86">
        <v>0.45048539054237424</v>
      </c>
      <c r="FA86">
        <v>0.4522697093420579</v>
      </c>
      <c r="FB86">
        <v>0.449291895061808</v>
      </c>
      <c r="FC86">
        <v>0.4426859421815264</v>
      </c>
      <c r="FD86">
        <v>0.42772090261826679</v>
      </c>
      <c r="FE86">
        <v>0.43181639494556057</v>
      </c>
      <c r="FF86">
        <v>0.60613187112718081</v>
      </c>
      <c r="FG86">
        <v>0.62706160982622661</v>
      </c>
      <c r="FH86">
        <v>0.64256692328940035</v>
      </c>
      <c r="FI86">
        <v>0.65346460270038786</v>
      </c>
      <c r="FJ86">
        <v>0.65366591315972167</v>
      </c>
      <c r="FK86">
        <v>0.64686092107392257</v>
      </c>
      <c r="FL86">
        <v>0.64604759985746318</v>
      </c>
      <c r="FM86">
        <v>0.64622236905868014</v>
      </c>
      <c r="FN86">
        <v>0.63520013635686379</v>
      </c>
      <c r="FO86">
        <v>0.61449380237360463</v>
      </c>
      <c r="FQ86" t="s">
        <v>371</v>
      </c>
      <c r="FR86" t="s">
        <v>127</v>
      </c>
      <c r="FS86" t="s">
        <v>128</v>
      </c>
      <c r="FT86">
        <v>0.68143548320268776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193E-0D0D-4988-ABCF-F3B05AFAFF02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region=GBR")</f>
        <v>~TFM_DINS-AT: region=GBR</v>
      </c>
      <c r="H9" t="str">
        <f>IF(A11="x","DeActivated","~TFM_DINS-AT: region=GBR")</f>
        <v>~TFM_DINS-AT: region=GBR</v>
      </c>
      <c r="L9" t="str">
        <f>IF(A11="x","DeActivated","~TFM_DINS-AT: region=GBR")</f>
        <v>~TFM_DINS-AT: region=GBR</v>
      </c>
      <c r="P9" t="str">
        <f>IF(A11="x","DeActivated","~TFM_INS-AT: region=GBR")</f>
        <v>~TFM_INS-AT: region=GBR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0.10750406611201591</v>
      </c>
      <c r="P11">
        <v>2020</v>
      </c>
      <c r="Q11" t="s">
        <v>214</v>
      </c>
      <c r="R11">
        <v>0.31829999999999997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0.2079793793245186</v>
      </c>
      <c r="P12">
        <v>2020</v>
      </c>
      <c r="Q12" t="s">
        <v>216</v>
      </c>
      <c r="R12">
        <v>0.20230000000000001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0.13715989280427499</v>
      </c>
      <c r="P13">
        <v>2020</v>
      </c>
      <c r="Q13" t="s">
        <v>217</v>
      </c>
      <c r="R13">
        <v>0.14046666666666666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8.965083829214282E-2</v>
      </c>
      <c r="P14">
        <v>2020</v>
      </c>
      <c r="Q14" t="s">
        <v>218</v>
      </c>
      <c r="R14">
        <v>0.23416666666666663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8.3160548890277575E-2</v>
      </c>
      <c r="P15">
        <v>2021</v>
      </c>
      <c r="Q15" t="s">
        <v>214</v>
      </c>
      <c r="R15">
        <v>0.21483333333333335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8.8274397359270784E-2</v>
      </c>
      <c r="P16">
        <v>2021</v>
      </c>
      <c r="Q16" t="s">
        <v>216</v>
      </c>
      <c r="R16">
        <v>0.18423333333333333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8.6869304654512591E-2</v>
      </c>
      <c r="P17">
        <v>2021</v>
      </c>
      <c r="Q17" t="s">
        <v>217</v>
      </c>
      <c r="R17">
        <v>7.2433333333333336E-2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7.7059865628238189E-2</v>
      </c>
      <c r="P18">
        <v>2021</v>
      </c>
      <c r="Q18" t="s">
        <v>218</v>
      </c>
      <c r="R18">
        <v>0.20033333333333334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8.8036391219134646E-2</v>
      </c>
      <c r="P19">
        <v>2022</v>
      </c>
      <c r="Q19" t="s">
        <v>214</v>
      </c>
      <c r="R19">
        <v>0.2349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0.1121143324881011</v>
      </c>
      <c r="P20">
        <v>2022</v>
      </c>
      <c r="Q20" t="s">
        <v>216</v>
      </c>
      <c r="R20">
        <v>0.16093333333333334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0.14730880917712708</v>
      </c>
      <c r="P21">
        <v>2022</v>
      </c>
      <c r="Q21" t="s">
        <v>217</v>
      </c>
      <c r="R21">
        <v>0.10766666666666667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0.21934546003863353</v>
      </c>
      <c r="P22">
        <v>2022</v>
      </c>
      <c r="Q22" t="s">
        <v>218</v>
      </c>
      <c r="R22">
        <v>0.19613333333333335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0.16776843015128939</v>
      </c>
      <c r="P23">
        <v>2025</v>
      </c>
      <c r="Q23" t="s">
        <v>214</v>
      </c>
      <c r="R23">
        <v>0.41563333333333335</v>
      </c>
      <c r="S23" t="s">
        <v>215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0.11405495011102085</v>
      </c>
      <c r="P24">
        <v>2025</v>
      </c>
      <c r="Q24" t="s">
        <v>216</v>
      </c>
      <c r="R24">
        <v>0.2525</v>
      </c>
      <c r="S24" t="s">
        <v>215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0.11760048255837541</v>
      </c>
      <c r="P25">
        <v>2025</v>
      </c>
      <c r="Q25" t="s">
        <v>217</v>
      </c>
      <c r="R25">
        <v>0.19869999999999999</v>
      </c>
      <c r="S25" t="s">
        <v>215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0.12489814890703976</v>
      </c>
      <c r="P26">
        <v>2025</v>
      </c>
      <c r="Q26" t="s">
        <v>218</v>
      </c>
      <c r="R26">
        <v>0.32919999999999999</v>
      </c>
      <c r="S26" t="s">
        <v>215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0.12890884784635737</v>
      </c>
      <c r="P27">
        <v>2026</v>
      </c>
      <c r="Q27" t="s">
        <v>214</v>
      </c>
      <c r="R27">
        <v>0.49479999999999996</v>
      </c>
      <c r="S27" t="s">
        <v>215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0.12172630000696993</v>
      </c>
      <c r="P28">
        <v>2026</v>
      </c>
      <c r="Q28" t="s">
        <v>216</v>
      </c>
      <c r="R28">
        <v>0.29973333333333335</v>
      </c>
      <c r="S28" t="s">
        <v>215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0.13466384749017624</v>
      </c>
      <c r="P29">
        <v>2026</v>
      </c>
      <c r="Q29" t="s">
        <v>217</v>
      </c>
      <c r="R29">
        <v>0.24723333333333333</v>
      </c>
      <c r="S29" t="s">
        <v>215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0.16172881916879112</v>
      </c>
      <c r="P30">
        <v>2026</v>
      </c>
      <c r="Q30" t="s">
        <v>218</v>
      </c>
      <c r="R30">
        <v>0.37056666666666666</v>
      </c>
      <c r="S30" t="s">
        <v>215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0.12554284984921171</v>
      </c>
      <c r="P31">
        <v>2027</v>
      </c>
      <c r="Q31" t="s">
        <v>214</v>
      </c>
      <c r="R31">
        <v>0.51913333333333334</v>
      </c>
      <c r="S31" t="s">
        <v>215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0.102791085619508</v>
      </c>
      <c r="P32">
        <v>2027</v>
      </c>
      <c r="Q32" t="s">
        <v>216</v>
      </c>
      <c r="R32">
        <v>0.31780000000000003</v>
      </c>
      <c r="S32" t="s">
        <v>215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0.12280370688377662</v>
      </c>
      <c r="P33">
        <v>2027</v>
      </c>
      <c r="Q33" t="s">
        <v>217</v>
      </c>
      <c r="R33">
        <v>0.20453333333333334</v>
      </c>
      <c r="S33" t="s">
        <v>215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6.7665591721603358E-2</v>
      </c>
      <c r="P34">
        <v>2027</v>
      </c>
      <c r="Q34" t="s">
        <v>218</v>
      </c>
      <c r="R34">
        <v>0.33750000000000008</v>
      </c>
      <c r="S34" t="s">
        <v>215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7.4657842720088796E-2</v>
      </c>
      <c r="P35">
        <v>2028</v>
      </c>
      <c r="Q35" t="s">
        <v>214</v>
      </c>
      <c r="R35">
        <v>0.48726666666666668</v>
      </c>
      <c r="S35" t="s">
        <v>215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8.022787928991626E-2</v>
      </c>
      <c r="P36">
        <v>2028</v>
      </c>
      <c r="Q36" t="s">
        <v>216</v>
      </c>
      <c r="R36">
        <v>0.31319999999999998</v>
      </c>
      <c r="S36" t="s">
        <v>215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7.7151624911962813E-2</v>
      </c>
      <c r="P37">
        <v>2028</v>
      </c>
      <c r="Q37" t="s">
        <v>217</v>
      </c>
      <c r="R37">
        <v>0.19633333333333333</v>
      </c>
      <c r="S37" t="s">
        <v>215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7.5317195713238361E-2</v>
      </c>
      <c r="P38">
        <v>2028</v>
      </c>
      <c r="Q38" t="s">
        <v>218</v>
      </c>
      <c r="R38">
        <v>0.36513333333333337</v>
      </c>
      <c r="S38" t="s">
        <v>215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7.2545793049725305E-2</v>
      </c>
      <c r="P39">
        <v>2029</v>
      </c>
      <c r="Q39" t="s">
        <v>214</v>
      </c>
      <c r="R39">
        <v>0.46073333333333338</v>
      </c>
      <c r="S39" t="s">
        <v>215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0.12718143918167502</v>
      </c>
      <c r="P40">
        <v>2029</v>
      </c>
      <c r="Q40" t="s">
        <v>216</v>
      </c>
      <c r="R40">
        <v>0.28696666666666665</v>
      </c>
      <c r="S40" t="s">
        <v>215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0.17688967100587139</v>
      </c>
      <c r="P41">
        <v>2029</v>
      </c>
      <c r="Q41" t="s">
        <v>217</v>
      </c>
      <c r="R41">
        <v>0.21783333333333332</v>
      </c>
      <c r="S41" t="s">
        <v>215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0.23365609963271416</v>
      </c>
      <c r="P42">
        <v>2029</v>
      </c>
      <c r="Q42" t="s">
        <v>218</v>
      </c>
      <c r="R42">
        <v>0.33410000000000001</v>
      </c>
      <c r="S42" t="s">
        <v>215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0.22679645121920466</v>
      </c>
      <c r="P43">
        <v>2030</v>
      </c>
      <c r="Q43" t="s">
        <v>214</v>
      </c>
      <c r="R43">
        <v>0.38536666666666664</v>
      </c>
      <c r="S43" t="s">
        <v>215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0.16897317970062264</v>
      </c>
      <c r="P44">
        <v>2030</v>
      </c>
      <c r="Q44" t="s">
        <v>216</v>
      </c>
      <c r="R44">
        <v>0.28556666666666669</v>
      </c>
      <c r="S44" t="s">
        <v>215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0.16156316198476506</v>
      </c>
      <c r="P45">
        <v>2030</v>
      </c>
      <c r="Q45" t="s">
        <v>217</v>
      </c>
      <c r="R45">
        <v>0.13266666666666668</v>
      </c>
      <c r="S45" t="s">
        <v>215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0.16247551546438488</v>
      </c>
      <c r="P46">
        <v>2030</v>
      </c>
      <c r="Q46" t="s">
        <v>218</v>
      </c>
      <c r="R46">
        <v>0.27839999999999998</v>
      </c>
      <c r="S46" t="s">
        <v>215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0.17546743147096144</v>
      </c>
      <c r="P47">
        <v>2031</v>
      </c>
      <c r="Q47" t="s">
        <v>214</v>
      </c>
      <c r="R47">
        <v>0.43906666666666672</v>
      </c>
      <c r="S47" t="s">
        <v>215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0.17346533414660859</v>
      </c>
      <c r="P48">
        <v>2031</v>
      </c>
      <c r="Q48" t="s">
        <v>216</v>
      </c>
      <c r="R48">
        <v>0.25253333333333333</v>
      </c>
      <c r="S48" t="s">
        <v>215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0.17349168445299123</v>
      </c>
      <c r="P49">
        <v>2031</v>
      </c>
      <c r="Q49" t="s">
        <v>217</v>
      </c>
      <c r="R49">
        <v>0.19776666666666667</v>
      </c>
      <c r="S49" t="s">
        <v>215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0.14712067657623007</v>
      </c>
      <c r="P50">
        <v>2031</v>
      </c>
      <c r="Q50" t="s">
        <v>218</v>
      </c>
      <c r="R50">
        <v>0.34433333333333332</v>
      </c>
      <c r="S50" t="s">
        <v>215</v>
      </c>
    </row>
    <row r="51" spans="3:19" x14ac:dyDescent="0.45">
      <c r="H51" t="s">
        <v>219</v>
      </c>
      <c r="I51" t="s">
        <v>5</v>
      </c>
      <c r="P51">
        <v>2032</v>
      </c>
      <c r="Q51" t="s">
        <v>214</v>
      </c>
      <c r="R51">
        <v>0.44319999999999998</v>
      </c>
      <c r="S51" t="s">
        <v>215</v>
      </c>
    </row>
    <row r="52" spans="3:19" x14ac:dyDescent="0.45">
      <c r="H52" t="s">
        <v>219</v>
      </c>
      <c r="I52" t="s">
        <v>9</v>
      </c>
      <c r="P52">
        <v>2032</v>
      </c>
      <c r="Q52" t="s">
        <v>216</v>
      </c>
      <c r="R52">
        <v>0.23913333333333334</v>
      </c>
      <c r="S52" t="s">
        <v>215</v>
      </c>
    </row>
    <row r="53" spans="3:19" x14ac:dyDescent="0.45">
      <c r="H53" t="s">
        <v>219</v>
      </c>
      <c r="I53" t="s">
        <v>10</v>
      </c>
      <c r="P53">
        <v>2032</v>
      </c>
      <c r="Q53" t="s">
        <v>217</v>
      </c>
      <c r="R53">
        <v>0.21606666666666666</v>
      </c>
      <c r="S53" t="s">
        <v>215</v>
      </c>
    </row>
    <row r="54" spans="3:19" x14ac:dyDescent="0.45">
      <c r="H54" t="s">
        <v>219</v>
      </c>
      <c r="I54" t="s">
        <v>11</v>
      </c>
      <c r="P54">
        <v>2032</v>
      </c>
      <c r="Q54" t="s">
        <v>218</v>
      </c>
      <c r="R54">
        <v>0.29743333333333333</v>
      </c>
      <c r="S54" t="s">
        <v>215</v>
      </c>
    </row>
    <row r="55" spans="3:19" x14ac:dyDescent="0.45">
      <c r="H55" t="s">
        <v>219</v>
      </c>
      <c r="I55" t="s">
        <v>12</v>
      </c>
      <c r="P55">
        <v>2033</v>
      </c>
      <c r="Q55" t="s">
        <v>214</v>
      </c>
      <c r="R55">
        <v>0.39136666666666664</v>
      </c>
      <c r="S55" t="s">
        <v>215</v>
      </c>
    </row>
    <row r="56" spans="3:19" x14ac:dyDescent="0.45">
      <c r="H56" t="s">
        <v>219</v>
      </c>
      <c r="I56" t="s">
        <v>13</v>
      </c>
      <c r="P56">
        <v>2033</v>
      </c>
      <c r="Q56" t="s">
        <v>216</v>
      </c>
      <c r="R56">
        <v>0.24719999999999998</v>
      </c>
      <c r="S56" t="s">
        <v>215</v>
      </c>
    </row>
    <row r="57" spans="3:19" x14ac:dyDescent="0.45">
      <c r="H57" t="s">
        <v>219</v>
      </c>
      <c r="I57" t="s">
        <v>14</v>
      </c>
      <c r="P57">
        <v>2033</v>
      </c>
      <c r="Q57" t="s">
        <v>217</v>
      </c>
      <c r="R57">
        <v>0.17716666666666667</v>
      </c>
      <c r="S57" t="s">
        <v>215</v>
      </c>
    </row>
    <row r="58" spans="3:19" x14ac:dyDescent="0.45">
      <c r="H58" t="s">
        <v>219</v>
      </c>
      <c r="I58" t="s">
        <v>15</v>
      </c>
      <c r="P58">
        <v>2033</v>
      </c>
      <c r="Q58" t="s">
        <v>218</v>
      </c>
      <c r="R58">
        <v>0.28576666666666667</v>
      </c>
      <c r="S58" t="s">
        <v>215</v>
      </c>
    </row>
    <row r="59" spans="3:19" x14ac:dyDescent="0.45">
      <c r="H59" t="s">
        <v>219</v>
      </c>
      <c r="I59" t="s">
        <v>16</v>
      </c>
      <c r="P59">
        <v>2034</v>
      </c>
      <c r="Q59" t="s">
        <v>214</v>
      </c>
      <c r="R59">
        <v>0.48703333333333337</v>
      </c>
      <c r="S59" t="s">
        <v>215</v>
      </c>
    </row>
    <row r="60" spans="3:19" x14ac:dyDescent="0.45">
      <c r="H60" t="s">
        <v>219</v>
      </c>
      <c r="I60" t="s">
        <v>17</v>
      </c>
      <c r="P60">
        <v>2034</v>
      </c>
      <c r="Q60" t="s">
        <v>216</v>
      </c>
      <c r="R60">
        <v>0.31230000000000002</v>
      </c>
      <c r="S60" t="s">
        <v>215</v>
      </c>
    </row>
    <row r="61" spans="3:19" x14ac:dyDescent="0.45">
      <c r="H61" t="s">
        <v>219</v>
      </c>
      <c r="I61" t="s">
        <v>18</v>
      </c>
      <c r="P61">
        <v>2034</v>
      </c>
      <c r="Q61" t="s">
        <v>217</v>
      </c>
      <c r="R61">
        <v>0.17600000000000002</v>
      </c>
      <c r="S61" t="s">
        <v>215</v>
      </c>
    </row>
    <row r="62" spans="3:19" x14ac:dyDescent="0.45">
      <c r="H62" t="s">
        <v>219</v>
      </c>
      <c r="I62" t="s">
        <v>19</v>
      </c>
      <c r="P62">
        <v>2034</v>
      </c>
      <c r="Q62" t="s">
        <v>218</v>
      </c>
      <c r="R62">
        <v>0.37383333333333341</v>
      </c>
      <c r="S62" t="s">
        <v>215</v>
      </c>
    </row>
    <row r="63" spans="3:19" x14ac:dyDescent="0.45">
      <c r="H63" t="s">
        <v>219</v>
      </c>
      <c r="I63" t="s">
        <v>20</v>
      </c>
      <c r="P63">
        <v>2035</v>
      </c>
      <c r="Q63" t="s">
        <v>214</v>
      </c>
      <c r="R63">
        <v>0.51093333333333335</v>
      </c>
      <c r="S63" t="s">
        <v>215</v>
      </c>
    </row>
    <row r="64" spans="3:19" x14ac:dyDescent="0.45">
      <c r="H64" t="s">
        <v>219</v>
      </c>
      <c r="I64" t="s">
        <v>21</v>
      </c>
      <c r="P64">
        <v>2035</v>
      </c>
      <c r="Q64" t="s">
        <v>216</v>
      </c>
      <c r="R64">
        <v>0.31900000000000001</v>
      </c>
      <c r="S64" t="s">
        <v>215</v>
      </c>
    </row>
    <row r="65" spans="8:19" x14ac:dyDescent="0.45">
      <c r="H65" t="s">
        <v>219</v>
      </c>
      <c r="I65" t="s">
        <v>22</v>
      </c>
      <c r="P65">
        <v>2035</v>
      </c>
      <c r="Q65" t="s">
        <v>217</v>
      </c>
      <c r="R65">
        <v>0.20376666666666665</v>
      </c>
      <c r="S65" t="s">
        <v>215</v>
      </c>
    </row>
    <row r="66" spans="8:19" x14ac:dyDescent="0.45">
      <c r="H66" t="s">
        <v>219</v>
      </c>
      <c r="I66" t="s">
        <v>23</v>
      </c>
      <c r="P66">
        <v>2035</v>
      </c>
      <c r="Q66" t="s">
        <v>218</v>
      </c>
      <c r="R66">
        <v>0.36943333333333334</v>
      </c>
      <c r="S66" t="s">
        <v>215</v>
      </c>
    </row>
    <row r="67" spans="8:19" x14ac:dyDescent="0.45">
      <c r="H67" t="s">
        <v>219</v>
      </c>
      <c r="I67" t="s">
        <v>24</v>
      </c>
      <c r="P67">
        <v>2036</v>
      </c>
      <c r="Q67" t="s">
        <v>214</v>
      </c>
      <c r="R67">
        <v>0.49483333333333329</v>
      </c>
      <c r="S67" t="s">
        <v>215</v>
      </c>
    </row>
    <row r="68" spans="8:19" x14ac:dyDescent="0.45">
      <c r="H68" t="s">
        <v>219</v>
      </c>
      <c r="I68" t="s">
        <v>25</v>
      </c>
      <c r="P68">
        <v>2036</v>
      </c>
      <c r="Q68" t="s">
        <v>216</v>
      </c>
      <c r="R68">
        <v>0.31030000000000002</v>
      </c>
      <c r="S68" t="s">
        <v>215</v>
      </c>
    </row>
    <row r="69" spans="8:19" x14ac:dyDescent="0.45">
      <c r="H69" t="s">
        <v>219</v>
      </c>
      <c r="I69" t="s">
        <v>26</v>
      </c>
      <c r="P69">
        <v>2036</v>
      </c>
      <c r="Q69" t="s">
        <v>217</v>
      </c>
      <c r="R69">
        <v>0.19923333333333335</v>
      </c>
      <c r="S69" t="s">
        <v>215</v>
      </c>
    </row>
    <row r="70" spans="8:19" x14ac:dyDescent="0.45">
      <c r="H70" t="s">
        <v>219</v>
      </c>
      <c r="I70" t="s">
        <v>27</v>
      </c>
      <c r="P70">
        <v>2036</v>
      </c>
      <c r="Q70" t="s">
        <v>218</v>
      </c>
      <c r="R70">
        <v>0.33516666666666667</v>
      </c>
      <c r="S70" t="s">
        <v>215</v>
      </c>
    </row>
    <row r="71" spans="8:19" x14ac:dyDescent="0.45">
      <c r="H71" t="s">
        <v>219</v>
      </c>
      <c r="I71" t="s">
        <v>28</v>
      </c>
      <c r="P71">
        <v>2037</v>
      </c>
      <c r="Q71" t="s">
        <v>214</v>
      </c>
      <c r="R71">
        <v>0.46710000000000002</v>
      </c>
      <c r="S71" t="s">
        <v>215</v>
      </c>
    </row>
    <row r="72" spans="8:19" x14ac:dyDescent="0.45">
      <c r="H72" t="s">
        <v>219</v>
      </c>
      <c r="I72" t="s">
        <v>29</v>
      </c>
      <c r="P72">
        <v>2037</v>
      </c>
      <c r="Q72" t="s">
        <v>216</v>
      </c>
      <c r="R72">
        <v>0.25310000000000005</v>
      </c>
      <c r="S72" t="s">
        <v>215</v>
      </c>
    </row>
    <row r="73" spans="8:19" x14ac:dyDescent="0.45">
      <c r="H73" t="s">
        <v>219</v>
      </c>
      <c r="I73" t="s">
        <v>30</v>
      </c>
      <c r="P73">
        <v>2037</v>
      </c>
      <c r="Q73" t="s">
        <v>217</v>
      </c>
      <c r="R73">
        <v>0.20016666666666669</v>
      </c>
      <c r="S73" t="s">
        <v>215</v>
      </c>
    </row>
    <row r="74" spans="8:19" x14ac:dyDescent="0.45">
      <c r="H74" t="s">
        <v>219</v>
      </c>
      <c r="I74" t="s">
        <v>31</v>
      </c>
      <c r="P74">
        <v>2037</v>
      </c>
      <c r="Q74" t="s">
        <v>218</v>
      </c>
      <c r="R74">
        <v>0.36846666666666666</v>
      </c>
      <c r="S74" t="s">
        <v>215</v>
      </c>
    </row>
    <row r="75" spans="8:19" x14ac:dyDescent="0.45">
      <c r="H75" t="s">
        <v>219</v>
      </c>
      <c r="I75" t="s">
        <v>32</v>
      </c>
      <c r="P75">
        <v>2038</v>
      </c>
      <c r="Q75" t="s">
        <v>214</v>
      </c>
      <c r="R75">
        <v>0.34720000000000001</v>
      </c>
      <c r="S75" t="s">
        <v>215</v>
      </c>
    </row>
    <row r="76" spans="8:19" x14ac:dyDescent="0.45">
      <c r="H76" t="s">
        <v>219</v>
      </c>
      <c r="I76" t="s">
        <v>33</v>
      </c>
      <c r="P76">
        <v>2038</v>
      </c>
      <c r="Q76" t="s">
        <v>216</v>
      </c>
      <c r="R76">
        <v>0.25930000000000003</v>
      </c>
      <c r="S76" t="s">
        <v>215</v>
      </c>
    </row>
    <row r="77" spans="8:19" x14ac:dyDescent="0.45">
      <c r="H77" t="s">
        <v>219</v>
      </c>
      <c r="I77" t="s">
        <v>34</v>
      </c>
      <c r="P77">
        <v>2038</v>
      </c>
      <c r="Q77" t="s">
        <v>217</v>
      </c>
      <c r="R77">
        <v>0.13730000000000001</v>
      </c>
      <c r="S77" t="s">
        <v>215</v>
      </c>
    </row>
    <row r="78" spans="8:19" x14ac:dyDescent="0.45">
      <c r="H78" t="s">
        <v>219</v>
      </c>
      <c r="I78" t="s">
        <v>35</v>
      </c>
      <c r="P78">
        <v>2038</v>
      </c>
      <c r="Q78" t="s">
        <v>218</v>
      </c>
      <c r="R78">
        <v>0.29543333333333333</v>
      </c>
      <c r="S78" t="s">
        <v>215</v>
      </c>
    </row>
    <row r="79" spans="8:19" x14ac:dyDescent="0.45">
      <c r="H79" t="s">
        <v>219</v>
      </c>
      <c r="I79" t="s">
        <v>36</v>
      </c>
      <c r="P79">
        <v>2039</v>
      </c>
      <c r="Q79" t="s">
        <v>214</v>
      </c>
      <c r="R79">
        <v>0.45083333333333336</v>
      </c>
      <c r="S79" t="s">
        <v>215</v>
      </c>
    </row>
    <row r="80" spans="8:19" x14ac:dyDescent="0.45">
      <c r="H80" t="s">
        <v>219</v>
      </c>
      <c r="I80" t="s">
        <v>37</v>
      </c>
      <c r="P80">
        <v>2039</v>
      </c>
      <c r="Q80" t="s">
        <v>216</v>
      </c>
      <c r="R80">
        <v>0.29186666666666666</v>
      </c>
      <c r="S80" t="s">
        <v>215</v>
      </c>
    </row>
    <row r="81" spans="8:19" x14ac:dyDescent="0.45">
      <c r="H81" t="s">
        <v>219</v>
      </c>
      <c r="I81" t="s">
        <v>38</v>
      </c>
      <c r="P81">
        <v>2039</v>
      </c>
      <c r="Q81" t="s">
        <v>217</v>
      </c>
      <c r="R81">
        <v>0.17463333333333333</v>
      </c>
      <c r="S81" t="s">
        <v>215</v>
      </c>
    </row>
    <row r="82" spans="8:19" x14ac:dyDescent="0.45">
      <c r="H82" t="s">
        <v>219</v>
      </c>
      <c r="I82" t="s">
        <v>39</v>
      </c>
      <c r="P82">
        <v>2039</v>
      </c>
      <c r="Q82" t="s">
        <v>218</v>
      </c>
      <c r="R82">
        <v>0.31346666666666662</v>
      </c>
      <c r="S82" t="s">
        <v>215</v>
      </c>
    </row>
    <row r="83" spans="8:19" x14ac:dyDescent="0.45">
      <c r="H83" t="s">
        <v>219</v>
      </c>
      <c r="I83" t="s">
        <v>40</v>
      </c>
      <c r="P83">
        <v>2040</v>
      </c>
      <c r="Q83" t="s">
        <v>214</v>
      </c>
      <c r="R83">
        <v>0.45313333333333333</v>
      </c>
      <c r="S83" t="s">
        <v>215</v>
      </c>
    </row>
    <row r="84" spans="8:19" x14ac:dyDescent="0.45">
      <c r="H84" t="s">
        <v>219</v>
      </c>
      <c r="I84" t="s">
        <v>41</v>
      </c>
      <c r="P84">
        <v>2040</v>
      </c>
      <c r="Q84" t="s">
        <v>216</v>
      </c>
      <c r="R84">
        <v>0.27400000000000002</v>
      </c>
      <c r="S84" t="s">
        <v>215</v>
      </c>
    </row>
    <row r="85" spans="8:19" x14ac:dyDescent="0.45">
      <c r="H85" t="s">
        <v>219</v>
      </c>
      <c r="I85" t="s">
        <v>42</v>
      </c>
      <c r="P85">
        <v>2040</v>
      </c>
      <c r="Q85" t="s">
        <v>217</v>
      </c>
      <c r="R85">
        <v>0.15873333333333337</v>
      </c>
      <c r="S85" t="s">
        <v>215</v>
      </c>
    </row>
    <row r="86" spans="8:19" x14ac:dyDescent="0.45">
      <c r="H86" t="s">
        <v>219</v>
      </c>
      <c r="I86" t="s">
        <v>43</v>
      </c>
      <c r="P86">
        <v>2040</v>
      </c>
      <c r="Q86" t="s">
        <v>218</v>
      </c>
      <c r="R86">
        <v>0.31900000000000001</v>
      </c>
      <c r="S86" t="s">
        <v>215</v>
      </c>
    </row>
    <row r="87" spans="8:19" x14ac:dyDescent="0.45">
      <c r="H87" t="s">
        <v>219</v>
      </c>
      <c r="I87" t="s">
        <v>44</v>
      </c>
      <c r="P87">
        <v>2041</v>
      </c>
      <c r="Q87" t="s">
        <v>214</v>
      </c>
      <c r="R87">
        <v>0.48486666666666661</v>
      </c>
      <c r="S87" t="s">
        <v>215</v>
      </c>
    </row>
    <row r="88" spans="8:19" x14ac:dyDescent="0.45">
      <c r="H88" t="s">
        <v>219</v>
      </c>
      <c r="I88" t="s">
        <v>45</v>
      </c>
      <c r="P88">
        <v>2041</v>
      </c>
      <c r="Q88" t="s">
        <v>216</v>
      </c>
      <c r="R88">
        <v>0.28323333333333328</v>
      </c>
      <c r="S88" t="s">
        <v>215</v>
      </c>
    </row>
    <row r="89" spans="8:19" x14ac:dyDescent="0.45">
      <c r="H89" t="s">
        <v>219</v>
      </c>
      <c r="I89" t="s">
        <v>46</v>
      </c>
      <c r="P89">
        <v>2041</v>
      </c>
      <c r="Q89" t="s">
        <v>217</v>
      </c>
      <c r="R89">
        <v>0.22763333333333333</v>
      </c>
      <c r="S89" t="s">
        <v>215</v>
      </c>
    </row>
    <row r="90" spans="8:19" x14ac:dyDescent="0.45">
      <c r="H90" t="s">
        <v>219</v>
      </c>
      <c r="I90" t="s">
        <v>47</v>
      </c>
      <c r="P90">
        <v>2041</v>
      </c>
      <c r="Q90" t="s">
        <v>218</v>
      </c>
      <c r="R90">
        <v>0.36576666666666663</v>
      </c>
      <c r="S90" t="s">
        <v>215</v>
      </c>
    </row>
    <row r="91" spans="8:19" x14ac:dyDescent="0.45">
      <c r="P91">
        <v>2042</v>
      </c>
      <c r="Q91" t="s">
        <v>214</v>
      </c>
      <c r="R91">
        <v>0.37343333333333334</v>
      </c>
      <c r="S91" t="s">
        <v>215</v>
      </c>
    </row>
    <row r="92" spans="8:19" x14ac:dyDescent="0.45">
      <c r="P92">
        <v>2042</v>
      </c>
      <c r="Q92" t="s">
        <v>216</v>
      </c>
      <c r="R92">
        <v>0.21826666666666664</v>
      </c>
      <c r="S92" t="s">
        <v>215</v>
      </c>
    </row>
    <row r="93" spans="8:19" x14ac:dyDescent="0.45">
      <c r="P93">
        <v>2042</v>
      </c>
      <c r="Q93" t="s">
        <v>217</v>
      </c>
      <c r="R93">
        <v>0.10006666666666668</v>
      </c>
      <c r="S93" t="s">
        <v>215</v>
      </c>
    </row>
    <row r="94" spans="8:19" x14ac:dyDescent="0.45">
      <c r="P94">
        <v>2042</v>
      </c>
      <c r="Q94" t="s">
        <v>218</v>
      </c>
      <c r="R94">
        <v>0.28909999999999997</v>
      </c>
      <c r="S94" t="s">
        <v>215</v>
      </c>
    </row>
    <row r="95" spans="8:19" x14ac:dyDescent="0.45">
      <c r="P95">
        <v>2043</v>
      </c>
      <c r="Q95" t="s">
        <v>214</v>
      </c>
      <c r="R95">
        <v>0.52913333333333334</v>
      </c>
      <c r="S95" t="s">
        <v>215</v>
      </c>
    </row>
    <row r="96" spans="8:19" x14ac:dyDescent="0.45">
      <c r="P96">
        <v>2043</v>
      </c>
      <c r="Q96" t="s">
        <v>216</v>
      </c>
      <c r="R96">
        <v>0.30273333333333335</v>
      </c>
      <c r="S96" t="s">
        <v>215</v>
      </c>
    </row>
    <row r="97" spans="16:19" x14ac:dyDescent="0.45">
      <c r="P97">
        <v>2043</v>
      </c>
      <c r="Q97" t="s">
        <v>217</v>
      </c>
      <c r="R97">
        <v>0.24006666666666665</v>
      </c>
      <c r="S97" t="s">
        <v>215</v>
      </c>
    </row>
    <row r="98" spans="16:19" x14ac:dyDescent="0.45">
      <c r="P98">
        <v>2043</v>
      </c>
      <c r="Q98" t="s">
        <v>218</v>
      </c>
      <c r="R98">
        <v>0.3284333333333333</v>
      </c>
      <c r="S98" t="s">
        <v>215</v>
      </c>
    </row>
    <row r="99" spans="16:19" x14ac:dyDescent="0.45">
      <c r="P99">
        <v>2044</v>
      </c>
      <c r="Q99" t="s">
        <v>214</v>
      </c>
      <c r="R99">
        <v>0.46346666666666669</v>
      </c>
      <c r="S99" t="s">
        <v>215</v>
      </c>
    </row>
    <row r="100" spans="16:19" x14ac:dyDescent="0.45">
      <c r="P100">
        <v>2044</v>
      </c>
      <c r="Q100" t="s">
        <v>216</v>
      </c>
      <c r="R100">
        <v>0.29956666666666665</v>
      </c>
      <c r="S100" t="s">
        <v>215</v>
      </c>
    </row>
    <row r="101" spans="16:19" x14ac:dyDescent="0.45">
      <c r="P101">
        <v>2044</v>
      </c>
      <c r="Q101" t="s">
        <v>217</v>
      </c>
      <c r="R101">
        <v>0.18753333333333333</v>
      </c>
      <c r="S101" t="s">
        <v>215</v>
      </c>
    </row>
    <row r="102" spans="16:19" x14ac:dyDescent="0.45">
      <c r="P102">
        <v>2044</v>
      </c>
      <c r="Q102" t="s">
        <v>218</v>
      </c>
      <c r="R102">
        <v>0.36430000000000001</v>
      </c>
      <c r="S102" t="s">
        <v>215</v>
      </c>
    </row>
    <row r="103" spans="16:19" x14ac:dyDescent="0.45">
      <c r="P103">
        <v>2045</v>
      </c>
      <c r="Q103" t="s">
        <v>214</v>
      </c>
      <c r="R103">
        <v>0.50266666666666671</v>
      </c>
      <c r="S103" t="s">
        <v>215</v>
      </c>
    </row>
    <row r="104" spans="16:19" x14ac:dyDescent="0.45">
      <c r="P104">
        <v>2045</v>
      </c>
      <c r="Q104" t="s">
        <v>216</v>
      </c>
      <c r="R104">
        <v>0.31030000000000002</v>
      </c>
      <c r="S104" t="s">
        <v>215</v>
      </c>
    </row>
    <row r="105" spans="16:19" x14ac:dyDescent="0.45">
      <c r="P105">
        <v>2045</v>
      </c>
      <c r="Q105" t="s">
        <v>217</v>
      </c>
      <c r="R105">
        <v>0.17730000000000001</v>
      </c>
      <c r="S105" t="s">
        <v>215</v>
      </c>
    </row>
    <row r="106" spans="16:19" x14ac:dyDescent="0.45">
      <c r="P106">
        <v>2045</v>
      </c>
      <c r="Q106" t="s">
        <v>218</v>
      </c>
      <c r="R106">
        <v>0.32893333333333336</v>
      </c>
      <c r="S106" t="s">
        <v>215</v>
      </c>
    </row>
    <row r="107" spans="16:19" x14ac:dyDescent="0.45">
      <c r="P107">
        <v>2046</v>
      </c>
      <c r="Q107" t="s">
        <v>214</v>
      </c>
      <c r="R107">
        <v>0.51646666666666663</v>
      </c>
      <c r="S107" t="s">
        <v>215</v>
      </c>
    </row>
    <row r="108" spans="16:19" x14ac:dyDescent="0.45">
      <c r="P108">
        <v>2046</v>
      </c>
      <c r="Q108" t="s">
        <v>216</v>
      </c>
      <c r="R108">
        <v>0.29370000000000002</v>
      </c>
      <c r="S108" t="s">
        <v>215</v>
      </c>
    </row>
    <row r="109" spans="16:19" x14ac:dyDescent="0.45">
      <c r="P109">
        <v>2046</v>
      </c>
      <c r="Q109" t="s">
        <v>217</v>
      </c>
      <c r="R109">
        <v>0.22576666666666667</v>
      </c>
      <c r="S109" t="s">
        <v>215</v>
      </c>
    </row>
    <row r="110" spans="16:19" x14ac:dyDescent="0.45">
      <c r="P110">
        <v>2046</v>
      </c>
      <c r="Q110" t="s">
        <v>218</v>
      </c>
      <c r="R110">
        <v>0.35650000000000004</v>
      </c>
      <c r="S110" t="s">
        <v>215</v>
      </c>
    </row>
    <row r="111" spans="16:19" x14ac:dyDescent="0.45">
      <c r="P111">
        <v>2047</v>
      </c>
      <c r="Q111" t="s">
        <v>214</v>
      </c>
      <c r="R111">
        <v>0.43816666666666665</v>
      </c>
      <c r="S111" t="s">
        <v>215</v>
      </c>
    </row>
    <row r="112" spans="16:19" x14ac:dyDescent="0.45">
      <c r="P112">
        <v>2047</v>
      </c>
      <c r="Q112" t="s">
        <v>216</v>
      </c>
      <c r="R112">
        <v>0.27716666666666673</v>
      </c>
      <c r="S112" t="s">
        <v>215</v>
      </c>
    </row>
    <row r="113" spans="16:19" x14ac:dyDescent="0.45">
      <c r="P113">
        <v>2047</v>
      </c>
      <c r="Q113" t="s">
        <v>217</v>
      </c>
      <c r="R113">
        <v>0.22466666666666665</v>
      </c>
      <c r="S113" t="s">
        <v>215</v>
      </c>
    </row>
    <row r="114" spans="16:19" x14ac:dyDescent="0.45">
      <c r="P114">
        <v>2047</v>
      </c>
      <c r="Q114" t="s">
        <v>218</v>
      </c>
      <c r="R114">
        <v>0.37996666666666662</v>
      </c>
      <c r="S114" t="s">
        <v>215</v>
      </c>
    </row>
    <row r="115" spans="16:19" x14ac:dyDescent="0.45">
      <c r="P115">
        <v>2048</v>
      </c>
      <c r="Q115" t="s">
        <v>214</v>
      </c>
      <c r="R115">
        <v>0.37119999999999997</v>
      </c>
      <c r="S115" t="s">
        <v>215</v>
      </c>
    </row>
    <row r="116" spans="16:19" x14ac:dyDescent="0.45">
      <c r="P116">
        <v>2048</v>
      </c>
      <c r="Q116" t="s">
        <v>216</v>
      </c>
      <c r="R116">
        <v>0.23353333333333334</v>
      </c>
      <c r="S116" t="s">
        <v>215</v>
      </c>
    </row>
    <row r="117" spans="16:19" x14ac:dyDescent="0.45">
      <c r="P117">
        <v>2048</v>
      </c>
      <c r="Q117" t="s">
        <v>217</v>
      </c>
      <c r="R117">
        <v>0.17723333333333333</v>
      </c>
      <c r="S117" t="s">
        <v>215</v>
      </c>
    </row>
    <row r="118" spans="16:19" x14ac:dyDescent="0.45">
      <c r="P118">
        <v>2048</v>
      </c>
      <c r="Q118" t="s">
        <v>218</v>
      </c>
      <c r="R118">
        <v>0.30476666666666663</v>
      </c>
      <c r="S118" t="s">
        <v>215</v>
      </c>
    </row>
    <row r="119" spans="16:19" x14ac:dyDescent="0.45">
      <c r="P119">
        <v>2049</v>
      </c>
      <c r="Q119" t="s">
        <v>214</v>
      </c>
      <c r="R119">
        <v>0.41050000000000003</v>
      </c>
      <c r="S119" t="s">
        <v>215</v>
      </c>
    </row>
    <row r="120" spans="16:19" x14ac:dyDescent="0.45">
      <c r="P120">
        <v>2049</v>
      </c>
      <c r="Q120" t="s">
        <v>216</v>
      </c>
      <c r="R120">
        <v>0.30659999999999998</v>
      </c>
      <c r="S120" t="s">
        <v>215</v>
      </c>
    </row>
    <row r="121" spans="16:19" x14ac:dyDescent="0.45">
      <c r="P121">
        <v>2049</v>
      </c>
      <c r="Q121" t="s">
        <v>217</v>
      </c>
      <c r="R121">
        <v>0.23760000000000003</v>
      </c>
      <c r="S121" t="s">
        <v>215</v>
      </c>
    </row>
    <row r="122" spans="16:19" x14ac:dyDescent="0.45">
      <c r="P122">
        <v>2049</v>
      </c>
      <c r="Q122" t="s">
        <v>218</v>
      </c>
      <c r="R122">
        <v>0.28686666666666666</v>
      </c>
      <c r="S122" t="s">
        <v>215</v>
      </c>
    </row>
    <row r="123" spans="16:19" x14ac:dyDescent="0.45">
      <c r="P123">
        <v>2050</v>
      </c>
      <c r="Q123" t="s">
        <v>214</v>
      </c>
      <c r="R123">
        <v>0.38473333333333337</v>
      </c>
      <c r="S123" t="s">
        <v>215</v>
      </c>
    </row>
    <row r="124" spans="16:19" x14ac:dyDescent="0.45">
      <c r="P124">
        <v>2050</v>
      </c>
      <c r="Q124" t="s">
        <v>216</v>
      </c>
      <c r="R124">
        <v>0.25936666666666669</v>
      </c>
      <c r="S124" t="s">
        <v>215</v>
      </c>
    </row>
    <row r="125" spans="16:19" x14ac:dyDescent="0.45">
      <c r="P125">
        <v>2050</v>
      </c>
      <c r="Q125" t="s">
        <v>217</v>
      </c>
      <c r="R125">
        <v>0.19283333333333333</v>
      </c>
      <c r="S125" t="s">
        <v>215</v>
      </c>
    </row>
    <row r="126" spans="16:19" x14ac:dyDescent="0.45">
      <c r="P126">
        <v>2050</v>
      </c>
      <c r="Q126" t="s">
        <v>218</v>
      </c>
      <c r="R126">
        <v>0.28699999999999998</v>
      </c>
      <c r="S126" t="s">
        <v>215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8E5F-E54C-4666-BCDE-C7DA4A71ACA1}">
  <dimension ref="B9:J41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region=BEL")</f>
        <v>~TFM_DINS-AT: region=BEL</v>
      </c>
      <c r="G9" t="str">
        <f>IF(A11="x","DeActivated","~TFM_DINS-AT: region=BEL")</f>
        <v>~TFM_DINS-AT: region=BEL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372</v>
      </c>
      <c r="C11" t="s">
        <v>5</v>
      </c>
      <c r="D11">
        <v>0</v>
      </c>
      <c r="E11" t="s">
        <v>6</v>
      </c>
      <c r="G11" t="s">
        <v>373</v>
      </c>
      <c r="H11" t="s">
        <v>5</v>
      </c>
      <c r="I11">
        <v>6.6128862356874152E-2</v>
      </c>
      <c r="J11" t="s">
        <v>6</v>
      </c>
    </row>
    <row r="12" spans="2:10" x14ac:dyDescent="0.45">
      <c r="B12" t="s">
        <v>372</v>
      </c>
      <c r="C12" t="s">
        <v>9</v>
      </c>
      <c r="D12">
        <v>0</v>
      </c>
      <c r="E12" t="s">
        <v>6</v>
      </c>
      <c r="G12" t="s">
        <v>373</v>
      </c>
      <c r="H12" t="s">
        <v>9</v>
      </c>
      <c r="I12">
        <v>2.6068618469352045E-2</v>
      </c>
      <c r="J12" t="s">
        <v>6</v>
      </c>
    </row>
    <row r="13" spans="2:10" x14ac:dyDescent="0.45">
      <c r="B13" t="s">
        <v>372</v>
      </c>
      <c r="C13" t="s">
        <v>10</v>
      </c>
      <c r="D13">
        <v>0</v>
      </c>
      <c r="E13" t="s">
        <v>6</v>
      </c>
      <c r="G13" t="s">
        <v>373</v>
      </c>
      <c r="H13" t="s">
        <v>10</v>
      </c>
      <c r="I13">
        <v>2.6363360382216327E-2</v>
      </c>
      <c r="J13" t="s">
        <v>6</v>
      </c>
    </row>
    <row r="14" spans="2:10" x14ac:dyDescent="0.45">
      <c r="B14" t="s">
        <v>372</v>
      </c>
      <c r="C14" t="s">
        <v>11</v>
      </c>
      <c r="D14">
        <v>9.093700634898276E-3</v>
      </c>
      <c r="E14" t="s">
        <v>6</v>
      </c>
      <c r="G14" t="s">
        <v>373</v>
      </c>
      <c r="H14" t="s">
        <v>11</v>
      </c>
      <c r="I14">
        <v>2.6529711082606926E-2</v>
      </c>
      <c r="J14" t="s">
        <v>6</v>
      </c>
    </row>
    <row r="15" spans="2:10" x14ac:dyDescent="0.45">
      <c r="B15" t="s">
        <v>372</v>
      </c>
      <c r="C15" t="s">
        <v>12</v>
      </c>
      <c r="D15">
        <v>3.5452394870752343E-2</v>
      </c>
      <c r="E15" t="s">
        <v>6</v>
      </c>
      <c r="G15" t="s">
        <v>373</v>
      </c>
      <c r="H15" t="s">
        <v>12</v>
      </c>
      <c r="I15">
        <v>2.3450430028809054E-2</v>
      </c>
      <c r="J15" t="s">
        <v>6</v>
      </c>
    </row>
    <row r="16" spans="2:10" x14ac:dyDescent="0.45">
      <c r="B16" t="s">
        <v>372</v>
      </c>
      <c r="C16" t="s">
        <v>13</v>
      </c>
      <c r="D16">
        <v>4.5824166235640493E-2</v>
      </c>
      <c r="E16" t="s">
        <v>6</v>
      </c>
      <c r="G16" t="s">
        <v>373</v>
      </c>
      <c r="H16" t="s">
        <v>13</v>
      </c>
      <c r="I16">
        <v>2.3331263241439616E-2</v>
      </c>
      <c r="J16" t="s">
        <v>6</v>
      </c>
    </row>
    <row r="17" spans="2:10" x14ac:dyDescent="0.45">
      <c r="B17" t="s">
        <v>372</v>
      </c>
      <c r="C17" t="s">
        <v>14</v>
      </c>
      <c r="D17">
        <v>3.1477523600521411E-2</v>
      </c>
      <c r="E17" t="s">
        <v>6</v>
      </c>
      <c r="G17" t="s">
        <v>373</v>
      </c>
      <c r="H17" t="s">
        <v>14</v>
      </c>
      <c r="I17">
        <v>2.3826151636356416E-2</v>
      </c>
      <c r="J17" t="s">
        <v>6</v>
      </c>
    </row>
    <row r="18" spans="2:10" x14ac:dyDescent="0.45">
      <c r="B18" t="s">
        <v>372</v>
      </c>
      <c r="C18" t="s">
        <v>15</v>
      </c>
      <c r="D18">
        <v>5.375014768903002E-3</v>
      </c>
      <c r="E18" t="s">
        <v>6</v>
      </c>
      <c r="G18" t="s">
        <v>373</v>
      </c>
      <c r="H18" t="s">
        <v>15</v>
      </c>
      <c r="I18">
        <v>2.497119732977407E-2</v>
      </c>
      <c r="J18" t="s">
        <v>6</v>
      </c>
    </row>
    <row r="19" spans="2:10" x14ac:dyDescent="0.45">
      <c r="B19" t="s">
        <v>372</v>
      </c>
      <c r="C19" t="s">
        <v>16</v>
      </c>
      <c r="D19">
        <v>0</v>
      </c>
      <c r="E19" t="s">
        <v>6</v>
      </c>
      <c r="G19" t="s">
        <v>373</v>
      </c>
      <c r="H19" t="s">
        <v>16</v>
      </c>
      <c r="I19">
        <v>2.6114671182181675E-2</v>
      </c>
      <c r="J19" t="s">
        <v>6</v>
      </c>
    </row>
    <row r="20" spans="2:10" x14ac:dyDescent="0.45">
      <c r="B20" t="s">
        <v>372</v>
      </c>
      <c r="C20" t="s">
        <v>17</v>
      </c>
      <c r="D20">
        <v>0</v>
      </c>
      <c r="E20" t="s">
        <v>6</v>
      </c>
      <c r="G20" t="s">
        <v>373</v>
      </c>
      <c r="H20" t="s">
        <v>17</v>
      </c>
      <c r="I20">
        <v>3.9918207778951886E-2</v>
      </c>
      <c r="J20" t="s">
        <v>6</v>
      </c>
    </row>
    <row r="21" spans="2:10" x14ac:dyDescent="0.45">
      <c r="B21" t="s">
        <v>372</v>
      </c>
      <c r="C21" t="s">
        <v>18</v>
      </c>
      <c r="D21">
        <v>0</v>
      </c>
      <c r="E21" t="s">
        <v>6</v>
      </c>
      <c r="G21" t="s">
        <v>373</v>
      </c>
      <c r="H21" t="s">
        <v>18</v>
      </c>
      <c r="I21">
        <v>5.3922328500698016E-2</v>
      </c>
      <c r="J21" t="s">
        <v>6</v>
      </c>
    </row>
    <row r="22" spans="2:10" x14ac:dyDescent="0.45">
      <c r="B22" t="s">
        <v>372</v>
      </c>
      <c r="C22" t="s">
        <v>19</v>
      </c>
      <c r="D22">
        <v>1.564504073091379E-4</v>
      </c>
      <c r="E22" t="s">
        <v>6</v>
      </c>
      <c r="G22" t="s">
        <v>373</v>
      </c>
      <c r="H22" t="s">
        <v>19</v>
      </c>
      <c r="I22">
        <v>2.1605780312026771E-2</v>
      </c>
      <c r="J22" t="s">
        <v>6</v>
      </c>
    </row>
    <row r="23" spans="2:10" x14ac:dyDescent="0.45">
      <c r="B23" t="s">
        <v>372</v>
      </c>
      <c r="C23" t="s">
        <v>20</v>
      </c>
      <c r="D23">
        <v>8.8880483283535101E-3</v>
      </c>
      <c r="E23" t="s">
        <v>6</v>
      </c>
      <c r="G23" t="s">
        <v>373</v>
      </c>
      <c r="H23" t="s">
        <v>20</v>
      </c>
      <c r="I23">
        <v>2.1279190802607355E-2</v>
      </c>
      <c r="J23" t="s">
        <v>6</v>
      </c>
    </row>
    <row r="24" spans="2:10" x14ac:dyDescent="0.45">
      <c r="B24" t="s">
        <v>372</v>
      </c>
      <c r="C24" t="s">
        <v>21</v>
      </c>
      <c r="D24">
        <v>4.3980292030458425E-2</v>
      </c>
      <c r="E24" t="s">
        <v>6</v>
      </c>
      <c r="G24" t="s">
        <v>373</v>
      </c>
      <c r="H24" t="s">
        <v>21</v>
      </c>
      <c r="I24">
        <v>2.0673753925192721E-2</v>
      </c>
      <c r="J24" t="s">
        <v>6</v>
      </c>
    </row>
    <row r="25" spans="2:10" x14ac:dyDescent="0.45">
      <c r="B25" t="s">
        <v>372</v>
      </c>
      <c r="C25" t="s">
        <v>22</v>
      </c>
      <c r="D25">
        <v>7.2273415042296507E-2</v>
      </c>
      <c r="E25" t="s">
        <v>6</v>
      </c>
      <c r="G25" t="s">
        <v>373</v>
      </c>
      <c r="H25" t="s">
        <v>22</v>
      </c>
      <c r="I25">
        <v>1.9159736979008548E-2</v>
      </c>
      <c r="J25" t="s">
        <v>6</v>
      </c>
    </row>
    <row r="26" spans="2:10" x14ac:dyDescent="0.45">
      <c r="B26" t="s">
        <v>372</v>
      </c>
      <c r="C26" t="s">
        <v>23</v>
      </c>
      <c r="D26">
        <v>7.9702421711018337E-2</v>
      </c>
      <c r="E26" t="s">
        <v>6</v>
      </c>
      <c r="G26" t="s">
        <v>373</v>
      </c>
      <c r="H26" t="s">
        <v>23</v>
      </c>
      <c r="I26">
        <v>2.0905406346467342E-2</v>
      </c>
      <c r="J26" t="s">
        <v>6</v>
      </c>
    </row>
    <row r="27" spans="2:10" x14ac:dyDescent="0.45">
      <c r="B27" t="s">
        <v>372</v>
      </c>
      <c r="C27" t="s">
        <v>24</v>
      </c>
      <c r="D27">
        <v>6.2769120208179763E-2</v>
      </c>
      <c r="E27" t="s">
        <v>6</v>
      </c>
      <c r="G27" t="s">
        <v>373</v>
      </c>
      <c r="H27" t="s">
        <v>24</v>
      </c>
      <c r="I27">
        <v>2.1650959561669219E-2</v>
      </c>
      <c r="J27" t="s">
        <v>6</v>
      </c>
    </row>
    <row r="28" spans="2:10" x14ac:dyDescent="0.45">
      <c r="B28" t="s">
        <v>372</v>
      </c>
      <c r="C28" t="s">
        <v>25</v>
      </c>
      <c r="D28">
        <v>3.0248729020157249E-2</v>
      </c>
      <c r="E28" t="s">
        <v>6</v>
      </c>
      <c r="G28" t="s">
        <v>373</v>
      </c>
      <c r="H28" t="s">
        <v>25</v>
      </c>
      <c r="I28">
        <v>2.0898262164234935E-2</v>
      </c>
      <c r="J28" t="s">
        <v>6</v>
      </c>
    </row>
    <row r="29" spans="2:10" x14ac:dyDescent="0.45">
      <c r="B29" t="s">
        <v>372</v>
      </c>
      <c r="C29" t="s">
        <v>26</v>
      </c>
      <c r="D29">
        <v>3.6525323228675478E-3</v>
      </c>
      <c r="E29" t="s">
        <v>6</v>
      </c>
      <c r="G29" t="s">
        <v>373</v>
      </c>
      <c r="H29" t="s">
        <v>26</v>
      </c>
      <c r="I29">
        <v>2.0916229736385447E-2</v>
      </c>
      <c r="J29" t="s">
        <v>6</v>
      </c>
    </row>
    <row r="30" spans="2:10" x14ac:dyDescent="0.45">
      <c r="B30" t="s">
        <v>372</v>
      </c>
      <c r="C30" t="s">
        <v>27</v>
      </c>
      <c r="D30">
        <v>9.9587650382671134E-8</v>
      </c>
      <c r="E30" t="s">
        <v>6</v>
      </c>
      <c r="G30" t="s">
        <v>373</v>
      </c>
      <c r="H30" t="s">
        <v>27</v>
      </c>
      <c r="I30">
        <v>3.3029225472729455E-2</v>
      </c>
      <c r="J30" t="s">
        <v>6</v>
      </c>
    </row>
    <row r="31" spans="2:10" x14ac:dyDescent="0.45">
      <c r="B31" t="s">
        <v>372</v>
      </c>
      <c r="C31" t="s">
        <v>28</v>
      </c>
      <c r="D31">
        <v>0</v>
      </c>
      <c r="E31" t="s">
        <v>6</v>
      </c>
      <c r="G31" t="s">
        <v>373</v>
      </c>
      <c r="H31" t="s">
        <v>28</v>
      </c>
      <c r="I31">
        <v>4.1367665126700523E-2</v>
      </c>
      <c r="J31" t="s">
        <v>6</v>
      </c>
    </row>
    <row r="32" spans="2:10" x14ac:dyDescent="0.45">
      <c r="B32" t="s">
        <v>372</v>
      </c>
      <c r="C32" t="s">
        <v>29</v>
      </c>
      <c r="D32">
        <v>6.70097453062647E-4</v>
      </c>
      <c r="E32" t="s">
        <v>6</v>
      </c>
      <c r="G32" t="s">
        <v>373</v>
      </c>
      <c r="H32" t="s">
        <v>29</v>
      </c>
      <c r="I32">
        <v>1.4683175670456879E-2</v>
      </c>
      <c r="J32" t="s">
        <v>6</v>
      </c>
    </row>
    <row r="33" spans="2:10" x14ac:dyDescent="0.45">
      <c r="B33" t="s">
        <v>372</v>
      </c>
      <c r="C33" t="s">
        <v>30</v>
      </c>
      <c r="D33">
        <v>1.4954409951010482E-2</v>
      </c>
      <c r="E33" t="s">
        <v>6</v>
      </c>
      <c r="G33" t="s">
        <v>373</v>
      </c>
      <c r="H33" t="s">
        <v>30</v>
      </c>
      <c r="I33">
        <v>1.3310970859790012E-2</v>
      </c>
      <c r="J33" t="s">
        <v>6</v>
      </c>
    </row>
    <row r="34" spans="2:10" x14ac:dyDescent="0.45">
      <c r="B34" t="s">
        <v>372</v>
      </c>
      <c r="C34" t="s">
        <v>31</v>
      </c>
      <c r="D34">
        <v>5.4774730471840123E-2</v>
      </c>
      <c r="E34" t="s">
        <v>6</v>
      </c>
      <c r="G34" t="s">
        <v>373</v>
      </c>
      <c r="H34" t="s">
        <v>31</v>
      </c>
      <c r="I34">
        <v>1.2909794915071916E-2</v>
      </c>
      <c r="J34" t="s">
        <v>6</v>
      </c>
    </row>
    <row r="35" spans="2:10" x14ac:dyDescent="0.45">
      <c r="B35" t="s">
        <v>372</v>
      </c>
      <c r="C35" t="s">
        <v>32</v>
      </c>
      <c r="D35">
        <v>8.6356836388140054E-2</v>
      </c>
      <c r="E35" t="s">
        <v>6</v>
      </c>
      <c r="G35" t="s">
        <v>373</v>
      </c>
      <c r="H35" t="s">
        <v>32</v>
      </c>
      <c r="I35">
        <v>1.1074520250058612E-2</v>
      </c>
      <c r="J35" t="s">
        <v>6</v>
      </c>
    </row>
    <row r="36" spans="2:10" x14ac:dyDescent="0.45">
      <c r="B36" t="s">
        <v>372</v>
      </c>
      <c r="C36" t="s">
        <v>33</v>
      </c>
      <c r="D36">
        <v>9.3449027374069307E-2</v>
      </c>
      <c r="E36" t="s">
        <v>6</v>
      </c>
      <c r="G36" t="s">
        <v>373</v>
      </c>
      <c r="H36" t="s">
        <v>33</v>
      </c>
      <c r="I36">
        <v>1.2851368197707259E-2</v>
      </c>
      <c r="J36" t="s">
        <v>6</v>
      </c>
    </row>
    <row r="37" spans="2:10" x14ac:dyDescent="0.45">
      <c r="B37" t="s">
        <v>372</v>
      </c>
      <c r="C37" t="s">
        <v>34</v>
      </c>
      <c r="D37">
        <v>7.7024057683036454E-2</v>
      </c>
      <c r="E37" t="s">
        <v>6</v>
      </c>
      <c r="G37" t="s">
        <v>373</v>
      </c>
      <c r="H37" t="s">
        <v>34</v>
      </c>
      <c r="I37">
        <v>1.4075057597043653E-2</v>
      </c>
      <c r="J37" t="s">
        <v>6</v>
      </c>
    </row>
    <row r="38" spans="2:10" x14ac:dyDescent="0.45">
      <c r="B38" t="s">
        <v>372</v>
      </c>
      <c r="C38" t="s">
        <v>35</v>
      </c>
      <c r="D38">
        <v>4.3515394386849759E-2</v>
      </c>
      <c r="E38" t="s">
        <v>6</v>
      </c>
      <c r="G38" t="s">
        <v>373</v>
      </c>
      <c r="H38" t="s">
        <v>35</v>
      </c>
      <c r="I38">
        <v>1.4680073559911805E-2</v>
      </c>
      <c r="J38" t="s">
        <v>6</v>
      </c>
    </row>
    <row r="39" spans="2:10" x14ac:dyDescent="0.45">
      <c r="B39" t="s">
        <v>372</v>
      </c>
      <c r="C39" t="s">
        <v>36</v>
      </c>
      <c r="D39">
        <v>8.872395973272159E-3</v>
      </c>
      <c r="E39" t="s">
        <v>6</v>
      </c>
      <c r="G39" t="s">
        <v>373</v>
      </c>
      <c r="H39" t="s">
        <v>36</v>
      </c>
      <c r="I39">
        <v>1.530455642056943E-2</v>
      </c>
      <c r="J39" t="s">
        <v>6</v>
      </c>
    </row>
    <row r="40" spans="2:10" x14ac:dyDescent="0.45">
      <c r="B40" t="s">
        <v>372</v>
      </c>
      <c r="C40" t="s">
        <v>37</v>
      </c>
      <c r="D40">
        <v>7.8251367839279185E-5</v>
      </c>
      <c r="E40" t="s">
        <v>6</v>
      </c>
      <c r="G40" t="s">
        <v>373</v>
      </c>
      <c r="H40" t="s">
        <v>37</v>
      </c>
      <c r="I40">
        <v>2.5953627254089985E-2</v>
      </c>
      <c r="J40" t="s">
        <v>6</v>
      </c>
    </row>
    <row r="41" spans="2:10" x14ac:dyDescent="0.45">
      <c r="B41" t="s">
        <v>372</v>
      </c>
      <c r="C41" t="s">
        <v>38</v>
      </c>
      <c r="D41">
        <v>0</v>
      </c>
      <c r="E41" t="s">
        <v>6</v>
      </c>
      <c r="G41" t="s">
        <v>373</v>
      </c>
      <c r="H41" t="s">
        <v>38</v>
      </c>
      <c r="I41">
        <v>5.4674458097505901E-2</v>
      </c>
      <c r="J41" t="s">
        <v>6</v>
      </c>
    </row>
    <row r="42" spans="2:10" x14ac:dyDescent="0.45">
      <c r="B42" t="s">
        <v>372</v>
      </c>
      <c r="C42" t="s">
        <v>39</v>
      </c>
      <c r="D42">
        <v>0</v>
      </c>
      <c r="E42" t="s">
        <v>6</v>
      </c>
      <c r="G42" t="s">
        <v>373</v>
      </c>
      <c r="H42" t="s">
        <v>39</v>
      </c>
      <c r="I42">
        <v>2.1816811461876067E-2</v>
      </c>
      <c r="J42" t="s">
        <v>6</v>
      </c>
    </row>
    <row r="43" spans="2:10" x14ac:dyDescent="0.45">
      <c r="B43" t="s">
        <v>372</v>
      </c>
      <c r="C43" t="s">
        <v>40</v>
      </c>
      <c r="D43">
        <v>2.5361326386548625E-3</v>
      </c>
      <c r="E43" t="s">
        <v>6</v>
      </c>
      <c r="G43" t="s">
        <v>373</v>
      </c>
      <c r="H43" t="s">
        <v>40</v>
      </c>
      <c r="I43">
        <v>2.1544937100073804E-2</v>
      </c>
      <c r="J43" t="s">
        <v>6</v>
      </c>
    </row>
    <row r="44" spans="2:10" x14ac:dyDescent="0.45">
      <c r="B44" t="s">
        <v>372</v>
      </c>
      <c r="C44" t="s">
        <v>41</v>
      </c>
      <c r="D44">
        <v>2.6655965754841301E-2</v>
      </c>
      <c r="E44" t="s">
        <v>6</v>
      </c>
      <c r="G44" t="s">
        <v>373</v>
      </c>
      <c r="H44" t="s">
        <v>41</v>
      </c>
      <c r="I44">
        <v>2.0364473228377686E-2</v>
      </c>
      <c r="J44" t="s">
        <v>6</v>
      </c>
    </row>
    <row r="45" spans="2:10" x14ac:dyDescent="0.45">
      <c r="B45" t="s">
        <v>372</v>
      </c>
      <c r="C45" t="s">
        <v>42</v>
      </c>
      <c r="D45">
        <v>5.3490277781493838E-2</v>
      </c>
      <c r="E45" t="s">
        <v>6</v>
      </c>
      <c r="G45" t="s">
        <v>373</v>
      </c>
      <c r="H45" t="s">
        <v>42</v>
      </c>
      <c r="I45">
        <v>1.8913911381257406E-2</v>
      </c>
      <c r="J45" t="s">
        <v>6</v>
      </c>
    </row>
    <row r="46" spans="2:10" x14ac:dyDescent="0.45">
      <c r="B46" t="s">
        <v>372</v>
      </c>
      <c r="C46" t="s">
        <v>43</v>
      </c>
      <c r="D46">
        <v>5.7684343568612982E-2</v>
      </c>
      <c r="E46" t="s">
        <v>6</v>
      </c>
      <c r="G46" t="s">
        <v>373</v>
      </c>
      <c r="H46" t="s">
        <v>43</v>
      </c>
      <c r="I46">
        <v>2.1431196546368762E-2</v>
      </c>
      <c r="J46" t="s">
        <v>6</v>
      </c>
    </row>
    <row r="47" spans="2:10" x14ac:dyDescent="0.45">
      <c r="B47" t="s">
        <v>372</v>
      </c>
      <c r="C47" t="s">
        <v>44</v>
      </c>
      <c r="D47">
        <v>3.9160477490850144E-2</v>
      </c>
      <c r="E47" t="s">
        <v>6</v>
      </c>
      <c r="G47" t="s">
        <v>373</v>
      </c>
      <c r="H47" t="s">
        <v>44</v>
      </c>
      <c r="I47">
        <v>2.2151335885702918E-2</v>
      </c>
      <c r="J47" t="s">
        <v>6</v>
      </c>
    </row>
    <row r="48" spans="2:10" x14ac:dyDescent="0.45">
      <c r="B48" t="s">
        <v>372</v>
      </c>
      <c r="C48" t="s">
        <v>45</v>
      </c>
      <c r="D48">
        <v>1.1621181109369485E-2</v>
      </c>
      <c r="E48" t="s">
        <v>6</v>
      </c>
      <c r="G48" t="s">
        <v>373</v>
      </c>
      <c r="H48" t="s">
        <v>45</v>
      </c>
      <c r="I48">
        <v>2.2777320981349491E-2</v>
      </c>
      <c r="J48" t="s">
        <v>6</v>
      </c>
    </row>
    <row r="49" spans="2:10" x14ac:dyDescent="0.45">
      <c r="B49" t="s">
        <v>372</v>
      </c>
      <c r="C49" t="s">
        <v>46</v>
      </c>
      <c r="D49">
        <v>2.6251183804967067E-4</v>
      </c>
      <c r="E49" t="s">
        <v>6</v>
      </c>
      <c r="G49" t="s">
        <v>373</v>
      </c>
      <c r="H49" t="s">
        <v>46</v>
      </c>
      <c r="I49">
        <v>2.3650163004877118E-2</v>
      </c>
      <c r="J49" t="s">
        <v>6</v>
      </c>
    </row>
    <row r="50" spans="2:10" x14ac:dyDescent="0.45">
      <c r="B50" t="s">
        <v>372</v>
      </c>
      <c r="C50" t="s">
        <v>47</v>
      </c>
      <c r="D50">
        <v>0</v>
      </c>
      <c r="E50" t="s">
        <v>6</v>
      </c>
      <c r="G50" t="s">
        <v>373</v>
      </c>
      <c r="H50" t="s">
        <v>47</v>
      </c>
      <c r="I50">
        <v>3.5721235171630443E-2</v>
      </c>
      <c r="J50" t="s">
        <v>6</v>
      </c>
    </row>
    <row r="51" spans="2:10" x14ac:dyDescent="0.45">
      <c r="B51" t="s">
        <v>374</v>
      </c>
      <c r="C51" t="s">
        <v>5</v>
      </c>
      <c r="D51">
        <v>0</v>
      </c>
      <c r="E51" t="s">
        <v>6</v>
      </c>
      <c r="G51" t="s">
        <v>375</v>
      </c>
      <c r="H51" t="s">
        <v>5</v>
      </c>
      <c r="I51">
        <v>6.7367261249655655E-2</v>
      </c>
      <c r="J51" t="s">
        <v>6</v>
      </c>
    </row>
    <row r="52" spans="2:10" x14ac:dyDescent="0.45">
      <c r="B52" t="s">
        <v>374</v>
      </c>
      <c r="C52" t="s">
        <v>9</v>
      </c>
      <c r="D52">
        <v>0</v>
      </c>
      <c r="E52" t="s">
        <v>6</v>
      </c>
      <c r="G52" t="s">
        <v>375</v>
      </c>
      <c r="H52" t="s">
        <v>9</v>
      </c>
      <c r="I52">
        <v>2.6450567121944202E-2</v>
      </c>
      <c r="J52" t="s">
        <v>6</v>
      </c>
    </row>
    <row r="53" spans="2:10" x14ac:dyDescent="0.45">
      <c r="B53" t="s">
        <v>374</v>
      </c>
      <c r="C53" t="s">
        <v>10</v>
      </c>
      <c r="D53">
        <v>0</v>
      </c>
      <c r="E53" t="s">
        <v>6</v>
      </c>
      <c r="G53" t="s">
        <v>375</v>
      </c>
      <c r="H53" t="s">
        <v>10</v>
      </c>
      <c r="I53">
        <v>2.6805015932244311E-2</v>
      </c>
      <c r="J53" t="s">
        <v>6</v>
      </c>
    </row>
    <row r="54" spans="2:10" x14ac:dyDescent="0.45">
      <c r="B54" t="s">
        <v>374</v>
      </c>
      <c r="C54" t="s">
        <v>11</v>
      </c>
      <c r="D54">
        <v>9.2099420503257198E-3</v>
      </c>
      <c r="E54" t="s">
        <v>6</v>
      </c>
      <c r="G54" t="s">
        <v>375</v>
      </c>
      <c r="H54" t="s">
        <v>11</v>
      </c>
      <c r="I54">
        <v>2.6640376529088936E-2</v>
      </c>
      <c r="J54" t="s">
        <v>6</v>
      </c>
    </row>
    <row r="55" spans="2:10" x14ac:dyDescent="0.45">
      <c r="B55" t="s">
        <v>374</v>
      </c>
      <c r="C55" t="s">
        <v>12</v>
      </c>
      <c r="D55">
        <v>3.6560356170883143E-2</v>
      </c>
      <c r="E55" t="s">
        <v>6</v>
      </c>
      <c r="G55" t="s">
        <v>375</v>
      </c>
      <c r="H55" t="s">
        <v>12</v>
      </c>
      <c r="I55">
        <v>2.3177273443331637E-2</v>
      </c>
      <c r="J55" t="s">
        <v>6</v>
      </c>
    </row>
    <row r="56" spans="2:10" x14ac:dyDescent="0.45">
      <c r="B56" t="s">
        <v>374</v>
      </c>
      <c r="C56" t="s">
        <v>13</v>
      </c>
      <c r="D56">
        <v>4.7567046214459639E-2</v>
      </c>
      <c r="E56" t="s">
        <v>6</v>
      </c>
      <c r="G56" t="s">
        <v>375</v>
      </c>
      <c r="H56" t="s">
        <v>13</v>
      </c>
      <c r="I56">
        <v>2.3558464635857139E-2</v>
      </c>
      <c r="J56" t="s">
        <v>6</v>
      </c>
    </row>
    <row r="57" spans="2:10" x14ac:dyDescent="0.45">
      <c r="B57" t="s">
        <v>374</v>
      </c>
      <c r="C57" t="s">
        <v>14</v>
      </c>
      <c r="D57">
        <v>3.2832612318770084E-2</v>
      </c>
      <c r="E57" t="s">
        <v>6</v>
      </c>
      <c r="G57" t="s">
        <v>375</v>
      </c>
      <c r="H57" t="s">
        <v>14</v>
      </c>
      <c r="I57">
        <v>2.3775256014212019E-2</v>
      </c>
      <c r="J57" t="s">
        <v>6</v>
      </c>
    </row>
    <row r="58" spans="2:10" x14ac:dyDescent="0.45">
      <c r="B58" t="s">
        <v>374</v>
      </c>
      <c r="C58" t="s">
        <v>15</v>
      </c>
      <c r="D58">
        <v>6.5970616918617784E-3</v>
      </c>
      <c r="E58" t="s">
        <v>6</v>
      </c>
      <c r="G58" t="s">
        <v>375</v>
      </c>
      <c r="H58" t="s">
        <v>15</v>
      </c>
      <c r="I58">
        <v>2.4818543111366029E-2</v>
      </c>
      <c r="J58" t="s">
        <v>6</v>
      </c>
    </row>
    <row r="59" spans="2:10" x14ac:dyDescent="0.45">
      <c r="B59" t="s">
        <v>374</v>
      </c>
      <c r="C59" t="s">
        <v>16</v>
      </c>
      <c r="D59">
        <v>0</v>
      </c>
      <c r="E59" t="s">
        <v>6</v>
      </c>
      <c r="G59" t="s">
        <v>375</v>
      </c>
      <c r="H59" t="s">
        <v>16</v>
      </c>
      <c r="I59">
        <v>2.6133605095199717E-2</v>
      </c>
      <c r="J59" t="s">
        <v>6</v>
      </c>
    </row>
    <row r="60" spans="2:10" x14ac:dyDescent="0.45">
      <c r="B60" t="s">
        <v>374</v>
      </c>
      <c r="C60" t="s">
        <v>17</v>
      </c>
      <c r="D60">
        <v>0</v>
      </c>
      <c r="E60" t="s">
        <v>6</v>
      </c>
      <c r="G60" t="s">
        <v>375</v>
      </c>
      <c r="H60" t="s">
        <v>17</v>
      </c>
      <c r="I60">
        <v>4.0607479859451449E-2</v>
      </c>
      <c r="J60" t="s">
        <v>6</v>
      </c>
    </row>
    <row r="61" spans="2:10" x14ac:dyDescent="0.45">
      <c r="B61" t="s">
        <v>374</v>
      </c>
      <c r="C61" t="s">
        <v>18</v>
      </c>
      <c r="D61">
        <v>0</v>
      </c>
      <c r="E61" t="s">
        <v>6</v>
      </c>
      <c r="G61" t="s">
        <v>375</v>
      </c>
      <c r="H61" t="s">
        <v>18</v>
      </c>
      <c r="I61">
        <v>5.4032605378346907E-2</v>
      </c>
      <c r="J61" t="s">
        <v>6</v>
      </c>
    </row>
    <row r="62" spans="2:10" x14ac:dyDescent="0.45">
      <c r="B62" t="s">
        <v>374</v>
      </c>
      <c r="C62" t="s">
        <v>19</v>
      </c>
      <c r="D62">
        <v>1.3943078675701529E-4</v>
      </c>
      <c r="E62" t="s">
        <v>6</v>
      </c>
      <c r="G62" t="s">
        <v>375</v>
      </c>
      <c r="H62" t="s">
        <v>19</v>
      </c>
      <c r="I62">
        <v>2.1177618799493352E-2</v>
      </c>
      <c r="J62" t="s">
        <v>6</v>
      </c>
    </row>
    <row r="63" spans="2:10" x14ac:dyDescent="0.45">
      <c r="B63" t="s">
        <v>374</v>
      </c>
      <c r="C63" t="s">
        <v>20</v>
      </c>
      <c r="D63">
        <v>8.5296364795654014E-3</v>
      </c>
      <c r="E63" t="s">
        <v>6</v>
      </c>
      <c r="G63" t="s">
        <v>375</v>
      </c>
      <c r="H63" t="s">
        <v>20</v>
      </c>
      <c r="I63">
        <v>2.0430807052407653E-2</v>
      </c>
      <c r="J63" t="s">
        <v>6</v>
      </c>
    </row>
    <row r="64" spans="2:10" x14ac:dyDescent="0.45">
      <c r="B64" t="s">
        <v>374</v>
      </c>
      <c r="C64" t="s">
        <v>21</v>
      </c>
      <c r="D64">
        <v>4.1795081682724437E-2</v>
      </c>
      <c r="E64" t="s">
        <v>6</v>
      </c>
      <c r="G64" t="s">
        <v>375</v>
      </c>
      <c r="H64" t="s">
        <v>21</v>
      </c>
      <c r="I64">
        <v>2.0011554282509364E-2</v>
      </c>
      <c r="J64" t="s">
        <v>6</v>
      </c>
    </row>
    <row r="65" spans="2:10" x14ac:dyDescent="0.45">
      <c r="B65" t="s">
        <v>374</v>
      </c>
      <c r="C65" t="s">
        <v>22</v>
      </c>
      <c r="D65">
        <v>7.1190268145088637E-2</v>
      </c>
      <c r="E65" t="s">
        <v>6</v>
      </c>
      <c r="G65" t="s">
        <v>375</v>
      </c>
      <c r="H65" t="s">
        <v>22</v>
      </c>
      <c r="I65">
        <v>1.8123719822908547E-2</v>
      </c>
      <c r="J65" t="s">
        <v>6</v>
      </c>
    </row>
    <row r="66" spans="2:10" x14ac:dyDescent="0.45">
      <c r="B66" t="s">
        <v>374</v>
      </c>
      <c r="C66" t="s">
        <v>23</v>
      </c>
      <c r="D66">
        <v>7.8508384994134581E-2</v>
      </c>
      <c r="E66" t="s">
        <v>6</v>
      </c>
      <c r="G66" t="s">
        <v>375</v>
      </c>
      <c r="H66" t="s">
        <v>23</v>
      </c>
      <c r="I66">
        <v>2.067024868583342E-2</v>
      </c>
      <c r="J66" t="s">
        <v>6</v>
      </c>
    </row>
    <row r="67" spans="2:10" x14ac:dyDescent="0.45">
      <c r="B67" t="s">
        <v>374</v>
      </c>
      <c r="C67" t="s">
        <v>24</v>
      </c>
      <c r="D67">
        <v>6.2046116243358956E-2</v>
      </c>
      <c r="E67" t="s">
        <v>6</v>
      </c>
      <c r="G67" t="s">
        <v>375</v>
      </c>
      <c r="H67" t="s">
        <v>24</v>
      </c>
      <c r="I67">
        <v>2.1608183146483193E-2</v>
      </c>
      <c r="J67" t="s">
        <v>6</v>
      </c>
    </row>
    <row r="68" spans="2:10" x14ac:dyDescent="0.45">
      <c r="B68" t="s">
        <v>374</v>
      </c>
      <c r="C68" t="s">
        <v>25</v>
      </c>
      <c r="D68">
        <v>3.1033392830471695E-2</v>
      </c>
      <c r="E68" t="s">
        <v>6</v>
      </c>
      <c r="G68" t="s">
        <v>375</v>
      </c>
      <c r="H68" t="s">
        <v>25</v>
      </c>
      <c r="I68">
        <v>2.0451564585441815E-2</v>
      </c>
      <c r="J68" t="s">
        <v>6</v>
      </c>
    </row>
    <row r="69" spans="2:10" x14ac:dyDescent="0.45">
      <c r="B69" t="s">
        <v>374</v>
      </c>
      <c r="C69" t="s">
        <v>26</v>
      </c>
      <c r="D69">
        <v>4.2228373865752858E-3</v>
      </c>
      <c r="E69" t="s">
        <v>6</v>
      </c>
      <c r="G69" t="s">
        <v>375</v>
      </c>
      <c r="H69" t="s">
        <v>26</v>
      </c>
      <c r="I69">
        <v>2.0294377096081891E-2</v>
      </c>
      <c r="J69" t="s">
        <v>6</v>
      </c>
    </row>
    <row r="70" spans="2:10" x14ac:dyDescent="0.45">
      <c r="B70" t="s">
        <v>374</v>
      </c>
      <c r="C70" t="s">
        <v>27</v>
      </c>
      <c r="D70">
        <v>2.376166917151078E-6</v>
      </c>
      <c r="E70" t="s">
        <v>6</v>
      </c>
      <c r="G70" t="s">
        <v>375</v>
      </c>
      <c r="H70" t="s">
        <v>27</v>
      </c>
      <c r="I70">
        <v>3.25352630938111E-2</v>
      </c>
      <c r="J70" t="s">
        <v>6</v>
      </c>
    </row>
    <row r="71" spans="2:10" x14ac:dyDescent="0.45">
      <c r="B71" t="s">
        <v>374</v>
      </c>
      <c r="C71" t="s">
        <v>28</v>
      </c>
      <c r="D71">
        <v>0</v>
      </c>
      <c r="E71" t="s">
        <v>6</v>
      </c>
      <c r="G71" t="s">
        <v>375</v>
      </c>
      <c r="H71" t="s">
        <v>28</v>
      </c>
      <c r="I71">
        <v>4.1475975080209983E-2</v>
      </c>
      <c r="J71" t="s">
        <v>6</v>
      </c>
    </row>
    <row r="72" spans="2:10" x14ac:dyDescent="0.45">
      <c r="B72" t="s">
        <v>374</v>
      </c>
      <c r="C72" t="s">
        <v>29</v>
      </c>
      <c r="D72">
        <v>5.7217848177193973E-4</v>
      </c>
      <c r="E72" t="s">
        <v>6</v>
      </c>
      <c r="G72" t="s">
        <v>375</v>
      </c>
      <c r="H72" t="s">
        <v>29</v>
      </c>
      <c r="I72">
        <v>1.4317663193935721E-2</v>
      </c>
      <c r="J72" t="s">
        <v>6</v>
      </c>
    </row>
    <row r="73" spans="2:10" x14ac:dyDescent="0.45">
      <c r="B73" t="s">
        <v>374</v>
      </c>
      <c r="C73" t="s">
        <v>30</v>
      </c>
      <c r="D73">
        <v>1.3714997302112323E-2</v>
      </c>
      <c r="E73" t="s">
        <v>6</v>
      </c>
      <c r="G73" t="s">
        <v>375</v>
      </c>
      <c r="H73" t="s">
        <v>30</v>
      </c>
      <c r="I73">
        <v>1.230328497642127E-2</v>
      </c>
      <c r="J73" t="s">
        <v>6</v>
      </c>
    </row>
    <row r="74" spans="2:10" x14ac:dyDescent="0.45">
      <c r="B74" t="s">
        <v>374</v>
      </c>
      <c r="C74" t="s">
        <v>31</v>
      </c>
      <c r="D74">
        <v>5.2306495752588895E-2</v>
      </c>
      <c r="E74" t="s">
        <v>6</v>
      </c>
      <c r="G74" t="s">
        <v>375</v>
      </c>
      <c r="H74" t="s">
        <v>31</v>
      </c>
      <c r="I74">
        <v>1.1685000439761572E-2</v>
      </c>
      <c r="J74" t="s">
        <v>6</v>
      </c>
    </row>
    <row r="75" spans="2:10" x14ac:dyDescent="0.45">
      <c r="B75" t="s">
        <v>374</v>
      </c>
      <c r="C75" t="s">
        <v>32</v>
      </c>
      <c r="D75">
        <v>8.4492831935898072E-2</v>
      </c>
      <c r="E75" t="s">
        <v>6</v>
      </c>
      <c r="G75" t="s">
        <v>375</v>
      </c>
      <c r="H75" t="s">
        <v>32</v>
      </c>
      <c r="I75">
        <v>1.0813865511569183E-2</v>
      </c>
      <c r="J75" t="s">
        <v>6</v>
      </c>
    </row>
    <row r="76" spans="2:10" x14ac:dyDescent="0.45">
      <c r="B76" t="s">
        <v>374</v>
      </c>
      <c r="C76" t="s">
        <v>33</v>
      </c>
      <c r="D76">
        <v>9.0656610171236385E-2</v>
      </c>
      <c r="E76" t="s">
        <v>6</v>
      </c>
      <c r="G76" t="s">
        <v>375</v>
      </c>
      <c r="H76" t="s">
        <v>33</v>
      </c>
      <c r="I76">
        <v>1.2826459894422479E-2</v>
      </c>
      <c r="J76" t="s">
        <v>6</v>
      </c>
    </row>
    <row r="77" spans="2:10" x14ac:dyDescent="0.45">
      <c r="B77" t="s">
        <v>374</v>
      </c>
      <c r="C77" t="s">
        <v>34</v>
      </c>
      <c r="D77">
        <v>7.6463642262070003E-2</v>
      </c>
      <c r="E77" t="s">
        <v>6</v>
      </c>
      <c r="G77" t="s">
        <v>375</v>
      </c>
      <c r="H77" t="s">
        <v>34</v>
      </c>
      <c r="I77">
        <v>1.3734597634242276E-2</v>
      </c>
      <c r="J77" t="s">
        <v>6</v>
      </c>
    </row>
    <row r="78" spans="2:10" x14ac:dyDescent="0.45">
      <c r="B78" t="s">
        <v>374</v>
      </c>
      <c r="C78" t="s">
        <v>35</v>
      </c>
      <c r="D78">
        <v>4.4554749611988617E-2</v>
      </c>
      <c r="E78" t="s">
        <v>6</v>
      </c>
      <c r="G78" t="s">
        <v>375</v>
      </c>
      <c r="H78" t="s">
        <v>35</v>
      </c>
      <c r="I78">
        <v>1.4052934001221597E-2</v>
      </c>
      <c r="J78" t="s">
        <v>6</v>
      </c>
    </row>
    <row r="79" spans="2:10" x14ac:dyDescent="0.45">
      <c r="B79" t="s">
        <v>374</v>
      </c>
      <c r="C79" t="s">
        <v>36</v>
      </c>
      <c r="D79">
        <v>9.5595859646552071E-3</v>
      </c>
      <c r="E79" t="s">
        <v>6</v>
      </c>
      <c r="G79" t="s">
        <v>375</v>
      </c>
      <c r="H79" t="s">
        <v>36</v>
      </c>
      <c r="I79">
        <v>1.4462521809213324E-2</v>
      </c>
      <c r="J79" t="s">
        <v>6</v>
      </c>
    </row>
    <row r="80" spans="2:10" x14ac:dyDescent="0.45">
      <c r="B80" t="s">
        <v>374</v>
      </c>
      <c r="C80" t="s">
        <v>37</v>
      </c>
      <c r="D80">
        <v>1.3154946664790845E-4</v>
      </c>
      <c r="E80" t="s">
        <v>6</v>
      </c>
      <c r="G80" t="s">
        <v>375</v>
      </c>
      <c r="H80" t="s">
        <v>37</v>
      </c>
      <c r="I80">
        <v>2.5948864267775252E-2</v>
      </c>
      <c r="J80" t="s">
        <v>6</v>
      </c>
    </row>
    <row r="81" spans="2:10" x14ac:dyDescent="0.45">
      <c r="B81" t="s">
        <v>374</v>
      </c>
      <c r="C81" t="s">
        <v>38</v>
      </c>
      <c r="D81">
        <v>0</v>
      </c>
      <c r="E81" t="s">
        <v>6</v>
      </c>
      <c r="G81" t="s">
        <v>375</v>
      </c>
      <c r="H81" t="s">
        <v>38</v>
      </c>
      <c r="I81">
        <v>5.6702407000012098E-2</v>
      </c>
      <c r="J81" t="s">
        <v>6</v>
      </c>
    </row>
    <row r="82" spans="2:10" x14ac:dyDescent="0.45">
      <c r="B82" t="s">
        <v>374</v>
      </c>
      <c r="C82" t="s">
        <v>39</v>
      </c>
      <c r="D82">
        <v>0</v>
      </c>
      <c r="E82" t="s">
        <v>6</v>
      </c>
      <c r="G82" t="s">
        <v>375</v>
      </c>
      <c r="H82" t="s">
        <v>39</v>
      </c>
      <c r="I82">
        <v>2.1879558868602173E-2</v>
      </c>
      <c r="J82" t="s">
        <v>6</v>
      </c>
    </row>
    <row r="83" spans="2:10" x14ac:dyDescent="0.45">
      <c r="B83" t="s">
        <v>374</v>
      </c>
      <c r="C83" t="s">
        <v>40</v>
      </c>
      <c r="D83">
        <v>2.3306190471848627E-3</v>
      </c>
      <c r="E83" t="s">
        <v>6</v>
      </c>
      <c r="G83" t="s">
        <v>375</v>
      </c>
      <c r="H83" t="s">
        <v>40</v>
      </c>
      <c r="I83">
        <v>2.1875396103491231E-2</v>
      </c>
      <c r="J83" t="s">
        <v>6</v>
      </c>
    </row>
    <row r="84" spans="2:10" x14ac:dyDescent="0.45">
      <c r="B84" t="s">
        <v>374</v>
      </c>
      <c r="C84" t="s">
        <v>41</v>
      </c>
      <c r="D84">
        <v>2.7223454131206862E-2</v>
      </c>
      <c r="E84" t="s">
        <v>6</v>
      </c>
      <c r="G84" t="s">
        <v>375</v>
      </c>
      <c r="H84" t="s">
        <v>41</v>
      </c>
      <c r="I84">
        <v>2.0475600267814382E-2</v>
      </c>
      <c r="J84" t="s">
        <v>6</v>
      </c>
    </row>
    <row r="85" spans="2:10" x14ac:dyDescent="0.45">
      <c r="B85" t="s">
        <v>374</v>
      </c>
      <c r="C85" t="s">
        <v>42</v>
      </c>
      <c r="D85">
        <v>5.5807409040695241E-2</v>
      </c>
      <c r="E85" t="s">
        <v>6</v>
      </c>
      <c r="G85" t="s">
        <v>375</v>
      </c>
      <c r="H85" t="s">
        <v>42</v>
      </c>
      <c r="I85">
        <v>1.9233771567230624E-2</v>
      </c>
      <c r="J85" t="s">
        <v>6</v>
      </c>
    </row>
    <row r="86" spans="2:10" x14ac:dyDescent="0.45">
      <c r="B86" t="s">
        <v>374</v>
      </c>
      <c r="C86" t="s">
        <v>43</v>
      </c>
      <c r="D86">
        <v>5.9358516097097233E-2</v>
      </c>
      <c r="E86" t="s">
        <v>6</v>
      </c>
      <c r="G86" t="s">
        <v>375</v>
      </c>
      <c r="H86" t="s">
        <v>43</v>
      </c>
      <c r="I86">
        <v>2.220173493062453E-2</v>
      </c>
      <c r="J86" t="s">
        <v>6</v>
      </c>
    </row>
    <row r="87" spans="2:10" x14ac:dyDescent="0.45">
      <c r="B87" t="s">
        <v>374</v>
      </c>
      <c r="C87" t="s">
        <v>44</v>
      </c>
      <c r="D87">
        <v>4.002876065110765E-2</v>
      </c>
      <c r="E87" t="s">
        <v>6</v>
      </c>
      <c r="G87" t="s">
        <v>375</v>
      </c>
      <c r="H87" t="s">
        <v>44</v>
      </c>
      <c r="I87">
        <v>2.2830767766465136E-2</v>
      </c>
      <c r="J87" t="s">
        <v>6</v>
      </c>
    </row>
    <row r="88" spans="2:10" x14ac:dyDescent="0.45">
      <c r="B88" t="s">
        <v>374</v>
      </c>
      <c r="C88" t="s">
        <v>45</v>
      </c>
      <c r="D88">
        <v>1.222091009196489E-2</v>
      </c>
      <c r="E88" t="s">
        <v>6</v>
      </c>
      <c r="G88" t="s">
        <v>375</v>
      </c>
      <c r="H88" t="s">
        <v>45</v>
      </c>
      <c r="I88">
        <v>2.3507447446946658E-2</v>
      </c>
      <c r="J88" t="s">
        <v>6</v>
      </c>
    </row>
    <row r="89" spans="2:10" x14ac:dyDescent="0.45">
      <c r="B89" t="s">
        <v>374</v>
      </c>
      <c r="C89" t="s">
        <v>46</v>
      </c>
      <c r="D89">
        <v>3.4314682988048509E-4</v>
      </c>
      <c r="E89" t="s">
        <v>6</v>
      </c>
      <c r="G89" t="s">
        <v>375</v>
      </c>
      <c r="H89" t="s">
        <v>46</v>
      </c>
      <c r="I89">
        <v>2.4324098230064494E-2</v>
      </c>
      <c r="J89" t="s">
        <v>6</v>
      </c>
    </row>
    <row r="90" spans="2:10" x14ac:dyDescent="0.45">
      <c r="B90" t="s">
        <v>374</v>
      </c>
      <c r="C90" t="s">
        <v>47</v>
      </c>
      <c r="D90">
        <v>0</v>
      </c>
      <c r="E90" t="s">
        <v>6</v>
      </c>
      <c r="G90" t="s">
        <v>375</v>
      </c>
      <c r="H90" t="s">
        <v>47</v>
      </c>
      <c r="I90">
        <v>3.667826607430625E-2</v>
      </c>
      <c r="J90" t="s">
        <v>6</v>
      </c>
    </row>
    <row r="91" spans="2:10" x14ac:dyDescent="0.45">
      <c r="B91" t="s">
        <v>376</v>
      </c>
      <c r="C91" t="s">
        <v>5</v>
      </c>
      <c r="D91">
        <v>0</v>
      </c>
      <c r="E91" t="s">
        <v>6</v>
      </c>
      <c r="G91" t="s">
        <v>377</v>
      </c>
      <c r="H91" t="s">
        <v>5</v>
      </c>
      <c r="I91">
        <v>6.767593742529765E-2</v>
      </c>
      <c r="J91" t="s">
        <v>6</v>
      </c>
    </row>
    <row r="92" spans="2:10" x14ac:dyDescent="0.45">
      <c r="B92" t="s">
        <v>376</v>
      </c>
      <c r="C92" t="s">
        <v>9</v>
      </c>
      <c r="D92">
        <v>0</v>
      </c>
      <c r="E92" t="s">
        <v>6</v>
      </c>
      <c r="G92" t="s">
        <v>377</v>
      </c>
      <c r="H92" t="s">
        <v>9</v>
      </c>
      <c r="I92">
        <v>2.6090711248873084E-2</v>
      </c>
      <c r="J92" t="s">
        <v>6</v>
      </c>
    </row>
    <row r="93" spans="2:10" x14ac:dyDescent="0.45">
      <c r="B93" t="s">
        <v>376</v>
      </c>
      <c r="C93" t="s">
        <v>10</v>
      </c>
      <c r="D93">
        <v>0</v>
      </c>
      <c r="E93" t="s">
        <v>6</v>
      </c>
      <c r="G93" t="s">
        <v>377</v>
      </c>
      <c r="H93" t="s">
        <v>10</v>
      </c>
      <c r="I93">
        <v>2.5811006057909928E-2</v>
      </c>
      <c r="J93" t="s">
        <v>6</v>
      </c>
    </row>
    <row r="94" spans="2:10" x14ac:dyDescent="0.45">
      <c r="B94" t="s">
        <v>376</v>
      </c>
      <c r="C94" t="s">
        <v>11</v>
      </c>
      <c r="D94">
        <v>9.2859599444495653E-3</v>
      </c>
      <c r="E94" t="s">
        <v>6</v>
      </c>
      <c r="G94" t="s">
        <v>377</v>
      </c>
      <c r="H94" t="s">
        <v>11</v>
      </c>
      <c r="I94">
        <v>2.5177849392215085E-2</v>
      </c>
      <c r="J94" t="s">
        <v>6</v>
      </c>
    </row>
    <row r="95" spans="2:10" x14ac:dyDescent="0.45">
      <c r="B95" t="s">
        <v>376</v>
      </c>
      <c r="C95" t="s">
        <v>12</v>
      </c>
      <c r="D95">
        <v>3.8075920409551961E-2</v>
      </c>
      <c r="E95" t="s">
        <v>6</v>
      </c>
      <c r="G95" t="s">
        <v>377</v>
      </c>
      <c r="H95" t="s">
        <v>12</v>
      </c>
      <c r="I95">
        <v>2.2428660023517323E-2</v>
      </c>
      <c r="J95" t="s">
        <v>6</v>
      </c>
    </row>
    <row r="96" spans="2:10" x14ac:dyDescent="0.45">
      <c r="B96" t="s">
        <v>376</v>
      </c>
      <c r="C96" t="s">
        <v>13</v>
      </c>
      <c r="D96">
        <v>4.7461681076315258E-2</v>
      </c>
      <c r="E96" t="s">
        <v>6</v>
      </c>
      <c r="G96" t="s">
        <v>377</v>
      </c>
      <c r="H96" t="s">
        <v>13</v>
      </c>
      <c r="I96">
        <v>2.360025627231381E-2</v>
      </c>
      <c r="J96" t="s">
        <v>6</v>
      </c>
    </row>
    <row r="97" spans="2:10" x14ac:dyDescent="0.45">
      <c r="B97" t="s">
        <v>376</v>
      </c>
      <c r="C97" t="s">
        <v>14</v>
      </c>
      <c r="D97">
        <v>3.1236265310402023E-2</v>
      </c>
      <c r="E97" t="s">
        <v>6</v>
      </c>
      <c r="G97" t="s">
        <v>377</v>
      </c>
      <c r="H97" t="s">
        <v>14</v>
      </c>
      <c r="I97">
        <v>2.3695352059922306E-2</v>
      </c>
      <c r="J97" t="s">
        <v>6</v>
      </c>
    </row>
    <row r="98" spans="2:10" x14ac:dyDescent="0.45">
      <c r="B98" t="s">
        <v>376</v>
      </c>
      <c r="C98" t="s">
        <v>15</v>
      </c>
      <c r="D98">
        <v>5.236772429619169E-3</v>
      </c>
      <c r="E98" t="s">
        <v>6</v>
      </c>
      <c r="G98" t="s">
        <v>377</v>
      </c>
      <c r="H98" t="s">
        <v>15</v>
      </c>
      <c r="I98">
        <v>2.5528926152783998E-2</v>
      </c>
      <c r="J98" t="s">
        <v>6</v>
      </c>
    </row>
    <row r="99" spans="2:10" x14ac:dyDescent="0.45">
      <c r="B99" t="s">
        <v>376</v>
      </c>
      <c r="C99" t="s">
        <v>16</v>
      </c>
      <c r="D99">
        <v>0</v>
      </c>
      <c r="E99" t="s">
        <v>6</v>
      </c>
      <c r="G99" t="s">
        <v>377</v>
      </c>
      <c r="H99" t="s">
        <v>16</v>
      </c>
      <c r="I99">
        <v>2.7203256941911381E-2</v>
      </c>
      <c r="J99" t="s">
        <v>6</v>
      </c>
    </row>
    <row r="100" spans="2:10" x14ac:dyDescent="0.45">
      <c r="B100" t="s">
        <v>376</v>
      </c>
      <c r="C100" t="s">
        <v>17</v>
      </c>
      <c r="D100">
        <v>0</v>
      </c>
      <c r="E100" t="s">
        <v>6</v>
      </c>
      <c r="G100" t="s">
        <v>377</v>
      </c>
      <c r="H100" t="s">
        <v>17</v>
      </c>
      <c r="I100">
        <v>4.1056581713804045E-2</v>
      </c>
      <c r="J100" t="s">
        <v>6</v>
      </c>
    </row>
    <row r="101" spans="2:10" x14ac:dyDescent="0.45">
      <c r="B101" t="s">
        <v>376</v>
      </c>
      <c r="C101" t="s">
        <v>18</v>
      </c>
      <c r="D101">
        <v>0</v>
      </c>
      <c r="E101" t="s">
        <v>6</v>
      </c>
      <c r="G101" t="s">
        <v>377</v>
      </c>
      <c r="H101" t="s">
        <v>18</v>
      </c>
      <c r="I101">
        <v>5.2071427590089391E-2</v>
      </c>
      <c r="J101" t="s">
        <v>6</v>
      </c>
    </row>
    <row r="102" spans="2:10" x14ac:dyDescent="0.45">
      <c r="B102" t="s">
        <v>376</v>
      </c>
      <c r="C102" t="s">
        <v>19</v>
      </c>
      <c r="D102">
        <v>1.7604970152812285E-4</v>
      </c>
      <c r="E102" t="s">
        <v>6</v>
      </c>
      <c r="G102" t="s">
        <v>377</v>
      </c>
      <c r="H102" t="s">
        <v>19</v>
      </c>
      <c r="I102">
        <v>2.1196463966839864E-2</v>
      </c>
      <c r="J102" t="s">
        <v>6</v>
      </c>
    </row>
    <row r="103" spans="2:10" x14ac:dyDescent="0.45">
      <c r="B103" t="s">
        <v>376</v>
      </c>
      <c r="C103" t="s">
        <v>20</v>
      </c>
      <c r="D103">
        <v>9.5134555983475422E-3</v>
      </c>
      <c r="E103" t="s">
        <v>6</v>
      </c>
      <c r="G103" t="s">
        <v>377</v>
      </c>
      <c r="H103" t="s">
        <v>20</v>
      </c>
      <c r="I103">
        <v>2.0967363960807717E-2</v>
      </c>
      <c r="J103" t="s">
        <v>6</v>
      </c>
    </row>
    <row r="104" spans="2:10" x14ac:dyDescent="0.45">
      <c r="B104" t="s">
        <v>376</v>
      </c>
      <c r="C104" t="s">
        <v>21</v>
      </c>
      <c r="D104">
        <v>4.5372078742655537E-2</v>
      </c>
      <c r="E104" t="s">
        <v>6</v>
      </c>
      <c r="G104" t="s">
        <v>377</v>
      </c>
      <c r="H104" t="s">
        <v>21</v>
      </c>
      <c r="I104">
        <v>1.9878855450214599E-2</v>
      </c>
      <c r="J104" t="s">
        <v>6</v>
      </c>
    </row>
    <row r="105" spans="2:10" x14ac:dyDescent="0.45">
      <c r="B105" t="s">
        <v>376</v>
      </c>
      <c r="C105" t="s">
        <v>22</v>
      </c>
      <c r="D105">
        <v>7.2761223984671941E-2</v>
      </c>
      <c r="E105" t="s">
        <v>6</v>
      </c>
      <c r="G105" t="s">
        <v>377</v>
      </c>
      <c r="H105" t="s">
        <v>22</v>
      </c>
      <c r="I105">
        <v>1.5861020742249324E-2</v>
      </c>
      <c r="J105" t="s">
        <v>6</v>
      </c>
    </row>
    <row r="106" spans="2:10" x14ac:dyDescent="0.45">
      <c r="B106" t="s">
        <v>376</v>
      </c>
      <c r="C106" t="s">
        <v>23</v>
      </c>
      <c r="D106">
        <v>8.0673500772366805E-2</v>
      </c>
      <c r="E106" t="s">
        <v>6</v>
      </c>
      <c r="G106" t="s">
        <v>377</v>
      </c>
      <c r="H106" t="s">
        <v>23</v>
      </c>
      <c r="I106">
        <v>1.8027296510303048E-2</v>
      </c>
      <c r="J106" t="s">
        <v>6</v>
      </c>
    </row>
    <row r="107" spans="2:10" x14ac:dyDescent="0.45">
      <c r="B107" t="s">
        <v>376</v>
      </c>
      <c r="C107" t="s">
        <v>24</v>
      </c>
      <c r="D107">
        <v>6.204422826099508E-2</v>
      </c>
      <c r="E107" t="s">
        <v>6</v>
      </c>
      <c r="G107" t="s">
        <v>377</v>
      </c>
      <c r="H107" t="s">
        <v>24</v>
      </c>
      <c r="I107">
        <v>1.9346718071382284E-2</v>
      </c>
      <c r="J107" t="s">
        <v>6</v>
      </c>
    </row>
    <row r="108" spans="2:10" x14ac:dyDescent="0.45">
      <c r="B108" t="s">
        <v>376</v>
      </c>
      <c r="C108" t="s">
        <v>25</v>
      </c>
      <c r="D108">
        <v>3.020286303469993E-2</v>
      </c>
      <c r="E108" t="s">
        <v>6</v>
      </c>
      <c r="G108" t="s">
        <v>377</v>
      </c>
      <c r="H108" t="s">
        <v>25</v>
      </c>
      <c r="I108">
        <v>1.9628694463128336E-2</v>
      </c>
      <c r="J108" t="s">
        <v>6</v>
      </c>
    </row>
    <row r="109" spans="2:10" x14ac:dyDescent="0.45">
      <c r="B109" t="s">
        <v>376</v>
      </c>
      <c r="C109" t="s">
        <v>26</v>
      </c>
      <c r="D109">
        <v>3.8720830986170504E-3</v>
      </c>
      <c r="E109" t="s">
        <v>6</v>
      </c>
      <c r="G109" t="s">
        <v>377</v>
      </c>
      <c r="H109" t="s">
        <v>26</v>
      </c>
      <c r="I109">
        <v>2.0398910202235301E-2</v>
      </c>
      <c r="J109" t="s">
        <v>6</v>
      </c>
    </row>
    <row r="110" spans="2:10" x14ac:dyDescent="0.45">
      <c r="B110" t="s">
        <v>376</v>
      </c>
      <c r="C110" t="s">
        <v>27</v>
      </c>
      <c r="D110">
        <v>1.735874435308977E-6</v>
      </c>
      <c r="E110" t="s">
        <v>6</v>
      </c>
      <c r="G110" t="s">
        <v>377</v>
      </c>
      <c r="H110" t="s">
        <v>27</v>
      </c>
      <c r="I110">
        <v>3.1662891320294137E-2</v>
      </c>
      <c r="J110" t="s">
        <v>6</v>
      </c>
    </row>
    <row r="111" spans="2:10" x14ac:dyDescent="0.45">
      <c r="B111" t="s">
        <v>376</v>
      </c>
      <c r="C111" t="s">
        <v>28</v>
      </c>
      <c r="D111">
        <v>0</v>
      </c>
      <c r="E111" t="s">
        <v>6</v>
      </c>
      <c r="G111" t="s">
        <v>377</v>
      </c>
      <c r="H111" t="s">
        <v>28</v>
      </c>
      <c r="I111">
        <v>4.0847056771999582E-2</v>
      </c>
      <c r="J111" t="s">
        <v>6</v>
      </c>
    </row>
    <row r="112" spans="2:10" x14ac:dyDescent="0.45">
      <c r="B112" t="s">
        <v>376</v>
      </c>
      <c r="C112" t="s">
        <v>29</v>
      </c>
      <c r="D112">
        <v>7.5407717108469906E-4</v>
      </c>
      <c r="E112" t="s">
        <v>6</v>
      </c>
      <c r="G112" t="s">
        <v>377</v>
      </c>
      <c r="H112" t="s">
        <v>29</v>
      </c>
      <c r="I112">
        <v>1.5121597760250476E-2</v>
      </c>
      <c r="J112" t="s">
        <v>6</v>
      </c>
    </row>
    <row r="113" spans="2:10" x14ac:dyDescent="0.45">
      <c r="B113" t="s">
        <v>376</v>
      </c>
      <c r="C113" t="s">
        <v>30</v>
      </c>
      <c r="D113">
        <v>1.4700781039307253E-2</v>
      </c>
      <c r="E113" t="s">
        <v>6</v>
      </c>
      <c r="G113" t="s">
        <v>377</v>
      </c>
      <c r="H113" t="s">
        <v>30</v>
      </c>
      <c r="I113">
        <v>1.3109606774573672E-2</v>
      </c>
      <c r="J113" t="s">
        <v>6</v>
      </c>
    </row>
    <row r="114" spans="2:10" x14ac:dyDescent="0.45">
      <c r="B114" t="s">
        <v>376</v>
      </c>
      <c r="C114" t="s">
        <v>31</v>
      </c>
      <c r="D114">
        <v>5.2368257730480691E-2</v>
      </c>
      <c r="E114" t="s">
        <v>6</v>
      </c>
      <c r="G114" t="s">
        <v>377</v>
      </c>
      <c r="H114" t="s">
        <v>31</v>
      </c>
      <c r="I114">
        <v>1.1712632412111505E-2</v>
      </c>
      <c r="J114" t="s">
        <v>6</v>
      </c>
    </row>
    <row r="115" spans="2:10" x14ac:dyDescent="0.45">
      <c r="B115" t="s">
        <v>376</v>
      </c>
      <c r="C115" t="s">
        <v>32</v>
      </c>
      <c r="D115">
        <v>8.2698450301684254E-2</v>
      </c>
      <c r="E115" t="s">
        <v>6</v>
      </c>
      <c r="G115" t="s">
        <v>377</v>
      </c>
      <c r="H115" t="s">
        <v>32</v>
      </c>
      <c r="I115">
        <v>1.01632715234163E-2</v>
      </c>
      <c r="J115" t="s">
        <v>6</v>
      </c>
    </row>
    <row r="116" spans="2:10" x14ac:dyDescent="0.45">
      <c r="B116" t="s">
        <v>376</v>
      </c>
      <c r="C116" t="s">
        <v>33</v>
      </c>
      <c r="D116">
        <v>8.9752271945846868E-2</v>
      </c>
      <c r="E116" t="s">
        <v>6</v>
      </c>
      <c r="G116" t="s">
        <v>377</v>
      </c>
      <c r="H116" t="s">
        <v>33</v>
      </c>
      <c r="I116">
        <v>1.183235763833732E-2</v>
      </c>
      <c r="J116" t="s">
        <v>6</v>
      </c>
    </row>
    <row r="117" spans="2:10" x14ac:dyDescent="0.45">
      <c r="B117" t="s">
        <v>376</v>
      </c>
      <c r="C117" t="s">
        <v>34</v>
      </c>
      <c r="D117">
        <v>7.6620806293305685E-2</v>
      </c>
      <c r="E117" t="s">
        <v>6</v>
      </c>
      <c r="G117" t="s">
        <v>377</v>
      </c>
      <c r="H117" t="s">
        <v>34</v>
      </c>
      <c r="I117">
        <v>1.2684538989354554E-2</v>
      </c>
      <c r="J117" t="s">
        <v>6</v>
      </c>
    </row>
    <row r="118" spans="2:10" x14ac:dyDescent="0.45">
      <c r="B118" t="s">
        <v>376</v>
      </c>
      <c r="C118" t="s">
        <v>35</v>
      </c>
      <c r="D118">
        <v>4.3437901257436663E-2</v>
      </c>
      <c r="E118" t="s">
        <v>6</v>
      </c>
      <c r="G118" t="s">
        <v>377</v>
      </c>
      <c r="H118" t="s">
        <v>35</v>
      </c>
      <c r="I118">
        <v>1.2764457701958538E-2</v>
      </c>
      <c r="J118" t="s">
        <v>6</v>
      </c>
    </row>
    <row r="119" spans="2:10" x14ac:dyDescent="0.45">
      <c r="B119" t="s">
        <v>376</v>
      </c>
      <c r="C119" t="s">
        <v>36</v>
      </c>
      <c r="D119">
        <v>9.0888048036129442E-3</v>
      </c>
      <c r="E119" t="s">
        <v>6</v>
      </c>
      <c r="G119" t="s">
        <v>377</v>
      </c>
      <c r="H119" t="s">
        <v>36</v>
      </c>
      <c r="I119">
        <v>1.365976204276486E-2</v>
      </c>
      <c r="J119" t="s">
        <v>6</v>
      </c>
    </row>
    <row r="120" spans="2:10" x14ac:dyDescent="0.45">
      <c r="B120" t="s">
        <v>376</v>
      </c>
      <c r="C120" t="s">
        <v>37</v>
      </c>
      <c r="D120">
        <v>1.1727570070677551E-4</v>
      </c>
      <c r="E120" t="s">
        <v>6</v>
      </c>
      <c r="G120" t="s">
        <v>377</v>
      </c>
      <c r="H120" t="s">
        <v>37</v>
      </c>
      <c r="I120">
        <v>2.4433912516173304E-2</v>
      </c>
      <c r="J120" t="s">
        <v>6</v>
      </c>
    </row>
    <row r="121" spans="2:10" x14ac:dyDescent="0.45">
      <c r="B121" t="s">
        <v>376</v>
      </c>
      <c r="C121" t="s">
        <v>38</v>
      </c>
      <c r="D121">
        <v>0</v>
      </c>
      <c r="E121" t="s">
        <v>6</v>
      </c>
      <c r="G121" t="s">
        <v>377</v>
      </c>
      <c r="H121" t="s">
        <v>38</v>
      </c>
      <c r="I121">
        <v>6.1919081719198306E-2</v>
      </c>
      <c r="J121" t="s">
        <v>6</v>
      </c>
    </row>
    <row r="122" spans="2:10" x14ac:dyDescent="0.45">
      <c r="B122" t="s">
        <v>376</v>
      </c>
      <c r="C122" t="s">
        <v>39</v>
      </c>
      <c r="D122">
        <v>0</v>
      </c>
      <c r="E122" t="s">
        <v>6</v>
      </c>
      <c r="G122" t="s">
        <v>377</v>
      </c>
      <c r="H122" t="s">
        <v>39</v>
      </c>
      <c r="I122">
        <v>2.3640624184282002E-2</v>
      </c>
      <c r="J122" t="s">
        <v>6</v>
      </c>
    </row>
    <row r="123" spans="2:10" x14ac:dyDescent="0.45">
      <c r="B123" t="s">
        <v>376</v>
      </c>
      <c r="C123" t="s">
        <v>40</v>
      </c>
      <c r="D123">
        <v>2.6691145427298248E-3</v>
      </c>
      <c r="E123" t="s">
        <v>6</v>
      </c>
      <c r="G123" t="s">
        <v>377</v>
      </c>
      <c r="H123" t="s">
        <v>40</v>
      </c>
      <c r="I123">
        <v>2.3357054290897118E-2</v>
      </c>
      <c r="J123" t="s">
        <v>6</v>
      </c>
    </row>
    <row r="124" spans="2:10" x14ac:dyDescent="0.45">
      <c r="B124" t="s">
        <v>376</v>
      </c>
      <c r="C124" t="s">
        <v>41</v>
      </c>
      <c r="D124">
        <v>2.7767530037467521E-2</v>
      </c>
      <c r="E124" t="s">
        <v>6</v>
      </c>
      <c r="G124" t="s">
        <v>377</v>
      </c>
      <c r="H124" t="s">
        <v>41</v>
      </c>
      <c r="I124">
        <v>2.2565925992230743E-2</v>
      </c>
      <c r="J124" t="s">
        <v>6</v>
      </c>
    </row>
    <row r="125" spans="2:10" x14ac:dyDescent="0.45">
      <c r="B125" t="s">
        <v>376</v>
      </c>
      <c r="C125" t="s">
        <v>42</v>
      </c>
      <c r="D125">
        <v>5.5069880035062212E-2</v>
      </c>
      <c r="E125" t="s">
        <v>6</v>
      </c>
      <c r="G125" t="s">
        <v>377</v>
      </c>
      <c r="H125" t="s">
        <v>42</v>
      </c>
      <c r="I125">
        <v>2.0228831551551672E-2</v>
      </c>
      <c r="J125" t="s">
        <v>6</v>
      </c>
    </row>
    <row r="126" spans="2:10" x14ac:dyDescent="0.45">
      <c r="B126" t="s">
        <v>376</v>
      </c>
      <c r="C126" t="s">
        <v>43</v>
      </c>
      <c r="D126">
        <v>5.9101038717689958E-2</v>
      </c>
      <c r="E126" t="s">
        <v>6</v>
      </c>
      <c r="G126" t="s">
        <v>377</v>
      </c>
      <c r="H126" t="s">
        <v>43</v>
      </c>
      <c r="I126">
        <v>2.2138145709475161E-2</v>
      </c>
      <c r="J126" t="s">
        <v>6</v>
      </c>
    </row>
    <row r="127" spans="2:10" x14ac:dyDescent="0.45">
      <c r="B127" t="s">
        <v>376</v>
      </c>
      <c r="C127" t="s">
        <v>44</v>
      </c>
      <c r="D127">
        <v>3.844461979964698E-2</v>
      </c>
      <c r="E127" t="s">
        <v>6</v>
      </c>
      <c r="G127" t="s">
        <v>377</v>
      </c>
      <c r="H127" t="s">
        <v>44</v>
      </c>
      <c r="I127">
        <v>2.2998717638710777E-2</v>
      </c>
      <c r="J127" t="s">
        <v>6</v>
      </c>
    </row>
    <row r="128" spans="2:10" x14ac:dyDescent="0.45">
      <c r="B128" t="s">
        <v>376</v>
      </c>
      <c r="C128" t="s">
        <v>45</v>
      </c>
      <c r="D128">
        <v>1.1225622126751898E-2</v>
      </c>
      <c r="E128" t="s">
        <v>6</v>
      </c>
      <c r="G128" t="s">
        <v>377</v>
      </c>
      <c r="H128" t="s">
        <v>45</v>
      </c>
      <c r="I128">
        <v>2.4174625871644598E-2</v>
      </c>
      <c r="J128" t="s">
        <v>6</v>
      </c>
    </row>
    <row r="129" spans="2:10" x14ac:dyDescent="0.45">
      <c r="B129" t="s">
        <v>376</v>
      </c>
      <c r="C129" t="s">
        <v>46</v>
      </c>
      <c r="D129">
        <v>2.6975025853205815E-4</v>
      </c>
      <c r="E129" t="s">
        <v>6</v>
      </c>
      <c r="G129" t="s">
        <v>377</v>
      </c>
      <c r="H129" t="s">
        <v>46</v>
      </c>
      <c r="I129">
        <v>2.6085250542005337E-2</v>
      </c>
      <c r="J129" t="s">
        <v>6</v>
      </c>
    </row>
    <row r="130" spans="2:10" x14ac:dyDescent="0.45">
      <c r="B130" t="s">
        <v>376</v>
      </c>
      <c r="C130" t="s">
        <v>47</v>
      </c>
      <c r="D130">
        <v>0</v>
      </c>
      <c r="E130" t="s">
        <v>6</v>
      </c>
      <c r="G130" t="s">
        <v>377</v>
      </c>
      <c r="H130" t="s">
        <v>47</v>
      </c>
      <c r="I130">
        <v>3.9254368802976732E-2</v>
      </c>
      <c r="J130" t="s">
        <v>6</v>
      </c>
    </row>
    <row r="131" spans="2:10" x14ac:dyDescent="0.45">
      <c r="B131" t="s">
        <v>378</v>
      </c>
      <c r="C131" t="s">
        <v>5</v>
      </c>
      <c r="D131">
        <v>0</v>
      </c>
      <c r="E131" t="s">
        <v>6</v>
      </c>
      <c r="G131" t="s">
        <v>379</v>
      </c>
      <c r="H131" t="s">
        <v>5</v>
      </c>
      <c r="I131">
        <v>6.7600505986900497E-2</v>
      </c>
      <c r="J131" t="s">
        <v>6</v>
      </c>
    </row>
    <row r="132" spans="2:10" x14ac:dyDescent="0.45">
      <c r="B132" t="s">
        <v>378</v>
      </c>
      <c r="C132" t="s">
        <v>9</v>
      </c>
      <c r="D132">
        <v>0</v>
      </c>
      <c r="E132" t="s">
        <v>6</v>
      </c>
      <c r="G132" t="s">
        <v>379</v>
      </c>
      <c r="H132" t="s">
        <v>9</v>
      </c>
      <c r="I132">
        <v>2.6780912582128766E-2</v>
      </c>
      <c r="J132" t="s">
        <v>6</v>
      </c>
    </row>
    <row r="133" spans="2:10" x14ac:dyDescent="0.45">
      <c r="B133" t="s">
        <v>378</v>
      </c>
      <c r="C133" t="s">
        <v>10</v>
      </c>
      <c r="D133">
        <v>0</v>
      </c>
      <c r="E133" t="s">
        <v>6</v>
      </c>
      <c r="G133" t="s">
        <v>379</v>
      </c>
      <c r="H133" t="s">
        <v>10</v>
      </c>
      <c r="I133">
        <v>2.6028639597924393E-2</v>
      </c>
      <c r="J133" t="s">
        <v>6</v>
      </c>
    </row>
    <row r="134" spans="2:10" x14ac:dyDescent="0.45">
      <c r="B134" t="s">
        <v>378</v>
      </c>
      <c r="C134" t="s">
        <v>11</v>
      </c>
      <c r="D134">
        <v>9.0979776776705119E-3</v>
      </c>
      <c r="E134" t="s">
        <v>6</v>
      </c>
      <c r="G134" t="s">
        <v>379</v>
      </c>
      <c r="H134" t="s">
        <v>11</v>
      </c>
      <c r="I134">
        <v>2.5473155933970284E-2</v>
      </c>
      <c r="J134" t="s">
        <v>6</v>
      </c>
    </row>
    <row r="135" spans="2:10" x14ac:dyDescent="0.45">
      <c r="B135" t="s">
        <v>378</v>
      </c>
      <c r="C135" t="s">
        <v>12</v>
      </c>
      <c r="D135">
        <v>3.672316897126756E-2</v>
      </c>
      <c r="E135" t="s">
        <v>6</v>
      </c>
      <c r="G135" t="s">
        <v>379</v>
      </c>
      <c r="H135" t="s">
        <v>12</v>
      </c>
      <c r="I135">
        <v>2.1740920541194846E-2</v>
      </c>
      <c r="J135" t="s">
        <v>6</v>
      </c>
    </row>
    <row r="136" spans="2:10" x14ac:dyDescent="0.45">
      <c r="B136" t="s">
        <v>378</v>
      </c>
      <c r="C136" t="s">
        <v>13</v>
      </c>
      <c r="D136">
        <v>4.84419535276569E-2</v>
      </c>
      <c r="E136" t="s">
        <v>6</v>
      </c>
      <c r="G136" t="s">
        <v>379</v>
      </c>
      <c r="H136" t="s">
        <v>13</v>
      </c>
      <c r="I136">
        <v>2.4041517829164655E-2</v>
      </c>
      <c r="J136" t="s">
        <v>6</v>
      </c>
    </row>
    <row r="137" spans="2:10" x14ac:dyDescent="0.45">
      <c r="B137" t="s">
        <v>378</v>
      </c>
      <c r="C137" t="s">
        <v>14</v>
      </c>
      <c r="D137">
        <v>3.2994993809260846E-2</v>
      </c>
      <c r="E137" t="s">
        <v>6</v>
      </c>
      <c r="G137" t="s">
        <v>379</v>
      </c>
      <c r="H137" t="s">
        <v>14</v>
      </c>
      <c r="I137">
        <v>2.4158180823864634E-2</v>
      </c>
      <c r="J137" t="s">
        <v>6</v>
      </c>
    </row>
    <row r="138" spans="2:10" x14ac:dyDescent="0.45">
      <c r="B138" t="s">
        <v>378</v>
      </c>
      <c r="C138" t="s">
        <v>15</v>
      </c>
      <c r="D138">
        <v>6.4876873501138396E-3</v>
      </c>
      <c r="E138" t="s">
        <v>6</v>
      </c>
      <c r="G138" t="s">
        <v>379</v>
      </c>
      <c r="H138" t="s">
        <v>15</v>
      </c>
      <c r="I138">
        <v>2.5550121043731441E-2</v>
      </c>
      <c r="J138" t="s">
        <v>6</v>
      </c>
    </row>
    <row r="139" spans="2:10" x14ac:dyDescent="0.45">
      <c r="B139" t="s">
        <v>378</v>
      </c>
      <c r="C139" t="s">
        <v>16</v>
      </c>
      <c r="D139">
        <v>0</v>
      </c>
      <c r="E139" t="s">
        <v>6</v>
      </c>
      <c r="G139" t="s">
        <v>379</v>
      </c>
      <c r="H139" t="s">
        <v>16</v>
      </c>
      <c r="I139">
        <v>2.7134351976594855E-2</v>
      </c>
      <c r="J139" t="s">
        <v>6</v>
      </c>
    </row>
    <row r="140" spans="2:10" x14ac:dyDescent="0.45">
      <c r="B140" t="s">
        <v>378</v>
      </c>
      <c r="C140" t="s">
        <v>17</v>
      </c>
      <c r="D140">
        <v>0</v>
      </c>
      <c r="E140" t="s">
        <v>6</v>
      </c>
      <c r="G140" t="s">
        <v>379</v>
      </c>
      <c r="H140" t="s">
        <v>17</v>
      </c>
      <c r="I140">
        <v>4.0498933154671853E-2</v>
      </c>
      <c r="J140" t="s">
        <v>6</v>
      </c>
    </row>
    <row r="141" spans="2:10" x14ac:dyDescent="0.45">
      <c r="B141" t="s">
        <v>378</v>
      </c>
      <c r="C141" t="s">
        <v>18</v>
      </c>
      <c r="D141">
        <v>0</v>
      </c>
      <c r="E141" t="s">
        <v>6</v>
      </c>
      <c r="G141" t="s">
        <v>379</v>
      </c>
      <c r="H141" t="s">
        <v>18</v>
      </c>
      <c r="I141">
        <v>5.1934837354685889E-2</v>
      </c>
      <c r="J141" t="s">
        <v>6</v>
      </c>
    </row>
    <row r="142" spans="2:10" x14ac:dyDescent="0.45">
      <c r="B142" t="s">
        <v>378</v>
      </c>
      <c r="C142" t="s">
        <v>19</v>
      </c>
      <c r="D142">
        <v>1.3888097230002201E-4</v>
      </c>
      <c r="E142" t="s">
        <v>6</v>
      </c>
      <c r="G142" t="s">
        <v>379</v>
      </c>
      <c r="H142" t="s">
        <v>19</v>
      </c>
      <c r="I142">
        <v>2.1132680164202163E-2</v>
      </c>
      <c r="J142" t="s">
        <v>6</v>
      </c>
    </row>
    <row r="143" spans="2:10" x14ac:dyDescent="0.45">
      <c r="B143" t="s">
        <v>378</v>
      </c>
      <c r="C143" t="s">
        <v>20</v>
      </c>
      <c r="D143">
        <v>8.2059862652054307E-3</v>
      </c>
      <c r="E143" t="s">
        <v>6</v>
      </c>
      <c r="G143" t="s">
        <v>379</v>
      </c>
      <c r="H143" t="s">
        <v>20</v>
      </c>
      <c r="I143">
        <v>2.0723278569316248E-2</v>
      </c>
      <c r="J143" t="s">
        <v>6</v>
      </c>
    </row>
    <row r="144" spans="2:10" x14ac:dyDescent="0.45">
      <c r="B144" t="s">
        <v>378</v>
      </c>
      <c r="C144" t="s">
        <v>21</v>
      </c>
      <c r="D144">
        <v>4.0687122355857308E-2</v>
      </c>
      <c r="E144" t="s">
        <v>6</v>
      </c>
      <c r="G144" t="s">
        <v>379</v>
      </c>
      <c r="H144" t="s">
        <v>21</v>
      </c>
      <c r="I144">
        <v>1.9948501195229028E-2</v>
      </c>
      <c r="J144" t="s">
        <v>6</v>
      </c>
    </row>
    <row r="145" spans="2:10" x14ac:dyDescent="0.45">
      <c r="B145" t="s">
        <v>378</v>
      </c>
      <c r="C145" t="s">
        <v>22</v>
      </c>
      <c r="D145">
        <v>7.1847101572528313E-2</v>
      </c>
      <c r="E145" t="s">
        <v>6</v>
      </c>
      <c r="G145" t="s">
        <v>379</v>
      </c>
      <c r="H145" t="s">
        <v>22</v>
      </c>
      <c r="I145">
        <v>1.5707588716659931E-2</v>
      </c>
      <c r="J145" t="s">
        <v>6</v>
      </c>
    </row>
    <row r="146" spans="2:10" x14ac:dyDescent="0.45">
      <c r="B146" t="s">
        <v>378</v>
      </c>
      <c r="C146" t="s">
        <v>23</v>
      </c>
      <c r="D146">
        <v>7.9490957924838623E-2</v>
      </c>
      <c r="E146" t="s">
        <v>6</v>
      </c>
      <c r="G146" t="s">
        <v>379</v>
      </c>
      <c r="H146" t="s">
        <v>23</v>
      </c>
      <c r="I146">
        <v>1.8535044845965524E-2</v>
      </c>
      <c r="J146" t="s">
        <v>6</v>
      </c>
    </row>
    <row r="147" spans="2:10" x14ac:dyDescent="0.45">
      <c r="B147" t="s">
        <v>378</v>
      </c>
      <c r="C147" t="s">
        <v>24</v>
      </c>
      <c r="D147">
        <v>6.4105205187418163E-2</v>
      </c>
      <c r="E147" t="s">
        <v>6</v>
      </c>
      <c r="G147" t="s">
        <v>379</v>
      </c>
      <c r="H147" t="s">
        <v>24</v>
      </c>
      <c r="I147">
        <v>2.0003373579059607E-2</v>
      </c>
      <c r="J147" t="s">
        <v>6</v>
      </c>
    </row>
    <row r="148" spans="2:10" x14ac:dyDescent="0.45">
      <c r="B148" t="s">
        <v>378</v>
      </c>
      <c r="C148" t="s">
        <v>25</v>
      </c>
      <c r="D148">
        <v>3.2606768361081451E-2</v>
      </c>
      <c r="E148" t="s">
        <v>6</v>
      </c>
      <c r="G148" t="s">
        <v>379</v>
      </c>
      <c r="H148" t="s">
        <v>25</v>
      </c>
      <c r="I148">
        <v>2.0017021498791133E-2</v>
      </c>
      <c r="J148" t="s">
        <v>6</v>
      </c>
    </row>
    <row r="149" spans="2:10" x14ac:dyDescent="0.45">
      <c r="B149" t="s">
        <v>378</v>
      </c>
      <c r="C149" t="s">
        <v>26</v>
      </c>
      <c r="D149">
        <v>4.5665454575055473E-3</v>
      </c>
      <c r="E149" t="s">
        <v>6</v>
      </c>
      <c r="G149" t="s">
        <v>379</v>
      </c>
      <c r="H149" t="s">
        <v>26</v>
      </c>
      <c r="I149">
        <v>2.0731893272595024E-2</v>
      </c>
      <c r="J149" t="s">
        <v>6</v>
      </c>
    </row>
    <row r="150" spans="2:10" x14ac:dyDescent="0.45">
      <c r="B150" t="s">
        <v>378</v>
      </c>
      <c r="C150" t="s">
        <v>27</v>
      </c>
      <c r="D150">
        <v>6.6259858506549486E-6</v>
      </c>
      <c r="E150" t="s">
        <v>6</v>
      </c>
      <c r="G150" t="s">
        <v>379</v>
      </c>
      <c r="H150" t="s">
        <v>27</v>
      </c>
      <c r="I150">
        <v>3.1532687803504454E-2</v>
      </c>
      <c r="J150" t="s">
        <v>6</v>
      </c>
    </row>
    <row r="151" spans="2:10" x14ac:dyDescent="0.45">
      <c r="B151" t="s">
        <v>378</v>
      </c>
      <c r="C151" t="s">
        <v>28</v>
      </c>
      <c r="D151">
        <v>0</v>
      </c>
      <c r="E151" t="s">
        <v>6</v>
      </c>
      <c r="G151" t="s">
        <v>379</v>
      </c>
      <c r="H151" t="s">
        <v>28</v>
      </c>
      <c r="I151">
        <v>3.9717627110697783E-2</v>
      </c>
      <c r="J151" t="s">
        <v>6</v>
      </c>
    </row>
    <row r="152" spans="2:10" x14ac:dyDescent="0.45">
      <c r="B152" t="s">
        <v>378</v>
      </c>
      <c r="C152" t="s">
        <v>29</v>
      </c>
      <c r="D152">
        <v>5.9093275663035967E-4</v>
      </c>
      <c r="E152" t="s">
        <v>6</v>
      </c>
      <c r="G152" t="s">
        <v>379</v>
      </c>
      <c r="H152" t="s">
        <v>29</v>
      </c>
      <c r="I152">
        <v>1.4491601852653895E-2</v>
      </c>
      <c r="J152" t="s">
        <v>6</v>
      </c>
    </row>
    <row r="153" spans="2:10" x14ac:dyDescent="0.45">
      <c r="B153" t="s">
        <v>378</v>
      </c>
      <c r="C153" t="s">
        <v>30</v>
      </c>
      <c r="D153">
        <v>1.3186846498251492E-2</v>
      </c>
      <c r="E153" t="s">
        <v>6</v>
      </c>
      <c r="G153" t="s">
        <v>379</v>
      </c>
      <c r="H153" t="s">
        <v>30</v>
      </c>
      <c r="I153">
        <v>1.2660067114794393E-2</v>
      </c>
      <c r="J153" t="s">
        <v>6</v>
      </c>
    </row>
    <row r="154" spans="2:10" x14ac:dyDescent="0.45">
      <c r="B154" t="s">
        <v>378</v>
      </c>
      <c r="C154" t="s">
        <v>31</v>
      </c>
      <c r="D154">
        <v>5.0257402140452642E-2</v>
      </c>
      <c r="E154" t="s">
        <v>6</v>
      </c>
      <c r="G154" t="s">
        <v>379</v>
      </c>
      <c r="H154" t="s">
        <v>31</v>
      </c>
      <c r="I154">
        <v>1.2051997413433711E-2</v>
      </c>
      <c r="J154" t="s">
        <v>6</v>
      </c>
    </row>
    <row r="155" spans="2:10" x14ac:dyDescent="0.45">
      <c r="B155" t="s">
        <v>378</v>
      </c>
      <c r="C155" t="s">
        <v>32</v>
      </c>
      <c r="D155">
        <v>8.176316255229181E-2</v>
      </c>
      <c r="E155" t="s">
        <v>6</v>
      </c>
      <c r="G155" t="s">
        <v>379</v>
      </c>
      <c r="H155" t="s">
        <v>32</v>
      </c>
      <c r="I155">
        <v>1.0317550411586643E-2</v>
      </c>
      <c r="J155" t="s">
        <v>6</v>
      </c>
    </row>
    <row r="156" spans="2:10" x14ac:dyDescent="0.45">
      <c r="B156" t="s">
        <v>378</v>
      </c>
      <c r="C156" t="s">
        <v>33</v>
      </c>
      <c r="D156">
        <v>8.9857299681800007E-2</v>
      </c>
      <c r="E156" t="s">
        <v>6</v>
      </c>
      <c r="G156" t="s">
        <v>379</v>
      </c>
      <c r="H156" t="s">
        <v>33</v>
      </c>
      <c r="I156">
        <v>1.1913094571915507E-2</v>
      </c>
      <c r="J156" t="s">
        <v>6</v>
      </c>
    </row>
    <row r="157" spans="2:10" x14ac:dyDescent="0.45">
      <c r="B157" t="s">
        <v>378</v>
      </c>
      <c r="C157" t="s">
        <v>34</v>
      </c>
      <c r="D157">
        <v>7.7354407016374332E-2</v>
      </c>
      <c r="E157" t="s">
        <v>6</v>
      </c>
      <c r="G157" t="s">
        <v>379</v>
      </c>
      <c r="H157" t="s">
        <v>34</v>
      </c>
      <c r="I157">
        <v>1.2379901164817216E-2</v>
      </c>
      <c r="J157" t="s">
        <v>6</v>
      </c>
    </row>
    <row r="158" spans="2:10" x14ac:dyDescent="0.45">
      <c r="B158" t="s">
        <v>378</v>
      </c>
      <c r="C158" t="s">
        <v>35</v>
      </c>
      <c r="D158">
        <v>4.550689087055762E-2</v>
      </c>
      <c r="E158" t="s">
        <v>6</v>
      </c>
      <c r="G158" t="s">
        <v>379</v>
      </c>
      <c r="H158" t="s">
        <v>35</v>
      </c>
      <c r="I158">
        <v>1.2193866965665594E-2</v>
      </c>
      <c r="J158" t="s">
        <v>6</v>
      </c>
    </row>
    <row r="159" spans="2:10" x14ac:dyDescent="0.45">
      <c r="B159" t="s">
        <v>378</v>
      </c>
      <c r="C159" t="s">
        <v>36</v>
      </c>
      <c r="D159">
        <v>9.8898926353953014E-3</v>
      </c>
      <c r="E159" t="s">
        <v>6</v>
      </c>
      <c r="G159" t="s">
        <v>379</v>
      </c>
      <c r="H159" t="s">
        <v>36</v>
      </c>
      <c r="I159">
        <v>1.2722954981255712E-2</v>
      </c>
      <c r="J159" t="s">
        <v>6</v>
      </c>
    </row>
    <row r="160" spans="2:10" x14ac:dyDescent="0.45">
      <c r="B160" t="s">
        <v>378</v>
      </c>
      <c r="C160" t="s">
        <v>37</v>
      </c>
      <c r="D160">
        <v>1.749645057281567E-4</v>
      </c>
      <c r="E160" t="s">
        <v>6</v>
      </c>
      <c r="G160" t="s">
        <v>379</v>
      </c>
      <c r="H160" t="s">
        <v>37</v>
      </c>
      <c r="I160">
        <v>2.3469925498966118E-2</v>
      </c>
      <c r="J160" t="s">
        <v>6</v>
      </c>
    </row>
    <row r="161" spans="2:10" x14ac:dyDescent="0.45">
      <c r="B161" t="s">
        <v>378</v>
      </c>
      <c r="C161" t="s">
        <v>38</v>
      </c>
      <c r="D161">
        <v>0</v>
      </c>
      <c r="E161" t="s">
        <v>6</v>
      </c>
      <c r="G161" t="s">
        <v>379</v>
      </c>
      <c r="H161" t="s">
        <v>38</v>
      </c>
      <c r="I161">
        <v>6.2856740686870305E-2</v>
      </c>
      <c r="J161" t="s">
        <v>6</v>
      </c>
    </row>
    <row r="162" spans="2:10" x14ac:dyDescent="0.45">
      <c r="B162" t="s">
        <v>378</v>
      </c>
      <c r="C162" t="s">
        <v>39</v>
      </c>
      <c r="D162">
        <v>0</v>
      </c>
      <c r="E162" t="s">
        <v>6</v>
      </c>
      <c r="G162" t="s">
        <v>379</v>
      </c>
      <c r="H162" t="s">
        <v>39</v>
      </c>
      <c r="I162">
        <v>2.4170146452551909E-2</v>
      </c>
      <c r="J162" t="s">
        <v>6</v>
      </c>
    </row>
    <row r="163" spans="2:10" x14ac:dyDescent="0.45">
      <c r="B163" t="s">
        <v>378</v>
      </c>
      <c r="C163" t="s">
        <v>40</v>
      </c>
      <c r="D163">
        <v>2.195513851951394E-3</v>
      </c>
      <c r="E163" t="s">
        <v>6</v>
      </c>
      <c r="G163" t="s">
        <v>379</v>
      </c>
      <c r="H163" t="s">
        <v>40</v>
      </c>
      <c r="I163">
        <v>2.3829188930039734E-2</v>
      </c>
      <c r="J163" t="s">
        <v>6</v>
      </c>
    </row>
    <row r="164" spans="2:10" x14ac:dyDescent="0.45">
      <c r="B164" t="s">
        <v>378</v>
      </c>
      <c r="C164" t="s">
        <v>41</v>
      </c>
      <c r="D164">
        <v>2.669450144224703E-2</v>
      </c>
      <c r="E164" t="s">
        <v>6</v>
      </c>
      <c r="G164" t="s">
        <v>379</v>
      </c>
      <c r="H164" t="s">
        <v>41</v>
      </c>
      <c r="I164">
        <v>2.3007730442950156E-2</v>
      </c>
      <c r="J164" t="s">
        <v>6</v>
      </c>
    </row>
    <row r="165" spans="2:10" x14ac:dyDescent="0.45">
      <c r="B165" t="s">
        <v>378</v>
      </c>
      <c r="C165" t="s">
        <v>42</v>
      </c>
      <c r="D165">
        <v>5.4897862930115726E-2</v>
      </c>
      <c r="E165" t="s">
        <v>6</v>
      </c>
      <c r="G165" t="s">
        <v>379</v>
      </c>
      <c r="H165" t="s">
        <v>42</v>
      </c>
      <c r="I165">
        <v>1.9659455390504579E-2</v>
      </c>
      <c r="J165" t="s">
        <v>6</v>
      </c>
    </row>
    <row r="166" spans="2:10" x14ac:dyDescent="0.45">
      <c r="B166" t="s">
        <v>378</v>
      </c>
      <c r="C166" t="s">
        <v>43</v>
      </c>
      <c r="D166">
        <v>5.9442852610347936E-2</v>
      </c>
      <c r="E166" t="s">
        <v>6</v>
      </c>
      <c r="G166" t="s">
        <v>379</v>
      </c>
      <c r="H166" t="s">
        <v>43</v>
      </c>
      <c r="I166">
        <v>2.1840399320035047E-2</v>
      </c>
      <c r="J166" t="s">
        <v>6</v>
      </c>
    </row>
    <row r="167" spans="2:10" x14ac:dyDescent="0.45">
      <c r="B167" t="s">
        <v>378</v>
      </c>
      <c r="C167" t="s">
        <v>44</v>
      </c>
      <c r="D167">
        <v>4.0343755942200729E-2</v>
      </c>
      <c r="E167" t="s">
        <v>6</v>
      </c>
      <c r="G167" t="s">
        <v>379</v>
      </c>
      <c r="H167" t="s">
        <v>44</v>
      </c>
      <c r="I167">
        <v>2.3199500903152044E-2</v>
      </c>
      <c r="J167" t="s">
        <v>6</v>
      </c>
    </row>
    <row r="168" spans="2:10" x14ac:dyDescent="0.45">
      <c r="B168" t="s">
        <v>378</v>
      </c>
      <c r="C168" t="s">
        <v>45</v>
      </c>
      <c r="D168">
        <v>1.2080434512469339E-2</v>
      </c>
      <c r="E168" t="s">
        <v>6</v>
      </c>
      <c r="G168" t="s">
        <v>379</v>
      </c>
      <c r="H168" t="s">
        <v>45</v>
      </c>
      <c r="I168">
        <v>2.4068625940677178E-2</v>
      </c>
      <c r="J168" t="s">
        <v>6</v>
      </c>
    </row>
    <row r="169" spans="2:10" x14ac:dyDescent="0.45">
      <c r="B169" t="s">
        <v>378</v>
      </c>
      <c r="C169" t="s">
        <v>46</v>
      </c>
      <c r="D169">
        <v>3.6230463462957234E-4</v>
      </c>
      <c r="E169" t="s">
        <v>6</v>
      </c>
      <c r="G169" t="s">
        <v>379</v>
      </c>
      <c r="H169" t="s">
        <v>46</v>
      </c>
      <c r="I169">
        <v>2.649740209627445E-2</v>
      </c>
      <c r="J169" t="s">
        <v>6</v>
      </c>
    </row>
    <row r="170" spans="2:10" x14ac:dyDescent="0.45">
      <c r="B170" t="s">
        <v>378</v>
      </c>
      <c r="C170" t="s">
        <v>47</v>
      </c>
      <c r="D170">
        <v>0</v>
      </c>
      <c r="E170" t="s">
        <v>6</v>
      </c>
      <c r="G170" t="s">
        <v>379</v>
      </c>
      <c r="H170" t="s">
        <v>47</v>
      </c>
      <c r="I170">
        <v>3.967807628100279E-2</v>
      </c>
      <c r="J170" t="s">
        <v>6</v>
      </c>
    </row>
    <row r="171" spans="2:10" x14ac:dyDescent="0.45">
      <c r="B171" t="s">
        <v>380</v>
      </c>
      <c r="C171" t="s">
        <v>5</v>
      </c>
      <c r="D171">
        <v>0</v>
      </c>
      <c r="E171" t="s">
        <v>6</v>
      </c>
      <c r="G171" t="s">
        <v>381</v>
      </c>
      <c r="H171" t="s">
        <v>5</v>
      </c>
      <c r="I171">
        <v>7.1315275448981155E-2</v>
      </c>
      <c r="J171" t="s">
        <v>6</v>
      </c>
    </row>
    <row r="172" spans="2:10" x14ac:dyDescent="0.45">
      <c r="B172" t="s">
        <v>380</v>
      </c>
      <c r="C172" t="s">
        <v>9</v>
      </c>
      <c r="D172">
        <v>0</v>
      </c>
      <c r="E172" t="s">
        <v>6</v>
      </c>
      <c r="G172" t="s">
        <v>381</v>
      </c>
      <c r="H172" t="s">
        <v>9</v>
      </c>
      <c r="I172">
        <v>2.8150416858556588E-2</v>
      </c>
      <c r="J172" t="s">
        <v>6</v>
      </c>
    </row>
    <row r="173" spans="2:10" x14ac:dyDescent="0.45">
      <c r="B173" t="s">
        <v>380</v>
      </c>
      <c r="C173" t="s">
        <v>10</v>
      </c>
      <c r="D173">
        <v>0</v>
      </c>
      <c r="E173" t="s">
        <v>6</v>
      </c>
      <c r="G173" t="s">
        <v>381</v>
      </c>
      <c r="H173" t="s">
        <v>10</v>
      </c>
      <c r="I173">
        <v>2.8118994728983403E-2</v>
      </c>
      <c r="J173" t="s">
        <v>6</v>
      </c>
    </row>
    <row r="174" spans="2:10" x14ac:dyDescent="0.45">
      <c r="B174" t="s">
        <v>380</v>
      </c>
      <c r="C174" t="s">
        <v>11</v>
      </c>
      <c r="D174">
        <v>9.389047245172975E-3</v>
      </c>
      <c r="E174" t="s">
        <v>6</v>
      </c>
      <c r="G174" t="s">
        <v>381</v>
      </c>
      <c r="H174" t="s">
        <v>11</v>
      </c>
      <c r="I174">
        <v>2.8565502157275491E-2</v>
      </c>
      <c r="J174" t="s">
        <v>6</v>
      </c>
    </row>
    <row r="175" spans="2:10" x14ac:dyDescent="0.45">
      <c r="B175" t="s">
        <v>380</v>
      </c>
      <c r="C175" t="s">
        <v>12</v>
      </c>
      <c r="D175">
        <v>3.7759664354949589E-2</v>
      </c>
      <c r="E175" t="s">
        <v>6</v>
      </c>
      <c r="G175" t="s">
        <v>381</v>
      </c>
      <c r="H175" t="s">
        <v>12</v>
      </c>
      <c r="I175">
        <v>2.4118508077753981E-2</v>
      </c>
      <c r="J175" t="s">
        <v>6</v>
      </c>
    </row>
    <row r="176" spans="2:10" x14ac:dyDescent="0.45">
      <c r="B176" t="s">
        <v>380</v>
      </c>
      <c r="C176" t="s">
        <v>13</v>
      </c>
      <c r="D176">
        <v>4.8233938639507049E-2</v>
      </c>
      <c r="E176" t="s">
        <v>6</v>
      </c>
      <c r="G176" t="s">
        <v>381</v>
      </c>
      <c r="H176" t="s">
        <v>13</v>
      </c>
      <c r="I176">
        <v>2.4740893354086666E-2</v>
      </c>
      <c r="J176" t="s">
        <v>6</v>
      </c>
    </row>
    <row r="177" spans="2:10" x14ac:dyDescent="0.45">
      <c r="B177" t="s">
        <v>380</v>
      </c>
      <c r="C177" t="s">
        <v>14</v>
      </c>
      <c r="D177">
        <v>3.2554125879571995E-2</v>
      </c>
      <c r="E177" t="s">
        <v>6</v>
      </c>
      <c r="G177" t="s">
        <v>381</v>
      </c>
      <c r="H177" t="s">
        <v>14</v>
      </c>
      <c r="I177">
        <v>2.5135777444129672E-2</v>
      </c>
      <c r="J177" t="s">
        <v>6</v>
      </c>
    </row>
    <row r="178" spans="2:10" x14ac:dyDescent="0.45">
      <c r="B178" t="s">
        <v>380</v>
      </c>
      <c r="C178" t="s">
        <v>15</v>
      </c>
      <c r="D178">
        <v>5.8876887601763215E-3</v>
      </c>
      <c r="E178" t="s">
        <v>6</v>
      </c>
      <c r="G178" t="s">
        <v>381</v>
      </c>
      <c r="H178" t="s">
        <v>15</v>
      </c>
      <c r="I178">
        <v>2.6288547600853529E-2</v>
      </c>
      <c r="J178" t="s">
        <v>6</v>
      </c>
    </row>
    <row r="179" spans="2:10" x14ac:dyDescent="0.45">
      <c r="B179" t="s">
        <v>380</v>
      </c>
      <c r="C179" t="s">
        <v>16</v>
      </c>
      <c r="D179">
        <v>0</v>
      </c>
      <c r="E179" t="s">
        <v>6</v>
      </c>
      <c r="G179" t="s">
        <v>381</v>
      </c>
      <c r="H179" t="s">
        <v>16</v>
      </c>
      <c r="I179">
        <v>2.7445539441274425E-2</v>
      </c>
      <c r="J179" t="s">
        <v>6</v>
      </c>
    </row>
    <row r="180" spans="2:10" x14ac:dyDescent="0.45">
      <c r="B180" t="s">
        <v>380</v>
      </c>
      <c r="C180" t="s">
        <v>17</v>
      </c>
      <c r="D180">
        <v>0</v>
      </c>
      <c r="E180" t="s">
        <v>6</v>
      </c>
      <c r="G180" t="s">
        <v>381</v>
      </c>
      <c r="H180" t="s">
        <v>17</v>
      </c>
      <c r="I180">
        <v>4.1793886217559043E-2</v>
      </c>
      <c r="J180" t="s">
        <v>6</v>
      </c>
    </row>
    <row r="181" spans="2:10" x14ac:dyDescent="0.45">
      <c r="B181" t="s">
        <v>380</v>
      </c>
      <c r="C181" t="s">
        <v>18</v>
      </c>
      <c r="D181">
        <v>0</v>
      </c>
      <c r="E181" t="s">
        <v>6</v>
      </c>
      <c r="G181" t="s">
        <v>381</v>
      </c>
      <c r="H181" t="s">
        <v>18</v>
      </c>
      <c r="I181">
        <v>5.283183243480178E-2</v>
      </c>
      <c r="J181" t="s">
        <v>6</v>
      </c>
    </row>
    <row r="182" spans="2:10" x14ac:dyDescent="0.45">
      <c r="B182" t="s">
        <v>380</v>
      </c>
      <c r="C182" t="s">
        <v>19</v>
      </c>
      <c r="D182">
        <v>1.5597845247454088E-4</v>
      </c>
      <c r="E182" t="s">
        <v>6</v>
      </c>
      <c r="G182" t="s">
        <v>381</v>
      </c>
      <c r="H182" t="s">
        <v>19</v>
      </c>
      <c r="I182">
        <v>2.0896257553775464E-2</v>
      </c>
      <c r="J182" t="s">
        <v>6</v>
      </c>
    </row>
    <row r="183" spans="2:10" x14ac:dyDescent="0.45">
      <c r="B183" t="s">
        <v>380</v>
      </c>
      <c r="C183" t="s">
        <v>20</v>
      </c>
      <c r="D183">
        <v>8.8453965174450228E-3</v>
      </c>
      <c r="E183" t="s">
        <v>6</v>
      </c>
      <c r="G183" t="s">
        <v>381</v>
      </c>
      <c r="H183" t="s">
        <v>20</v>
      </c>
      <c r="I183">
        <v>1.995391419717886E-2</v>
      </c>
      <c r="J183" t="s">
        <v>6</v>
      </c>
    </row>
    <row r="184" spans="2:10" x14ac:dyDescent="0.45">
      <c r="B184" t="s">
        <v>380</v>
      </c>
      <c r="C184" t="s">
        <v>21</v>
      </c>
      <c r="D184">
        <v>4.310683769781861E-2</v>
      </c>
      <c r="E184" t="s">
        <v>6</v>
      </c>
      <c r="G184" t="s">
        <v>381</v>
      </c>
      <c r="H184" t="s">
        <v>21</v>
      </c>
      <c r="I184">
        <v>1.9983999353828604E-2</v>
      </c>
      <c r="J184" t="s">
        <v>6</v>
      </c>
    </row>
    <row r="185" spans="2:10" x14ac:dyDescent="0.45">
      <c r="B185" t="s">
        <v>380</v>
      </c>
      <c r="C185" t="s">
        <v>22</v>
      </c>
      <c r="D185">
        <v>7.1270906284155389E-2</v>
      </c>
      <c r="E185" t="s">
        <v>6</v>
      </c>
      <c r="G185" t="s">
        <v>381</v>
      </c>
      <c r="H185" t="s">
        <v>22</v>
      </c>
      <c r="I185">
        <v>1.7496458656997334E-2</v>
      </c>
      <c r="J185" t="s">
        <v>6</v>
      </c>
    </row>
    <row r="186" spans="2:10" x14ac:dyDescent="0.45">
      <c r="B186" t="s">
        <v>380</v>
      </c>
      <c r="C186" t="s">
        <v>23</v>
      </c>
      <c r="D186">
        <v>8.0079624183278214E-2</v>
      </c>
      <c r="E186" t="s">
        <v>6</v>
      </c>
      <c r="G186" t="s">
        <v>381</v>
      </c>
      <c r="H186" t="s">
        <v>23</v>
      </c>
      <c r="I186">
        <v>1.9886078955099262E-2</v>
      </c>
      <c r="J186" t="s">
        <v>6</v>
      </c>
    </row>
    <row r="187" spans="2:10" x14ac:dyDescent="0.45">
      <c r="B187" t="s">
        <v>380</v>
      </c>
      <c r="C187" t="s">
        <v>24</v>
      </c>
      <c r="D187">
        <v>6.3016146614044921E-2</v>
      </c>
      <c r="E187" t="s">
        <v>6</v>
      </c>
      <c r="G187" t="s">
        <v>381</v>
      </c>
      <c r="H187" t="s">
        <v>24</v>
      </c>
      <c r="I187">
        <v>2.0582273870510905E-2</v>
      </c>
      <c r="J187" t="s">
        <v>6</v>
      </c>
    </row>
    <row r="188" spans="2:10" x14ac:dyDescent="0.45">
      <c r="B188" t="s">
        <v>380</v>
      </c>
      <c r="C188" t="s">
        <v>25</v>
      </c>
      <c r="D188">
        <v>3.1221300784808708E-2</v>
      </c>
      <c r="E188" t="s">
        <v>6</v>
      </c>
      <c r="G188" t="s">
        <v>381</v>
      </c>
      <c r="H188" t="s">
        <v>25</v>
      </c>
      <c r="I188">
        <v>1.9532491060023967E-2</v>
      </c>
      <c r="J188" t="s">
        <v>6</v>
      </c>
    </row>
    <row r="189" spans="2:10" x14ac:dyDescent="0.45">
      <c r="B189" t="s">
        <v>380</v>
      </c>
      <c r="C189" t="s">
        <v>26</v>
      </c>
      <c r="D189">
        <v>4.1906369403718648E-3</v>
      </c>
      <c r="E189" t="s">
        <v>6</v>
      </c>
      <c r="G189" t="s">
        <v>381</v>
      </c>
      <c r="H189" t="s">
        <v>26</v>
      </c>
      <c r="I189">
        <v>1.9978728491104634E-2</v>
      </c>
      <c r="J189" t="s">
        <v>6</v>
      </c>
    </row>
    <row r="190" spans="2:10" x14ac:dyDescent="0.45">
      <c r="B190" t="s">
        <v>380</v>
      </c>
      <c r="C190" t="s">
        <v>27</v>
      </c>
      <c r="D190">
        <v>3.8494701581032098E-6</v>
      </c>
      <c r="E190" t="s">
        <v>6</v>
      </c>
      <c r="G190" t="s">
        <v>381</v>
      </c>
      <c r="H190" t="s">
        <v>27</v>
      </c>
      <c r="I190">
        <v>3.2855577186229168E-2</v>
      </c>
      <c r="J190" t="s">
        <v>6</v>
      </c>
    </row>
    <row r="191" spans="2:10" x14ac:dyDescent="0.45">
      <c r="B191" t="s">
        <v>380</v>
      </c>
      <c r="C191" t="s">
        <v>28</v>
      </c>
      <c r="D191">
        <v>0</v>
      </c>
      <c r="E191" t="s">
        <v>6</v>
      </c>
      <c r="G191" t="s">
        <v>381</v>
      </c>
      <c r="H191" t="s">
        <v>28</v>
      </c>
      <c r="I191">
        <v>3.938234960553888E-2</v>
      </c>
      <c r="J191" t="s">
        <v>6</v>
      </c>
    </row>
    <row r="192" spans="2:10" x14ac:dyDescent="0.45">
      <c r="B192" t="s">
        <v>380</v>
      </c>
      <c r="C192" t="s">
        <v>29</v>
      </c>
      <c r="D192">
        <v>6.6829810809809374E-4</v>
      </c>
      <c r="E192" t="s">
        <v>6</v>
      </c>
      <c r="G192" t="s">
        <v>381</v>
      </c>
      <c r="H192" t="s">
        <v>29</v>
      </c>
      <c r="I192">
        <v>1.4128355469965751E-2</v>
      </c>
      <c r="J192" t="s">
        <v>6</v>
      </c>
    </row>
    <row r="193" spans="2:10" x14ac:dyDescent="0.45">
      <c r="B193" t="s">
        <v>380</v>
      </c>
      <c r="C193" t="s">
        <v>30</v>
      </c>
      <c r="D193">
        <v>1.3879242300993667E-2</v>
      </c>
      <c r="E193" t="s">
        <v>6</v>
      </c>
      <c r="G193" t="s">
        <v>381</v>
      </c>
      <c r="H193" t="s">
        <v>30</v>
      </c>
      <c r="I193">
        <v>1.2110655972784178E-2</v>
      </c>
      <c r="J193" t="s">
        <v>6</v>
      </c>
    </row>
    <row r="194" spans="2:10" x14ac:dyDescent="0.45">
      <c r="B194" t="s">
        <v>380</v>
      </c>
      <c r="C194" t="s">
        <v>31</v>
      </c>
      <c r="D194">
        <v>5.1248111641675767E-2</v>
      </c>
      <c r="E194" t="s">
        <v>6</v>
      </c>
      <c r="G194" t="s">
        <v>381</v>
      </c>
      <c r="H194" t="s">
        <v>31</v>
      </c>
      <c r="I194">
        <v>1.1260800309690819E-2</v>
      </c>
      <c r="J194" t="s">
        <v>6</v>
      </c>
    </row>
    <row r="195" spans="2:10" x14ac:dyDescent="0.45">
      <c r="B195" t="s">
        <v>380</v>
      </c>
      <c r="C195" t="s">
        <v>32</v>
      </c>
      <c r="D195">
        <v>8.2371536503994383E-2</v>
      </c>
      <c r="E195" t="s">
        <v>6</v>
      </c>
      <c r="G195" t="s">
        <v>381</v>
      </c>
      <c r="H195" t="s">
        <v>32</v>
      </c>
      <c r="I195">
        <v>9.514411798364545E-3</v>
      </c>
      <c r="J195" t="s">
        <v>6</v>
      </c>
    </row>
    <row r="196" spans="2:10" x14ac:dyDescent="0.45">
      <c r="B196" t="s">
        <v>380</v>
      </c>
      <c r="C196" t="s">
        <v>33</v>
      </c>
      <c r="D196">
        <v>8.9668763532432777E-2</v>
      </c>
      <c r="E196" t="s">
        <v>6</v>
      </c>
      <c r="G196" t="s">
        <v>381</v>
      </c>
      <c r="H196" t="s">
        <v>33</v>
      </c>
      <c r="I196">
        <v>1.1550325086372056E-2</v>
      </c>
      <c r="J196" t="s">
        <v>6</v>
      </c>
    </row>
    <row r="197" spans="2:10" x14ac:dyDescent="0.45">
      <c r="B197" t="s">
        <v>380</v>
      </c>
      <c r="C197" t="s">
        <v>34</v>
      </c>
      <c r="D197">
        <v>7.7104828715632248E-2</v>
      </c>
      <c r="E197" t="s">
        <v>6</v>
      </c>
      <c r="G197" t="s">
        <v>381</v>
      </c>
      <c r="H197" t="s">
        <v>34</v>
      </c>
      <c r="I197">
        <v>1.2548179224230193E-2</v>
      </c>
      <c r="J197" t="s">
        <v>6</v>
      </c>
    </row>
    <row r="198" spans="2:10" x14ac:dyDescent="0.45">
      <c r="B198" t="s">
        <v>380</v>
      </c>
      <c r="C198" t="s">
        <v>35</v>
      </c>
      <c r="D198">
        <v>4.45566429695992E-2</v>
      </c>
      <c r="E198" t="s">
        <v>6</v>
      </c>
      <c r="G198" t="s">
        <v>381</v>
      </c>
      <c r="H198" t="s">
        <v>35</v>
      </c>
      <c r="I198">
        <v>1.2237079771574228E-2</v>
      </c>
      <c r="J198" t="s">
        <v>6</v>
      </c>
    </row>
    <row r="199" spans="2:10" x14ac:dyDescent="0.45">
      <c r="B199" t="s">
        <v>380</v>
      </c>
      <c r="C199" t="s">
        <v>36</v>
      </c>
      <c r="D199">
        <v>9.5076066286106532E-3</v>
      </c>
      <c r="E199" t="s">
        <v>6</v>
      </c>
      <c r="G199" t="s">
        <v>381</v>
      </c>
      <c r="H199" t="s">
        <v>36</v>
      </c>
      <c r="I199">
        <v>1.2784220645515326E-2</v>
      </c>
      <c r="J199" t="s">
        <v>6</v>
      </c>
    </row>
    <row r="200" spans="2:10" x14ac:dyDescent="0.45">
      <c r="B200" t="s">
        <v>380</v>
      </c>
      <c r="C200" t="s">
        <v>37</v>
      </c>
      <c r="D200">
        <v>1.4570696040518431E-4</v>
      </c>
      <c r="E200" t="s">
        <v>6</v>
      </c>
      <c r="G200" t="s">
        <v>381</v>
      </c>
      <c r="H200" t="s">
        <v>37</v>
      </c>
      <c r="I200">
        <v>2.4484084429270716E-2</v>
      </c>
      <c r="J200" t="s">
        <v>6</v>
      </c>
    </row>
    <row r="201" spans="2:10" x14ac:dyDescent="0.45">
      <c r="B201" t="s">
        <v>380</v>
      </c>
      <c r="C201" t="s">
        <v>38</v>
      </c>
      <c r="D201">
        <v>0</v>
      </c>
      <c r="E201" t="s">
        <v>6</v>
      </c>
      <c r="G201" t="s">
        <v>381</v>
      </c>
      <c r="H201" t="s">
        <v>38</v>
      </c>
      <c r="I201">
        <v>5.7804833868681814E-2</v>
      </c>
      <c r="J201" t="s">
        <v>6</v>
      </c>
    </row>
    <row r="202" spans="2:10" x14ac:dyDescent="0.45">
      <c r="B202" t="s">
        <v>380</v>
      </c>
      <c r="C202" t="s">
        <v>39</v>
      </c>
      <c r="D202">
        <v>0</v>
      </c>
      <c r="E202" t="s">
        <v>6</v>
      </c>
      <c r="G202" t="s">
        <v>381</v>
      </c>
      <c r="H202" t="s">
        <v>39</v>
      </c>
      <c r="I202">
        <v>2.2455633888483883E-2</v>
      </c>
      <c r="J202" t="s">
        <v>6</v>
      </c>
    </row>
    <row r="203" spans="2:10" x14ac:dyDescent="0.45">
      <c r="B203" t="s">
        <v>380</v>
      </c>
      <c r="C203" t="s">
        <v>40</v>
      </c>
      <c r="D203">
        <v>2.345300921503268E-3</v>
      </c>
      <c r="E203" t="s">
        <v>6</v>
      </c>
      <c r="G203" t="s">
        <v>381</v>
      </c>
      <c r="H203" t="s">
        <v>40</v>
      </c>
      <c r="I203">
        <v>2.2428471429903313E-2</v>
      </c>
      <c r="J203" t="s">
        <v>6</v>
      </c>
    </row>
    <row r="204" spans="2:10" x14ac:dyDescent="0.45">
      <c r="B204" t="s">
        <v>380</v>
      </c>
      <c r="C204" t="s">
        <v>41</v>
      </c>
      <c r="D204">
        <v>2.7040368750649118E-2</v>
      </c>
      <c r="E204" t="s">
        <v>6</v>
      </c>
      <c r="G204" t="s">
        <v>381</v>
      </c>
      <c r="H204" t="s">
        <v>41</v>
      </c>
      <c r="I204">
        <v>2.1657937283496097E-2</v>
      </c>
      <c r="J204" t="s">
        <v>6</v>
      </c>
    </row>
    <row r="205" spans="2:10" x14ac:dyDescent="0.45">
      <c r="B205" t="s">
        <v>380</v>
      </c>
      <c r="C205" t="s">
        <v>42</v>
      </c>
      <c r="D205">
        <v>5.5271810236903987E-2</v>
      </c>
      <c r="E205" t="s">
        <v>6</v>
      </c>
      <c r="G205" t="s">
        <v>381</v>
      </c>
      <c r="H205" t="s">
        <v>42</v>
      </c>
      <c r="I205">
        <v>1.855176060328027E-2</v>
      </c>
      <c r="J205" t="s">
        <v>6</v>
      </c>
    </row>
    <row r="206" spans="2:10" x14ac:dyDescent="0.45">
      <c r="B206" t="s">
        <v>380</v>
      </c>
      <c r="C206" t="s">
        <v>43</v>
      </c>
      <c r="D206">
        <v>5.9205390293337663E-2</v>
      </c>
      <c r="E206" t="s">
        <v>6</v>
      </c>
      <c r="G206" t="s">
        <v>381</v>
      </c>
      <c r="H206" t="s">
        <v>43</v>
      </c>
      <c r="I206">
        <v>2.102952492165322E-2</v>
      </c>
      <c r="J206" t="s">
        <v>6</v>
      </c>
    </row>
    <row r="207" spans="2:10" x14ac:dyDescent="0.45">
      <c r="B207" t="s">
        <v>380</v>
      </c>
      <c r="C207" t="s">
        <v>44</v>
      </c>
      <c r="D207">
        <v>3.9169120036731397E-2</v>
      </c>
      <c r="E207" t="s">
        <v>6</v>
      </c>
      <c r="G207" t="s">
        <v>381</v>
      </c>
      <c r="H207" t="s">
        <v>44</v>
      </c>
      <c r="I207">
        <v>2.1200735864335671E-2</v>
      </c>
      <c r="J207" t="s">
        <v>6</v>
      </c>
    </row>
    <row r="208" spans="2:10" x14ac:dyDescent="0.45">
      <c r="B208" t="s">
        <v>380</v>
      </c>
      <c r="C208" t="s">
        <v>45</v>
      </c>
      <c r="D208">
        <v>1.1789945838097518E-2</v>
      </c>
      <c r="E208" t="s">
        <v>6</v>
      </c>
      <c r="G208" t="s">
        <v>381</v>
      </c>
      <c r="H208" t="s">
        <v>45</v>
      </c>
      <c r="I208">
        <v>2.2021170869670394E-2</v>
      </c>
      <c r="J208" t="s">
        <v>6</v>
      </c>
    </row>
    <row r="209" spans="2:10" x14ac:dyDescent="0.45">
      <c r="B209" t="s">
        <v>380</v>
      </c>
      <c r="C209" t="s">
        <v>46</v>
      </c>
      <c r="D209">
        <v>3.1218473740101982E-4</v>
      </c>
      <c r="E209" t="s">
        <v>6</v>
      </c>
      <c r="G209" t="s">
        <v>381</v>
      </c>
      <c r="H209" t="s">
        <v>46</v>
      </c>
      <c r="I209">
        <v>2.4922073091071077E-2</v>
      </c>
      <c r="J209" t="s">
        <v>6</v>
      </c>
    </row>
    <row r="210" spans="2:10" x14ac:dyDescent="0.45">
      <c r="B210" t="s">
        <v>380</v>
      </c>
      <c r="C210" t="s">
        <v>47</v>
      </c>
      <c r="D210">
        <v>0</v>
      </c>
      <c r="E210" t="s">
        <v>6</v>
      </c>
      <c r="G210" t="s">
        <v>381</v>
      </c>
      <c r="H210" t="s">
        <v>47</v>
      </c>
      <c r="I210">
        <v>3.8256442777112716E-2</v>
      </c>
      <c r="J210" t="s">
        <v>6</v>
      </c>
    </row>
    <row r="211" spans="2:10" x14ac:dyDescent="0.45">
      <c r="B211" t="s">
        <v>382</v>
      </c>
      <c r="C211" t="s">
        <v>5</v>
      </c>
      <c r="D211">
        <v>0</v>
      </c>
      <c r="E211" t="s">
        <v>6</v>
      </c>
      <c r="G211" t="s">
        <v>383</v>
      </c>
      <c r="H211" t="s">
        <v>5</v>
      </c>
      <c r="I211">
        <v>7.3459786962509946E-2</v>
      </c>
      <c r="J211" t="s">
        <v>6</v>
      </c>
    </row>
    <row r="212" spans="2:10" x14ac:dyDescent="0.45">
      <c r="B212" t="s">
        <v>382</v>
      </c>
      <c r="C212" t="s">
        <v>9</v>
      </c>
      <c r="D212">
        <v>0</v>
      </c>
      <c r="E212" t="s">
        <v>6</v>
      </c>
      <c r="G212" t="s">
        <v>383</v>
      </c>
      <c r="H212" t="s">
        <v>9</v>
      </c>
      <c r="I212">
        <v>2.9267843788019759E-2</v>
      </c>
      <c r="J212" t="s">
        <v>6</v>
      </c>
    </row>
    <row r="213" spans="2:10" x14ac:dyDescent="0.45">
      <c r="B213" t="s">
        <v>382</v>
      </c>
      <c r="C213" t="s">
        <v>10</v>
      </c>
      <c r="D213">
        <v>0</v>
      </c>
      <c r="E213" t="s">
        <v>6</v>
      </c>
      <c r="G213" t="s">
        <v>383</v>
      </c>
      <c r="H213" t="s">
        <v>10</v>
      </c>
      <c r="I213">
        <v>2.8944644178883497E-2</v>
      </c>
      <c r="J213" t="s">
        <v>6</v>
      </c>
    </row>
    <row r="214" spans="2:10" x14ac:dyDescent="0.45">
      <c r="B214" t="s">
        <v>382</v>
      </c>
      <c r="C214" t="s">
        <v>11</v>
      </c>
      <c r="D214">
        <v>8.9264719107414233E-3</v>
      </c>
      <c r="E214" t="s">
        <v>6</v>
      </c>
      <c r="G214" t="s">
        <v>383</v>
      </c>
      <c r="H214" t="s">
        <v>11</v>
      </c>
      <c r="I214">
        <v>2.8951423873755783E-2</v>
      </c>
      <c r="J214" t="s">
        <v>6</v>
      </c>
    </row>
    <row r="215" spans="2:10" x14ac:dyDescent="0.45">
      <c r="B215" t="s">
        <v>382</v>
      </c>
      <c r="C215" t="s">
        <v>12</v>
      </c>
      <c r="D215">
        <v>3.391327755619862E-2</v>
      </c>
      <c r="E215" t="s">
        <v>6</v>
      </c>
      <c r="G215" t="s">
        <v>383</v>
      </c>
      <c r="H215" t="s">
        <v>12</v>
      </c>
      <c r="I215">
        <v>2.4269991865426808E-2</v>
      </c>
      <c r="J215" t="s">
        <v>6</v>
      </c>
    </row>
    <row r="216" spans="2:10" x14ac:dyDescent="0.45">
      <c r="B216" t="s">
        <v>382</v>
      </c>
      <c r="C216" t="s">
        <v>13</v>
      </c>
      <c r="D216">
        <v>4.4861133319541564E-2</v>
      </c>
      <c r="E216" t="s">
        <v>6</v>
      </c>
      <c r="G216" t="s">
        <v>383</v>
      </c>
      <c r="H216" t="s">
        <v>13</v>
      </c>
      <c r="I216">
        <v>2.506380761388954E-2</v>
      </c>
      <c r="J216" t="s">
        <v>6</v>
      </c>
    </row>
    <row r="217" spans="2:10" x14ac:dyDescent="0.45">
      <c r="B217" t="s">
        <v>382</v>
      </c>
      <c r="C217" t="s">
        <v>14</v>
      </c>
      <c r="D217">
        <v>2.9938437437538715E-2</v>
      </c>
      <c r="E217" t="s">
        <v>6</v>
      </c>
      <c r="G217" t="s">
        <v>383</v>
      </c>
      <c r="H217" t="s">
        <v>14</v>
      </c>
      <c r="I217">
        <v>2.553069263822778E-2</v>
      </c>
      <c r="J217" t="s">
        <v>6</v>
      </c>
    </row>
    <row r="218" spans="2:10" x14ac:dyDescent="0.45">
      <c r="B218" t="s">
        <v>382</v>
      </c>
      <c r="C218" t="s">
        <v>15</v>
      </c>
      <c r="D218">
        <v>4.9151290763329511E-3</v>
      </c>
      <c r="E218" t="s">
        <v>6</v>
      </c>
      <c r="G218" t="s">
        <v>383</v>
      </c>
      <c r="H218" t="s">
        <v>15</v>
      </c>
      <c r="I218">
        <v>2.6658649383552811E-2</v>
      </c>
      <c r="J218" t="s">
        <v>6</v>
      </c>
    </row>
    <row r="219" spans="2:10" x14ac:dyDescent="0.45">
      <c r="B219" t="s">
        <v>382</v>
      </c>
      <c r="C219" t="s">
        <v>16</v>
      </c>
      <c r="D219">
        <v>0</v>
      </c>
      <c r="E219" t="s">
        <v>6</v>
      </c>
      <c r="G219" t="s">
        <v>383</v>
      </c>
      <c r="H219" t="s">
        <v>16</v>
      </c>
      <c r="I219">
        <v>2.8270293814754596E-2</v>
      </c>
      <c r="J219" t="s">
        <v>6</v>
      </c>
    </row>
    <row r="220" spans="2:10" x14ac:dyDescent="0.45">
      <c r="B220" t="s">
        <v>382</v>
      </c>
      <c r="C220" t="s">
        <v>17</v>
      </c>
      <c r="D220">
        <v>0</v>
      </c>
      <c r="E220" t="s">
        <v>6</v>
      </c>
      <c r="G220" t="s">
        <v>383</v>
      </c>
      <c r="H220" t="s">
        <v>17</v>
      </c>
      <c r="I220">
        <v>4.2930991023054192E-2</v>
      </c>
      <c r="J220" t="s">
        <v>6</v>
      </c>
    </row>
    <row r="221" spans="2:10" x14ac:dyDescent="0.45">
      <c r="B221" t="s">
        <v>382</v>
      </c>
      <c r="C221" t="s">
        <v>18</v>
      </c>
      <c r="D221">
        <v>0</v>
      </c>
      <c r="E221" t="s">
        <v>6</v>
      </c>
      <c r="G221" t="s">
        <v>383</v>
      </c>
      <c r="H221" t="s">
        <v>18</v>
      </c>
      <c r="I221">
        <v>5.0911620240437085E-2</v>
      </c>
      <c r="J221" t="s">
        <v>6</v>
      </c>
    </row>
    <row r="222" spans="2:10" x14ac:dyDescent="0.45">
      <c r="B222" t="s">
        <v>382</v>
      </c>
      <c r="C222" t="s">
        <v>19</v>
      </c>
      <c r="D222">
        <v>1.8980663855225336E-4</v>
      </c>
      <c r="E222" t="s">
        <v>6</v>
      </c>
      <c r="G222" t="s">
        <v>383</v>
      </c>
      <c r="H222" t="s">
        <v>19</v>
      </c>
      <c r="I222">
        <v>2.0316814293554638E-2</v>
      </c>
      <c r="J222" t="s">
        <v>6</v>
      </c>
    </row>
    <row r="223" spans="2:10" x14ac:dyDescent="0.45">
      <c r="B223" t="s">
        <v>382</v>
      </c>
      <c r="C223" t="s">
        <v>20</v>
      </c>
      <c r="D223">
        <v>1.0013270347162989E-2</v>
      </c>
      <c r="E223" t="s">
        <v>6</v>
      </c>
      <c r="G223" t="s">
        <v>383</v>
      </c>
      <c r="H223" t="s">
        <v>20</v>
      </c>
      <c r="I223">
        <v>1.9491330457144906E-2</v>
      </c>
      <c r="J223" t="s">
        <v>6</v>
      </c>
    </row>
    <row r="224" spans="2:10" x14ac:dyDescent="0.45">
      <c r="B224" t="s">
        <v>382</v>
      </c>
      <c r="C224" t="s">
        <v>21</v>
      </c>
      <c r="D224">
        <v>4.7318732548124964E-2</v>
      </c>
      <c r="E224" t="s">
        <v>6</v>
      </c>
      <c r="G224" t="s">
        <v>383</v>
      </c>
      <c r="H224" t="s">
        <v>21</v>
      </c>
      <c r="I224">
        <v>1.9294483431459491E-2</v>
      </c>
      <c r="J224" t="s">
        <v>6</v>
      </c>
    </row>
    <row r="225" spans="2:10" x14ac:dyDescent="0.45">
      <c r="B225" t="s">
        <v>382</v>
      </c>
      <c r="C225" t="s">
        <v>22</v>
      </c>
      <c r="D225">
        <v>7.7963082651131138E-2</v>
      </c>
      <c r="E225" t="s">
        <v>6</v>
      </c>
      <c r="G225" t="s">
        <v>383</v>
      </c>
      <c r="H225" t="s">
        <v>22</v>
      </c>
      <c r="I225">
        <v>1.6256625885778045E-2</v>
      </c>
      <c r="J225" t="s">
        <v>6</v>
      </c>
    </row>
    <row r="226" spans="2:10" x14ac:dyDescent="0.45">
      <c r="B226" t="s">
        <v>382</v>
      </c>
      <c r="C226" t="s">
        <v>23</v>
      </c>
      <c r="D226">
        <v>8.1734994323254845E-2</v>
      </c>
      <c r="E226" t="s">
        <v>6</v>
      </c>
      <c r="G226" t="s">
        <v>383</v>
      </c>
      <c r="H226" t="s">
        <v>23</v>
      </c>
      <c r="I226">
        <v>1.8759376054918318E-2</v>
      </c>
      <c r="J226" t="s">
        <v>6</v>
      </c>
    </row>
    <row r="227" spans="2:10" x14ac:dyDescent="0.45">
      <c r="B227" t="s">
        <v>382</v>
      </c>
      <c r="C227" t="s">
        <v>24</v>
      </c>
      <c r="D227">
        <v>6.2423335308811605E-2</v>
      </c>
      <c r="E227" t="s">
        <v>6</v>
      </c>
      <c r="G227" t="s">
        <v>383</v>
      </c>
      <c r="H227" t="s">
        <v>24</v>
      </c>
      <c r="I227">
        <v>1.9587580672282338E-2</v>
      </c>
      <c r="J227" t="s">
        <v>6</v>
      </c>
    </row>
    <row r="228" spans="2:10" x14ac:dyDescent="0.45">
      <c r="B228" t="s">
        <v>382</v>
      </c>
      <c r="C228" t="s">
        <v>25</v>
      </c>
      <c r="D228">
        <v>2.9654043803177235E-2</v>
      </c>
      <c r="E228" t="s">
        <v>6</v>
      </c>
      <c r="G228" t="s">
        <v>383</v>
      </c>
      <c r="H228" t="s">
        <v>25</v>
      </c>
      <c r="I228">
        <v>1.9096346231460653E-2</v>
      </c>
      <c r="J228" t="s">
        <v>6</v>
      </c>
    </row>
    <row r="229" spans="2:10" x14ac:dyDescent="0.45">
      <c r="B229" t="s">
        <v>382</v>
      </c>
      <c r="C229" t="s">
        <v>26</v>
      </c>
      <c r="D229">
        <v>3.1308661532535912E-3</v>
      </c>
      <c r="E229" t="s">
        <v>6</v>
      </c>
      <c r="G229" t="s">
        <v>383</v>
      </c>
      <c r="H229" t="s">
        <v>26</v>
      </c>
      <c r="I229">
        <v>1.9994040958695541E-2</v>
      </c>
      <c r="J229" t="s">
        <v>6</v>
      </c>
    </row>
    <row r="230" spans="2:10" x14ac:dyDescent="0.45">
      <c r="B230" t="s">
        <v>382</v>
      </c>
      <c r="C230" t="s">
        <v>27</v>
      </c>
      <c r="D230">
        <v>0</v>
      </c>
      <c r="E230" t="s">
        <v>6</v>
      </c>
      <c r="G230" t="s">
        <v>383</v>
      </c>
      <c r="H230" t="s">
        <v>27</v>
      </c>
      <c r="I230">
        <v>3.2031643299843572E-2</v>
      </c>
      <c r="J230" t="s">
        <v>6</v>
      </c>
    </row>
    <row r="231" spans="2:10" x14ac:dyDescent="0.45">
      <c r="B231" t="s">
        <v>382</v>
      </c>
      <c r="C231" t="s">
        <v>28</v>
      </c>
      <c r="D231">
        <v>0</v>
      </c>
      <c r="E231" t="s">
        <v>6</v>
      </c>
      <c r="G231" t="s">
        <v>383</v>
      </c>
      <c r="H231" t="s">
        <v>28</v>
      </c>
      <c r="I231">
        <v>3.7911141579543992E-2</v>
      </c>
      <c r="J231" t="s">
        <v>6</v>
      </c>
    </row>
    <row r="232" spans="2:10" x14ac:dyDescent="0.45">
      <c r="B232" t="s">
        <v>382</v>
      </c>
      <c r="C232" t="s">
        <v>29</v>
      </c>
      <c r="D232">
        <v>8.2766368619744486E-4</v>
      </c>
      <c r="E232" t="s">
        <v>6</v>
      </c>
      <c r="G232" t="s">
        <v>383</v>
      </c>
      <c r="H232" t="s">
        <v>29</v>
      </c>
      <c r="I232">
        <v>1.4033392086309939E-2</v>
      </c>
      <c r="J232" t="s">
        <v>6</v>
      </c>
    </row>
    <row r="233" spans="2:10" x14ac:dyDescent="0.45">
      <c r="B233" t="s">
        <v>382</v>
      </c>
      <c r="C233" t="s">
        <v>30</v>
      </c>
      <c r="D233">
        <v>1.7079327646293219E-2</v>
      </c>
      <c r="E233" t="s">
        <v>6</v>
      </c>
      <c r="G233" t="s">
        <v>383</v>
      </c>
      <c r="H233" t="s">
        <v>30</v>
      </c>
      <c r="I233">
        <v>1.2355265414484576E-2</v>
      </c>
      <c r="J233" t="s">
        <v>6</v>
      </c>
    </row>
    <row r="234" spans="2:10" x14ac:dyDescent="0.45">
      <c r="B234" t="s">
        <v>382</v>
      </c>
      <c r="C234" t="s">
        <v>31</v>
      </c>
      <c r="D234">
        <v>5.8158586555694107E-2</v>
      </c>
      <c r="E234" t="s">
        <v>6</v>
      </c>
      <c r="G234" t="s">
        <v>383</v>
      </c>
      <c r="H234" t="s">
        <v>31</v>
      </c>
      <c r="I234">
        <v>1.1274206742640635E-2</v>
      </c>
      <c r="J234" t="s">
        <v>6</v>
      </c>
    </row>
    <row r="235" spans="2:10" x14ac:dyDescent="0.45">
      <c r="B235" t="s">
        <v>382</v>
      </c>
      <c r="C235" t="s">
        <v>32</v>
      </c>
      <c r="D235">
        <v>8.6612284502959158E-2</v>
      </c>
      <c r="E235" t="s">
        <v>6</v>
      </c>
      <c r="G235" t="s">
        <v>383</v>
      </c>
      <c r="H235" t="s">
        <v>32</v>
      </c>
      <c r="I235">
        <v>9.3587408401901613E-3</v>
      </c>
      <c r="J235" t="s">
        <v>6</v>
      </c>
    </row>
    <row r="236" spans="2:10" x14ac:dyDescent="0.45">
      <c r="B236" t="s">
        <v>382</v>
      </c>
      <c r="C236" t="s">
        <v>33</v>
      </c>
      <c r="D236">
        <v>9.5135838707940151E-2</v>
      </c>
      <c r="E236" t="s">
        <v>6</v>
      </c>
      <c r="G236" t="s">
        <v>383</v>
      </c>
      <c r="H236" t="s">
        <v>33</v>
      </c>
      <c r="I236">
        <v>1.1354053782306344E-2</v>
      </c>
      <c r="J236" t="s">
        <v>6</v>
      </c>
    </row>
    <row r="237" spans="2:10" x14ac:dyDescent="0.45">
      <c r="B237" t="s">
        <v>382</v>
      </c>
      <c r="C237" t="s">
        <v>34</v>
      </c>
      <c r="D237">
        <v>7.6180033287137738E-2</v>
      </c>
      <c r="E237" t="s">
        <v>6</v>
      </c>
      <c r="G237" t="s">
        <v>383</v>
      </c>
      <c r="H237" t="s">
        <v>34</v>
      </c>
      <c r="I237">
        <v>1.2444213952058639E-2</v>
      </c>
      <c r="J237" t="s">
        <v>6</v>
      </c>
    </row>
    <row r="238" spans="2:10" x14ac:dyDescent="0.45">
      <c r="B238" t="s">
        <v>382</v>
      </c>
      <c r="C238" t="s">
        <v>35</v>
      </c>
      <c r="D238">
        <v>4.107567430595737E-2</v>
      </c>
      <c r="E238" t="s">
        <v>6</v>
      </c>
      <c r="G238" t="s">
        <v>383</v>
      </c>
      <c r="H238" t="s">
        <v>35</v>
      </c>
      <c r="I238">
        <v>1.1758298738163073E-2</v>
      </c>
      <c r="J238" t="s">
        <v>6</v>
      </c>
    </row>
    <row r="239" spans="2:10" x14ac:dyDescent="0.45">
      <c r="B239" t="s">
        <v>382</v>
      </c>
      <c r="C239" t="s">
        <v>36</v>
      </c>
      <c r="D239">
        <v>7.9157699378968188E-3</v>
      </c>
      <c r="E239" t="s">
        <v>6</v>
      </c>
      <c r="G239" t="s">
        <v>383</v>
      </c>
      <c r="H239" t="s">
        <v>36</v>
      </c>
      <c r="I239">
        <v>1.2006296219029334E-2</v>
      </c>
      <c r="J239" t="s">
        <v>6</v>
      </c>
    </row>
    <row r="240" spans="2:10" x14ac:dyDescent="0.45">
      <c r="B240" t="s">
        <v>382</v>
      </c>
      <c r="C240" t="s">
        <v>37</v>
      </c>
      <c r="D240">
        <v>2.9547323113366301E-5</v>
      </c>
      <c r="E240" t="s">
        <v>6</v>
      </c>
      <c r="G240" t="s">
        <v>383</v>
      </c>
      <c r="H240" t="s">
        <v>37</v>
      </c>
      <c r="I240">
        <v>2.3549121750512152E-2</v>
      </c>
      <c r="J240" t="s">
        <v>6</v>
      </c>
    </row>
    <row r="241" spans="2:10" x14ac:dyDescent="0.45">
      <c r="B241" t="s">
        <v>382</v>
      </c>
      <c r="C241" t="s">
        <v>38</v>
      </c>
      <c r="D241">
        <v>0</v>
      </c>
      <c r="E241" t="s">
        <v>6</v>
      </c>
      <c r="G241" t="s">
        <v>383</v>
      </c>
      <c r="H241" t="s">
        <v>38</v>
      </c>
      <c r="I241">
        <v>6.0351801918451485E-2</v>
      </c>
      <c r="J241" t="s">
        <v>6</v>
      </c>
    </row>
    <row r="242" spans="2:10" x14ac:dyDescent="0.45">
      <c r="B242" t="s">
        <v>382</v>
      </c>
      <c r="C242" t="s">
        <v>39</v>
      </c>
      <c r="D242">
        <v>0</v>
      </c>
      <c r="E242" t="s">
        <v>6</v>
      </c>
      <c r="G242" t="s">
        <v>383</v>
      </c>
      <c r="H242" t="s">
        <v>39</v>
      </c>
      <c r="I242">
        <v>2.3434011321553195E-2</v>
      </c>
      <c r="J242" t="s">
        <v>6</v>
      </c>
    </row>
    <row r="243" spans="2:10" x14ac:dyDescent="0.45">
      <c r="B243" t="s">
        <v>382</v>
      </c>
      <c r="C243" t="s">
        <v>40</v>
      </c>
      <c r="D243">
        <v>2.6561964401813371E-3</v>
      </c>
      <c r="E243" t="s">
        <v>6</v>
      </c>
      <c r="G243" t="s">
        <v>383</v>
      </c>
      <c r="H243" t="s">
        <v>40</v>
      </c>
      <c r="I243">
        <v>2.3103411802174539E-2</v>
      </c>
      <c r="J243" t="s">
        <v>6</v>
      </c>
    </row>
    <row r="244" spans="2:10" x14ac:dyDescent="0.45">
      <c r="B244" t="s">
        <v>382</v>
      </c>
      <c r="C244" t="s">
        <v>41</v>
      </c>
      <c r="D244">
        <v>2.5633361895118129E-2</v>
      </c>
      <c r="E244" t="s">
        <v>6</v>
      </c>
      <c r="G244" t="s">
        <v>383</v>
      </c>
      <c r="H244" t="s">
        <v>41</v>
      </c>
      <c r="I244">
        <v>2.2124378833648265E-2</v>
      </c>
      <c r="J244" t="s">
        <v>6</v>
      </c>
    </row>
    <row r="245" spans="2:10" x14ac:dyDescent="0.45">
      <c r="B245" t="s">
        <v>382</v>
      </c>
      <c r="C245" t="s">
        <v>42</v>
      </c>
      <c r="D245">
        <v>5.0027415748561566E-2</v>
      </c>
      <c r="E245" t="s">
        <v>6</v>
      </c>
      <c r="G245" t="s">
        <v>383</v>
      </c>
      <c r="H245" t="s">
        <v>42</v>
      </c>
      <c r="I245">
        <v>1.8635072137048452E-2</v>
      </c>
      <c r="J245" t="s">
        <v>6</v>
      </c>
    </row>
    <row r="246" spans="2:10" x14ac:dyDescent="0.45">
      <c r="B246" t="s">
        <v>382</v>
      </c>
      <c r="C246" t="s">
        <v>43</v>
      </c>
      <c r="D246">
        <v>5.4833245891226332E-2</v>
      </c>
      <c r="E246" t="s">
        <v>6</v>
      </c>
      <c r="G246" t="s">
        <v>383</v>
      </c>
      <c r="H246" t="s">
        <v>43</v>
      </c>
      <c r="I246">
        <v>2.1129535796159123E-2</v>
      </c>
      <c r="J246" t="s">
        <v>6</v>
      </c>
    </row>
    <row r="247" spans="2:10" x14ac:dyDescent="0.45">
      <c r="B247" t="s">
        <v>382</v>
      </c>
      <c r="C247" t="s">
        <v>44</v>
      </c>
      <c r="D247">
        <v>3.8269470077897591E-2</v>
      </c>
      <c r="E247" t="s">
        <v>6</v>
      </c>
      <c r="G247" t="s">
        <v>383</v>
      </c>
      <c r="H247" t="s">
        <v>44</v>
      </c>
      <c r="I247">
        <v>2.1243746196916134E-2</v>
      </c>
      <c r="J247" t="s">
        <v>6</v>
      </c>
    </row>
    <row r="248" spans="2:10" x14ac:dyDescent="0.45">
      <c r="B248" t="s">
        <v>382</v>
      </c>
      <c r="C248" t="s">
        <v>45</v>
      </c>
      <c r="D248">
        <v>1.0393652373418633E-2</v>
      </c>
      <c r="E248" t="s">
        <v>6</v>
      </c>
      <c r="G248" t="s">
        <v>383</v>
      </c>
      <c r="H248" t="s">
        <v>45</v>
      </c>
      <c r="I248">
        <v>2.1313302319743627E-2</v>
      </c>
      <c r="J248" t="s">
        <v>6</v>
      </c>
    </row>
    <row r="249" spans="2:10" x14ac:dyDescent="0.45">
      <c r="B249" t="s">
        <v>382</v>
      </c>
      <c r="C249" t="s">
        <v>46</v>
      </c>
      <c r="D249">
        <v>1.8935054658432443E-4</v>
      </c>
      <c r="E249" t="s">
        <v>6</v>
      </c>
      <c r="G249" t="s">
        <v>383</v>
      </c>
      <c r="H249" t="s">
        <v>46</v>
      </c>
      <c r="I249">
        <v>2.4291670394251941E-2</v>
      </c>
      <c r="J249" t="s">
        <v>6</v>
      </c>
    </row>
    <row r="250" spans="2:10" x14ac:dyDescent="0.45">
      <c r="B250" t="s">
        <v>382</v>
      </c>
      <c r="C250" t="s">
        <v>47</v>
      </c>
      <c r="D250">
        <v>0</v>
      </c>
      <c r="E250" t="s">
        <v>6</v>
      </c>
      <c r="G250" t="s">
        <v>383</v>
      </c>
      <c r="H250" t="s">
        <v>47</v>
      </c>
      <c r="I250">
        <v>3.9240351507165108E-2</v>
      </c>
      <c r="J250" t="s">
        <v>6</v>
      </c>
    </row>
    <row r="251" spans="2:10" x14ac:dyDescent="0.45">
      <c r="B251" t="s">
        <v>384</v>
      </c>
      <c r="C251" t="s">
        <v>5</v>
      </c>
      <c r="D251">
        <v>0</v>
      </c>
      <c r="E251" t="s">
        <v>6</v>
      </c>
      <c r="G251" t="s">
        <v>385</v>
      </c>
      <c r="H251" t="s">
        <v>5</v>
      </c>
      <c r="I251">
        <v>7.0531813124079551E-2</v>
      </c>
      <c r="J251" t="s">
        <v>6</v>
      </c>
    </row>
    <row r="252" spans="2:10" x14ac:dyDescent="0.45">
      <c r="B252" t="s">
        <v>384</v>
      </c>
      <c r="C252" t="s">
        <v>9</v>
      </c>
      <c r="D252">
        <v>0</v>
      </c>
      <c r="E252" t="s">
        <v>6</v>
      </c>
      <c r="G252" t="s">
        <v>385</v>
      </c>
      <c r="H252" t="s">
        <v>9</v>
      </c>
      <c r="I252">
        <v>2.7950101034091828E-2</v>
      </c>
      <c r="J252" t="s">
        <v>6</v>
      </c>
    </row>
    <row r="253" spans="2:10" x14ac:dyDescent="0.45">
      <c r="B253" t="s">
        <v>384</v>
      </c>
      <c r="C253" t="s">
        <v>10</v>
      </c>
      <c r="D253">
        <v>0</v>
      </c>
      <c r="E253" t="s">
        <v>6</v>
      </c>
      <c r="G253" t="s">
        <v>385</v>
      </c>
      <c r="H253" t="s">
        <v>10</v>
      </c>
      <c r="I253">
        <v>2.7101473213209465E-2</v>
      </c>
      <c r="J253" t="s">
        <v>6</v>
      </c>
    </row>
    <row r="254" spans="2:10" x14ac:dyDescent="0.45">
      <c r="B254" t="s">
        <v>384</v>
      </c>
      <c r="C254" t="s">
        <v>11</v>
      </c>
      <c r="D254">
        <v>8.852300905881046E-3</v>
      </c>
      <c r="E254" t="s">
        <v>6</v>
      </c>
      <c r="G254" t="s">
        <v>385</v>
      </c>
      <c r="H254" t="s">
        <v>11</v>
      </c>
      <c r="I254">
        <v>2.6554351356136287E-2</v>
      </c>
      <c r="J254" t="s">
        <v>6</v>
      </c>
    </row>
    <row r="255" spans="2:10" x14ac:dyDescent="0.45">
      <c r="B255" t="s">
        <v>384</v>
      </c>
      <c r="C255" t="s">
        <v>12</v>
      </c>
      <c r="D255">
        <v>3.4487996401539878E-2</v>
      </c>
      <c r="E255" t="s">
        <v>6</v>
      </c>
      <c r="G255" t="s">
        <v>385</v>
      </c>
      <c r="H255" t="s">
        <v>12</v>
      </c>
      <c r="I255">
        <v>2.3386694603969107E-2</v>
      </c>
      <c r="J255" t="s">
        <v>6</v>
      </c>
    </row>
    <row r="256" spans="2:10" x14ac:dyDescent="0.45">
      <c r="B256" t="s">
        <v>384</v>
      </c>
      <c r="C256" t="s">
        <v>13</v>
      </c>
      <c r="D256">
        <v>4.5148004566186728E-2</v>
      </c>
      <c r="E256" t="s">
        <v>6</v>
      </c>
      <c r="G256" t="s">
        <v>385</v>
      </c>
      <c r="H256" t="s">
        <v>13</v>
      </c>
      <c r="I256">
        <v>2.5081877499565933E-2</v>
      </c>
      <c r="J256" t="s">
        <v>6</v>
      </c>
    </row>
    <row r="257" spans="2:10" x14ac:dyDescent="0.45">
      <c r="B257" t="s">
        <v>384</v>
      </c>
      <c r="C257" t="s">
        <v>14</v>
      </c>
      <c r="D257">
        <v>3.0437658172105204E-2</v>
      </c>
      <c r="E257" t="s">
        <v>6</v>
      </c>
      <c r="G257" t="s">
        <v>385</v>
      </c>
      <c r="H257" t="s">
        <v>14</v>
      </c>
      <c r="I257">
        <v>2.4896517604079949E-2</v>
      </c>
      <c r="J257" t="s">
        <v>6</v>
      </c>
    </row>
    <row r="258" spans="2:10" x14ac:dyDescent="0.45">
      <c r="B258" t="s">
        <v>384</v>
      </c>
      <c r="C258" t="s">
        <v>15</v>
      </c>
      <c r="D258">
        <v>4.9064647168981356E-3</v>
      </c>
      <c r="E258" t="s">
        <v>6</v>
      </c>
      <c r="G258" t="s">
        <v>385</v>
      </c>
      <c r="H258" t="s">
        <v>15</v>
      </c>
      <c r="I258">
        <v>2.6167572715933639E-2</v>
      </c>
      <c r="J258" t="s">
        <v>6</v>
      </c>
    </row>
    <row r="259" spans="2:10" x14ac:dyDescent="0.45">
      <c r="B259" t="s">
        <v>384</v>
      </c>
      <c r="C259" t="s">
        <v>16</v>
      </c>
      <c r="D259">
        <v>0</v>
      </c>
      <c r="E259" t="s">
        <v>6</v>
      </c>
      <c r="G259" t="s">
        <v>385</v>
      </c>
      <c r="H259" t="s">
        <v>16</v>
      </c>
      <c r="I259">
        <v>2.7579767833188149E-2</v>
      </c>
      <c r="J259" t="s">
        <v>6</v>
      </c>
    </row>
    <row r="260" spans="2:10" x14ac:dyDescent="0.45">
      <c r="B260" t="s">
        <v>384</v>
      </c>
      <c r="C260" t="s">
        <v>17</v>
      </c>
      <c r="D260">
        <v>0</v>
      </c>
      <c r="E260" t="s">
        <v>6</v>
      </c>
      <c r="G260" t="s">
        <v>385</v>
      </c>
      <c r="H260" t="s">
        <v>17</v>
      </c>
      <c r="I260">
        <v>4.194850159661255E-2</v>
      </c>
      <c r="J260" t="s">
        <v>6</v>
      </c>
    </row>
    <row r="261" spans="2:10" x14ac:dyDescent="0.45">
      <c r="B261" t="s">
        <v>384</v>
      </c>
      <c r="C261" t="s">
        <v>18</v>
      </c>
      <c r="D261">
        <v>0</v>
      </c>
      <c r="E261" t="s">
        <v>6</v>
      </c>
      <c r="G261" t="s">
        <v>385</v>
      </c>
      <c r="H261" t="s">
        <v>18</v>
      </c>
      <c r="I261">
        <v>5.0581925658467849E-2</v>
      </c>
      <c r="J261" t="s">
        <v>6</v>
      </c>
    </row>
    <row r="262" spans="2:10" x14ac:dyDescent="0.45">
      <c r="B262" t="s">
        <v>384</v>
      </c>
      <c r="C262" t="s">
        <v>19</v>
      </c>
      <c r="D262">
        <v>1.7532280424735339E-4</v>
      </c>
      <c r="E262" t="s">
        <v>6</v>
      </c>
      <c r="G262" t="s">
        <v>385</v>
      </c>
      <c r="H262" t="s">
        <v>19</v>
      </c>
      <c r="I262">
        <v>2.068817875714216E-2</v>
      </c>
      <c r="J262" t="s">
        <v>6</v>
      </c>
    </row>
    <row r="263" spans="2:10" x14ac:dyDescent="0.45">
      <c r="B263" t="s">
        <v>384</v>
      </c>
      <c r="C263" t="s">
        <v>20</v>
      </c>
      <c r="D263">
        <v>9.3646684317096138E-3</v>
      </c>
      <c r="E263" t="s">
        <v>6</v>
      </c>
      <c r="G263" t="s">
        <v>385</v>
      </c>
      <c r="H263" t="s">
        <v>20</v>
      </c>
      <c r="I263">
        <v>2.0298988801460856E-2</v>
      </c>
      <c r="J263" t="s">
        <v>6</v>
      </c>
    </row>
    <row r="264" spans="2:10" x14ac:dyDescent="0.45">
      <c r="B264" t="s">
        <v>384</v>
      </c>
      <c r="C264" t="s">
        <v>21</v>
      </c>
      <c r="D264">
        <v>4.5530000351892065E-2</v>
      </c>
      <c r="E264" t="s">
        <v>6</v>
      </c>
      <c r="G264" t="s">
        <v>385</v>
      </c>
      <c r="H264" t="s">
        <v>21</v>
      </c>
      <c r="I264">
        <v>1.9526428339297311E-2</v>
      </c>
      <c r="J264" t="s">
        <v>6</v>
      </c>
    </row>
    <row r="265" spans="2:10" x14ac:dyDescent="0.45">
      <c r="B265" t="s">
        <v>384</v>
      </c>
      <c r="C265" t="s">
        <v>22</v>
      </c>
      <c r="D265">
        <v>7.5270181263481423E-2</v>
      </c>
      <c r="E265" t="s">
        <v>6</v>
      </c>
      <c r="G265" t="s">
        <v>385</v>
      </c>
      <c r="H265" t="s">
        <v>22</v>
      </c>
      <c r="I265">
        <v>1.541940253371395E-2</v>
      </c>
      <c r="J265" t="s">
        <v>6</v>
      </c>
    </row>
    <row r="266" spans="2:10" x14ac:dyDescent="0.45">
      <c r="B266" t="s">
        <v>384</v>
      </c>
      <c r="C266" t="s">
        <v>23</v>
      </c>
      <c r="D266">
        <v>8.095849397854625E-2</v>
      </c>
      <c r="E266" t="s">
        <v>6</v>
      </c>
      <c r="G266" t="s">
        <v>385</v>
      </c>
      <c r="H266" t="s">
        <v>23</v>
      </c>
      <c r="I266">
        <v>1.8135154201074886E-2</v>
      </c>
      <c r="J266" t="s">
        <v>6</v>
      </c>
    </row>
    <row r="267" spans="2:10" x14ac:dyDescent="0.45">
      <c r="B267" t="s">
        <v>384</v>
      </c>
      <c r="C267" t="s">
        <v>24</v>
      </c>
      <c r="D267">
        <v>6.2752916676059728E-2</v>
      </c>
      <c r="E267" t="s">
        <v>6</v>
      </c>
      <c r="G267" t="s">
        <v>385</v>
      </c>
      <c r="H267" t="s">
        <v>24</v>
      </c>
      <c r="I267">
        <v>1.9200195774263063E-2</v>
      </c>
      <c r="J267" t="s">
        <v>6</v>
      </c>
    </row>
    <row r="268" spans="2:10" x14ac:dyDescent="0.45">
      <c r="B268" t="s">
        <v>384</v>
      </c>
      <c r="C268" t="s">
        <v>25</v>
      </c>
      <c r="D268">
        <v>3.0027922145512372E-2</v>
      </c>
      <c r="E268" t="s">
        <v>6</v>
      </c>
      <c r="G268" t="s">
        <v>385</v>
      </c>
      <c r="H268" t="s">
        <v>25</v>
      </c>
      <c r="I268">
        <v>1.9321186777150261E-2</v>
      </c>
      <c r="J268" t="s">
        <v>6</v>
      </c>
    </row>
    <row r="269" spans="2:10" x14ac:dyDescent="0.45">
      <c r="B269" t="s">
        <v>384</v>
      </c>
      <c r="C269" t="s">
        <v>26</v>
      </c>
      <c r="D269">
        <v>3.3772661110977823E-3</v>
      </c>
      <c r="E269" t="s">
        <v>6</v>
      </c>
      <c r="G269" t="s">
        <v>385</v>
      </c>
      <c r="H269" t="s">
        <v>26</v>
      </c>
      <c r="I269">
        <v>2.0002136351417978E-2</v>
      </c>
      <c r="J269" t="s">
        <v>6</v>
      </c>
    </row>
    <row r="270" spans="2:10" x14ac:dyDescent="0.45">
      <c r="B270" t="s">
        <v>384</v>
      </c>
      <c r="C270" t="s">
        <v>27</v>
      </c>
      <c r="D270">
        <v>0</v>
      </c>
      <c r="E270" t="s">
        <v>6</v>
      </c>
      <c r="G270" t="s">
        <v>385</v>
      </c>
      <c r="H270" t="s">
        <v>27</v>
      </c>
      <c r="I270">
        <v>3.04400751643201E-2</v>
      </c>
      <c r="J270" t="s">
        <v>6</v>
      </c>
    </row>
    <row r="271" spans="2:10" x14ac:dyDescent="0.45">
      <c r="B271" t="s">
        <v>384</v>
      </c>
      <c r="C271" t="s">
        <v>28</v>
      </c>
      <c r="D271">
        <v>0</v>
      </c>
      <c r="E271" t="s">
        <v>6</v>
      </c>
      <c r="G271" t="s">
        <v>385</v>
      </c>
      <c r="H271" t="s">
        <v>28</v>
      </c>
      <c r="I271">
        <v>3.7028343357680571E-2</v>
      </c>
      <c r="J271" t="s">
        <v>6</v>
      </c>
    </row>
    <row r="272" spans="2:10" x14ac:dyDescent="0.45">
      <c r="B272" t="s">
        <v>384</v>
      </c>
      <c r="C272" t="s">
        <v>29</v>
      </c>
      <c r="D272">
        <v>7.5842441052921896E-4</v>
      </c>
      <c r="E272" t="s">
        <v>6</v>
      </c>
      <c r="G272" t="s">
        <v>385</v>
      </c>
      <c r="H272" t="s">
        <v>29</v>
      </c>
      <c r="I272">
        <v>1.4066457783083741E-2</v>
      </c>
      <c r="J272" t="s">
        <v>6</v>
      </c>
    </row>
    <row r="273" spans="2:10" x14ac:dyDescent="0.45">
      <c r="B273" t="s">
        <v>384</v>
      </c>
      <c r="C273" t="s">
        <v>30</v>
      </c>
      <c r="D273">
        <v>1.6159980989326229E-2</v>
      </c>
      <c r="E273" t="s">
        <v>6</v>
      </c>
      <c r="G273" t="s">
        <v>385</v>
      </c>
      <c r="H273" t="s">
        <v>30</v>
      </c>
      <c r="I273">
        <v>1.2853638193658928E-2</v>
      </c>
      <c r="J273" t="s">
        <v>6</v>
      </c>
    </row>
    <row r="274" spans="2:10" x14ac:dyDescent="0.45">
      <c r="B274" t="s">
        <v>384</v>
      </c>
      <c r="C274" t="s">
        <v>31</v>
      </c>
      <c r="D274">
        <v>5.6596686368590186E-2</v>
      </c>
      <c r="E274" t="s">
        <v>6</v>
      </c>
      <c r="G274" t="s">
        <v>385</v>
      </c>
      <c r="H274" t="s">
        <v>31</v>
      </c>
      <c r="I274">
        <v>1.2277192952572399E-2</v>
      </c>
      <c r="J274" t="s">
        <v>6</v>
      </c>
    </row>
    <row r="275" spans="2:10" x14ac:dyDescent="0.45">
      <c r="B275" t="s">
        <v>384</v>
      </c>
      <c r="C275" t="s">
        <v>32</v>
      </c>
      <c r="D275">
        <v>8.6725375785810827E-2</v>
      </c>
      <c r="E275" t="s">
        <v>6</v>
      </c>
      <c r="G275" t="s">
        <v>385</v>
      </c>
      <c r="H275" t="s">
        <v>32</v>
      </c>
      <c r="I275">
        <v>1.0126818898303596E-2</v>
      </c>
      <c r="J275" t="s">
        <v>6</v>
      </c>
    </row>
    <row r="276" spans="2:10" x14ac:dyDescent="0.45">
      <c r="B276" t="s">
        <v>384</v>
      </c>
      <c r="C276" t="s">
        <v>33</v>
      </c>
      <c r="D276">
        <v>9.4864041188780432E-2</v>
      </c>
      <c r="E276" t="s">
        <v>6</v>
      </c>
      <c r="G276" t="s">
        <v>385</v>
      </c>
      <c r="H276" t="s">
        <v>33</v>
      </c>
      <c r="I276">
        <v>1.169959235341891E-2</v>
      </c>
      <c r="J276" t="s">
        <v>6</v>
      </c>
    </row>
    <row r="277" spans="2:10" x14ac:dyDescent="0.45">
      <c r="B277" t="s">
        <v>384</v>
      </c>
      <c r="C277" t="s">
        <v>34</v>
      </c>
      <c r="D277">
        <v>7.7060262674024702E-2</v>
      </c>
      <c r="E277" t="s">
        <v>6</v>
      </c>
      <c r="G277" t="s">
        <v>385</v>
      </c>
      <c r="H277" t="s">
        <v>34</v>
      </c>
      <c r="I277">
        <v>1.2378605274574257E-2</v>
      </c>
      <c r="J277" t="s">
        <v>6</v>
      </c>
    </row>
    <row r="278" spans="2:10" x14ac:dyDescent="0.45">
      <c r="B278" t="s">
        <v>384</v>
      </c>
      <c r="C278" t="s">
        <v>35</v>
      </c>
      <c r="D278">
        <v>4.2077227043074025E-2</v>
      </c>
      <c r="E278" t="s">
        <v>6</v>
      </c>
      <c r="G278" t="s">
        <v>385</v>
      </c>
      <c r="H278" t="s">
        <v>35</v>
      </c>
      <c r="I278">
        <v>1.2094390535698189E-2</v>
      </c>
      <c r="J278" t="s">
        <v>6</v>
      </c>
    </row>
    <row r="279" spans="2:10" x14ac:dyDescent="0.45">
      <c r="B279" t="s">
        <v>384</v>
      </c>
      <c r="C279" t="s">
        <v>36</v>
      </c>
      <c r="D279">
        <v>8.4352867940699159E-3</v>
      </c>
      <c r="E279" t="s">
        <v>6</v>
      </c>
      <c r="G279" t="s">
        <v>385</v>
      </c>
      <c r="H279" t="s">
        <v>36</v>
      </c>
      <c r="I279">
        <v>1.2569979999693233E-2</v>
      </c>
      <c r="J279" t="s">
        <v>6</v>
      </c>
    </row>
    <row r="280" spans="2:10" x14ac:dyDescent="0.45">
      <c r="B280" t="s">
        <v>384</v>
      </c>
      <c r="C280" t="s">
        <v>37</v>
      </c>
      <c r="D280">
        <v>4.9624543247063366E-5</v>
      </c>
      <c r="E280" t="s">
        <v>6</v>
      </c>
      <c r="G280" t="s">
        <v>385</v>
      </c>
      <c r="H280" t="s">
        <v>37</v>
      </c>
      <c r="I280">
        <v>2.2354162429061786E-2</v>
      </c>
      <c r="J280" t="s">
        <v>6</v>
      </c>
    </row>
    <row r="281" spans="2:10" x14ac:dyDescent="0.45">
      <c r="B281" t="s">
        <v>384</v>
      </c>
      <c r="C281" t="s">
        <v>38</v>
      </c>
      <c r="D281">
        <v>0</v>
      </c>
      <c r="E281" t="s">
        <v>6</v>
      </c>
      <c r="G281" t="s">
        <v>385</v>
      </c>
      <c r="H281" t="s">
        <v>38</v>
      </c>
      <c r="I281">
        <v>6.2327452938168278E-2</v>
      </c>
      <c r="J281" t="s">
        <v>6</v>
      </c>
    </row>
    <row r="282" spans="2:10" x14ac:dyDescent="0.45">
      <c r="B282" t="s">
        <v>384</v>
      </c>
      <c r="C282" t="s">
        <v>39</v>
      </c>
      <c r="D282">
        <v>0</v>
      </c>
      <c r="E282" t="s">
        <v>6</v>
      </c>
      <c r="G282" t="s">
        <v>385</v>
      </c>
      <c r="H282" t="s">
        <v>39</v>
      </c>
      <c r="I282">
        <v>2.3832697552842102E-2</v>
      </c>
      <c r="J282" t="s">
        <v>6</v>
      </c>
    </row>
    <row r="283" spans="2:10" x14ac:dyDescent="0.45">
      <c r="B283" t="s">
        <v>384</v>
      </c>
      <c r="C283" t="s">
        <v>40</v>
      </c>
      <c r="D283">
        <v>2.6669207858316542E-3</v>
      </c>
      <c r="E283" t="s">
        <v>6</v>
      </c>
      <c r="G283" t="s">
        <v>385</v>
      </c>
      <c r="H283" t="s">
        <v>40</v>
      </c>
      <c r="I283">
        <v>2.3676780972417752E-2</v>
      </c>
      <c r="J283" t="s">
        <v>6</v>
      </c>
    </row>
    <row r="284" spans="2:10" x14ac:dyDescent="0.45">
      <c r="B284" t="s">
        <v>384</v>
      </c>
      <c r="C284" t="s">
        <v>41</v>
      </c>
      <c r="D284">
        <v>2.6327335561425309E-2</v>
      </c>
      <c r="E284" t="s">
        <v>6</v>
      </c>
      <c r="G284" t="s">
        <v>385</v>
      </c>
      <c r="H284" t="s">
        <v>41</v>
      </c>
      <c r="I284">
        <v>2.3080043833330333E-2</v>
      </c>
      <c r="J284" t="s">
        <v>6</v>
      </c>
    </row>
    <row r="285" spans="2:10" x14ac:dyDescent="0.45">
      <c r="B285" t="s">
        <v>384</v>
      </c>
      <c r="C285" t="s">
        <v>42</v>
      </c>
      <c r="D285">
        <v>5.11774727413601E-2</v>
      </c>
      <c r="E285" t="s">
        <v>6</v>
      </c>
      <c r="G285" t="s">
        <v>385</v>
      </c>
      <c r="H285" t="s">
        <v>42</v>
      </c>
      <c r="I285">
        <v>2.0310808265684661E-2</v>
      </c>
      <c r="J285" t="s">
        <v>6</v>
      </c>
    </row>
    <row r="286" spans="2:10" x14ac:dyDescent="0.45">
      <c r="B286" t="s">
        <v>384</v>
      </c>
      <c r="C286" t="s">
        <v>43</v>
      </c>
      <c r="D286">
        <v>5.6195200289415319E-2</v>
      </c>
      <c r="E286" t="s">
        <v>6</v>
      </c>
      <c r="G286" t="s">
        <v>385</v>
      </c>
      <c r="H286" t="s">
        <v>43</v>
      </c>
      <c r="I286">
        <v>2.2120875868094126E-2</v>
      </c>
      <c r="J286" t="s">
        <v>6</v>
      </c>
    </row>
    <row r="287" spans="2:10" x14ac:dyDescent="0.45">
      <c r="B287" t="s">
        <v>384</v>
      </c>
      <c r="C287" t="s">
        <v>44</v>
      </c>
      <c r="D287">
        <v>3.8539016621470114E-2</v>
      </c>
      <c r="E287" t="s">
        <v>6</v>
      </c>
      <c r="G287" t="s">
        <v>385</v>
      </c>
      <c r="H287" t="s">
        <v>44</v>
      </c>
      <c r="I287">
        <v>2.2782770353365858E-2</v>
      </c>
      <c r="J287" t="s">
        <v>6</v>
      </c>
    </row>
    <row r="288" spans="2:10" x14ac:dyDescent="0.45">
      <c r="B288" t="s">
        <v>384</v>
      </c>
      <c r="C288" t="s">
        <v>45</v>
      </c>
      <c r="D288">
        <v>1.0854291523833593E-2</v>
      </c>
      <c r="E288" t="s">
        <v>6</v>
      </c>
      <c r="G288" t="s">
        <v>385</v>
      </c>
      <c r="H288" t="s">
        <v>45</v>
      </c>
      <c r="I288">
        <v>2.3752769003906628E-2</v>
      </c>
      <c r="J288" t="s">
        <v>6</v>
      </c>
    </row>
    <row r="289" spans="2:10" x14ac:dyDescent="0.45">
      <c r="B289" t="s">
        <v>384</v>
      </c>
      <c r="C289" t="s">
        <v>46</v>
      </c>
      <c r="D289">
        <v>2.2365615405134389E-4</v>
      </c>
      <c r="E289" t="s">
        <v>6</v>
      </c>
      <c r="G289" t="s">
        <v>385</v>
      </c>
      <c r="H289" t="s">
        <v>46</v>
      </c>
      <c r="I289">
        <v>2.5935927504302153E-2</v>
      </c>
      <c r="J289" t="s">
        <v>6</v>
      </c>
    </row>
    <row r="290" spans="2:10" x14ac:dyDescent="0.45">
      <c r="B290" t="s">
        <v>384</v>
      </c>
      <c r="C290" t="s">
        <v>47</v>
      </c>
      <c r="D290">
        <v>0</v>
      </c>
      <c r="E290" t="s">
        <v>6</v>
      </c>
      <c r="G290" t="s">
        <v>385</v>
      </c>
      <c r="H290" t="s">
        <v>47</v>
      </c>
      <c r="I290">
        <v>3.9918348990969264E-2</v>
      </c>
      <c r="J290" t="s">
        <v>6</v>
      </c>
    </row>
    <row r="291" spans="2:10" x14ac:dyDescent="0.45">
      <c r="B291" t="s">
        <v>386</v>
      </c>
      <c r="C291" t="s">
        <v>5</v>
      </c>
      <c r="D291">
        <v>0</v>
      </c>
      <c r="E291" t="s">
        <v>6</v>
      </c>
      <c r="G291" t="s">
        <v>387</v>
      </c>
      <c r="H291" t="s">
        <v>5</v>
      </c>
      <c r="I291">
        <v>7.2864329925951696E-2</v>
      </c>
      <c r="J291" t="s">
        <v>6</v>
      </c>
    </row>
    <row r="292" spans="2:10" x14ac:dyDescent="0.45">
      <c r="B292" t="s">
        <v>386</v>
      </c>
      <c r="C292" t="s">
        <v>9</v>
      </c>
      <c r="D292">
        <v>0</v>
      </c>
      <c r="E292" t="s">
        <v>6</v>
      </c>
      <c r="G292" t="s">
        <v>387</v>
      </c>
      <c r="H292" t="s">
        <v>9</v>
      </c>
      <c r="I292">
        <v>2.9061648612390842E-2</v>
      </c>
      <c r="J292" t="s">
        <v>6</v>
      </c>
    </row>
    <row r="293" spans="2:10" x14ac:dyDescent="0.45">
      <c r="B293" t="s">
        <v>386</v>
      </c>
      <c r="C293" t="s">
        <v>10</v>
      </c>
      <c r="D293">
        <v>0</v>
      </c>
      <c r="E293" t="s">
        <v>6</v>
      </c>
      <c r="G293" t="s">
        <v>387</v>
      </c>
      <c r="H293" t="s">
        <v>10</v>
      </c>
      <c r="I293">
        <v>2.8373357267851201E-2</v>
      </c>
      <c r="J293" t="s">
        <v>6</v>
      </c>
    </row>
    <row r="294" spans="2:10" x14ac:dyDescent="0.45">
      <c r="B294" t="s">
        <v>386</v>
      </c>
      <c r="C294" t="s">
        <v>11</v>
      </c>
      <c r="D294">
        <v>8.6947913767139295E-3</v>
      </c>
      <c r="E294" t="s">
        <v>6</v>
      </c>
      <c r="G294" t="s">
        <v>387</v>
      </c>
      <c r="H294" t="s">
        <v>11</v>
      </c>
      <c r="I294">
        <v>2.7992581499940612E-2</v>
      </c>
      <c r="J294" t="s">
        <v>6</v>
      </c>
    </row>
    <row r="295" spans="2:10" x14ac:dyDescent="0.45">
      <c r="B295" t="s">
        <v>386</v>
      </c>
      <c r="C295" t="s">
        <v>12</v>
      </c>
      <c r="D295">
        <v>3.5796930933444347E-2</v>
      </c>
      <c r="E295" t="s">
        <v>6</v>
      </c>
      <c r="G295" t="s">
        <v>387</v>
      </c>
      <c r="H295" t="s">
        <v>12</v>
      </c>
      <c r="I295">
        <v>2.4186957148781853E-2</v>
      </c>
      <c r="J295" t="s">
        <v>6</v>
      </c>
    </row>
    <row r="296" spans="2:10" x14ac:dyDescent="0.45">
      <c r="B296" t="s">
        <v>386</v>
      </c>
      <c r="C296" t="s">
        <v>13</v>
      </c>
      <c r="D296">
        <v>4.569016247893274E-2</v>
      </c>
      <c r="E296" t="s">
        <v>6</v>
      </c>
      <c r="G296" t="s">
        <v>387</v>
      </c>
      <c r="H296" t="s">
        <v>13</v>
      </c>
      <c r="I296">
        <v>2.5469159972231623E-2</v>
      </c>
      <c r="J296" t="s">
        <v>6</v>
      </c>
    </row>
    <row r="297" spans="2:10" x14ac:dyDescent="0.45">
      <c r="B297" t="s">
        <v>386</v>
      </c>
      <c r="C297" t="s">
        <v>14</v>
      </c>
      <c r="D297">
        <v>2.9430534081666501E-2</v>
      </c>
      <c r="E297" t="s">
        <v>6</v>
      </c>
      <c r="G297" t="s">
        <v>387</v>
      </c>
      <c r="H297" t="s">
        <v>14</v>
      </c>
      <c r="I297">
        <v>2.5539959788214731E-2</v>
      </c>
      <c r="J297" t="s">
        <v>6</v>
      </c>
    </row>
    <row r="298" spans="2:10" x14ac:dyDescent="0.45">
      <c r="B298" t="s">
        <v>386</v>
      </c>
      <c r="C298" t="s">
        <v>15</v>
      </c>
      <c r="D298">
        <v>4.4816620752754881E-3</v>
      </c>
      <c r="E298" t="s">
        <v>6</v>
      </c>
      <c r="G298" t="s">
        <v>387</v>
      </c>
      <c r="H298" t="s">
        <v>15</v>
      </c>
      <c r="I298">
        <v>2.6636171124768515E-2</v>
      </c>
      <c r="J298" t="s">
        <v>6</v>
      </c>
    </row>
    <row r="299" spans="2:10" x14ac:dyDescent="0.45">
      <c r="B299" t="s">
        <v>386</v>
      </c>
      <c r="C299" t="s">
        <v>16</v>
      </c>
      <c r="D299">
        <v>0</v>
      </c>
      <c r="E299" t="s">
        <v>6</v>
      </c>
      <c r="G299" t="s">
        <v>387</v>
      </c>
      <c r="H299" t="s">
        <v>16</v>
      </c>
      <c r="I299">
        <v>2.7933075419224362E-2</v>
      </c>
      <c r="J299" t="s">
        <v>6</v>
      </c>
    </row>
    <row r="300" spans="2:10" x14ac:dyDescent="0.45">
      <c r="B300" t="s">
        <v>386</v>
      </c>
      <c r="C300" t="s">
        <v>17</v>
      </c>
      <c r="D300">
        <v>0</v>
      </c>
      <c r="E300" t="s">
        <v>6</v>
      </c>
      <c r="G300" t="s">
        <v>387</v>
      </c>
      <c r="H300" t="s">
        <v>17</v>
      </c>
      <c r="I300">
        <v>4.2745348991416868E-2</v>
      </c>
      <c r="J300" t="s">
        <v>6</v>
      </c>
    </row>
    <row r="301" spans="2:10" x14ac:dyDescent="0.45">
      <c r="B301" t="s">
        <v>386</v>
      </c>
      <c r="C301" t="s">
        <v>18</v>
      </c>
      <c r="D301">
        <v>0</v>
      </c>
      <c r="E301" t="s">
        <v>6</v>
      </c>
      <c r="G301" t="s">
        <v>387</v>
      </c>
      <c r="H301" t="s">
        <v>18</v>
      </c>
      <c r="I301">
        <v>5.0524634771436004E-2</v>
      </c>
      <c r="J301" t="s">
        <v>6</v>
      </c>
    </row>
    <row r="302" spans="2:10" x14ac:dyDescent="0.45">
      <c r="B302" t="s">
        <v>386</v>
      </c>
      <c r="C302" t="s">
        <v>19</v>
      </c>
      <c r="D302">
        <v>2.0246666179295531E-4</v>
      </c>
      <c r="E302" t="s">
        <v>6</v>
      </c>
      <c r="G302" t="s">
        <v>387</v>
      </c>
      <c r="H302" t="s">
        <v>19</v>
      </c>
      <c r="I302">
        <v>2.0591749588669439E-2</v>
      </c>
      <c r="J302" t="s">
        <v>6</v>
      </c>
    </row>
    <row r="303" spans="2:10" x14ac:dyDescent="0.45">
      <c r="B303" t="s">
        <v>386</v>
      </c>
      <c r="C303" t="s">
        <v>20</v>
      </c>
      <c r="D303">
        <v>1.0205177549757732E-2</v>
      </c>
      <c r="E303" t="s">
        <v>6</v>
      </c>
      <c r="G303" t="s">
        <v>387</v>
      </c>
      <c r="H303" t="s">
        <v>20</v>
      </c>
      <c r="I303">
        <v>1.9907015398628044E-2</v>
      </c>
      <c r="J303" t="s">
        <v>6</v>
      </c>
    </row>
    <row r="304" spans="2:10" x14ac:dyDescent="0.45">
      <c r="B304" t="s">
        <v>386</v>
      </c>
      <c r="C304" t="s">
        <v>21</v>
      </c>
      <c r="D304">
        <v>4.69776645687945E-2</v>
      </c>
      <c r="E304" t="s">
        <v>6</v>
      </c>
      <c r="G304" t="s">
        <v>387</v>
      </c>
      <c r="H304" t="s">
        <v>21</v>
      </c>
      <c r="I304">
        <v>1.9105938796626351E-2</v>
      </c>
      <c r="J304" t="s">
        <v>6</v>
      </c>
    </row>
    <row r="305" spans="2:10" x14ac:dyDescent="0.45">
      <c r="B305" t="s">
        <v>386</v>
      </c>
      <c r="C305" t="s">
        <v>22</v>
      </c>
      <c r="D305">
        <v>7.6932341064110066E-2</v>
      </c>
      <c r="E305" t="s">
        <v>6</v>
      </c>
      <c r="G305" t="s">
        <v>387</v>
      </c>
      <c r="H305" t="s">
        <v>22</v>
      </c>
      <c r="I305">
        <v>1.5267418159345174E-2</v>
      </c>
      <c r="J305" t="s">
        <v>6</v>
      </c>
    </row>
    <row r="306" spans="2:10" x14ac:dyDescent="0.45">
      <c r="B306" t="s">
        <v>386</v>
      </c>
      <c r="C306" t="s">
        <v>23</v>
      </c>
      <c r="D306">
        <v>8.1805875392077468E-2</v>
      </c>
      <c r="E306" t="s">
        <v>6</v>
      </c>
      <c r="G306" t="s">
        <v>387</v>
      </c>
      <c r="H306" t="s">
        <v>23</v>
      </c>
      <c r="I306">
        <v>1.7893344417391831E-2</v>
      </c>
      <c r="J306" t="s">
        <v>6</v>
      </c>
    </row>
    <row r="307" spans="2:10" x14ac:dyDescent="0.45">
      <c r="B307" t="s">
        <v>386</v>
      </c>
      <c r="C307" t="s">
        <v>24</v>
      </c>
      <c r="D307">
        <v>6.2273302363087119E-2</v>
      </c>
      <c r="E307" t="s">
        <v>6</v>
      </c>
      <c r="G307" t="s">
        <v>387</v>
      </c>
      <c r="H307" t="s">
        <v>24</v>
      </c>
      <c r="I307">
        <v>1.896528812310631E-2</v>
      </c>
      <c r="J307" t="s">
        <v>6</v>
      </c>
    </row>
    <row r="308" spans="2:10" x14ac:dyDescent="0.45">
      <c r="B308" t="s">
        <v>386</v>
      </c>
      <c r="C308" t="s">
        <v>25</v>
      </c>
      <c r="D308">
        <v>2.9725541609849086E-2</v>
      </c>
      <c r="E308" t="s">
        <v>6</v>
      </c>
      <c r="G308" t="s">
        <v>387</v>
      </c>
      <c r="H308" t="s">
        <v>25</v>
      </c>
      <c r="I308">
        <v>1.8663915704265312E-2</v>
      </c>
      <c r="J308" t="s">
        <v>6</v>
      </c>
    </row>
    <row r="309" spans="2:10" x14ac:dyDescent="0.45">
      <c r="B309" t="s">
        <v>386</v>
      </c>
      <c r="C309" t="s">
        <v>26</v>
      </c>
      <c r="D309">
        <v>3.3855221013796744E-3</v>
      </c>
      <c r="E309" t="s">
        <v>6</v>
      </c>
      <c r="G309" t="s">
        <v>387</v>
      </c>
      <c r="H309" t="s">
        <v>26</v>
      </c>
      <c r="I309">
        <v>1.9521927202657035E-2</v>
      </c>
      <c r="J309" t="s">
        <v>6</v>
      </c>
    </row>
    <row r="310" spans="2:10" x14ac:dyDescent="0.45">
      <c r="B310" t="s">
        <v>386</v>
      </c>
      <c r="C310" t="s">
        <v>27</v>
      </c>
      <c r="D310">
        <v>0</v>
      </c>
      <c r="E310" t="s">
        <v>6</v>
      </c>
      <c r="G310" t="s">
        <v>387</v>
      </c>
      <c r="H310" t="s">
        <v>27</v>
      </c>
      <c r="I310">
        <v>3.0634715135517604E-2</v>
      </c>
      <c r="J310" t="s">
        <v>6</v>
      </c>
    </row>
    <row r="311" spans="2:10" x14ac:dyDescent="0.45">
      <c r="B311" t="s">
        <v>386</v>
      </c>
      <c r="C311" t="s">
        <v>28</v>
      </c>
      <c r="D311">
        <v>0</v>
      </c>
      <c r="E311" t="s">
        <v>6</v>
      </c>
      <c r="G311" t="s">
        <v>387</v>
      </c>
      <c r="H311" t="s">
        <v>28</v>
      </c>
      <c r="I311">
        <v>3.6422075228650853E-2</v>
      </c>
      <c r="J311" t="s">
        <v>6</v>
      </c>
    </row>
    <row r="312" spans="2:10" x14ac:dyDescent="0.45">
      <c r="B312" t="s">
        <v>386</v>
      </c>
      <c r="C312" t="s">
        <v>29</v>
      </c>
      <c r="D312">
        <v>8.6352765806178974E-4</v>
      </c>
      <c r="E312" t="s">
        <v>6</v>
      </c>
      <c r="G312" t="s">
        <v>387</v>
      </c>
      <c r="H312" t="s">
        <v>29</v>
      </c>
      <c r="I312">
        <v>1.3911663532179231E-2</v>
      </c>
      <c r="J312" t="s">
        <v>6</v>
      </c>
    </row>
    <row r="313" spans="2:10" x14ac:dyDescent="0.45">
      <c r="B313" t="s">
        <v>386</v>
      </c>
      <c r="C313" t="s">
        <v>30</v>
      </c>
      <c r="D313">
        <v>1.6126245726013236E-2</v>
      </c>
      <c r="E313" t="s">
        <v>6</v>
      </c>
      <c r="G313" t="s">
        <v>387</v>
      </c>
      <c r="H313" t="s">
        <v>30</v>
      </c>
      <c r="I313">
        <v>1.2665976399253424E-2</v>
      </c>
      <c r="J313" t="s">
        <v>6</v>
      </c>
    </row>
    <row r="314" spans="2:10" x14ac:dyDescent="0.45">
      <c r="B314" t="s">
        <v>386</v>
      </c>
      <c r="C314" t="s">
        <v>31</v>
      </c>
      <c r="D314">
        <v>5.4710218050715451E-2</v>
      </c>
      <c r="E314" t="s">
        <v>6</v>
      </c>
      <c r="G314" t="s">
        <v>387</v>
      </c>
      <c r="H314" t="s">
        <v>31</v>
      </c>
      <c r="I314">
        <v>1.1884089482251435E-2</v>
      </c>
      <c r="J314" t="s">
        <v>6</v>
      </c>
    </row>
    <row r="315" spans="2:10" x14ac:dyDescent="0.45">
      <c r="B315" t="s">
        <v>386</v>
      </c>
      <c r="C315" t="s">
        <v>32</v>
      </c>
      <c r="D315">
        <v>8.4219079344750467E-2</v>
      </c>
      <c r="E315" t="s">
        <v>6</v>
      </c>
      <c r="G315" t="s">
        <v>387</v>
      </c>
      <c r="H315" t="s">
        <v>32</v>
      </c>
      <c r="I315">
        <v>9.6488494056990847E-3</v>
      </c>
      <c r="J315" t="s">
        <v>6</v>
      </c>
    </row>
    <row r="316" spans="2:10" x14ac:dyDescent="0.45">
      <c r="B316" t="s">
        <v>386</v>
      </c>
      <c r="C316" t="s">
        <v>33</v>
      </c>
      <c r="D316">
        <v>9.2305197269368144E-2</v>
      </c>
      <c r="E316" t="s">
        <v>6</v>
      </c>
      <c r="G316" t="s">
        <v>387</v>
      </c>
      <c r="H316" t="s">
        <v>33</v>
      </c>
      <c r="I316">
        <v>1.1306522076483987E-2</v>
      </c>
      <c r="J316" t="s">
        <v>6</v>
      </c>
    </row>
    <row r="317" spans="2:10" x14ac:dyDescent="0.45">
      <c r="B317" t="s">
        <v>386</v>
      </c>
      <c r="C317" t="s">
        <v>34</v>
      </c>
      <c r="D317">
        <v>7.5476421250202694E-2</v>
      </c>
      <c r="E317" t="s">
        <v>6</v>
      </c>
      <c r="G317" t="s">
        <v>387</v>
      </c>
      <c r="H317" t="s">
        <v>34</v>
      </c>
      <c r="I317">
        <v>1.2297960425860925E-2</v>
      </c>
      <c r="J317" t="s">
        <v>6</v>
      </c>
    </row>
    <row r="318" spans="2:10" x14ac:dyDescent="0.45">
      <c r="B318" t="s">
        <v>386</v>
      </c>
      <c r="C318" t="s">
        <v>35</v>
      </c>
      <c r="D318">
        <v>4.1847771547018672E-2</v>
      </c>
      <c r="E318" t="s">
        <v>6</v>
      </c>
      <c r="G318" t="s">
        <v>387</v>
      </c>
      <c r="H318" t="s">
        <v>35</v>
      </c>
      <c r="I318">
        <v>1.1660491814877249E-2</v>
      </c>
      <c r="J318" t="s">
        <v>6</v>
      </c>
    </row>
    <row r="319" spans="2:10" x14ac:dyDescent="0.45">
      <c r="B319" t="s">
        <v>386</v>
      </c>
      <c r="C319" t="s">
        <v>36</v>
      </c>
      <c r="D319">
        <v>8.1756718051649874E-3</v>
      </c>
      <c r="E319" t="s">
        <v>6</v>
      </c>
      <c r="G319" t="s">
        <v>387</v>
      </c>
      <c r="H319" t="s">
        <v>36</v>
      </c>
      <c r="I319">
        <v>1.1791588730220804E-2</v>
      </c>
      <c r="J319" t="s">
        <v>6</v>
      </c>
    </row>
    <row r="320" spans="2:10" x14ac:dyDescent="0.45">
      <c r="B320" t="s">
        <v>386</v>
      </c>
      <c r="C320" t="s">
        <v>37</v>
      </c>
      <c r="D320">
        <v>6.5396028476114704E-5</v>
      </c>
      <c r="E320" t="s">
        <v>6</v>
      </c>
      <c r="G320" t="s">
        <v>387</v>
      </c>
      <c r="H320" t="s">
        <v>37</v>
      </c>
      <c r="I320">
        <v>2.2090230636973161E-2</v>
      </c>
      <c r="J320" t="s">
        <v>6</v>
      </c>
    </row>
    <row r="321" spans="2:10" x14ac:dyDescent="0.45">
      <c r="B321" t="s">
        <v>386</v>
      </c>
      <c r="C321" t="s">
        <v>38</v>
      </c>
      <c r="D321">
        <v>0</v>
      </c>
      <c r="E321" t="s">
        <v>6</v>
      </c>
      <c r="G321" t="s">
        <v>387</v>
      </c>
      <c r="H321" t="s">
        <v>38</v>
      </c>
      <c r="I321">
        <v>6.2149133785336139E-2</v>
      </c>
      <c r="J321" t="s">
        <v>6</v>
      </c>
    </row>
    <row r="322" spans="2:10" x14ac:dyDescent="0.45">
      <c r="B322" t="s">
        <v>386</v>
      </c>
      <c r="C322" t="s">
        <v>39</v>
      </c>
      <c r="D322">
        <v>0</v>
      </c>
      <c r="E322" t="s">
        <v>6</v>
      </c>
      <c r="G322" t="s">
        <v>387</v>
      </c>
      <c r="H322" t="s">
        <v>39</v>
      </c>
      <c r="I322">
        <v>2.3937164409806613E-2</v>
      </c>
      <c r="J322" t="s">
        <v>6</v>
      </c>
    </row>
    <row r="323" spans="2:10" x14ac:dyDescent="0.45">
      <c r="B323" t="s">
        <v>386</v>
      </c>
      <c r="C323" t="s">
        <v>40</v>
      </c>
      <c r="D323">
        <v>2.9461861480193315E-3</v>
      </c>
      <c r="E323" t="s">
        <v>6</v>
      </c>
      <c r="G323" t="s">
        <v>387</v>
      </c>
      <c r="H323" t="s">
        <v>40</v>
      </c>
      <c r="I323">
        <v>2.3727360545145324E-2</v>
      </c>
      <c r="J323" t="s">
        <v>6</v>
      </c>
    </row>
    <row r="324" spans="2:10" x14ac:dyDescent="0.45">
      <c r="B324" t="s">
        <v>386</v>
      </c>
      <c r="C324" t="s">
        <v>41</v>
      </c>
      <c r="D324">
        <v>2.7929577138645106E-2</v>
      </c>
      <c r="E324" t="s">
        <v>6</v>
      </c>
      <c r="G324" t="s">
        <v>387</v>
      </c>
      <c r="H324" t="s">
        <v>41</v>
      </c>
      <c r="I324">
        <v>2.314283218654805E-2</v>
      </c>
      <c r="J324" t="s">
        <v>6</v>
      </c>
    </row>
    <row r="325" spans="2:10" x14ac:dyDescent="0.45">
      <c r="B325" t="s">
        <v>386</v>
      </c>
      <c r="C325" t="s">
        <v>42</v>
      </c>
      <c r="D325">
        <v>5.3117178813754419E-2</v>
      </c>
      <c r="E325" t="s">
        <v>6</v>
      </c>
      <c r="G325" t="s">
        <v>387</v>
      </c>
      <c r="H325" t="s">
        <v>42</v>
      </c>
      <c r="I325">
        <v>1.9927613715880182E-2</v>
      </c>
      <c r="J325" t="s">
        <v>6</v>
      </c>
    </row>
    <row r="326" spans="2:10" x14ac:dyDescent="0.45">
      <c r="B326" t="s">
        <v>386</v>
      </c>
      <c r="C326" t="s">
        <v>43</v>
      </c>
      <c r="D326">
        <v>5.755427566133408E-2</v>
      </c>
      <c r="E326" t="s">
        <v>6</v>
      </c>
      <c r="G326" t="s">
        <v>387</v>
      </c>
      <c r="H326" t="s">
        <v>43</v>
      </c>
      <c r="I326">
        <v>2.1758251750554191E-2</v>
      </c>
      <c r="J326" t="s">
        <v>6</v>
      </c>
    </row>
    <row r="327" spans="2:10" x14ac:dyDescent="0.45">
      <c r="B327" t="s">
        <v>386</v>
      </c>
      <c r="C327" t="s">
        <v>44</v>
      </c>
      <c r="D327">
        <v>3.8507554396009704E-2</v>
      </c>
      <c r="E327" t="s">
        <v>6</v>
      </c>
      <c r="G327" t="s">
        <v>387</v>
      </c>
      <c r="H327" t="s">
        <v>44</v>
      </c>
      <c r="I327">
        <v>2.2039162586857258E-2</v>
      </c>
      <c r="J327" t="s">
        <v>6</v>
      </c>
    </row>
    <row r="328" spans="2:10" x14ac:dyDescent="0.45">
      <c r="B328" t="s">
        <v>386</v>
      </c>
      <c r="C328" t="s">
        <v>45</v>
      </c>
      <c r="D328">
        <v>1.0351275158025914E-2</v>
      </c>
      <c r="E328" t="s">
        <v>6</v>
      </c>
      <c r="G328" t="s">
        <v>387</v>
      </c>
      <c r="H328" t="s">
        <v>45</v>
      </c>
      <c r="I328">
        <v>2.2639506337060779E-2</v>
      </c>
      <c r="J328" t="s">
        <v>6</v>
      </c>
    </row>
    <row r="329" spans="2:10" x14ac:dyDescent="0.45">
      <c r="B329" t="s">
        <v>386</v>
      </c>
      <c r="C329" t="s">
        <v>46</v>
      </c>
      <c r="D329">
        <v>2.0245174755697314E-4</v>
      </c>
      <c r="E329" t="s">
        <v>6</v>
      </c>
      <c r="G329" t="s">
        <v>387</v>
      </c>
      <c r="H329" t="s">
        <v>46</v>
      </c>
      <c r="I329">
        <v>2.5091413209709146E-2</v>
      </c>
      <c r="J329" t="s">
        <v>6</v>
      </c>
    </row>
    <row r="330" spans="2:10" x14ac:dyDescent="0.45">
      <c r="B330" t="s">
        <v>386</v>
      </c>
      <c r="C330" t="s">
        <v>47</v>
      </c>
      <c r="D330">
        <v>0</v>
      </c>
      <c r="E330" t="s">
        <v>6</v>
      </c>
      <c r="G330" t="s">
        <v>387</v>
      </c>
      <c r="H330" t="s">
        <v>47</v>
      </c>
      <c r="I330">
        <v>4.0029576692236765E-2</v>
      </c>
      <c r="J330" t="s">
        <v>6</v>
      </c>
    </row>
    <row r="331" spans="2:10" x14ac:dyDescent="0.45">
      <c r="B331" t="s">
        <v>388</v>
      </c>
      <c r="C331" t="s">
        <v>5</v>
      </c>
      <c r="D331">
        <v>0</v>
      </c>
      <c r="E331" t="s">
        <v>6</v>
      </c>
      <c r="G331" t="s">
        <v>389</v>
      </c>
      <c r="H331" t="s">
        <v>5</v>
      </c>
      <c r="I331">
        <v>7.1375569001218803E-2</v>
      </c>
      <c r="J331" t="s">
        <v>6</v>
      </c>
    </row>
    <row r="332" spans="2:10" x14ac:dyDescent="0.45">
      <c r="B332" t="s">
        <v>388</v>
      </c>
      <c r="C332" t="s">
        <v>9</v>
      </c>
      <c r="D332">
        <v>0</v>
      </c>
      <c r="E332" t="s">
        <v>6</v>
      </c>
      <c r="G332" t="s">
        <v>389</v>
      </c>
      <c r="H332" t="s">
        <v>9</v>
      </c>
      <c r="I332">
        <v>2.8199445368058712E-2</v>
      </c>
      <c r="J332" t="s">
        <v>6</v>
      </c>
    </row>
    <row r="333" spans="2:10" x14ac:dyDescent="0.45">
      <c r="B333" t="s">
        <v>388</v>
      </c>
      <c r="C333" t="s">
        <v>10</v>
      </c>
      <c r="D333">
        <v>0</v>
      </c>
      <c r="E333" t="s">
        <v>6</v>
      </c>
      <c r="G333" t="s">
        <v>389</v>
      </c>
      <c r="H333" t="s">
        <v>10</v>
      </c>
      <c r="I333">
        <v>2.770028539544556E-2</v>
      </c>
      <c r="J333" t="s">
        <v>6</v>
      </c>
    </row>
    <row r="334" spans="2:10" x14ac:dyDescent="0.45">
      <c r="B334" t="s">
        <v>388</v>
      </c>
      <c r="C334" t="s">
        <v>11</v>
      </c>
      <c r="D334">
        <v>9.172516899951735E-3</v>
      </c>
      <c r="E334" t="s">
        <v>6</v>
      </c>
      <c r="G334" t="s">
        <v>389</v>
      </c>
      <c r="H334" t="s">
        <v>11</v>
      </c>
      <c r="I334">
        <v>2.7680381424110622E-2</v>
      </c>
      <c r="J334" t="s">
        <v>6</v>
      </c>
    </row>
    <row r="335" spans="2:10" x14ac:dyDescent="0.45">
      <c r="B335" t="s">
        <v>388</v>
      </c>
      <c r="C335" t="s">
        <v>12</v>
      </c>
      <c r="D335">
        <v>3.8026063341643393E-2</v>
      </c>
      <c r="E335" t="s">
        <v>6</v>
      </c>
      <c r="G335" t="s">
        <v>389</v>
      </c>
      <c r="H335" t="s">
        <v>12</v>
      </c>
      <c r="I335">
        <v>2.3919223869724629E-2</v>
      </c>
      <c r="J335" t="s">
        <v>6</v>
      </c>
    </row>
    <row r="336" spans="2:10" x14ac:dyDescent="0.45">
      <c r="B336" t="s">
        <v>388</v>
      </c>
      <c r="C336" t="s">
        <v>13</v>
      </c>
      <c r="D336">
        <v>4.645976083266417E-2</v>
      </c>
      <c r="E336" t="s">
        <v>6</v>
      </c>
      <c r="G336" t="s">
        <v>389</v>
      </c>
      <c r="H336" t="s">
        <v>13</v>
      </c>
      <c r="I336">
        <v>2.4969878324206208E-2</v>
      </c>
      <c r="J336" t="s">
        <v>6</v>
      </c>
    </row>
    <row r="337" spans="2:10" x14ac:dyDescent="0.45">
      <c r="B337" t="s">
        <v>388</v>
      </c>
      <c r="C337" t="s">
        <v>14</v>
      </c>
      <c r="D337">
        <v>2.8881780411001735E-2</v>
      </c>
      <c r="E337" t="s">
        <v>6</v>
      </c>
      <c r="G337" t="s">
        <v>389</v>
      </c>
      <c r="H337" t="s">
        <v>14</v>
      </c>
      <c r="I337">
        <v>2.5122330184748971E-2</v>
      </c>
      <c r="J337" t="s">
        <v>6</v>
      </c>
    </row>
    <row r="338" spans="2:10" x14ac:dyDescent="0.45">
      <c r="B338" t="s">
        <v>388</v>
      </c>
      <c r="C338" t="s">
        <v>15</v>
      </c>
      <c r="D338">
        <v>4.51235042209862E-3</v>
      </c>
      <c r="E338" t="s">
        <v>6</v>
      </c>
      <c r="G338" t="s">
        <v>389</v>
      </c>
      <c r="H338" t="s">
        <v>15</v>
      </c>
      <c r="I338">
        <v>2.6134025171003335E-2</v>
      </c>
      <c r="J338" t="s">
        <v>6</v>
      </c>
    </row>
    <row r="339" spans="2:10" x14ac:dyDescent="0.45">
      <c r="B339" t="s">
        <v>388</v>
      </c>
      <c r="C339" t="s">
        <v>16</v>
      </c>
      <c r="D339">
        <v>0</v>
      </c>
      <c r="E339" t="s">
        <v>6</v>
      </c>
      <c r="G339" t="s">
        <v>389</v>
      </c>
      <c r="H339" t="s">
        <v>16</v>
      </c>
      <c r="I339">
        <v>2.7477986087446452E-2</v>
      </c>
      <c r="J339" t="s">
        <v>6</v>
      </c>
    </row>
    <row r="340" spans="2:10" x14ac:dyDescent="0.45">
      <c r="B340" t="s">
        <v>388</v>
      </c>
      <c r="C340" t="s">
        <v>17</v>
      </c>
      <c r="D340">
        <v>0</v>
      </c>
      <c r="E340" t="s">
        <v>6</v>
      </c>
      <c r="G340" t="s">
        <v>389</v>
      </c>
      <c r="H340" t="s">
        <v>17</v>
      </c>
      <c r="I340">
        <v>4.2034040400157895E-2</v>
      </c>
      <c r="J340" t="s">
        <v>6</v>
      </c>
    </row>
    <row r="341" spans="2:10" x14ac:dyDescent="0.45">
      <c r="B341" t="s">
        <v>388</v>
      </c>
      <c r="C341" t="s">
        <v>18</v>
      </c>
      <c r="D341">
        <v>0</v>
      </c>
      <c r="E341" t="s">
        <v>6</v>
      </c>
      <c r="G341" t="s">
        <v>389</v>
      </c>
      <c r="H341" t="s">
        <v>18</v>
      </c>
      <c r="I341">
        <v>5.2124873336369372E-2</v>
      </c>
      <c r="J341" t="s">
        <v>6</v>
      </c>
    </row>
    <row r="342" spans="2:10" x14ac:dyDescent="0.45">
      <c r="B342" t="s">
        <v>388</v>
      </c>
      <c r="C342" t="s">
        <v>19</v>
      </c>
      <c r="D342">
        <v>2.0468697859625612E-4</v>
      </c>
      <c r="E342" t="s">
        <v>6</v>
      </c>
      <c r="G342" t="s">
        <v>389</v>
      </c>
      <c r="H342" t="s">
        <v>19</v>
      </c>
      <c r="I342">
        <v>2.1060070654377445E-2</v>
      </c>
      <c r="J342" t="s">
        <v>6</v>
      </c>
    </row>
    <row r="343" spans="2:10" x14ac:dyDescent="0.45">
      <c r="B343" t="s">
        <v>388</v>
      </c>
      <c r="C343" t="s">
        <v>20</v>
      </c>
      <c r="D343">
        <v>1.0231720653041664E-2</v>
      </c>
      <c r="E343" t="s">
        <v>6</v>
      </c>
      <c r="G343" t="s">
        <v>389</v>
      </c>
      <c r="H343" t="s">
        <v>20</v>
      </c>
      <c r="I343">
        <v>2.0153753452920583E-2</v>
      </c>
      <c r="J343" t="s">
        <v>6</v>
      </c>
    </row>
    <row r="344" spans="2:10" x14ac:dyDescent="0.45">
      <c r="B344" t="s">
        <v>388</v>
      </c>
      <c r="C344" t="s">
        <v>21</v>
      </c>
      <c r="D344">
        <v>4.7275538826972954E-2</v>
      </c>
      <c r="E344" t="s">
        <v>6</v>
      </c>
      <c r="G344" t="s">
        <v>389</v>
      </c>
      <c r="H344" t="s">
        <v>21</v>
      </c>
      <c r="I344">
        <v>1.969198733340995E-2</v>
      </c>
      <c r="J344" t="s">
        <v>6</v>
      </c>
    </row>
    <row r="345" spans="2:10" x14ac:dyDescent="0.45">
      <c r="B345" t="s">
        <v>388</v>
      </c>
      <c r="C345" t="s">
        <v>22</v>
      </c>
      <c r="D345">
        <v>7.6271916597993802E-2</v>
      </c>
      <c r="E345" t="s">
        <v>6</v>
      </c>
      <c r="G345" t="s">
        <v>389</v>
      </c>
      <c r="H345" t="s">
        <v>22</v>
      </c>
      <c r="I345">
        <v>1.6323790822662755E-2</v>
      </c>
      <c r="J345" t="s">
        <v>6</v>
      </c>
    </row>
    <row r="346" spans="2:10" x14ac:dyDescent="0.45">
      <c r="B346" t="s">
        <v>388</v>
      </c>
      <c r="C346" t="s">
        <v>23</v>
      </c>
      <c r="D346">
        <v>8.1392741001554414E-2</v>
      </c>
      <c r="E346" t="s">
        <v>6</v>
      </c>
      <c r="G346" t="s">
        <v>389</v>
      </c>
      <c r="H346" t="s">
        <v>23</v>
      </c>
      <c r="I346">
        <v>1.898208615137752E-2</v>
      </c>
      <c r="J346" t="s">
        <v>6</v>
      </c>
    </row>
    <row r="347" spans="2:10" x14ac:dyDescent="0.45">
      <c r="B347" t="s">
        <v>388</v>
      </c>
      <c r="C347" t="s">
        <v>24</v>
      </c>
      <c r="D347">
        <v>6.188661489220347E-2</v>
      </c>
      <c r="E347" t="s">
        <v>6</v>
      </c>
      <c r="G347" t="s">
        <v>389</v>
      </c>
      <c r="H347" t="s">
        <v>24</v>
      </c>
      <c r="I347">
        <v>1.9723142970813706E-2</v>
      </c>
      <c r="J347" t="s">
        <v>6</v>
      </c>
    </row>
    <row r="348" spans="2:10" x14ac:dyDescent="0.45">
      <c r="B348" t="s">
        <v>388</v>
      </c>
      <c r="C348" t="s">
        <v>25</v>
      </c>
      <c r="D348">
        <v>2.953417119850053E-2</v>
      </c>
      <c r="E348" t="s">
        <v>6</v>
      </c>
      <c r="G348" t="s">
        <v>389</v>
      </c>
      <c r="H348" t="s">
        <v>25</v>
      </c>
      <c r="I348">
        <v>1.9337023290105955E-2</v>
      </c>
      <c r="J348" t="s">
        <v>6</v>
      </c>
    </row>
    <row r="349" spans="2:10" x14ac:dyDescent="0.45">
      <c r="B349" t="s">
        <v>388</v>
      </c>
      <c r="C349" t="s">
        <v>26</v>
      </c>
      <c r="D349">
        <v>3.5580892300810423E-3</v>
      </c>
      <c r="E349" t="s">
        <v>6</v>
      </c>
      <c r="G349" t="s">
        <v>389</v>
      </c>
      <c r="H349" t="s">
        <v>26</v>
      </c>
      <c r="I349">
        <v>1.9701770643433369E-2</v>
      </c>
      <c r="J349" t="s">
        <v>6</v>
      </c>
    </row>
    <row r="350" spans="2:10" x14ac:dyDescent="0.45">
      <c r="B350" t="s">
        <v>388</v>
      </c>
      <c r="C350" t="s">
        <v>27</v>
      </c>
      <c r="D350">
        <v>6.4428675945305596E-7</v>
      </c>
      <c r="E350" t="s">
        <v>6</v>
      </c>
      <c r="G350" t="s">
        <v>389</v>
      </c>
      <c r="H350" t="s">
        <v>27</v>
      </c>
      <c r="I350">
        <v>3.1499907740820149E-2</v>
      </c>
      <c r="J350" t="s">
        <v>6</v>
      </c>
    </row>
    <row r="351" spans="2:10" x14ac:dyDescent="0.45">
      <c r="B351" t="s">
        <v>388</v>
      </c>
      <c r="C351" t="s">
        <v>28</v>
      </c>
      <c r="D351">
        <v>0</v>
      </c>
      <c r="E351" t="s">
        <v>6</v>
      </c>
      <c r="G351" t="s">
        <v>389</v>
      </c>
      <c r="H351" t="s">
        <v>28</v>
      </c>
      <c r="I351">
        <v>3.9263923631824661E-2</v>
      </c>
      <c r="J351" t="s">
        <v>6</v>
      </c>
    </row>
    <row r="352" spans="2:10" x14ac:dyDescent="0.45">
      <c r="B352" t="s">
        <v>388</v>
      </c>
      <c r="C352" t="s">
        <v>29</v>
      </c>
      <c r="D352">
        <v>8.5815506405831484E-4</v>
      </c>
      <c r="E352" t="s">
        <v>6</v>
      </c>
      <c r="G352" t="s">
        <v>389</v>
      </c>
      <c r="H352" t="s">
        <v>29</v>
      </c>
      <c r="I352">
        <v>1.440585451410013E-2</v>
      </c>
      <c r="J352" t="s">
        <v>6</v>
      </c>
    </row>
    <row r="353" spans="2:10" x14ac:dyDescent="0.45">
      <c r="B353" t="s">
        <v>388</v>
      </c>
      <c r="C353" t="s">
        <v>30</v>
      </c>
      <c r="D353">
        <v>1.5490212015414477E-2</v>
      </c>
      <c r="E353" t="s">
        <v>6</v>
      </c>
      <c r="G353" t="s">
        <v>389</v>
      </c>
      <c r="H353" t="s">
        <v>30</v>
      </c>
      <c r="I353">
        <v>1.2598868701097918E-2</v>
      </c>
      <c r="J353" t="s">
        <v>6</v>
      </c>
    </row>
    <row r="354" spans="2:10" x14ac:dyDescent="0.45">
      <c r="B354" t="s">
        <v>388</v>
      </c>
      <c r="C354" t="s">
        <v>31</v>
      </c>
      <c r="D354">
        <v>5.2889051843589933E-2</v>
      </c>
      <c r="E354" t="s">
        <v>6</v>
      </c>
      <c r="G354" t="s">
        <v>389</v>
      </c>
      <c r="H354" t="s">
        <v>31</v>
      </c>
      <c r="I354">
        <v>1.1677730347746334E-2</v>
      </c>
      <c r="J354" t="s">
        <v>6</v>
      </c>
    </row>
    <row r="355" spans="2:10" x14ac:dyDescent="0.45">
      <c r="B355" t="s">
        <v>388</v>
      </c>
      <c r="C355" t="s">
        <v>32</v>
      </c>
      <c r="D355">
        <v>8.2687362534820744E-2</v>
      </c>
      <c r="E355" t="s">
        <v>6</v>
      </c>
      <c r="G355" t="s">
        <v>389</v>
      </c>
      <c r="H355" t="s">
        <v>32</v>
      </c>
      <c r="I355">
        <v>9.932676174192457E-3</v>
      </c>
      <c r="J355" t="s">
        <v>6</v>
      </c>
    </row>
    <row r="356" spans="2:10" x14ac:dyDescent="0.45">
      <c r="B356" t="s">
        <v>388</v>
      </c>
      <c r="C356" t="s">
        <v>33</v>
      </c>
      <c r="D356">
        <v>8.9549465618760926E-2</v>
      </c>
      <c r="E356" t="s">
        <v>6</v>
      </c>
      <c r="G356" t="s">
        <v>389</v>
      </c>
      <c r="H356" t="s">
        <v>33</v>
      </c>
      <c r="I356">
        <v>1.1691385652101555E-2</v>
      </c>
      <c r="J356" t="s">
        <v>6</v>
      </c>
    </row>
    <row r="357" spans="2:10" x14ac:dyDescent="0.45">
      <c r="B357" t="s">
        <v>388</v>
      </c>
      <c r="C357" t="s">
        <v>34</v>
      </c>
      <c r="D357">
        <v>7.5087365981960794E-2</v>
      </c>
      <c r="E357" t="s">
        <v>6</v>
      </c>
      <c r="G357" t="s">
        <v>389</v>
      </c>
      <c r="H357" t="s">
        <v>34</v>
      </c>
      <c r="I357">
        <v>1.2479429296730795E-2</v>
      </c>
      <c r="J357" t="s">
        <v>6</v>
      </c>
    </row>
    <row r="358" spans="2:10" x14ac:dyDescent="0.45">
      <c r="B358" t="s">
        <v>388</v>
      </c>
      <c r="C358" t="s">
        <v>35</v>
      </c>
      <c r="D358">
        <v>4.2433994483424255E-2</v>
      </c>
      <c r="E358" t="s">
        <v>6</v>
      </c>
      <c r="G358" t="s">
        <v>389</v>
      </c>
      <c r="H358" t="s">
        <v>35</v>
      </c>
      <c r="I358">
        <v>1.2065762123943629E-2</v>
      </c>
      <c r="J358" t="s">
        <v>6</v>
      </c>
    </row>
    <row r="359" spans="2:10" x14ac:dyDescent="0.45">
      <c r="B359" t="s">
        <v>388</v>
      </c>
      <c r="C359" t="s">
        <v>36</v>
      </c>
      <c r="D359">
        <v>8.556226033541026E-3</v>
      </c>
      <c r="E359" t="s">
        <v>6</v>
      </c>
      <c r="G359" t="s">
        <v>389</v>
      </c>
      <c r="H359" t="s">
        <v>36</v>
      </c>
      <c r="I359">
        <v>1.248484288739958E-2</v>
      </c>
      <c r="J359" t="s">
        <v>6</v>
      </c>
    </row>
    <row r="360" spans="2:10" x14ac:dyDescent="0.45">
      <c r="B360" t="s">
        <v>388</v>
      </c>
      <c r="C360" t="s">
        <v>37</v>
      </c>
      <c r="D360">
        <v>9.8273887227553279E-5</v>
      </c>
      <c r="E360" t="s">
        <v>6</v>
      </c>
      <c r="G360" t="s">
        <v>389</v>
      </c>
      <c r="H360" t="s">
        <v>37</v>
      </c>
      <c r="I360">
        <v>2.3786770981489985E-2</v>
      </c>
      <c r="J360" t="s">
        <v>6</v>
      </c>
    </row>
    <row r="361" spans="2:10" x14ac:dyDescent="0.45">
      <c r="B361" t="s">
        <v>388</v>
      </c>
      <c r="C361" t="s">
        <v>38</v>
      </c>
      <c r="D361">
        <v>0</v>
      </c>
      <c r="E361" t="s">
        <v>6</v>
      </c>
      <c r="G361" t="s">
        <v>389</v>
      </c>
      <c r="H361" t="s">
        <v>38</v>
      </c>
      <c r="I361">
        <v>5.9380917882962132E-2</v>
      </c>
      <c r="J361" t="s">
        <v>6</v>
      </c>
    </row>
    <row r="362" spans="2:10" x14ac:dyDescent="0.45">
      <c r="B362" t="s">
        <v>388</v>
      </c>
      <c r="C362" t="s">
        <v>39</v>
      </c>
      <c r="D362">
        <v>0</v>
      </c>
      <c r="E362" t="s">
        <v>6</v>
      </c>
      <c r="G362" t="s">
        <v>389</v>
      </c>
      <c r="H362" t="s">
        <v>39</v>
      </c>
      <c r="I362">
        <v>2.2661513724092374E-2</v>
      </c>
      <c r="J362" t="s">
        <v>6</v>
      </c>
    </row>
    <row r="363" spans="2:10" x14ac:dyDescent="0.45">
      <c r="B363" t="s">
        <v>388</v>
      </c>
      <c r="C363" t="s">
        <v>40</v>
      </c>
      <c r="D363">
        <v>3.0066673668963984E-3</v>
      </c>
      <c r="E363" t="s">
        <v>6</v>
      </c>
      <c r="G363" t="s">
        <v>389</v>
      </c>
      <c r="H363" t="s">
        <v>40</v>
      </c>
      <c r="I363">
        <v>2.2704156559145899E-2</v>
      </c>
      <c r="J363" t="s">
        <v>6</v>
      </c>
    </row>
    <row r="364" spans="2:10" x14ac:dyDescent="0.45">
      <c r="B364" t="s">
        <v>388</v>
      </c>
      <c r="C364" t="s">
        <v>41</v>
      </c>
      <c r="D364">
        <v>2.8821092599695248E-2</v>
      </c>
      <c r="E364" t="s">
        <v>6</v>
      </c>
      <c r="G364" t="s">
        <v>389</v>
      </c>
      <c r="H364" t="s">
        <v>41</v>
      </c>
      <c r="I364">
        <v>2.2054635159691565E-2</v>
      </c>
      <c r="J364" t="s">
        <v>6</v>
      </c>
    </row>
    <row r="365" spans="2:10" x14ac:dyDescent="0.45">
      <c r="B365" t="s">
        <v>388</v>
      </c>
      <c r="C365" t="s">
        <v>42</v>
      </c>
      <c r="D365">
        <v>5.5192174430069088E-2</v>
      </c>
      <c r="E365" t="s">
        <v>6</v>
      </c>
      <c r="G365" t="s">
        <v>389</v>
      </c>
      <c r="H365" t="s">
        <v>42</v>
      </c>
      <c r="I365">
        <v>1.9495535915753714E-2</v>
      </c>
      <c r="J365" t="s">
        <v>6</v>
      </c>
    </row>
    <row r="366" spans="2:10" x14ac:dyDescent="0.45">
      <c r="B366" t="s">
        <v>388</v>
      </c>
      <c r="C366" t="s">
        <v>43</v>
      </c>
      <c r="D366">
        <v>5.9106009662999677E-2</v>
      </c>
      <c r="E366" t="s">
        <v>6</v>
      </c>
      <c r="G366" t="s">
        <v>389</v>
      </c>
      <c r="H366" t="s">
        <v>43</v>
      </c>
      <c r="I366">
        <v>2.1496588980793062E-2</v>
      </c>
      <c r="J366" t="s">
        <v>6</v>
      </c>
    </row>
    <row r="367" spans="2:10" x14ac:dyDescent="0.45">
      <c r="B367" t="s">
        <v>388</v>
      </c>
      <c r="C367" t="s">
        <v>44</v>
      </c>
      <c r="D367">
        <v>3.8221962235146817E-2</v>
      </c>
      <c r="E367" t="s">
        <v>6</v>
      </c>
      <c r="G367" t="s">
        <v>389</v>
      </c>
      <c r="H367" t="s">
        <v>44</v>
      </c>
      <c r="I367">
        <v>2.1643584193416533E-2</v>
      </c>
      <c r="J367" t="s">
        <v>6</v>
      </c>
    </row>
    <row r="368" spans="2:10" x14ac:dyDescent="0.45">
      <c r="B368" t="s">
        <v>388</v>
      </c>
      <c r="C368" t="s">
        <v>45</v>
      </c>
      <c r="D368">
        <v>1.0373445946414204E-2</v>
      </c>
      <c r="E368" t="s">
        <v>6</v>
      </c>
      <c r="G368" t="s">
        <v>389</v>
      </c>
      <c r="H368" t="s">
        <v>45</v>
      </c>
      <c r="I368">
        <v>2.2744483226709983E-2</v>
      </c>
      <c r="J368" t="s">
        <v>6</v>
      </c>
    </row>
    <row r="369" spans="2:10" x14ac:dyDescent="0.45">
      <c r="B369" t="s">
        <v>388</v>
      </c>
      <c r="C369" t="s">
        <v>46</v>
      </c>
      <c r="D369">
        <v>2.1994472291731151E-4</v>
      </c>
      <c r="E369" t="s">
        <v>6</v>
      </c>
      <c r="G369" t="s">
        <v>389</v>
      </c>
      <c r="H369" t="s">
        <v>46</v>
      </c>
      <c r="I369">
        <v>2.5316932207616213E-2</v>
      </c>
      <c r="J369" t="s">
        <v>6</v>
      </c>
    </row>
    <row r="370" spans="2:10" x14ac:dyDescent="0.45">
      <c r="B370" t="s">
        <v>388</v>
      </c>
      <c r="C370" t="s">
        <v>47</v>
      </c>
      <c r="D370">
        <v>0</v>
      </c>
      <c r="E370" t="s">
        <v>6</v>
      </c>
      <c r="G370" t="s">
        <v>389</v>
      </c>
      <c r="H370" t="s">
        <v>47</v>
      </c>
      <c r="I370">
        <v>3.8902836216778293E-2</v>
      </c>
      <c r="J370" t="s">
        <v>6</v>
      </c>
    </row>
    <row r="371" spans="2:10" x14ac:dyDescent="0.45">
      <c r="B371" t="s">
        <v>390</v>
      </c>
      <c r="C371" t="s">
        <v>5</v>
      </c>
      <c r="D371">
        <v>0</v>
      </c>
      <c r="E371" t="s">
        <v>6</v>
      </c>
      <c r="G371" t="s">
        <v>391</v>
      </c>
      <c r="H371" t="s">
        <v>5</v>
      </c>
      <c r="I371">
        <v>6.877263949759134E-2</v>
      </c>
      <c r="J371" t="s">
        <v>6</v>
      </c>
    </row>
    <row r="372" spans="2:10" x14ac:dyDescent="0.45">
      <c r="B372" t="s">
        <v>390</v>
      </c>
      <c r="C372" t="s">
        <v>9</v>
      </c>
      <c r="D372">
        <v>0</v>
      </c>
      <c r="E372" t="s">
        <v>6</v>
      </c>
      <c r="G372" t="s">
        <v>391</v>
      </c>
      <c r="H372" t="s">
        <v>9</v>
      </c>
      <c r="I372">
        <v>2.6786349601219332E-2</v>
      </c>
      <c r="J372" t="s">
        <v>6</v>
      </c>
    </row>
    <row r="373" spans="2:10" x14ac:dyDescent="0.45">
      <c r="B373" t="s">
        <v>390</v>
      </c>
      <c r="C373" t="s">
        <v>10</v>
      </c>
      <c r="D373">
        <v>0</v>
      </c>
      <c r="E373" t="s">
        <v>6</v>
      </c>
      <c r="G373" t="s">
        <v>391</v>
      </c>
      <c r="H373" t="s">
        <v>10</v>
      </c>
      <c r="I373">
        <v>2.6729529420817993E-2</v>
      </c>
      <c r="J373" t="s">
        <v>6</v>
      </c>
    </row>
    <row r="374" spans="2:10" x14ac:dyDescent="0.45">
      <c r="B374" t="s">
        <v>390</v>
      </c>
      <c r="C374" t="s">
        <v>11</v>
      </c>
      <c r="D374">
        <v>9.0389414693972311E-3</v>
      </c>
      <c r="E374" t="s">
        <v>6</v>
      </c>
      <c r="G374" t="s">
        <v>391</v>
      </c>
      <c r="H374" t="s">
        <v>11</v>
      </c>
      <c r="I374">
        <v>2.6295009503284138E-2</v>
      </c>
      <c r="J374" t="s">
        <v>6</v>
      </c>
    </row>
    <row r="375" spans="2:10" x14ac:dyDescent="0.45">
      <c r="B375" t="s">
        <v>390</v>
      </c>
      <c r="C375" t="s">
        <v>12</v>
      </c>
      <c r="D375">
        <v>3.6420707860386446E-2</v>
      </c>
      <c r="E375" t="s">
        <v>6</v>
      </c>
      <c r="G375" t="s">
        <v>391</v>
      </c>
      <c r="H375" t="s">
        <v>12</v>
      </c>
      <c r="I375">
        <v>2.3105790039214577E-2</v>
      </c>
      <c r="J375" t="s">
        <v>6</v>
      </c>
    </row>
    <row r="376" spans="2:10" x14ac:dyDescent="0.45">
      <c r="B376" t="s">
        <v>390</v>
      </c>
      <c r="C376" t="s">
        <v>13</v>
      </c>
      <c r="D376">
        <v>4.4620337316595572E-2</v>
      </c>
      <c r="E376" t="s">
        <v>6</v>
      </c>
      <c r="G376" t="s">
        <v>391</v>
      </c>
      <c r="H376" t="s">
        <v>13</v>
      </c>
      <c r="I376">
        <v>2.3982054076266315E-2</v>
      </c>
      <c r="J376" t="s">
        <v>6</v>
      </c>
    </row>
    <row r="377" spans="2:10" x14ac:dyDescent="0.45">
      <c r="B377" t="s">
        <v>390</v>
      </c>
      <c r="C377" t="s">
        <v>14</v>
      </c>
      <c r="D377">
        <v>2.7506428676831698E-2</v>
      </c>
      <c r="E377" t="s">
        <v>6</v>
      </c>
      <c r="G377" t="s">
        <v>391</v>
      </c>
      <c r="H377" t="s">
        <v>14</v>
      </c>
      <c r="I377">
        <v>2.4089235276117123E-2</v>
      </c>
      <c r="J377" t="s">
        <v>6</v>
      </c>
    </row>
    <row r="378" spans="2:10" x14ac:dyDescent="0.45">
      <c r="B378" t="s">
        <v>390</v>
      </c>
      <c r="C378" t="s">
        <v>15</v>
      </c>
      <c r="D378">
        <v>4.0033693446113808E-3</v>
      </c>
      <c r="E378" t="s">
        <v>6</v>
      </c>
      <c r="G378" t="s">
        <v>391</v>
      </c>
      <c r="H378" t="s">
        <v>15</v>
      </c>
      <c r="I378">
        <v>2.545412903630823E-2</v>
      </c>
      <c r="J378" t="s">
        <v>6</v>
      </c>
    </row>
    <row r="379" spans="2:10" x14ac:dyDescent="0.45">
      <c r="B379" t="s">
        <v>390</v>
      </c>
      <c r="C379" t="s">
        <v>16</v>
      </c>
      <c r="D379">
        <v>0</v>
      </c>
      <c r="E379" t="s">
        <v>6</v>
      </c>
      <c r="G379" t="s">
        <v>391</v>
      </c>
      <c r="H379" t="s">
        <v>16</v>
      </c>
      <c r="I379">
        <v>2.7012509110303465E-2</v>
      </c>
      <c r="J379" t="s">
        <v>6</v>
      </c>
    </row>
    <row r="380" spans="2:10" x14ac:dyDescent="0.45">
      <c r="B380" t="s">
        <v>390</v>
      </c>
      <c r="C380" t="s">
        <v>17</v>
      </c>
      <c r="D380">
        <v>0</v>
      </c>
      <c r="E380" t="s">
        <v>6</v>
      </c>
      <c r="G380" t="s">
        <v>391</v>
      </c>
      <c r="H380" t="s">
        <v>17</v>
      </c>
      <c r="I380">
        <v>4.130713849812024E-2</v>
      </c>
      <c r="J380" t="s">
        <v>6</v>
      </c>
    </row>
    <row r="381" spans="2:10" x14ac:dyDescent="0.45">
      <c r="B381" t="s">
        <v>390</v>
      </c>
      <c r="C381" t="s">
        <v>18</v>
      </c>
      <c r="D381">
        <v>0</v>
      </c>
      <c r="E381" t="s">
        <v>6</v>
      </c>
      <c r="G381" t="s">
        <v>391</v>
      </c>
      <c r="H381" t="s">
        <v>18</v>
      </c>
      <c r="I381">
        <v>5.2194710443509498E-2</v>
      </c>
      <c r="J381" t="s">
        <v>6</v>
      </c>
    </row>
    <row r="382" spans="2:10" x14ac:dyDescent="0.45">
      <c r="B382" t="s">
        <v>390</v>
      </c>
      <c r="C382" t="s">
        <v>19</v>
      </c>
      <c r="D382">
        <v>2.3601788938050876E-4</v>
      </c>
      <c r="E382" t="s">
        <v>6</v>
      </c>
      <c r="G382" t="s">
        <v>391</v>
      </c>
      <c r="H382" t="s">
        <v>19</v>
      </c>
      <c r="I382">
        <v>2.0894393172765324E-2</v>
      </c>
      <c r="J382" t="s">
        <v>6</v>
      </c>
    </row>
    <row r="383" spans="2:10" x14ac:dyDescent="0.45">
      <c r="B383" t="s">
        <v>390</v>
      </c>
      <c r="C383" t="s">
        <v>20</v>
      </c>
      <c r="D383">
        <v>1.0781463474774539E-2</v>
      </c>
      <c r="E383" t="s">
        <v>6</v>
      </c>
      <c r="G383" t="s">
        <v>391</v>
      </c>
      <c r="H383" t="s">
        <v>20</v>
      </c>
      <c r="I383">
        <v>2.0335881087126025E-2</v>
      </c>
      <c r="J383" t="s">
        <v>6</v>
      </c>
    </row>
    <row r="384" spans="2:10" x14ac:dyDescent="0.45">
      <c r="B384" t="s">
        <v>390</v>
      </c>
      <c r="C384" t="s">
        <v>21</v>
      </c>
      <c r="D384">
        <v>4.8472660787902619E-2</v>
      </c>
      <c r="E384" t="s">
        <v>6</v>
      </c>
      <c r="G384" t="s">
        <v>391</v>
      </c>
      <c r="H384" t="s">
        <v>21</v>
      </c>
      <c r="I384">
        <v>1.9829971142659296E-2</v>
      </c>
      <c r="J384" t="s">
        <v>6</v>
      </c>
    </row>
    <row r="385" spans="2:10" x14ac:dyDescent="0.45">
      <c r="B385" t="s">
        <v>390</v>
      </c>
      <c r="C385" t="s">
        <v>22</v>
      </c>
      <c r="D385">
        <v>7.8040798707270265E-2</v>
      </c>
      <c r="E385" t="s">
        <v>6</v>
      </c>
      <c r="G385" t="s">
        <v>391</v>
      </c>
      <c r="H385" t="s">
        <v>22</v>
      </c>
      <c r="I385">
        <v>1.6621709325672668E-2</v>
      </c>
      <c r="J385" t="s">
        <v>6</v>
      </c>
    </row>
    <row r="386" spans="2:10" x14ac:dyDescent="0.45">
      <c r="B386" t="s">
        <v>390</v>
      </c>
      <c r="C386" t="s">
        <v>23</v>
      </c>
      <c r="D386">
        <v>8.2447856623759017E-2</v>
      </c>
      <c r="E386" t="s">
        <v>6</v>
      </c>
      <c r="G386" t="s">
        <v>391</v>
      </c>
      <c r="H386" t="s">
        <v>23</v>
      </c>
      <c r="I386">
        <v>1.9064330222138871E-2</v>
      </c>
      <c r="J386" t="s">
        <v>6</v>
      </c>
    </row>
    <row r="387" spans="2:10" x14ac:dyDescent="0.45">
      <c r="B387" t="s">
        <v>390</v>
      </c>
      <c r="C387" t="s">
        <v>24</v>
      </c>
      <c r="D387">
        <v>6.2873978043429674E-2</v>
      </c>
      <c r="E387" t="s">
        <v>6</v>
      </c>
      <c r="G387" t="s">
        <v>391</v>
      </c>
      <c r="H387" t="s">
        <v>24</v>
      </c>
      <c r="I387">
        <v>2.0048955113247949E-2</v>
      </c>
      <c r="J387" t="s">
        <v>6</v>
      </c>
    </row>
    <row r="388" spans="2:10" x14ac:dyDescent="0.45">
      <c r="B388" t="s">
        <v>390</v>
      </c>
      <c r="C388" t="s">
        <v>25</v>
      </c>
      <c r="D388">
        <v>2.9389023495285209E-2</v>
      </c>
      <c r="E388" t="s">
        <v>6</v>
      </c>
      <c r="G388" t="s">
        <v>391</v>
      </c>
      <c r="H388" t="s">
        <v>25</v>
      </c>
      <c r="I388">
        <v>1.976996158332384E-2</v>
      </c>
      <c r="J388" t="s">
        <v>6</v>
      </c>
    </row>
    <row r="389" spans="2:10" x14ac:dyDescent="0.45">
      <c r="B389" t="s">
        <v>390</v>
      </c>
      <c r="C389" t="s">
        <v>26</v>
      </c>
      <c r="D389">
        <v>3.2432373168450267E-3</v>
      </c>
      <c r="E389" t="s">
        <v>6</v>
      </c>
      <c r="G389" t="s">
        <v>391</v>
      </c>
      <c r="H389" t="s">
        <v>26</v>
      </c>
      <c r="I389">
        <v>1.996563611730498E-2</v>
      </c>
      <c r="J389" t="s">
        <v>6</v>
      </c>
    </row>
    <row r="390" spans="2:10" x14ac:dyDescent="0.45">
      <c r="B390" t="s">
        <v>390</v>
      </c>
      <c r="C390" t="s">
        <v>27</v>
      </c>
      <c r="D390">
        <v>1.1653481381796913E-7</v>
      </c>
      <c r="E390" t="s">
        <v>6</v>
      </c>
      <c r="G390" t="s">
        <v>391</v>
      </c>
      <c r="H390" t="s">
        <v>27</v>
      </c>
      <c r="I390">
        <v>3.1347098798673451E-2</v>
      </c>
      <c r="J390" t="s">
        <v>6</v>
      </c>
    </row>
    <row r="391" spans="2:10" x14ac:dyDescent="0.45">
      <c r="B391" t="s">
        <v>390</v>
      </c>
      <c r="C391" t="s">
        <v>28</v>
      </c>
      <c r="D391">
        <v>0</v>
      </c>
      <c r="E391" t="s">
        <v>6</v>
      </c>
      <c r="G391" t="s">
        <v>391</v>
      </c>
      <c r="H391" t="s">
        <v>28</v>
      </c>
      <c r="I391">
        <v>4.1692903879314056E-2</v>
      </c>
      <c r="J391" t="s">
        <v>6</v>
      </c>
    </row>
    <row r="392" spans="2:10" x14ac:dyDescent="0.45">
      <c r="B392" t="s">
        <v>390</v>
      </c>
      <c r="C392" t="s">
        <v>29</v>
      </c>
      <c r="D392">
        <v>9.4501621988471918E-4</v>
      </c>
      <c r="E392" t="s">
        <v>6</v>
      </c>
      <c r="G392" t="s">
        <v>391</v>
      </c>
      <c r="H392" t="s">
        <v>29</v>
      </c>
      <c r="I392">
        <v>1.4850514125541251E-2</v>
      </c>
      <c r="J392" t="s">
        <v>6</v>
      </c>
    </row>
    <row r="393" spans="2:10" x14ac:dyDescent="0.45">
      <c r="B393" t="s">
        <v>390</v>
      </c>
      <c r="C393" t="s">
        <v>30</v>
      </c>
      <c r="D393">
        <v>1.64261448569974E-2</v>
      </c>
      <c r="E393" t="s">
        <v>6</v>
      </c>
      <c r="G393" t="s">
        <v>391</v>
      </c>
      <c r="H393" t="s">
        <v>30</v>
      </c>
      <c r="I393">
        <v>1.2964231161705654E-2</v>
      </c>
      <c r="J393" t="s">
        <v>6</v>
      </c>
    </row>
    <row r="394" spans="2:10" x14ac:dyDescent="0.45">
      <c r="B394" t="s">
        <v>390</v>
      </c>
      <c r="C394" t="s">
        <v>31</v>
      </c>
      <c r="D394">
        <v>5.4289350513117687E-2</v>
      </c>
      <c r="E394" t="s">
        <v>6</v>
      </c>
      <c r="G394" t="s">
        <v>391</v>
      </c>
      <c r="H394" t="s">
        <v>31</v>
      </c>
      <c r="I394">
        <v>1.1782091324142496E-2</v>
      </c>
      <c r="J394" t="s">
        <v>6</v>
      </c>
    </row>
    <row r="395" spans="2:10" x14ac:dyDescent="0.45">
      <c r="B395" t="s">
        <v>390</v>
      </c>
      <c r="C395" t="s">
        <v>32</v>
      </c>
      <c r="D395">
        <v>8.4136692972324331E-2</v>
      </c>
      <c r="E395" t="s">
        <v>6</v>
      </c>
      <c r="G395" t="s">
        <v>391</v>
      </c>
      <c r="H395" t="s">
        <v>32</v>
      </c>
      <c r="I395">
        <v>1.0629984198104091E-2</v>
      </c>
      <c r="J395" t="s">
        <v>6</v>
      </c>
    </row>
    <row r="396" spans="2:10" x14ac:dyDescent="0.45">
      <c r="B396" t="s">
        <v>390</v>
      </c>
      <c r="C396" t="s">
        <v>33</v>
      </c>
      <c r="D396">
        <v>9.0530837201069456E-2</v>
      </c>
      <c r="E396" t="s">
        <v>6</v>
      </c>
      <c r="G396" t="s">
        <v>391</v>
      </c>
      <c r="H396" t="s">
        <v>33</v>
      </c>
      <c r="I396">
        <v>1.2351625727513284E-2</v>
      </c>
      <c r="J396" t="s">
        <v>6</v>
      </c>
    </row>
    <row r="397" spans="2:10" x14ac:dyDescent="0.45">
      <c r="B397" t="s">
        <v>390</v>
      </c>
      <c r="C397" t="s">
        <v>34</v>
      </c>
      <c r="D397">
        <v>7.3502372838247898E-2</v>
      </c>
      <c r="E397" t="s">
        <v>6</v>
      </c>
      <c r="G397" t="s">
        <v>391</v>
      </c>
      <c r="H397" t="s">
        <v>34</v>
      </c>
      <c r="I397">
        <v>1.3037611342968698E-2</v>
      </c>
      <c r="J397" t="s">
        <v>6</v>
      </c>
    </row>
    <row r="398" spans="2:10" x14ac:dyDescent="0.45">
      <c r="B398" t="s">
        <v>390</v>
      </c>
      <c r="C398" t="s">
        <v>35</v>
      </c>
      <c r="D398">
        <v>4.1855027326582243E-2</v>
      </c>
      <c r="E398" t="s">
        <v>6</v>
      </c>
      <c r="G398" t="s">
        <v>391</v>
      </c>
      <c r="H398" t="s">
        <v>35</v>
      </c>
      <c r="I398">
        <v>1.3154761197952178E-2</v>
      </c>
      <c r="J398" t="s">
        <v>6</v>
      </c>
    </row>
    <row r="399" spans="2:10" x14ac:dyDescent="0.45">
      <c r="B399" t="s">
        <v>390</v>
      </c>
      <c r="C399" t="s">
        <v>36</v>
      </c>
      <c r="D399">
        <v>8.0039400015149108E-3</v>
      </c>
      <c r="E399" t="s">
        <v>6</v>
      </c>
      <c r="G399" t="s">
        <v>391</v>
      </c>
      <c r="H399" t="s">
        <v>36</v>
      </c>
      <c r="I399">
        <v>1.3655845470379796E-2</v>
      </c>
      <c r="J399" t="s">
        <v>6</v>
      </c>
    </row>
    <row r="400" spans="2:10" x14ac:dyDescent="0.45">
      <c r="B400" t="s">
        <v>390</v>
      </c>
      <c r="C400" t="s">
        <v>37</v>
      </c>
      <c r="D400">
        <v>6.9150537021790887E-5</v>
      </c>
      <c r="E400" t="s">
        <v>6</v>
      </c>
      <c r="G400" t="s">
        <v>391</v>
      </c>
      <c r="H400" t="s">
        <v>37</v>
      </c>
      <c r="I400">
        <v>2.492351627455509E-2</v>
      </c>
      <c r="J400" t="s">
        <v>6</v>
      </c>
    </row>
    <row r="401" spans="2:10" x14ac:dyDescent="0.45">
      <c r="B401" t="s">
        <v>390</v>
      </c>
      <c r="C401" t="s">
        <v>38</v>
      </c>
      <c r="D401">
        <v>0</v>
      </c>
      <c r="E401" t="s">
        <v>6</v>
      </c>
      <c r="G401" t="s">
        <v>391</v>
      </c>
      <c r="H401" t="s">
        <v>38</v>
      </c>
      <c r="I401">
        <v>5.9014161160198073E-2</v>
      </c>
      <c r="J401" t="s">
        <v>6</v>
      </c>
    </row>
    <row r="402" spans="2:10" x14ac:dyDescent="0.45">
      <c r="B402" t="s">
        <v>390</v>
      </c>
      <c r="C402" t="s">
        <v>39</v>
      </c>
      <c r="D402">
        <v>0</v>
      </c>
      <c r="E402" t="s">
        <v>6</v>
      </c>
      <c r="G402" t="s">
        <v>391</v>
      </c>
      <c r="H402" t="s">
        <v>39</v>
      </c>
      <c r="I402">
        <v>2.2385612515660465E-2</v>
      </c>
      <c r="J402" t="s">
        <v>6</v>
      </c>
    </row>
    <row r="403" spans="2:10" x14ac:dyDescent="0.45">
      <c r="B403" t="s">
        <v>390</v>
      </c>
      <c r="C403" t="s">
        <v>40</v>
      </c>
      <c r="D403">
        <v>3.1065132604139781E-3</v>
      </c>
      <c r="E403" t="s">
        <v>6</v>
      </c>
      <c r="G403" t="s">
        <v>391</v>
      </c>
      <c r="H403" t="s">
        <v>40</v>
      </c>
      <c r="I403">
        <v>2.234042387276344E-2</v>
      </c>
      <c r="J403" t="s">
        <v>6</v>
      </c>
    </row>
    <row r="404" spans="2:10" x14ac:dyDescent="0.45">
      <c r="B404" t="s">
        <v>390</v>
      </c>
      <c r="C404" t="s">
        <v>41</v>
      </c>
      <c r="D404">
        <v>2.9113369689777572E-2</v>
      </c>
      <c r="E404" t="s">
        <v>6</v>
      </c>
      <c r="G404" t="s">
        <v>391</v>
      </c>
      <c r="H404" t="s">
        <v>41</v>
      </c>
      <c r="I404">
        <v>2.1611554302403805E-2</v>
      </c>
      <c r="J404" t="s">
        <v>6</v>
      </c>
    </row>
    <row r="405" spans="2:10" x14ac:dyDescent="0.45">
      <c r="B405" t="s">
        <v>390</v>
      </c>
      <c r="C405" t="s">
        <v>42</v>
      </c>
      <c r="D405">
        <v>5.5060470986024568E-2</v>
      </c>
      <c r="E405" t="s">
        <v>6</v>
      </c>
      <c r="G405" t="s">
        <v>391</v>
      </c>
      <c r="H405" t="s">
        <v>42</v>
      </c>
      <c r="I405">
        <v>2.0027770862916402E-2</v>
      </c>
      <c r="J405" t="s">
        <v>6</v>
      </c>
    </row>
    <row r="406" spans="2:10" x14ac:dyDescent="0.45">
      <c r="B406" t="s">
        <v>390</v>
      </c>
      <c r="C406" t="s">
        <v>43</v>
      </c>
      <c r="D406">
        <v>5.8103097847040333E-2</v>
      </c>
      <c r="E406" t="s">
        <v>6</v>
      </c>
      <c r="G406" t="s">
        <v>391</v>
      </c>
      <c r="H406" t="s">
        <v>43</v>
      </c>
      <c r="I406">
        <v>2.206101436348612E-2</v>
      </c>
      <c r="J406" t="s">
        <v>6</v>
      </c>
    </row>
    <row r="407" spans="2:10" x14ac:dyDescent="0.45">
      <c r="B407" t="s">
        <v>390</v>
      </c>
      <c r="C407" t="s">
        <v>44</v>
      </c>
      <c r="D407">
        <v>3.7907427550011856E-2</v>
      </c>
      <c r="E407" t="s">
        <v>6</v>
      </c>
      <c r="G407" t="s">
        <v>391</v>
      </c>
      <c r="H407" t="s">
        <v>44</v>
      </c>
      <c r="I407">
        <v>2.2725899463463786E-2</v>
      </c>
      <c r="J407" t="s">
        <v>6</v>
      </c>
    </row>
    <row r="408" spans="2:10" x14ac:dyDescent="0.45">
      <c r="B408" t="s">
        <v>390</v>
      </c>
      <c r="C408" t="s">
        <v>45</v>
      </c>
      <c r="D408">
        <v>9.701212458205332E-3</v>
      </c>
      <c r="E408" t="s">
        <v>6</v>
      </c>
      <c r="G408" t="s">
        <v>391</v>
      </c>
      <c r="H408" t="s">
        <v>45</v>
      </c>
      <c r="I408">
        <v>2.3826173744442444E-2</v>
      </c>
      <c r="J408" t="s">
        <v>6</v>
      </c>
    </row>
    <row r="409" spans="2:10" x14ac:dyDescent="0.45">
      <c r="B409" t="s">
        <v>390</v>
      </c>
      <c r="C409" t="s">
        <v>46</v>
      </c>
      <c r="D409">
        <v>1.7443820048290733E-4</v>
      </c>
      <c r="E409" t="s">
        <v>6</v>
      </c>
      <c r="G409" t="s">
        <v>391</v>
      </c>
      <c r="H409" t="s">
        <v>46</v>
      </c>
      <c r="I409">
        <v>2.527423449332869E-2</v>
      </c>
      <c r="J409" t="s">
        <v>6</v>
      </c>
    </row>
    <row r="410" spans="2:10" x14ac:dyDescent="0.45">
      <c r="B410" t="s">
        <v>390</v>
      </c>
      <c r="C410" t="s">
        <v>47</v>
      </c>
      <c r="D410">
        <v>0</v>
      </c>
      <c r="E410" t="s">
        <v>6</v>
      </c>
      <c r="G410" t="s">
        <v>391</v>
      </c>
      <c r="H410" t="s">
        <v>47</v>
      </c>
      <c r="I410">
        <v>3.8083039453497905E-2</v>
      </c>
      <c r="J410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5933-0322-474A-ADE7-2912CFEBA5BA}">
  <dimension ref="B9:FT30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region=BEL")</f>
        <v>~TFM_DINS-TSL: attribute=FLO_EMIS; other_indexes=ACT; region=BEL</v>
      </c>
      <c r="AS9" t="str">
        <f>IF(A11="x","DeActivated","~TFM_INS-TSL: attribute=FLO_SHAR; limtype=FX; region=BEL")</f>
        <v>~TFM_INS-TSL: attribute=FLO_SHAR; limtype=FX; region=BEL</v>
      </c>
      <c r="CJ9" t="str">
        <f>IF(A11="x","DeActivated","~TFM_INS-TSL: attribute=FLO_SHAR; limtype=FX; region=BEL")</f>
        <v>~TFM_INS-TSL: attribute=FLO_SHAR; limtype=FX; region=BEL</v>
      </c>
      <c r="EA9" t="str">
        <f>IF(A11="x","DeActivated","~TFM_DINS-TSL: attribute=NCAP_PKCNT; region=BEL")</f>
        <v>~TFM_DINS-TSL: attribute=NCAP_PKCNT; region=BEL</v>
      </c>
      <c r="FQ9" t="str">
        <f>IF(A11="x","DeActivated","~TFM_DINS-AT: region=BEL")</f>
        <v>~TFM_DINS-AT: region=BEL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392</v>
      </c>
      <c r="C11" t="s">
        <v>123</v>
      </c>
      <c r="D11">
        <v>0</v>
      </c>
      <c r="E11">
        <v>0</v>
      </c>
      <c r="F11">
        <v>0</v>
      </c>
      <c r="G11">
        <v>0.53903725872561303</v>
      </c>
      <c r="H11">
        <v>0.32520461390820354</v>
      </c>
      <c r="I11">
        <v>0.30128693198430034</v>
      </c>
      <c r="J11">
        <v>0.31340245208706152</v>
      </c>
      <c r="K11">
        <v>0.61740640282725368</v>
      </c>
      <c r="L11">
        <v>0</v>
      </c>
      <c r="M11">
        <v>0</v>
      </c>
      <c r="N11">
        <v>0</v>
      </c>
      <c r="O11">
        <v>0.84983434414007997</v>
      </c>
      <c r="P11">
        <v>0.45441305722260217</v>
      </c>
      <c r="Q11">
        <v>0.25699070282811415</v>
      </c>
      <c r="R11">
        <v>0.21692338635094099</v>
      </c>
      <c r="S11">
        <v>0.18402968163967115</v>
      </c>
      <c r="T11">
        <v>0.18069093106125353</v>
      </c>
      <c r="U11">
        <v>0.23678970207360825</v>
      </c>
      <c r="V11">
        <v>0.51310085092012625</v>
      </c>
      <c r="W11">
        <v>0.99275362318840599</v>
      </c>
      <c r="X11">
        <v>0</v>
      </c>
      <c r="Y11">
        <v>0.67394908221161876</v>
      </c>
      <c r="Z11">
        <v>0.32407333516687048</v>
      </c>
      <c r="AA11">
        <v>0.17444047748355651</v>
      </c>
      <c r="AB11">
        <v>0.14284278225572236</v>
      </c>
      <c r="AC11">
        <v>0.12952968811937932</v>
      </c>
      <c r="AD11">
        <v>0.13965824837596708</v>
      </c>
      <c r="AE11">
        <v>0.16186299604298202</v>
      </c>
      <c r="AF11">
        <v>0.33187182362195672</v>
      </c>
      <c r="AG11">
        <v>0.84027995137873368</v>
      </c>
      <c r="AH11">
        <v>0</v>
      </c>
      <c r="AI11">
        <v>0</v>
      </c>
      <c r="AJ11">
        <v>0.7246442665634597</v>
      </c>
      <c r="AK11">
        <v>0.35140087778885276</v>
      </c>
      <c r="AL11">
        <v>0.27396512506764681</v>
      </c>
      <c r="AM11">
        <v>0.26102831122268028</v>
      </c>
      <c r="AN11">
        <v>0.30145695734511302</v>
      </c>
      <c r="AO11">
        <v>0.47550185421655211</v>
      </c>
      <c r="AP11">
        <v>0.90372686260530533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</v>
      </c>
      <c r="AX11">
        <v>0.34197555879763192</v>
      </c>
      <c r="AY11">
        <v>0.15584394212672503</v>
      </c>
      <c r="AZ11">
        <v>0.11738600433175454</v>
      </c>
      <c r="BA11">
        <v>2.9965531802951539E-2</v>
      </c>
      <c r="BB11">
        <v>0.11648928277759241</v>
      </c>
      <c r="BC11">
        <v>0</v>
      </c>
      <c r="BD11">
        <v>0</v>
      </c>
      <c r="BE11">
        <v>0</v>
      </c>
      <c r="BF11">
        <v>0.71463543808166585</v>
      </c>
      <c r="BG11">
        <v>0.30172432541170346</v>
      </c>
      <c r="BH11">
        <v>0.14353357992524096</v>
      </c>
      <c r="BI11">
        <v>9.6739558186696911E-2</v>
      </c>
      <c r="BJ11">
        <v>3.8234466511592909E-2</v>
      </c>
      <c r="BK11">
        <v>1.9295983268250886E-2</v>
      </c>
      <c r="BL11">
        <v>2.7347684234152621E-2</v>
      </c>
      <c r="BM11">
        <v>0.16983800304709304</v>
      </c>
      <c r="BN11">
        <v>0.12807094794516227</v>
      </c>
      <c r="BO11">
        <v>0</v>
      </c>
      <c r="BP11">
        <v>0.47722838996761341</v>
      </c>
      <c r="BQ11">
        <v>0.18972839671629754</v>
      </c>
      <c r="BR11">
        <v>9.5127092866999496E-2</v>
      </c>
      <c r="BS11">
        <v>7.1917954944481471E-2</v>
      </c>
      <c r="BT11">
        <v>1.102025368685426E-2</v>
      </c>
      <c r="BU11">
        <v>1.3681286720933475E-2</v>
      </c>
      <c r="BV11">
        <v>1.5061576578872689E-2</v>
      </c>
      <c r="BW11">
        <v>0.12492822332449841</v>
      </c>
      <c r="BX11">
        <v>0.68189667899125483</v>
      </c>
      <c r="BY11">
        <v>0</v>
      </c>
      <c r="BZ11">
        <v>0</v>
      </c>
      <c r="CA11">
        <v>0.55656919872402144</v>
      </c>
      <c r="CB11">
        <v>0.19851009483974427</v>
      </c>
      <c r="CC11">
        <v>0.12824176141840071</v>
      </c>
      <c r="CD11">
        <v>2.1525952757046132E-2</v>
      </c>
      <c r="CE11">
        <v>8.5502175383838728E-3</v>
      </c>
      <c r="CF11">
        <v>2.5928279703344E-2</v>
      </c>
      <c r="CG11">
        <v>1.9479910831576967E-2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2.568256521738067E-2</v>
      </c>
      <c r="CR11">
        <v>0.13957379597153935</v>
      </c>
      <c r="CS11">
        <v>0.32401810692606003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1.1568435164513264E-2</v>
      </c>
      <c r="DA11">
        <v>5.4088603379192225E-2</v>
      </c>
      <c r="DB11">
        <v>7.378588851451634E-2</v>
      </c>
      <c r="DC11">
        <v>8.7675123637790106E-2</v>
      </c>
      <c r="DD11">
        <v>7.610092820692918E-2</v>
      </c>
      <c r="DE11">
        <v>0.70353765969427517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5.396537375514962E-2</v>
      </c>
      <c r="DL11">
        <v>5.4826714151952075E-2</v>
      </c>
      <c r="DM11">
        <v>7.768983232035935E-2</v>
      </c>
      <c r="DN11">
        <v>1.7305384826345842E-2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0.10479480759777876</v>
      </c>
      <c r="DV11">
        <v>0.1554155328367855</v>
      </c>
      <c r="DW11">
        <v>0.25507867019633845</v>
      </c>
      <c r="DX11">
        <v>8.0563875110504071E-2</v>
      </c>
      <c r="DY11">
        <v>0</v>
      </c>
      <c r="EA11" t="s">
        <v>392</v>
      </c>
      <c r="EB11">
        <v>0</v>
      </c>
      <c r="EC11">
        <v>0</v>
      </c>
      <c r="ED11">
        <v>0</v>
      </c>
      <c r="EE11">
        <v>5.1213408390935321E-2</v>
      </c>
      <c r="EF11">
        <v>0.19965886824828943</v>
      </c>
      <c r="EG11">
        <v>0.25807004582862186</v>
      </c>
      <c r="EH11">
        <v>0.1772734045260157</v>
      </c>
      <c r="EI11">
        <v>3.027071568759835E-2</v>
      </c>
      <c r="EJ11">
        <v>0</v>
      </c>
      <c r="EK11">
        <v>0</v>
      </c>
      <c r="EL11">
        <v>0</v>
      </c>
      <c r="EM11">
        <v>8.6193478413200441E-4</v>
      </c>
      <c r="EN11">
        <v>4.8967069814760074E-2</v>
      </c>
      <c r="EO11">
        <v>0.24230134116833052</v>
      </c>
      <c r="EP11">
        <v>0.39817710585996086</v>
      </c>
      <c r="EQ11">
        <v>0.43910585363028354</v>
      </c>
      <c r="ER11">
        <v>0.34581493910647831</v>
      </c>
      <c r="ES11">
        <v>0.16664981681216692</v>
      </c>
      <c r="ET11">
        <v>2.0122955979432124E-2</v>
      </c>
      <c r="EU11">
        <v>3.6577324581068723E-7</v>
      </c>
      <c r="EV11">
        <v>0</v>
      </c>
      <c r="EW11">
        <v>3.6917788421713072E-3</v>
      </c>
      <c r="EX11">
        <v>8.2388574978116136E-2</v>
      </c>
      <c r="EY11">
        <v>0.301771317167908</v>
      </c>
      <c r="EZ11">
        <v>0.47576712909066876</v>
      </c>
      <c r="FA11">
        <v>0.51484025271891787</v>
      </c>
      <c r="FB11">
        <v>0.42434989894795505</v>
      </c>
      <c r="FC11">
        <v>0.2397400729877017</v>
      </c>
      <c r="FD11">
        <v>4.8880836039276551E-2</v>
      </c>
      <c r="FE11">
        <v>2.8740769255742595E-4</v>
      </c>
      <c r="FF11">
        <v>0</v>
      </c>
      <c r="FG11">
        <v>0</v>
      </c>
      <c r="FH11">
        <v>1.4125899350433931E-2</v>
      </c>
      <c r="FI11">
        <v>0.14846995129608614</v>
      </c>
      <c r="FJ11">
        <v>0.29793326604908787</v>
      </c>
      <c r="FK11">
        <v>0.32129361805708312</v>
      </c>
      <c r="FL11">
        <v>0.21811830939728841</v>
      </c>
      <c r="FM11">
        <v>6.4728331705547565E-2</v>
      </c>
      <c r="FN11">
        <v>1.4621537320515926E-3</v>
      </c>
      <c r="FO11">
        <v>0</v>
      </c>
      <c r="FQ11" t="s">
        <v>392</v>
      </c>
      <c r="FR11" t="s">
        <v>127</v>
      </c>
      <c r="FS11" t="s">
        <v>128</v>
      </c>
      <c r="FT11">
        <v>0.42740859606187992</v>
      </c>
    </row>
    <row r="12" spans="2:176" x14ac:dyDescent="0.45">
      <c r="B12" t="s">
        <v>393</v>
      </c>
      <c r="C12" t="s">
        <v>123</v>
      </c>
      <c r="D12">
        <v>0</v>
      </c>
      <c r="E12">
        <v>0</v>
      </c>
      <c r="F12">
        <v>0</v>
      </c>
      <c r="G12">
        <v>0.535586895466859</v>
      </c>
      <c r="H12">
        <v>0.29353396743745591</v>
      </c>
      <c r="I12">
        <v>0.26433665922790311</v>
      </c>
      <c r="J12">
        <v>0.30441409295385796</v>
      </c>
      <c r="K12">
        <v>0.57485734288035117</v>
      </c>
      <c r="L12">
        <v>0</v>
      </c>
      <c r="M12">
        <v>0</v>
      </c>
      <c r="N12">
        <v>0</v>
      </c>
      <c r="O12">
        <v>0.85607377767147363</v>
      </c>
      <c r="P12">
        <v>0.46184780238699757</v>
      </c>
      <c r="Q12">
        <v>0.2497813952552124</v>
      </c>
      <c r="R12">
        <v>0.2066293379814631</v>
      </c>
      <c r="S12">
        <v>0.17363226999810955</v>
      </c>
      <c r="T12">
        <v>0.16990332582860471</v>
      </c>
      <c r="U12">
        <v>0.22893688796319331</v>
      </c>
      <c r="V12">
        <v>0.50439863315370914</v>
      </c>
      <c r="W12">
        <v>0.98550724637681164</v>
      </c>
      <c r="X12">
        <v>0</v>
      </c>
      <c r="Y12">
        <v>0.68771289522739132</v>
      </c>
      <c r="Z12">
        <v>0.33084484477023063</v>
      </c>
      <c r="AA12">
        <v>0.18300168823821536</v>
      </c>
      <c r="AB12">
        <v>0.14443876733151628</v>
      </c>
      <c r="AC12">
        <v>0.13611008898947893</v>
      </c>
      <c r="AD12">
        <v>0.14261111409617278</v>
      </c>
      <c r="AE12">
        <v>0.15673095160622608</v>
      </c>
      <c r="AF12">
        <v>0.33308274822155259</v>
      </c>
      <c r="AG12">
        <v>0.81604334106418641</v>
      </c>
      <c r="AH12">
        <v>0</v>
      </c>
      <c r="AI12">
        <v>0</v>
      </c>
      <c r="AJ12">
        <v>0.73316489642983562</v>
      </c>
      <c r="AK12">
        <v>0.33986482183432443</v>
      </c>
      <c r="AL12">
        <v>0.24587409645651895</v>
      </c>
      <c r="AM12">
        <v>0.251612470130469</v>
      </c>
      <c r="AN12">
        <v>0.28723418467222844</v>
      </c>
      <c r="AO12">
        <v>0.47349933751570467</v>
      </c>
      <c r="AP12">
        <v>0.89071274608765649</v>
      </c>
      <c r="AQ12">
        <v>0</v>
      </c>
      <c r="AS12" t="s">
        <v>130</v>
      </c>
      <c r="AT12" t="s">
        <v>125</v>
      </c>
      <c r="AU12">
        <v>1.6638610176649665E-2</v>
      </c>
      <c r="AV12">
        <v>1.4512769106792586E-3</v>
      </c>
      <c r="AW12">
        <v>1.2818499309433871E-3</v>
      </c>
      <c r="AX12">
        <v>5.6566435294884117E-3</v>
      </c>
      <c r="AY12">
        <v>9.7673117733500653E-3</v>
      </c>
      <c r="AZ12">
        <v>6.7810933613676868E-3</v>
      </c>
      <c r="BA12">
        <v>5.1380939930985841E-3</v>
      </c>
      <c r="BB12">
        <v>1.7445377113502257E-3</v>
      </c>
      <c r="BC12">
        <v>5.162499282506082E-3</v>
      </c>
      <c r="BD12">
        <v>1.3486440917088621E-2</v>
      </c>
      <c r="BE12">
        <v>2.0939606343877915E-2</v>
      </c>
      <c r="BF12">
        <v>9.2276375611803109E-3</v>
      </c>
      <c r="BG12">
        <v>1.0561656775953386E-2</v>
      </c>
      <c r="BH12">
        <v>1.1658074938410722E-4</v>
      </c>
      <c r="BI12">
        <v>9.7953550066506301E-3</v>
      </c>
      <c r="BJ12">
        <v>1.048036112736808E-2</v>
      </c>
      <c r="BK12">
        <v>1.0623755390066351E-2</v>
      </c>
      <c r="BL12">
        <v>1.2739606457053706E-2</v>
      </c>
      <c r="BM12">
        <v>1.6596666053505342E-2</v>
      </c>
      <c r="BN12">
        <v>1.3539845494983103E-2</v>
      </c>
      <c r="BO12">
        <v>2.823874664554641E-2</v>
      </c>
      <c r="BP12">
        <v>1.2675551251180368E-2</v>
      </c>
      <c r="BQ12">
        <v>1.4659211496546422E-2</v>
      </c>
      <c r="BR12">
        <v>9.0847117503139365E-3</v>
      </c>
      <c r="BS12">
        <v>1.8606959032979039E-2</v>
      </c>
      <c r="BT12">
        <v>1.2860179514588881E-2</v>
      </c>
      <c r="BU12">
        <v>7.3920054671619585E-3</v>
      </c>
      <c r="BV12">
        <v>0</v>
      </c>
      <c r="BW12">
        <v>8.8823646020370472E-3</v>
      </c>
      <c r="BX12">
        <v>2.8231805939795129E-2</v>
      </c>
      <c r="BY12">
        <v>5.3932658205070629E-3</v>
      </c>
      <c r="BZ12">
        <v>1.3407931675507629E-2</v>
      </c>
      <c r="CA12">
        <v>9.1817426005972123E-3</v>
      </c>
      <c r="CB12">
        <v>1.9770926749716924E-3</v>
      </c>
      <c r="CC12">
        <v>8.0640004307553758E-3</v>
      </c>
      <c r="CD12">
        <v>1.5059612122324033E-2</v>
      </c>
      <c r="CE12">
        <v>2.0366431023514417E-2</v>
      </c>
      <c r="CF12">
        <v>1.3367218221631505E-2</v>
      </c>
      <c r="CG12">
        <v>1.1447877206301157E-2</v>
      </c>
      <c r="CH12">
        <v>8.8397823685254107E-3</v>
      </c>
      <c r="CJ12" t="s">
        <v>130</v>
      </c>
      <c r="CK12" t="s">
        <v>126</v>
      </c>
      <c r="CL12">
        <v>2.623399017812374E-2</v>
      </c>
      <c r="CM12">
        <v>4.0054129340538744E-2</v>
      </c>
      <c r="CN12">
        <v>2.6120818136009527E-2</v>
      </c>
      <c r="CO12">
        <v>1.460464253802247E-2</v>
      </c>
      <c r="CP12">
        <v>1.5498737623648777E-2</v>
      </c>
      <c r="CQ12">
        <v>2.6312659720015723E-2</v>
      </c>
      <c r="CR12">
        <v>2.1030337536295126E-2</v>
      </c>
      <c r="CS12">
        <v>2.1681849542915198E-2</v>
      </c>
      <c r="CT12">
        <v>1.5124612735443197E-2</v>
      </c>
      <c r="CU12">
        <v>1.158961365311172E-2</v>
      </c>
      <c r="CV12">
        <v>3.4446016862693954E-2</v>
      </c>
      <c r="CW12">
        <v>4.8730038893436592E-2</v>
      </c>
      <c r="CX12">
        <v>3.9425885313311496E-2</v>
      </c>
      <c r="CY12">
        <v>3.9699104309168613E-2</v>
      </c>
      <c r="CZ12">
        <v>4.7882371350698949E-2</v>
      </c>
      <c r="DA12">
        <v>1.6336050487329803E-2</v>
      </c>
      <c r="DB12">
        <v>2.004013375200352E-2</v>
      </c>
      <c r="DC12">
        <v>2.199989652881704E-2</v>
      </c>
      <c r="DD12">
        <v>1.317771493596244E-2</v>
      </c>
      <c r="DE12">
        <v>2.1260599157093329E-2</v>
      </c>
      <c r="DF12">
        <v>3.0368321555990042E-2</v>
      </c>
      <c r="DG12">
        <v>5.1229267790111783E-2</v>
      </c>
      <c r="DH12">
        <v>6.0675501955990342E-2</v>
      </c>
      <c r="DI12">
        <v>5.3322418543316819E-2</v>
      </c>
      <c r="DJ12">
        <v>2.6952569942507641E-2</v>
      </c>
      <c r="DK12">
        <v>2.1264741375491582E-2</v>
      </c>
      <c r="DL12">
        <v>1.9520361295678666E-2</v>
      </c>
      <c r="DM12">
        <v>3.9496031516836887E-2</v>
      </c>
      <c r="DN12">
        <v>3.251412721960855E-2</v>
      </c>
      <c r="DO12">
        <v>1.2363692450211749E-2</v>
      </c>
      <c r="DP12">
        <v>2.5666719045527201E-2</v>
      </c>
      <c r="DQ12">
        <v>1.3518958236479285E-2</v>
      </c>
      <c r="DR12">
        <v>2.8236432717685639E-2</v>
      </c>
      <c r="DS12">
        <v>4.0147898372065165E-2</v>
      </c>
      <c r="DT12">
        <v>2.8648830359120424E-2</v>
      </c>
      <c r="DU12">
        <v>1.2620788959210904E-2</v>
      </c>
      <c r="DV12">
        <v>1.4354213091603387E-2</v>
      </c>
      <c r="DW12">
        <v>2.8614833367353109E-2</v>
      </c>
      <c r="DX12">
        <v>3.2417116607063368E-2</v>
      </c>
      <c r="DY12">
        <v>3.4303156265669058E-2</v>
      </c>
      <c r="EA12" t="s">
        <v>393</v>
      </c>
      <c r="EB12">
        <v>0</v>
      </c>
      <c r="EC12">
        <v>0</v>
      </c>
      <c r="ED12">
        <v>0</v>
      </c>
      <c r="EE12">
        <v>5.2468503154909724E-2</v>
      </c>
      <c r="EF12">
        <v>0.20828221856496518</v>
      </c>
      <c r="EG12">
        <v>0.27098669033263312</v>
      </c>
      <c r="EH12">
        <v>0.18704547907230229</v>
      </c>
      <c r="EI12">
        <v>3.7583076017328708E-2</v>
      </c>
      <c r="EJ12">
        <v>0</v>
      </c>
      <c r="EK12">
        <v>0</v>
      </c>
      <c r="EL12">
        <v>0</v>
      </c>
      <c r="EM12">
        <v>7.7706104368673317E-4</v>
      </c>
      <c r="EN12">
        <v>4.7536475833204327E-2</v>
      </c>
      <c r="EO12">
        <v>0.23292796769445226</v>
      </c>
      <c r="EP12">
        <v>0.39675013927566211</v>
      </c>
      <c r="EQ12">
        <v>0.43753470091233382</v>
      </c>
      <c r="ER12">
        <v>0.34578891051367516</v>
      </c>
      <c r="ES12">
        <v>0.17295205157245094</v>
      </c>
      <c r="ET12">
        <v>2.3534274626521454E-2</v>
      </c>
      <c r="EU12">
        <v>8.8284029066122712E-6</v>
      </c>
      <c r="EV12">
        <v>0</v>
      </c>
      <c r="EW12">
        <v>3.1888051309329896E-3</v>
      </c>
      <c r="EX12">
        <v>7.6434985168036554E-2</v>
      </c>
      <c r="EY12">
        <v>0.29150907863651843</v>
      </c>
      <c r="EZ12">
        <v>0.47088659323550214</v>
      </c>
      <c r="FA12">
        <v>0.50523791592403011</v>
      </c>
      <c r="FB12">
        <v>0.4261391550762631</v>
      </c>
      <c r="FC12">
        <v>0.24830785969118829</v>
      </c>
      <c r="FD12">
        <v>5.3276482329927551E-2</v>
      </c>
      <c r="FE12">
        <v>4.8875846445590771E-4</v>
      </c>
      <c r="FF12">
        <v>0</v>
      </c>
      <c r="FG12">
        <v>0</v>
      </c>
      <c r="FH12">
        <v>1.3131495391541917E-2</v>
      </c>
      <c r="FI12">
        <v>0.15338614129048622</v>
      </c>
      <c r="FJ12">
        <v>0.31443780377448211</v>
      </c>
      <c r="FK12">
        <v>0.33444594109848641</v>
      </c>
      <c r="FL12">
        <v>0.22553556603515623</v>
      </c>
      <c r="FM12">
        <v>6.8856737761122416E-2</v>
      </c>
      <c r="FN12">
        <v>1.9334052129371421E-3</v>
      </c>
      <c r="FO12">
        <v>0</v>
      </c>
      <c r="FQ12" t="s">
        <v>393</v>
      </c>
      <c r="FR12" t="s">
        <v>127</v>
      </c>
      <c r="FS12" t="s">
        <v>128</v>
      </c>
      <c r="FT12">
        <v>0.45606553543451334</v>
      </c>
    </row>
    <row r="13" spans="2:176" x14ac:dyDescent="0.45">
      <c r="B13" t="s">
        <v>394</v>
      </c>
      <c r="C13" t="s">
        <v>123</v>
      </c>
      <c r="D13">
        <v>0</v>
      </c>
      <c r="E13">
        <v>0</v>
      </c>
      <c r="F13">
        <v>0</v>
      </c>
      <c r="G13">
        <v>0.52309592643742875</v>
      </c>
      <c r="H13">
        <v>0.29204835093940695</v>
      </c>
      <c r="I13">
        <v>0.26387817405264963</v>
      </c>
      <c r="J13">
        <v>0.30159263960167726</v>
      </c>
      <c r="K13">
        <v>0.6412353568397634</v>
      </c>
      <c r="L13">
        <v>0</v>
      </c>
      <c r="M13">
        <v>0</v>
      </c>
      <c r="N13">
        <v>0</v>
      </c>
      <c r="O13">
        <v>0.84469526423442842</v>
      </c>
      <c r="P13">
        <v>0.45726498580923153</v>
      </c>
      <c r="Q13">
        <v>0.25341554932180943</v>
      </c>
      <c r="R13">
        <v>0.2245961315506908</v>
      </c>
      <c r="S13">
        <v>0.18933263192787536</v>
      </c>
      <c r="T13">
        <v>0.18314946724499448</v>
      </c>
      <c r="U13">
        <v>0.23508022791369051</v>
      </c>
      <c r="V13">
        <v>0.50735987559766549</v>
      </c>
      <c r="W13">
        <v>0.9818840579710143</v>
      </c>
      <c r="X13">
        <v>0</v>
      </c>
      <c r="Y13">
        <v>0.6709857248356641</v>
      </c>
      <c r="Z13">
        <v>0.31147286106968303</v>
      </c>
      <c r="AA13">
        <v>0.17114511789125772</v>
      </c>
      <c r="AB13">
        <v>0.15415589619131287</v>
      </c>
      <c r="AC13">
        <v>0.13880724579544926</v>
      </c>
      <c r="AD13">
        <v>0.13523128427751441</v>
      </c>
      <c r="AE13">
        <v>0.16868117644032671</v>
      </c>
      <c r="AF13">
        <v>0.32682916268329304</v>
      </c>
      <c r="AG13">
        <v>0.8273533907559536</v>
      </c>
      <c r="AH13">
        <v>0</v>
      </c>
      <c r="AI13">
        <v>0</v>
      </c>
      <c r="AJ13">
        <v>0.7178529700742321</v>
      </c>
      <c r="AK13">
        <v>0.33602856196272363</v>
      </c>
      <c r="AL13">
        <v>0.25367462411037905</v>
      </c>
      <c r="AM13">
        <v>0.24123132644046855</v>
      </c>
      <c r="AN13">
        <v>0.29184727509518521</v>
      </c>
      <c r="AO13">
        <v>0.4904676902120339</v>
      </c>
      <c r="AP13">
        <v>0.90986012611698064</v>
      </c>
      <c r="AQ13">
        <v>0</v>
      </c>
      <c r="EA13" t="s">
        <v>394</v>
      </c>
      <c r="EB13">
        <v>0</v>
      </c>
      <c r="EC13">
        <v>0</v>
      </c>
      <c r="ED13">
        <v>0</v>
      </c>
      <c r="EE13">
        <v>5.1407285287130046E-2</v>
      </c>
      <c r="EF13">
        <v>0.21078916070856693</v>
      </c>
      <c r="EG13">
        <v>0.26274894506251778</v>
      </c>
      <c r="EH13">
        <v>0.17292467464024841</v>
      </c>
      <c r="EI13">
        <v>2.899089118235124E-2</v>
      </c>
      <c r="EJ13">
        <v>0</v>
      </c>
      <c r="EK13">
        <v>0</v>
      </c>
      <c r="EL13">
        <v>0</v>
      </c>
      <c r="EM13">
        <v>9.5342786276265469E-4</v>
      </c>
      <c r="EN13">
        <v>5.152177799728317E-2</v>
      </c>
      <c r="EO13">
        <v>0.24572040559693073</v>
      </c>
      <c r="EP13">
        <v>0.39405109848833642</v>
      </c>
      <c r="EQ13">
        <v>0.4369014133812214</v>
      </c>
      <c r="ER13">
        <v>0.33601133903762537</v>
      </c>
      <c r="ES13">
        <v>0.16356887232715425</v>
      </c>
      <c r="ET13">
        <v>2.0969941335368395E-2</v>
      </c>
      <c r="EU13">
        <v>6.2672871676395571E-6</v>
      </c>
      <c r="EV13">
        <v>0</v>
      </c>
      <c r="EW13">
        <v>4.0838364356473745E-3</v>
      </c>
      <c r="EX13">
        <v>7.9614643623860268E-2</v>
      </c>
      <c r="EY13">
        <v>0.28360943308160147</v>
      </c>
      <c r="EZ13">
        <v>0.44786788072073558</v>
      </c>
      <c r="FA13">
        <v>0.48606908206403121</v>
      </c>
      <c r="FB13">
        <v>0.4149533396153367</v>
      </c>
      <c r="FC13">
        <v>0.23524553009342813</v>
      </c>
      <c r="FD13">
        <v>4.9222007556720432E-2</v>
      </c>
      <c r="FE13">
        <v>4.2341800718131159E-4</v>
      </c>
      <c r="FF13">
        <v>0</v>
      </c>
      <c r="FG13">
        <v>0</v>
      </c>
      <c r="FH13">
        <v>1.4613902077652906E-2</v>
      </c>
      <c r="FI13">
        <v>0.15203242813656628</v>
      </c>
      <c r="FJ13">
        <v>0.30151790842119525</v>
      </c>
      <c r="FK13">
        <v>0.32358925729150317</v>
      </c>
      <c r="FL13">
        <v>0.21049149452763166</v>
      </c>
      <c r="FM13">
        <v>6.1462383833593162E-2</v>
      </c>
      <c r="FN13">
        <v>1.4769331928247947E-3</v>
      </c>
      <c r="FO13">
        <v>0</v>
      </c>
      <c r="FQ13" t="s">
        <v>394</v>
      </c>
      <c r="FR13" t="s">
        <v>127</v>
      </c>
      <c r="FS13" t="s">
        <v>128</v>
      </c>
      <c r="FT13">
        <v>0.41405716045167745</v>
      </c>
    </row>
    <row r="14" spans="2:176" x14ac:dyDescent="0.45">
      <c r="B14" t="s">
        <v>395</v>
      </c>
      <c r="C14" t="s">
        <v>123</v>
      </c>
      <c r="D14">
        <v>0</v>
      </c>
      <c r="E14">
        <v>0</v>
      </c>
      <c r="F14">
        <v>0</v>
      </c>
      <c r="G14">
        <v>0.530955085642006</v>
      </c>
      <c r="H14">
        <v>0.28673862259736821</v>
      </c>
      <c r="I14">
        <v>0.26255188147466157</v>
      </c>
      <c r="J14">
        <v>0.31496174751075273</v>
      </c>
      <c r="K14">
        <v>0.60580024129551302</v>
      </c>
      <c r="L14">
        <v>0</v>
      </c>
      <c r="M14">
        <v>0</v>
      </c>
      <c r="N14">
        <v>0</v>
      </c>
      <c r="O14">
        <v>0.8627221990801387</v>
      </c>
      <c r="P14">
        <v>0.46340989814873784</v>
      </c>
      <c r="Q14">
        <v>0.25820766342645712</v>
      </c>
      <c r="R14">
        <v>0.20762002851838421</v>
      </c>
      <c r="S14">
        <v>0.18110572756218973</v>
      </c>
      <c r="T14">
        <v>0.17788700028757951</v>
      </c>
      <c r="U14">
        <v>0.23099679087110589</v>
      </c>
      <c r="V14">
        <v>0.49553056364822601</v>
      </c>
      <c r="W14">
        <v>0.96870681515483792</v>
      </c>
      <c r="X14">
        <v>0</v>
      </c>
      <c r="Y14">
        <v>0.68670294226752737</v>
      </c>
      <c r="Z14">
        <v>0.32614086577844875</v>
      </c>
      <c r="AA14">
        <v>0.17994913082057865</v>
      </c>
      <c r="AB14">
        <v>0.14938222557524392</v>
      </c>
      <c r="AC14">
        <v>0.13306049125715022</v>
      </c>
      <c r="AD14">
        <v>0.1305737560222491</v>
      </c>
      <c r="AE14">
        <v>0.1521827854285456</v>
      </c>
      <c r="AF14">
        <v>0.33507939672184284</v>
      </c>
      <c r="AG14">
        <v>0.81088940776403151</v>
      </c>
      <c r="AH14">
        <v>0</v>
      </c>
      <c r="AI14">
        <v>0</v>
      </c>
      <c r="AJ14">
        <v>0.73396757007054003</v>
      </c>
      <c r="AK14">
        <v>0.33314996476167258</v>
      </c>
      <c r="AL14">
        <v>0.24177079977232083</v>
      </c>
      <c r="AM14">
        <v>0.24931494076110428</v>
      </c>
      <c r="AN14">
        <v>0.29872244642790435</v>
      </c>
      <c r="AO14">
        <v>0.4802358468070218</v>
      </c>
      <c r="AP14">
        <v>0.89504436459372461</v>
      </c>
      <c r="AQ14">
        <v>0</v>
      </c>
      <c r="EA14" t="s">
        <v>395</v>
      </c>
      <c r="EB14">
        <v>0</v>
      </c>
      <c r="EC14">
        <v>0</v>
      </c>
      <c r="ED14">
        <v>0</v>
      </c>
      <c r="EE14">
        <v>5.2982695068753187E-2</v>
      </c>
      <c r="EF14">
        <v>0.2138598854049015</v>
      </c>
      <c r="EG14">
        <v>0.28210502852626457</v>
      </c>
      <c r="EH14">
        <v>0.19214860243964399</v>
      </c>
      <c r="EI14">
        <v>3.7781490870892144E-2</v>
      </c>
      <c r="EJ14">
        <v>0</v>
      </c>
      <c r="EK14">
        <v>0</v>
      </c>
      <c r="EL14">
        <v>0</v>
      </c>
      <c r="EM14">
        <v>7.9120060239313422E-4</v>
      </c>
      <c r="EN14">
        <v>4.6749249870129926E-2</v>
      </c>
      <c r="EO14">
        <v>0.23179327725366419</v>
      </c>
      <c r="EP14">
        <v>0.40931071480103748</v>
      </c>
      <c r="EQ14">
        <v>0.45285752794898615</v>
      </c>
      <c r="ER14">
        <v>0.36520537061946157</v>
      </c>
      <c r="ES14">
        <v>0.18575975054126936</v>
      </c>
      <c r="ET14">
        <v>2.6015468188318892E-2</v>
      </c>
      <c r="EU14">
        <v>2.5165357594421871E-5</v>
      </c>
      <c r="EV14">
        <v>0</v>
      </c>
      <c r="EW14">
        <v>3.3665256318176121E-3</v>
      </c>
      <c r="EX14">
        <v>7.512505651633257E-2</v>
      </c>
      <c r="EY14">
        <v>0.28631486509425752</v>
      </c>
      <c r="EZ14">
        <v>0.46580220741247486</v>
      </c>
      <c r="FA14">
        <v>0.51191425621700715</v>
      </c>
      <c r="FB14">
        <v>0.44068566352562438</v>
      </c>
      <c r="FC14">
        <v>0.25925134936442334</v>
      </c>
      <c r="FD14">
        <v>5.634241236318694E-2</v>
      </c>
      <c r="FE14">
        <v>6.6451158396982032E-4</v>
      </c>
      <c r="FF14">
        <v>0</v>
      </c>
      <c r="FG14">
        <v>0</v>
      </c>
      <c r="FH14">
        <v>1.2645222559468235E-2</v>
      </c>
      <c r="FI14">
        <v>0.15374893287566127</v>
      </c>
      <c r="FJ14">
        <v>0.316188255507241</v>
      </c>
      <c r="FK14">
        <v>0.34236545588606832</v>
      </c>
      <c r="FL14">
        <v>0.23236281215924273</v>
      </c>
      <c r="FM14">
        <v>6.9578145858420135E-2</v>
      </c>
      <c r="FN14">
        <v>2.0867200337386853E-3</v>
      </c>
      <c r="FO14">
        <v>0</v>
      </c>
      <c r="FQ14" t="s">
        <v>395</v>
      </c>
      <c r="FR14" t="s">
        <v>127</v>
      </c>
      <c r="FS14" t="s">
        <v>128</v>
      </c>
      <c r="FT14">
        <v>0.44296574111613313</v>
      </c>
    </row>
    <row r="15" spans="2:176" x14ac:dyDescent="0.45">
      <c r="B15" t="s">
        <v>396</v>
      </c>
      <c r="C15" t="s">
        <v>123</v>
      </c>
      <c r="D15">
        <v>0</v>
      </c>
      <c r="E15">
        <v>0</v>
      </c>
      <c r="F15">
        <v>0</v>
      </c>
      <c r="G15">
        <v>0.5237026999950618</v>
      </c>
      <c r="H15">
        <v>0.2838584358260311</v>
      </c>
      <c r="I15">
        <v>0.25939176990851037</v>
      </c>
      <c r="J15">
        <v>0.29490719818371774</v>
      </c>
      <c r="K15">
        <v>0.62958828559684687</v>
      </c>
      <c r="L15">
        <v>0</v>
      </c>
      <c r="M15">
        <v>0</v>
      </c>
      <c r="N15">
        <v>0</v>
      </c>
      <c r="O15">
        <v>0.8558070189066449</v>
      </c>
      <c r="P15">
        <v>0.46371158525149592</v>
      </c>
      <c r="Q15">
        <v>0.25703491762398645</v>
      </c>
      <c r="R15">
        <v>0.22035550551333088</v>
      </c>
      <c r="S15">
        <v>0.18347614398087803</v>
      </c>
      <c r="T15">
        <v>0.18343964639422883</v>
      </c>
      <c r="U15">
        <v>0.23262286009779659</v>
      </c>
      <c r="V15">
        <v>0.50109396801839357</v>
      </c>
      <c r="W15">
        <v>0.98260385176111897</v>
      </c>
      <c r="X15">
        <v>0</v>
      </c>
      <c r="Y15">
        <v>0.68166556502659004</v>
      </c>
      <c r="Z15">
        <v>0.32233499898616785</v>
      </c>
      <c r="AA15">
        <v>0.17866915750952925</v>
      </c>
      <c r="AB15">
        <v>0.15218441968823265</v>
      </c>
      <c r="AC15">
        <v>0.13712738903405131</v>
      </c>
      <c r="AD15">
        <v>0.13046527620147236</v>
      </c>
      <c r="AE15">
        <v>0.15783444410442096</v>
      </c>
      <c r="AF15">
        <v>0.33107343884913187</v>
      </c>
      <c r="AG15">
        <v>0.81611411418332502</v>
      </c>
      <c r="AH15">
        <v>0</v>
      </c>
      <c r="AI15">
        <v>0</v>
      </c>
      <c r="AJ15">
        <v>0.72766016369066822</v>
      </c>
      <c r="AK15">
        <v>0.33067141366212394</v>
      </c>
      <c r="AL15">
        <v>0.23989602676956637</v>
      </c>
      <c r="AM15">
        <v>0.24994056956636926</v>
      </c>
      <c r="AN15">
        <v>0.29455042935987252</v>
      </c>
      <c r="AO15">
        <v>0.48081158504420607</v>
      </c>
      <c r="AP15">
        <v>0.90337818047912388</v>
      </c>
      <c r="AQ15">
        <v>0</v>
      </c>
      <c r="EA15" t="s">
        <v>396</v>
      </c>
      <c r="EB15">
        <v>0</v>
      </c>
      <c r="EC15">
        <v>0</v>
      </c>
      <c r="ED15">
        <v>0</v>
      </c>
      <c r="EE15">
        <v>5.3220711089633096E-2</v>
      </c>
      <c r="EF15">
        <v>0.21403622060901306</v>
      </c>
      <c r="EG15">
        <v>0.27340841365645963</v>
      </c>
      <c r="EH15">
        <v>0.18452923741575336</v>
      </c>
      <c r="EI15">
        <v>3.3373671929504842E-2</v>
      </c>
      <c r="EJ15">
        <v>0</v>
      </c>
      <c r="EK15">
        <v>0</v>
      </c>
      <c r="EL15">
        <v>0</v>
      </c>
      <c r="EM15">
        <v>8.6492497526851318E-4</v>
      </c>
      <c r="EN15">
        <v>4.9049110583656262E-2</v>
      </c>
      <c r="EO15">
        <v>0.23903417387587667</v>
      </c>
      <c r="EP15">
        <v>0.39520835011008509</v>
      </c>
      <c r="EQ15">
        <v>0.44405407200420177</v>
      </c>
      <c r="ER15">
        <v>0.34943441345249981</v>
      </c>
      <c r="ES15">
        <v>0.17312700812670997</v>
      </c>
      <c r="ET15">
        <v>2.3237738896031587E-2</v>
      </c>
      <c r="EU15">
        <v>1.4230610397239521E-5</v>
      </c>
      <c r="EV15">
        <v>0</v>
      </c>
      <c r="EW15">
        <v>3.7058177937307375E-3</v>
      </c>
      <c r="EX15">
        <v>7.6962574724172547E-2</v>
      </c>
      <c r="EY15">
        <v>0.28417881438764342</v>
      </c>
      <c r="EZ15">
        <v>0.45676308517790654</v>
      </c>
      <c r="FA15">
        <v>0.4972273532032031</v>
      </c>
      <c r="FB15">
        <v>0.42755836470961545</v>
      </c>
      <c r="FC15">
        <v>0.24707357142691766</v>
      </c>
      <c r="FD15">
        <v>5.2721169479842449E-2</v>
      </c>
      <c r="FE15">
        <v>5.3864529416533535E-4</v>
      </c>
      <c r="FF15">
        <v>0</v>
      </c>
      <c r="FG15">
        <v>0</v>
      </c>
      <c r="FH15">
        <v>1.3147974097951371E-2</v>
      </c>
      <c r="FI15">
        <v>0.1515908106601121</v>
      </c>
      <c r="FJ15">
        <v>0.30985888534759803</v>
      </c>
      <c r="FK15">
        <v>0.33191089932159068</v>
      </c>
      <c r="FL15">
        <v>0.21958571327060086</v>
      </c>
      <c r="FM15">
        <v>6.6095527901893492E-2</v>
      </c>
      <c r="FN15">
        <v>1.7501365404715037E-3</v>
      </c>
      <c r="FO15">
        <v>0</v>
      </c>
      <c r="FQ15" t="s">
        <v>396</v>
      </c>
      <c r="FR15" t="s">
        <v>127</v>
      </c>
      <c r="FS15" t="s">
        <v>128</v>
      </c>
      <c r="FT15">
        <v>0.43232832898004842</v>
      </c>
    </row>
    <row r="16" spans="2:176" x14ac:dyDescent="0.45">
      <c r="B16" t="s">
        <v>397</v>
      </c>
      <c r="C16" t="s">
        <v>123</v>
      </c>
      <c r="D16">
        <v>0</v>
      </c>
      <c r="E16">
        <v>0</v>
      </c>
      <c r="F16">
        <v>0</v>
      </c>
      <c r="G16">
        <v>0.52600977063960297</v>
      </c>
      <c r="H16">
        <v>0.32101661166734891</v>
      </c>
      <c r="I16">
        <v>0.29854306478410442</v>
      </c>
      <c r="J16">
        <v>0.32409790279638045</v>
      </c>
      <c r="K16">
        <v>0.64452455555160648</v>
      </c>
      <c r="L16">
        <v>0</v>
      </c>
      <c r="M16">
        <v>0</v>
      </c>
      <c r="N16">
        <v>0</v>
      </c>
      <c r="O16">
        <v>0.83986759199032468</v>
      </c>
      <c r="P16">
        <v>0.43814136813216392</v>
      </c>
      <c r="Q16">
        <v>0.25639923436975132</v>
      </c>
      <c r="R16">
        <v>0.21123018110486932</v>
      </c>
      <c r="S16">
        <v>0.19566648285600702</v>
      </c>
      <c r="T16">
        <v>0.19887716947403924</v>
      </c>
      <c r="U16">
        <v>0.22997292369694619</v>
      </c>
      <c r="V16">
        <v>0.52754545821867049</v>
      </c>
      <c r="W16">
        <v>0</v>
      </c>
      <c r="X16">
        <v>0</v>
      </c>
      <c r="Y16">
        <v>0.66653087781347553</v>
      </c>
      <c r="Z16">
        <v>0.31715227530379231</v>
      </c>
      <c r="AA16">
        <v>0.17886205019894391</v>
      </c>
      <c r="AB16">
        <v>0.15793757337402303</v>
      </c>
      <c r="AC16">
        <v>0.12824403640393137</v>
      </c>
      <c r="AD16">
        <v>0.14041758710477942</v>
      </c>
      <c r="AE16">
        <v>0.17255070212652021</v>
      </c>
      <c r="AF16">
        <v>0.33804269470827547</v>
      </c>
      <c r="AG16">
        <v>0.87042868245325566</v>
      </c>
      <c r="AH16">
        <v>0</v>
      </c>
      <c r="AI16">
        <v>0</v>
      </c>
      <c r="AJ16">
        <v>0.71901599980900399</v>
      </c>
      <c r="AK16">
        <v>0.35822413379958018</v>
      </c>
      <c r="AL16">
        <v>0.27217211201633096</v>
      </c>
      <c r="AM16">
        <v>0.25537988775227782</v>
      </c>
      <c r="AN16">
        <v>0.28736956789335044</v>
      </c>
      <c r="AO16">
        <v>0.49114265215545261</v>
      </c>
      <c r="AP16">
        <v>0.91843771383153983</v>
      </c>
      <c r="AQ16">
        <v>0</v>
      </c>
      <c r="EA16" t="s">
        <v>397</v>
      </c>
      <c r="EB16">
        <v>0</v>
      </c>
      <c r="EC16">
        <v>0</v>
      </c>
      <c r="ED16">
        <v>0</v>
      </c>
      <c r="EE16">
        <v>4.9581082333877813E-2</v>
      </c>
      <c r="EF16">
        <v>0.18836747861181299</v>
      </c>
      <c r="EG16">
        <v>0.24917610977196414</v>
      </c>
      <c r="EH16">
        <v>0.16628967708418699</v>
      </c>
      <c r="EI16">
        <v>2.7300530584995656E-2</v>
      </c>
      <c r="EJ16">
        <v>0</v>
      </c>
      <c r="EK16">
        <v>0</v>
      </c>
      <c r="EL16">
        <v>0</v>
      </c>
      <c r="EM16">
        <v>1.0313408985277543E-3</v>
      </c>
      <c r="EN16">
        <v>5.4408503916481131E-2</v>
      </c>
      <c r="EO16">
        <v>0.25711294671046331</v>
      </c>
      <c r="EP16">
        <v>0.42362330594288161</v>
      </c>
      <c r="EQ16">
        <v>0.44411851518723294</v>
      </c>
      <c r="ER16">
        <v>0.33918591687595506</v>
      </c>
      <c r="ES16">
        <v>0.16112939154407205</v>
      </c>
      <c r="ET16">
        <v>1.7011998823095741E-2</v>
      </c>
      <c r="EU16">
        <v>0</v>
      </c>
      <c r="EV16">
        <v>0</v>
      </c>
      <c r="EW16">
        <v>4.4972263157522334E-3</v>
      </c>
      <c r="EX16">
        <v>9.2802913825001429E-2</v>
      </c>
      <c r="EY16">
        <v>0.31601280847161201</v>
      </c>
      <c r="EZ16">
        <v>0.47061995304359139</v>
      </c>
      <c r="FA16">
        <v>0.51693387609426</v>
      </c>
      <c r="FB16">
        <v>0.41393485801921198</v>
      </c>
      <c r="FC16">
        <v>0.22319041720280514</v>
      </c>
      <c r="FD16">
        <v>4.3011442289685772E-2</v>
      </c>
      <c r="FE16">
        <v>1.0703300650691708E-4</v>
      </c>
      <c r="FF16">
        <v>0</v>
      </c>
      <c r="FG16">
        <v>0</v>
      </c>
      <c r="FH16">
        <v>1.4591416954028338E-2</v>
      </c>
      <c r="FI16">
        <v>0.14081303087644978</v>
      </c>
      <c r="FJ16">
        <v>0.27481810881048796</v>
      </c>
      <c r="FK16">
        <v>0.30121821625776385</v>
      </c>
      <c r="FL16">
        <v>0.21022759690100071</v>
      </c>
      <c r="FM16">
        <v>5.7095971202123841E-2</v>
      </c>
      <c r="FN16">
        <v>1.04016884214197E-3</v>
      </c>
      <c r="FO16">
        <v>0</v>
      </c>
      <c r="FQ16" t="s">
        <v>397</v>
      </c>
      <c r="FR16" t="s">
        <v>127</v>
      </c>
      <c r="FS16" t="s">
        <v>128</v>
      </c>
      <c r="FT16">
        <v>0.43789159989704185</v>
      </c>
    </row>
    <row r="17" spans="2:176" x14ac:dyDescent="0.45">
      <c r="B17" t="s">
        <v>398</v>
      </c>
      <c r="C17" t="s">
        <v>123</v>
      </c>
      <c r="D17">
        <v>0</v>
      </c>
      <c r="E17">
        <v>0</v>
      </c>
      <c r="F17">
        <v>0</v>
      </c>
      <c r="G17">
        <v>0.53536957261418772</v>
      </c>
      <c r="H17">
        <v>0.33034701290090479</v>
      </c>
      <c r="I17">
        <v>0.30645394680988325</v>
      </c>
      <c r="J17">
        <v>0.32132541568660605</v>
      </c>
      <c r="K17">
        <v>0.64510799946097008</v>
      </c>
      <c r="L17">
        <v>0</v>
      </c>
      <c r="M17">
        <v>0</v>
      </c>
      <c r="N17">
        <v>0</v>
      </c>
      <c r="O17">
        <v>0.84819288047448405</v>
      </c>
      <c r="P17">
        <v>0.44743385474503028</v>
      </c>
      <c r="Q17">
        <v>0.26060693792639933</v>
      </c>
      <c r="R17">
        <v>0.21698937250210451</v>
      </c>
      <c r="S17">
        <v>0.19317064715723672</v>
      </c>
      <c r="T17">
        <v>0.19148912046005681</v>
      </c>
      <c r="U17">
        <v>0.23447446934493976</v>
      </c>
      <c r="V17">
        <v>0.51427788158496179</v>
      </c>
      <c r="W17">
        <v>0</v>
      </c>
      <c r="X17">
        <v>0</v>
      </c>
      <c r="Y17">
        <v>0.66773515155192675</v>
      </c>
      <c r="Z17">
        <v>0.32181449766654713</v>
      </c>
      <c r="AA17">
        <v>0.18013889417843704</v>
      </c>
      <c r="AB17">
        <v>0.15326985817343372</v>
      </c>
      <c r="AC17">
        <v>0.13217526784743844</v>
      </c>
      <c r="AD17">
        <v>0.13929566287153433</v>
      </c>
      <c r="AE17">
        <v>0.17031566647327176</v>
      </c>
      <c r="AF17">
        <v>0.33387534199849833</v>
      </c>
      <c r="AG17">
        <v>0.8497875538566444</v>
      </c>
      <c r="AH17">
        <v>0</v>
      </c>
      <c r="AI17">
        <v>0</v>
      </c>
      <c r="AJ17">
        <v>0.72482249565310974</v>
      </c>
      <c r="AK17">
        <v>0.36103812859416001</v>
      </c>
      <c r="AL17">
        <v>0.27842236862459124</v>
      </c>
      <c r="AM17">
        <v>0.2622296147332327</v>
      </c>
      <c r="AN17">
        <v>0.30002335493064852</v>
      </c>
      <c r="AO17">
        <v>0.4869977527115128</v>
      </c>
      <c r="AP17">
        <v>0.91488128155897286</v>
      </c>
      <c r="AQ17">
        <v>0</v>
      </c>
      <c r="EA17" t="s">
        <v>398</v>
      </c>
      <c r="EB17">
        <v>0</v>
      </c>
      <c r="EC17">
        <v>0</v>
      </c>
      <c r="ED17">
        <v>0</v>
      </c>
      <c r="EE17">
        <v>4.9015227308049782E-2</v>
      </c>
      <c r="EF17">
        <v>0.19096018097369852</v>
      </c>
      <c r="EG17">
        <v>0.24998469096846232</v>
      </c>
      <c r="EH17">
        <v>0.1685334411801685</v>
      </c>
      <c r="EI17">
        <v>2.7167115751557565E-2</v>
      </c>
      <c r="EJ17">
        <v>0</v>
      </c>
      <c r="EK17">
        <v>0</v>
      </c>
      <c r="EL17">
        <v>0</v>
      </c>
      <c r="EM17">
        <v>9.4965955798831467E-4</v>
      </c>
      <c r="EN17">
        <v>5.072498652837814E-2</v>
      </c>
      <c r="EO17">
        <v>0.24661937273364337</v>
      </c>
      <c r="EP17">
        <v>0.4077110640298075</v>
      </c>
      <c r="EQ17">
        <v>0.43852257518420606</v>
      </c>
      <c r="ER17">
        <v>0.33990961625839977</v>
      </c>
      <c r="ES17">
        <v>0.16265028040381277</v>
      </c>
      <c r="ET17">
        <v>1.829341628456442E-2</v>
      </c>
      <c r="EU17">
        <v>0</v>
      </c>
      <c r="EV17">
        <v>0</v>
      </c>
      <c r="EW17">
        <v>4.108107861739263E-3</v>
      </c>
      <c r="EX17">
        <v>8.7532711271099697E-2</v>
      </c>
      <c r="EY17">
        <v>0.30656356650883299</v>
      </c>
      <c r="EZ17">
        <v>0.46975966639757233</v>
      </c>
      <c r="FA17">
        <v>0.51384384256837179</v>
      </c>
      <c r="FB17">
        <v>0.41740728083627171</v>
      </c>
      <c r="FC17">
        <v>0.22791696155352162</v>
      </c>
      <c r="FD17">
        <v>4.5690865844578411E-2</v>
      </c>
      <c r="FE17">
        <v>1.7919867681669867E-4</v>
      </c>
      <c r="FF17">
        <v>0</v>
      </c>
      <c r="FG17">
        <v>0</v>
      </c>
      <c r="FH17">
        <v>1.460447960042952E-2</v>
      </c>
      <c r="FI17">
        <v>0.14417264929021756</v>
      </c>
      <c r="FJ17">
        <v>0.28025592684398209</v>
      </c>
      <c r="FK17">
        <v>0.30773379570510523</v>
      </c>
      <c r="FL17">
        <v>0.21104574423771547</v>
      </c>
      <c r="FM17">
        <v>5.943981537775947E-2</v>
      </c>
      <c r="FN17">
        <v>1.2247764375704106E-3</v>
      </c>
      <c r="FO17">
        <v>0</v>
      </c>
      <c r="FQ17" t="s">
        <v>398</v>
      </c>
      <c r="FR17" t="s">
        <v>127</v>
      </c>
      <c r="FS17" t="s">
        <v>128</v>
      </c>
      <c r="FT17">
        <v>0.40213123762596992</v>
      </c>
    </row>
    <row r="18" spans="2:176" x14ac:dyDescent="0.45">
      <c r="B18" t="s">
        <v>399</v>
      </c>
      <c r="C18" t="s">
        <v>123</v>
      </c>
      <c r="D18">
        <v>0</v>
      </c>
      <c r="E18">
        <v>0</v>
      </c>
      <c r="F18">
        <v>0</v>
      </c>
      <c r="G18">
        <v>0.53086958095727754</v>
      </c>
      <c r="H18">
        <v>0.30108025587715181</v>
      </c>
      <c r="I18">
        <v>0.27644612144602115</v>
      </c>
      <c r="J18">
        <v>0.30461260338230139</v>
      </c>
      <c r="K18">
        <v>0.65418422339777893</v>
      </c>
      <c r="L18">
        <v>0</v>
      </c>
      <c r="M18">
        <v>0</v>
      </c>
      <c r="N18">
        <v>0</v>
      </c>
      <c r="O18">
        <v>0.82914693809879136</v>
      </c>
      <c r="P18">
        <v>0.43801870029088952</v>
      </c>
      <c r="Q18">
        <v>0.26011957411235243</v>
      </c>
      <c r="R18">
        <v>0.21900209897070497</v>
      </c>
      <c r="S18">
        <v>0.19376879087770127</v>
      </c>
      <c r="T18">
        <v>0.18895876049850407</v>
      </c>
      <c r="U18">
        <v>0.23048461808911924</v>
      </c>
      <c r="V18">
        <v>0.51531640638539344</v>
      </c>
      <c r="W18">
        <v>0</v>
      </c>
      <c r="X18">
        <v>0</v>
      </c>
      <c r="Y18">
        <v>0.65877945044883612</v>
      </c>
      <c r="Z18">
        <v>0.30387073552048322</v>
      </c>
      <c r="AA18">
        <v>0.1749199657981465</v>
      </c>
      <c r="AB18">
        <v>0.15680917451239859</v>
      </c>
      <c r="AC18">
        <v>0.13571278432781886</v>
      </c>
      <c r="AD18">
        <v>0.13715404121657956</v>
      </c>
      <c r="AE18">
        <v>0.16700991224183567</v>
      </c>
      <c r="AF18">
        <v>0.3269928368015359</v>
      </c>
      <c r="AG18">
        <v>0.85005205867684897</v>
      </c>
      <c r="AH18">
        <v>0</v>
      </c>
      <c r="AI18">
        <v>0</v>
      </c>
      <c r="AJ18">
        <v>0.7188281204725816</v>
      </c>
      <c r="AK18">
        <v>0.35590188419468022</v>
      </c>
      <c r="AL18">
        <v>0.27480174745278996</v>
      </c>
      <c r="AM18">
        <v>0.25113074376820815</v>
      </c>
      <c r="AN18">
        <v>0.2936719299713495</v>
      </c>
      <c r="AO18">
        <v>0.49143435775330369</v>
      </c>
      <c r="AP18">
        <v>0.91850624728376651</v>
      </c>
      <c r="AQ18">
        <v>0</v>
      </c>
      <c r="EA18" t="s">
        <v>399</v>
      </c>
      <c r="EB18">
        <v>0</v>
      </c>
      <c r="EC18">
        <v>0</v>
      </c>
      <c r="ED18">
        <v>0</v>
      </c>
      <c r="EE18">
        <v>4.7746826616999354E-2</v>
      </c>
      <c r="EF18">
        <v>0.19657629270753493</v>
      </c>
      <c r="EG18">
        <v>0.25090426802265836</v>
      </c>
      <c r="EH18">
        <v>0.16161567853213993</v>
      </c>
      <c r="EI18">
        <v>2.4610727594597304E-2</v>
      </c>
      <c r="EJ18">
        <v>0</v>
      </c>
      <c r="EK18">
        <v>0</v>
      </c>
      <c r="EL18">
        <v>0</v>
      </c>
      <c r="EM18">
        <v>1.0876609864755098E-3</v>
      </c>
      <c r="EN18">
        <v>5.4822721837919045E-2</v>
      </c>
      <c r="EO18">
        <v>0.25236635273545305</v>
      </c>
      <c r="EP18">
        <v>0.41328436609098973</v>
      </c>
      <c r="EQ18">
        <v>0.43946523511820706</v>
      </c>
      <c r="ER18">
        <v>0.33453528042353359</v>
      </c>
      <c r="ES18">
        <v>0.15968708934387255</v>
      </c>
      <c r="ET18">
        <v>1.8187193268819828E-2</v>
      </c>
      <c r="EU18">
        <v>0</v>
      </c>
      <c r="EV18">
        <v>0</v>
      </c>
      <c r="EW18">
        <v>4.6389135677894246E-3</v>
      </c>
      <c r="EX18">
        <v>8.663099484713449E-2</v>
      </c>
      <c r="EY18">
        <v>0.29390601498721353</v>
      </c>
      <c r="EZ18">
        <v>0.45242908688761596</v>
      </c>
      <c r="FA18">
        <v>0.49586811492691257</v>
      </c>
      <c r="FB18">
        <v>0.40546309237115574</v>
      </c>
      <c r="FC18">
        <v>0.22480831204288571</v>
      </c>
      <c r="FD18">
        <v>4.392011594382482E-2</v>
      </c>
      <c r="FE18">
        <v>2.3420714704016634E-4</v>
      </c>
      <c r="FF18">
        <v>0</v>
      </c>
      <c r="FG18">
        <v>0</v>
      </c>
      <c r="FH18">
        <v>1.600098237756227E-2</v>
      </c>
      <c r="FI18">
        <v>0.15168785988240077</v>
      </c>
      <c r="FJ18">
        <v>0.28848382262475142</v>
      </c>
      <c r="FK18">
        <v>0.31258206519961035</v>
      </c>
      <c r="FL18">
        <v>0.20913773547805334</v>
      </c>
      <c r="FM18">
        <v>5.6218637610600822E-2</v>
      </c>
      <c r="FN18">
        <v>1.0995323045502815E-3</v>
      </c>
      <c r="FO18">
        <v>0</v>
      </c>
      <c r="FQ18" t="s">
        <v>399</v>
      </c>
      <c r="FR18" t="s">
        <v>127</v>
      </c>
      <c r="FS18" t="s">
        <v>128</v>
      </c>
      <c r="FT18">
        <v>0.40746696352331174</v>
      </c>
    </row>
    <row r="19" spans="2:176" x14ac:dyDescent="0.45">
      <c r="B19" t="s">
        <v>400</v>
      </c>
      <c r="C19" t="s">
        <v>123</v>
      </c>
      <c r="D19">
        <v>0</v>
      </c>
      <c r="E19">
        <v>0</v>
      </c>
      <c r="F19">
        <v>0</v>
      </c>
      <c r="G19">
        <v>0.53126298085074397</v>
      </c>
      <c r="H19">
        <v>0.30504852599961307</v>
      </c>
      <c r="I19">
        <v>0.28550802228651179</v>
      </c>
      <c r="J19">
        <v>0.32458331185374117</v>
      </c>
      <c r="K19">
        <v>0.6675786409394725</v>
      </c>
      <c r="L19">
        <v>0</v>
      </c>
      <c r="M19">
        <v>0</v>
      </c>
      <c r="N19">
        <v>0</v>
      </c>
      <c r="O19">
        <v>0.83470217006106195</v>
      </c>
      <c r="P19">
        <v>0.44176458558353421</v>
      </c>
      <c r="Q19">
        <v>0.25225333508469089</v>
      </c>
      <c r="R19">
        <v>0.22274462373900117</v>
      </c>
      <c r="S19">
        <v>0.2022019310405278</v>
      </c>
      <c r="T19">
        <v>0.19995212327054968</v>
      </c>
      <c r="U19">
        <v>0.2429543363274389</v>
      </c>
      <c r="V19">
        <v>0.51407498584041578</v>
      </c>
      <c r="W19">
        <v>0.99275362318840588</v>
      </c>
      <c r="X19">
        <v>0</v>
      </c>
      <c r="Y19">
        <v>0.65910572922753174</v>
      </c>
      <c r="Z19">
        <v>0.29834451006197055</v>
      </c>
      <c r="AA19">
        <v>0.17437253637249892</v>
      </c>
      <c r="AB19">
        <v>0.15809688096860036</v>
      </c>
      <c r="AC19">
        <v>0.14295317804541341</v>
      </c>
      <c r="AD19">
        <v>0.14476559064886255</v>
      </c>
      <c r="AE19">
        <v>0.17507868757708595</v>
      </c>
      <c r="AF19">
        <v>0.32664018792892036</v>
      </c>
      <c r="AG19">
        <v>0.84053135766760045</v>
      </c>
      <c r="AH19">
        <v>0</v>
      </c>
      <c r="AI19">
        <v>0</v>
      </c>
      <c r="AJ19">
        <v>0.72027841090834499</v>
      </c>
      <c r="AK19">
        <v>0.3514444659800996</v>
      </c>
      <c r="AL19">
        <v>0.26909061367431403</v>
      </c>
      <c r="AM19">
        <v>0.24695830763870288</v>
      </c>
      <c r="AN19">
        <v>0.30155413274040421</v>
      </c>
      <c r="AO19">
        <v>0.50245366808736969</v>
      </c>
      <c r="AP19">
        <v>0.91109326985708994</v>
      </c>
      <c r="AQ19">
        <v>0</v>
      </c>
      <c r="EA19" t="s">
        <v>400</v>
      </c>
      <c r="EB19">
        <v>0</v>
      </c>
      <c r="EC19">
        <v>0</v>
      </c>
      <c r="ED19">
        <v>0</v>
      </c>
      <c r="EE19">
        <v>5.0152798135928205E-2</v>
      </c>
      <c r="EF19">
        <v>0.20791604959457699</v>
      </c>
      <c r="EG19">
        <v>0.25402918652527862</v>
      </c>
      <c r="EH19">
        <v>0.15791762703285914</v>
      </c>
      <c r="EI19">
        <v>2.4672290310991229E-2</v>
      </c>
      <c r="EJ19">
        <v>0</v>
      </c>
      <c r="EK19">
        <v>0</v>
      </c>
      <c r="EL19">
        <v>0</v>
      </c>
      <c r="EM19">
        <v>1.0948422415980451E-3</v>
      </c>
      <c r="EN19">
        <v>5.4728053792211503E-2</v>
      </c>
      <c r="EO19">
        <v>0.25287029618124029</v>
      </c>
      <c r="EP19">
        <v>0.40796789669674699</v>
      </c>
      <c r="EQ19">
        <v>0.43535847575201286</v>
      </c>
      <c r="ER19">
        <v>0.33102291429658298</v>
      </c>
      <c r="ES19">
        <v>0.15797418292292961</v>
      </c>
      <c r="ET19">
        <v>1.9031725492180594E-2</v>
      </c>
      <c r="EU19">
        <v>2.2974669738449966E-6</v>
      </c>
      <c r="EV19">
        <v>0</v>
      </c>
      <c r="EW19">
        <v>4.5901523409828887E-3</v>
      </c>
      <c r="EX19">
        <v>8.2854994304437671E-2</v>
      </c>
      <c r="EY19">
        <v>0.28289619825132517</v>
      </c>
      <c r="EZ19">
        <v>0.44228322666300379</v>
      </c>
      <c r="FA19">
        <v>0.47898766372109886</v>
      </c>
      <c r="FB19">
        <v>0.40163189984615083</v>
      </c>
      <c r="FC19">
        <v>0.22697354740787135</v>
      </c>
      <c r="FD19">
        <v>4.5766065601365764E-2</v>
      </c>
      <c r="FE19">
        <v>3.5043558940795236E-4</v>
      </c>
      <c r="FF19">
        <v>0</v>
      </c>
      <c r="FG19">
        <v>0</v>
      </c>
      <c r="FH19">
        <v>1.6258974456782246E-2</v>
      </c>
      <c r="FI19">
        <v>0.15585409066341446</v>
      </c>
      <c r="FJ19">
        <v>0.29845940530463888</v>
      </c>
      <c r="FK19">
        <v>0.31962401692110759</v>
      </c>
      <c r="FL19">
        <v>0.20669060851611032</v>
      </c>
      <c r="FM19">
        <v>5.6095860329790685E-2</v>
      </c>
      <c r="FN19">
        <v>1.1893818621871645E-3</v>
      </c>
      <c r="FO19">
        <v>0</v>
      </c>
      <c r="FQ19" t="s">
        <v>400</v>
      </c>
      <c r="FR19" t="s">
        <v>127</v>
      </c>
      <c r="FS19" t="s">
        <v>128</v>
      </c>
      <c r="FT19">
        <v>0.41686306494976516</v>
      </c>
    </row>
    <row r="20" spans="2:176" x14ac:dyDescent="0.45">
      <c r="B20" t="s">
        <v>401</v>
      </c>
      <c r="C20" t="s">
        <v>123</v>
      </c>
      <c r="D20">
        <v>0</v>
      </c>
      <c r="E20">
        <v>0</v>
      </c>
      <c r="F20">
        <v>0</v>
      </c>
      <c r="G20">
        <v>0.5357390545108659</v>
      </c>
      <c r="H20">
        <v>0.31005964741893349</v>
      </c>
      <c r="I20">
        <v>0.29058498794331061</v>
      </c>
      <c r="J20">
        <v>0.33026491009807374</v>
      </c>
      <c r="K20">
        <v>0.68419082779659979</v>
      </c>
      <c r="L20">
        <v>0</v>
      </c>
      <c r="M20">
        <v>0</v>
      </c>
      <c r="N20">
        <v>0</v>
      </c>
      <c r="O20">
        <v>0.82171067483165861</v>
      </c>
      <c r="P20">
        <v>0.42902454188621053</v>
      </c>
      <c r="Q20">
        <v>0.25569462312591695</v>
      </c>
      <c r="R20">
        <v>0.21696530795113675</v>
      </c>
      <c r="S20">
        <v>0.20442919746139504</v>
      </c>
      <c r="T20">
        <v>0.20277434403724906</v>
      </c>
      <c r="U20">
        <v>0.24005356086560395</v>
      </c>
      <c r="V20">
        <v>0.51769896657565062</v>
      </c>
      <c r="W20">
        <v>0.99637681159420277</v>
      </c>
      <c r="X20">
        <v>0</v>
      </c>
      <c r="Y20">
        <v>0.65219771136676741</v>
      </c>
      <c r="Z20">
        <v>0.29163215220283167</v>
      </c>
      <c r="AA20">
        <v>0.17141538081245392</v>
      </c>
      <c r="AB20">
        <v>0.1525852127569465</v>
      </c>
      <c r="AC20">
        <v>0.13436489258646603</v>
      </c>
      <c r="AD20">
        <v>0.143342732797724</v>
      </c>
      <c r="AE20">
        <v>0.1652195714111081</v>
      </c>
      <c r="AF20">
        <v>0.32707359394169466</v>
      </c>
      <c r="AG20">
        <v>0.85144553073822471</v>
      </c>
      <c r="AH20">
        <v>0</v>
      </c>
      <c r="AI20">
        <v>0</v>
      </c>
      <c r="AJ20">
        <v>0.71055115440777938</v>
      </c>
      <c r="AK20">
        <v>0.34615243689507574</v>
      </c>
      <c r="AL20">
        <v>0.26734201259557866</v>
      </c>
      <c r="AM20">
        <v>0.2472456922547043</v>
      </c>
      <c r="AN20">
        <v>0.2950948163240133</v>
      </c>
      <c r="AO20">
        <v>0.50565096457054148</v>
      </c>
      <c r="AP20">
        <v>0.9150023150929637</v>
      </c>
      <c r="AQ20">
        <v>0</v>
      </c>
      <c r="EA20" t="s">
        <v>401</v>
      </c>
      <c r="EB20">
        <v>0</v>
      </c>
      <c r="EC20">
        <v>0</v>
      </c>
      <c r="ED20">
        <v>0</v>
      </c>
      <c r="EE20">
        <v>4.9512660778822867E-2</v>
      </c>
      <c r="EF20">
        <v>0.19950191731202518</v>
      </c>
      <c r="EG20">
        <v>0.24441707393206241</v>
      </c>
      <c r="EH20">
        <v>0.15067211984100545</v>
      </c>
      <c r="EI20">
        <v>2.1929278887708077E-2</v>
      </c>
      <c r="EJ20">
        <v>0</v>
      </c>
      <c r="EK20">
        <v>0</v>
      </c>
      <c r="EL20">
        <v>0</v>
      </c>
      <c r="EM20">
        <v>1.2647313848466856E-3</v>
      </c>
      <c r="EN20">
        <v>5.7773820734165267E-2</v>
      </c>
      <c r="EO20">
        <v>0.25974681650784431</v>
      </c>
      <c r="EP20">
        <v>0.41819138236789277</v>
      </c>
      <c r="EQ20">
        <v>0.44180715351325012</v>
      </c>
      <c r="ER20">
        <v>0.33691807655091194</v>
      </c>
      <c r="ES20">
        <v>0.15748475881232676</v>
      </c>
      <c r="ET20">
        <v>1.7379292874307874E-2</v>
      </c>
      <c r="EU20">
        <v>4.1631091849210306E-7</v>
      </c>
      <c r="EV20">
        <v>0</v>
      </c>
      <c r="EW20">
        <v>5.063987630829497E-3</v>
      </c>
      <c r="EX20">
        <v>8.8021552040869283E-2</v>
      </c>
      <c r="EY20">
        <v>0.2909162760378145</v>
      </c>
      <c r="EZ20">
        <v>0.45085699435161508</v>
      </c>
      <c r="FA20">
        <v>0.48512081607528357</v>
      </c>
      <c r="FB20">
        <v>0.39387165961544152</v>
      </c>
      <c r="FC20">
        <v>0.22428539977408946</v>
      </c>
      <c r="FD20">
        <v>4.289011374907125E-2</v>
      </c>
      <c r="FE20">
        <v>2.4703453533406639E-4</v>
      </c>
      <c r="FF20">
        <v>0</v>
      </c>
      <c r="FG20">
        <v>0</v>
      </c>
      <c r="FH20">
        <v>1.6829570023409169E-2</v>
      </c>
      <c r="FI20">
        <v>0.15772200301060885</v>
      </c>
      <c r="FJ20">
        <v>0.29829071190177492</v>
      </c>
      <c r="FK20">
        <v>0.31477417664827556</v>
      </c>
      <c r="FL20">
        <v>0.20536390894890896</v>
      </c>
      <c r="FM20">
        <v>5.2556426028446707E-2</v>
      </c>
      <c r="FN20">
        <v>9.4502088473086342E-4</v>
      </c>
      <c r="FO20">
        <v>0</v>
      </c>
      <c r="FQ20" t="s">
        <v>401</v>
      </c>
      <c r="FR20" t="s">
        <v>127</v>
      </c>
      <c r="FS20" t="s">
        <v>128</v>
      </c>
      <c r="FT20">
        <v>0.40334539439367212</v>
      </c>
    </row>
    <row r="21" spans="2:176" x14ac:dyDescent="0.45">
      <c r="B21" t="s">
        <v>402</v>
      </c>
      <c r="C21" t="s">
        <v>123</v>
      </c>
      <c r="D21">
        <v>0.27030257135904789</v>
      </c>
      <c r="E21">
        <v>0.27169011616280458</v>
      </c>
      <c r="F21">
        <v>0.27465091340064529</v>
      </c>
      <c r="G21">
        <v>0.27681026867435021</v>
      </c>
      <c r="H21">
        <v>0.31327751461793019</v>
      </c>
      <c r="I21">
        <v>0.33117128828528392</v>
      </c>
      <c r="J21">
        <v>0.31549450286385361</v>
      </c>
      <c r="K21">
        <v>0.28671140251322669</v>
      </c>
      <c r="L21">
        <v>0.26643447972855633</v>
      </c>
      <c r="M21">
        <v>0.26451623081482106</v>
      </c>
      <c r="N21">
        <v>0.30316461089545005</v>
      </c>
      <c r="O21">
        <v>0.28609642987834694</v>
      </c>
      <c r="P21">
        <v>0.28881081778887024</v>
      </c>
      <c r="Q21">
        <v>0.32012715777105971</v>
      </c>
      <c r="R21">
        <v>0.35168168900436214</v>
      </c>
      <c r="S21">
        <v>0.3379946749940268</v>
      </c>
      <c r="T21">
        <v>0.31185837870130872</v>
      </c>
      <c r="U21">
        <v>0.31170440602504995</v>
      </c>
      <c r="V21">
        <v>0.3101705573847951</v>
      </c>
      <c r="W21">
        <v>0.29717587419483055</v>
      </c>
      <c r="X21">
        <v>0.30542669564689068</v>
      </c>
      <c r="Y21">
        <v>0.30411814015544686</v>
      </c>
      <c r="Z21">
        <v>0.35206710278803111</v>
      </c>
      <c r="AA21">
        <v>0.38792958879357897</v>
      </c>
      <c r="AB21">
        <v>0.36723079040638135</v>
      </c>
      <c r="AC21">
        <v>0.36513949714182731</v>
      </c>
      <c r="AD21">
        <v>0.35116262170795232</v>
      </c>
      <c r="AE21">
        <v>0.34999919910458305</v>
      </c>
      <c r="AF21">
        <v>0.35245885233026969</v>
      </c>
      <c r="AG21">
        <v>0.33039131864959709</v>
      </c>
      <c r="AH21">
        <v>0.31473735338230019</v>
      </c>
      <c r="AI21">
        <v>0.3244229491867554</v>
      </c>
      <c r="AJ21">
        <v>0.32278417823832334</v>
      </c>
      <c r="AK21">
        <v>0.33637430438176474</v>
      </c>
      <c r="AL21">
        <v>0.35584027612718405</v>
      </c>
      <c r="AM21">
        <v>0.34079261584239845</v>
      </c>
      <c r="AN21">
        <v>0.32042895226414125</v>
      </c>
      <c r="AO21">
        <v>0.32997015650537553</v>
      </c>
      <c r="AP21">
        <v>0.31104410239171648</v>
      </c>
      <c r="AQ21">
        <v>0.29638639347912299</v>
      </c>
      <c r="EA21" t="s">
        <v>402</v>
      </c>
      <c r="EB21">
        <v>0.49475913911711511</v>
      </c>
      <c r="EC21">
        <v>0.48759674566397626</v>
      </c>
      <c r="ED21">
        <v>0.49310970361732387</v>
      </c>
      <c r="EE21">
        <v>0.49622118650026753</v>
      </c>
      <c r="EF21">
        <v>0.43862521444744168</v>
      </c>
      <c r="EG21">
        <v>0.4363962763170654</v>
      </c>
      <c r="EH21">
        <v>0.44565284551776913</v>
      </c>
      <c r="EI21">
        <v>0.46707018891873986</v>
      </c>
      <c r="EJ21">
        <v>0.48845813204435257</v>
      </c>
      <c r="EK21">
        <v>0.49776293870063182</v>
      </c>
      <c r="EL21">
        <v>0.39466271000909947</v>
      </c>
      <c r="EM21">
        <v>0.39533696183462064</v>
      </c>
      <c r="EN21">
        <v>0.38936111173542015</v>
      </c>
      <c r="EO21">
        <v>0.37828298485256423</v>
      </c>
      <c r="EP21">
        <v>0.35057989563169484</v>
      </c>
      <c r="EQ21">
        <v>0.38252170074737335</v>
      </c>
      <c r="ER21">
        <v>0.39616364002136828</v>
      </c>
      <c r="ES21">
        <v>0.38239097835467278</v>
      </c>
      <c r="ET21">
        <v>0.38271974432761807</v>
      </c>
      <c r="EU21">
        <v>0.40290679813651609</v>
      </c>
      <c r="EV21">
        <v>0.30277392092667516</v>
      </c>
      <c r="EW21">
        <v>0.26866893839567657</v>
      </c>
      <c r="EX21">
        <v>0.24356069083278165</v>
      </c>
      <c r="EY21">
        <v>0.23622007749433618</v>
      </c>
      <c r="EZ21">
        <v>0.20263869789498259</v>
      </c>
      <c r="FA21">
        <v>0.2351510005806893</v>
      </c>
      <c r="FB21">
        <v>0.25754175168416105</v>
      </c>
      <c r="FC21">
        <v>0.26861217678186516</v>
      </c>
      <c r="FD21">
        <v>0.28003880212400817</v>
      </c>
      <c r="FE21">
        <v>0.31659515799447796</v>
      </c>
      <c r="FF21">
        <v>0.40456506524977726</v>
      </c>
      <c r="FG21">
        <v>0.40358515016624424</v>
      </c>
      <c r="FH21">
        <v>0.39855579675563901</v>
      </c>
      <c r="FI21">
        <v>0.37671861446358756</v>
      </c>
      <c r="FJ21">
        <v>0.34988493980317864</v>
      </c>
      <c r="FK21">
        <v>0.39645173134134798</v>
      </c>
      <c r="FL21">
        <v>0.40977345545825999</v>
      </c>
      <c r="FM21">
        <v>0.42135343767838523</v>
      </c>
      <c r="FN21">
        <v>0.43749998043750371</v>
      </c>
      <c r="FO21">
        <v>0.44053367089743339</v>
      </c>
      <c r="FQ21" t="s">
        <v>402</v>
      </c>
      <c r="FR21" t="s">
        <v>127</v>
      </c>
      <c r="FS21" t="s">
        <v>128</v>
      </c>
      <c r="FT21">
        <v>0.49368479995142744</v>
      </c>
    </row>
    <row r="22" spans="2:176" x14ac:dyDescent="0.45">
      <c r="B22" t="s">
        <v>403</v>
      </c>
      <c r="C22" t="s">
        <v>123</v>
      </c>
      <c r="D22">
        <v>0.30732760002576903</v>
      </c>
      <c r="E22">
        <v>0.3038193438143228</v>
      </c>
      <c r="F22">
        <v>0.30544566381246269</v>
      </c>
      <c r="G22">
        <v>0.31720441519288495</v>
      </c>
      <c r="H22">
        <v>0.35624543923293678</v>
      </c>
      <c r="I22">
        <v>0.37351967703064548</v>
      </c>
      <c r="J22">
        <v>0.36269843234316429</v>
      </c>
      <c r="K22">
        <v>0.32744738723081235</v>
      </c>
      <c r="L22">
        <v>0.2953159829193206</v>
      </c>
      <c r="M22">
        <v>0.29408522678180449</v>
      </c>
      <c r="N22">
        <v>0.29606706025679141</v>
      </c>
      <c r="O22">
        <v>0.28523133741207146</v>
      </c>
      <c r="P22">
        <v>0.29935047541854742</v>
      </c>
      <c r="Q22">
        <v>0.33715922515917968</v>
      </c>
      <c r="R22">
        <v>0.36006961071399685</v>
      </c>
      <c r="S22">
        <v>0.34685368202204969</v>
      </c>
      <c r="T22">
        <v>0.3355781609977701</v>
      </c>
      <c r="U22">
        <v>0.3328752566878117</v>
      </c>
      <c r="V22">
        <v>0.32402060174325714</v>
      </c>
      <c r="W22">
        <v>0.31926510351482551</v>
      </c>
      <c r="X22">
        <v>0.28073067534828899</v>
      </c>
      <c r="Y22">
        <v>0.2882131648669875</v>
      </c>
      <c r="Z22">
        <v>0.35098318787910615</v>
      </c>
      <c r="AA22">
        <v>0.39480319197931141</v>
      </c>
      <c r="AB22">
        <v>0.37652504315609642</v>
      </c>
      <c r="AC22">
        <v>0.36062081668093932</v>
      </c>
      <c r="AD22">
        <v>0.34266494356263799</v>
      </c>
      <c r="AE22">
        <v>0.34541246592702923</v>
      </c>
      <c r="AF22">
        <v>0.33773702648133708</v>
      </c>
      <c r="AG22">
        <v>0.30532283325803766</v>
      </c>
      <c r="AH22">
        <v>0.33416475800752365</v>
      </c>
      <c r="AI22">
        <v>0.35217561672645198</v>
      </c>
      <c r="AJ22">
        <v>0.35686707189903533</v>
      </c>
      <c r="AK22">
        <v>0.38479348239166095</v>
      </c>
      <c r="AL22">
        <v>0.38804641339223306</v>
      </c>
      <c r="AM22">
        <v>0.37253101677806844</v>
      </c>
      <c r="AN22">
        <v>0.36354054224934745</v>
      </c>
      <c r="AO22">
        <v>0.35923669020036303</v>
      </c>
      <c r="AP22">
        <v>0.32768944530651173</v>
      </c>
      <c r="AQ22">
        <v>0.31472347242604976</v>
      </c>
      <c r="EA22" t="s">
        <v>403</v>
      </c>
      <c r="EB22">
        <v>0.43711584038968371</v>
      </c>
      <c r="EC22">
        <v>0.42906456570369622</v>
      </c>
      <c r="ED22">
        <v>0.43481421273978704</v>
      </c>
      <c r="EE22">
        <v>0.43214353525726273</v>
      </c>
      <c r="EF22">
        <v>0.37596724177261975</v>
      </c>
      <c r="EG22">
        <v>0.38215068701660976</v>
      </c>
      <c r="EH22">
        <v>0.38566734124082014</v>
      </c>
      <c r="EI22">
        <v>0.40259089237607271</v>
      </c>
      <c r="EJ22">
        <v>0.42392300583759945</v>
      </c>
      <c r="EK22">
        <v>0.43913943646630499</v>
      </c>
      <c r="EL22">
        <v>0.34297166695002795</v>
      </c>
      <c r="EM22">
        <v>0.33606204859247812</v>
      </c>
      <c r="EN22">
        <v>0.32421108989807795</v>
      </c>
      <c r="EO22">
        <v>0.31755807824157101</v>
      </c>
      <c r="EP22">
        <v>0.2876005309883311</v>
      </c>
      <c r="EQ22">
        <v>0.32801072604269105</v>
      </c>
      <c r="ER22">
        <v>0.3428945606832024</v>
      </c>
      <c r="ES22">
        <v>0.32454048571642902</v>
      </c>
      <c r="ET22">
        <v>0.32204611889513812</v>
      </c>
      <c r="EU22">
        <v>0.34419567406898416</v>
      </c>
      <c r="EV22">
        <v>0.26326852484773972</v>
      </c>
      <c r="EW22">
        <v>0.22720322192815531</v>
      </c>
      <c r="EX22">
        <v>0.19523758514777442</v>
      </c>
      <c r="EY22">
        <v>0.18542619086543513</v>
      </c>
      <c r="EZ22">
        <v>0.17160238039171941</v>
      </c>
      <c r="FA22">
        <v>0.20353970997022586</v>
      </c>
      <c r="FB22">
        <v>0.21795070830471683</v>
      </c>
      <c r="FC22">
        <v>0.22300230417304534</v>
      </c>
      <c r="FD22">
        <v>0.22950194509752433</v>
      </c>
      <c r="FE22">
        <v>0.27451712322776445</v>
      </c>
      <c r="FF22">
        <v>0.36387336338748788</v>
      </c>
      <c r="FG22">
        <v>0.35101634552088384</v>
      </c>
      <c r="FH22">
        <v>0.35094956178884967</v>
      </c>
      <c r="FI22">
        <v>0.32849247196974263</v>
      </c>
      <c r="FJ22">
        <v>0.30856966754486037</v>
      </c>
      <c r="FK22">
        <v>0.35618505411252199</v>
      </c>
      <c r="FL22">
        <v>0.36627670214690089</v>
      </c>
      <c r="FM22">
        <v>0.37713275413393249</v>
      </c>
      <c r="FN22">
        <v>0.39023437904229175</v>
      </c>
      <c r="FO22">
        <v>0.39228916800881014</v>
      </c>
      <c r="FQ22" t="s">
        <v>403</v>
      </c>
      <c r="FR22" t="s">
        <v>127</v>
      </c>
      <c r="FS22" t="s">
        <v>128</v>
      </c>
      <c r="FT22">
        <v>0.43462311468275533</v>
      </c>
    </row>
    <row r="23" spans="2:176" x14ac:dyDescent="0.45">
      <c r="B23" t="s">
        <v>404</v>
      </c>
      <c r="C23" t="s">
        <v>123</v>
      </c>
      <c r="D23">
        <v>0.32389208097697586</v>
      </c>
      <c r="E23">
        <v>0.33356781560588117</v>
      </c>
      <c r="F23">
        <v>0.33627569762731391</v>
      </c>
      <c r="G23">
        <v>0.34775334433089644</v>
      </c>
      <c r="H23">
        <v>0.38666071806717306</v>
      </c>
      <c r="I23">
        <v>0.39260561040847575</v>
      </c>
      <c r="J23">
        <v>0.37790655381266136</v>
      </c>
      <c r="K23">
        <v>0.33632430471738423</v>
      </c>
      <c r="L23">
        <v>0.31023723252552754</v>
      </c>
      <c r="M23">
        <v>0.31396665071195201</v>
      </c>
      <c r="N23">
        <v>0.30319275523266342</v>
      </c>
      <c r="O23">
        <v>0.31125457283681102</v>
      </c>
      <c r="P23">
        <v>0.33173339934990226</v>
      </c>
      <c r="Q23">
        <v>0.34932835558693276</v>
      </c>
      <c r="R23">
        <v>0.35182662235204937</v>
      </c>
      <c r="S23">
        <v>0.32763106406620196</v>
      </c>
      <c r="T23">
        <v>0.32276966931288575</v>
      </c>
      <c r="U23">
        <v>0.33443388272332675</v>
      </c>
      <c r="V23">
        <v>0.3231858896697597</v>
      </c>
      <c r="W23">
        <v>0.32260663167682774</v>
      </c>
      <c r="X23">
        <v>0.31421805297980432</v>
      </c>
      <c r="Y23">
        <v>0.31236438415799911</v>
      </c>
      <c r="Z23">
        <v>0.34781778073498293</v>
      </c>
      <c r="AA23">
        <v>0.38046217714293923</v>
      </c>
      <c r="AB23">
        <v>0.40815867665720978</v>
      </c>
      <c r="AC23">
        <v>0.40298552276954175</v>
      </c>
      <c r="AD23">
        <v>0.37664173120432798</v>
      </c>
      <c r="AE23">
        <v>0.36419716191310436</v>
      </c>
      <c r="AF23">
        <v>0.34304912762580869</v>
      </c>
      <c r="AG23">
        <v>0.32104129373585139</v>
      </c>
      <c r="AH23">
        <v>0.33402967267608891</v>
      </c>
      <c r="AI23">
        <v>0.35453396486805561</v>
      </c>
      <c r="AJ23">
        <v>0.36196421560253472</v>
      </c>
      <c r="AK23">
        <v>0.39157588668583337</v>
      </c>
      <c r="AL23">
        <v>0.39998967590690604</v>
      </c>
      <c r="AM23">
        <v>0.37541198588690688</v>
      </c>
      <c r="AN23">
        <v>0.36362778001334728</v>
      </c>
      <c r="AO23">
        <v>0.35756627577808825</v>
      </c>
      <c r="AP23">
        <v>0.33287688265398202</v>
      </c>
      <c r="AQ23">
        <v>0.31518302615027793</v>
      </c>
      <c r="EA23" t="s">
        <v>404</v>
      </c>
      <c r="EB23">
        <v>0.40713496005208166</v>
      </c>
      <c r="EC23">
        <v>0.39240094360590311</v>
      </c>
      <c r="ED23">
        <v>0.38819421348580518</v>
      </c>
      <c r="EE23">
        <v>0.37867161861673065</v>
      </c>
      <c r="EF23">
        <v>0.33732416387937025</v>
      </c>
      <c r="EG23">
        <v>0.35494482086980528</v>
      </c>
      <c r="EH23">
        <v>0.35637504929227243</v>
      </c>
      <c r="EI23">
        <v>0.38395176796993363</v>
      </c>
      <c r="EJ23">
        <v>0.40913348782781533</v>
      </c>
      <c r="EK23">
        <v>0.41165714117063856</v>
      </c>
      <c r="EL23">
        <v>0.30644905223695129</v>
      </c>
      <c r="EM23">
        <v>0.31186183066397538</v>
      </c>
      <c r="EN23">
        <v>0.30849110112162881</v>
      </c>
      <c r="EO23">
        <v>0.29247596494901279</v>
      </c>
      <c r="EP23">
        <v>0.23336189340898897</v>
      </c>
      <c r="EQ23">
        <v>0.2652341305804875</v>
      </c>
      <c r="ER23">
        <v>0.28464667146935529</v>
      </c>
      <c r="ES23">
        <v>0.28879536692495195</v>
      </c>
      <c r="ET23">
        <v>0.30012748773434161</v>
      </c>
      <c r="EU23">
        <v>0.31056901021192945</v>
      </c>
      <c r="EV23">
        <v>0.24039175443752658</v>
      </c>
      <c r="EW23">
        <v>0.22248282390183305</v>
      </c>
      <c r="EX23">
        <v>0.19288056604155035</v>
      </c>
      <c r="EY23">
        <v>0.17232699716564492</v>
      </c>
      <c r="EZ23">
        <v>0.14953137786501269</v>
      </c>
      <c r="FA23">
        <v>0.17408850457017491</v>
      </c>
      <c r="FB23">
        <v>0.18662657868488089</v>
      </c>
      <c r="FC23">
        <v>0.18780241612908757</v>
      </c>
      <c r="FD23">
        <v>0.20097495524514325</v>
      </c>
      <c r="FE23">
        <v>0.23966276323252478</v>
      </c>
      <c r="FF23">
        <v>0.36840858340335431</v>
      </c>
      <c r="FG23">
        <v>0.35164478480153299</v>
      </c>
      <c r="FH23">
        <v>0.34742679658945275</v>
      </c>
      <c r="FI23">
        <v>0.33565908106018583</v>
      </c>
      <c r="FJ23">
        <v>0.30089574041202033</v>
      </c>
      <c r="FK23">
        <v>0.32929602125688584</v>
      </c>
      <c r="FL23">
        <v>0.34209668288508005</v>
      </c>
      <c r="FM23">
        <v>0.35958784531349386</v>
      </c>
      <c r="FN23">
        <v>0.38800761950423635</v>
      </c>
      <c r="FO23">
        <v>0.38926197443411531</v>
      </c>
      <c r="FQ23" t="s">
        <v>404</v>
      </c>
      <c r="FR23" t="s">
        <v>127</v>
      </c>
      <c r="FS23" t="s">
        <v>128</v>
      </c>
      <c r="FT23">
        <v>0.40205851009951282</v>
      </c>
    </row>
    <row r="24" spans="2:176" x14ac:dyDescent="0.45">
      <c r="B24" t="s">
        <v>405</v>
      </c>
      <c r="C24" t="s">
        <v>123</v>
      </c>
      <c r="D24">
        <v>0.34584691642968085</v>
      </c>
      <c r="E24">
        <v>0.34856927966380735</v>
      </c>
      <c r="F24">
        <v>0.340389877955316</v>
      </c>
      <c r="G24">
        <v>0.3456214382702183</v>
      </c>
      <c r="H24">
        <v>0.37755657250109936</v>
      </c>
      <c r="I24">
        <v>0.3918561503127394</v>
      </c>
      <c r="J24">
        <v>0.38259747765129376</v>
      </c>
      <c r="K24">
        <v>0.35160998192495035</v>
      </c>
      <c r="L24">
        <v>0.32595828467513727</v>
      </c>
      <c r="M24">
        <v>0.33237429393788681</v>
      </c>
      <c r="N24">
        <v>0.31804526046118375</v>
      </c>
      <c r="O24">
        <v>0.31902883086427725</v>
      </c>
      <c r="P24">
        <v>0.34504727631062476</v>
      </c>
      <c r="Q24">
        <v>0.37617823030558228</v>
      </c>
      <c r="R24">
        <v>0.39029845644047689</v>
      </c>
      <c r="S24">
        <v>0.36199134124771098</v>
      </c>
      <c r="T24">
        <v>0.3426426284296355</v>
      </c>
      <c r="U24">
        <v>0.33408583130804215</v>
      </c>
      <c r="V24">
        <v>0.31890257809903294</v>
      </c>
      <c r="W24">
        <v>0.30978901913032847</v>
      </c>
      <c r="X24">
        <v>0.31987496807883736</v>
      </c>
      <c r="Y24">
        <v>0.33021854162552094</v>
      </c>
      <c r="Z24">
        <v>0.37095687704380781</v>
      </c>
      <c r="AA24">
        <v>0.40892434735426841</v>
      </c>
      <c r="AB24">
        <v>0.44451975758039242</v>
      </c>
      <c r="AC24">
        <v>0.4445448886988565</v>
      </c>
      <c r="AD24">
        <v>0.41325665299717829</v>
      </c>
      <c r="AE24">
        <v>0.38950942303423691</v>
      </c>
      <c r="AF24">
        <v>0.35628248476288815</v>
      </c>
      <c r="AG24">
        <v>0.3232795677734665</v>
      </c>
      <c r="AH24">
        <v>0.3336706522158277</v>
      </c>
      <c r="AI24">
        <v>0.35385145513362687</v>
      </c>
      <c r="AJ24">
        <v>0.36679468150185185</v>
      </c>
      <c r="AK24">
        <v>0.3857185343082622</v>
      </c>
      <c r="AL24">
        <v>0.40221629381323487</v>
      </c>
      <c r="AM24">
        <v>0.38493367398085082</v>
      </c>
      <c r="AN24">
        <v>0.35799050349352701</v>
      </c>
      <c r="AO24">
        <v>0.35495573820685167</v>
      </c>
      <c r="AP24">
        <v>0.34580925520311123</v>
      </c>
      <c r="AQ24">
        <v>0.32579823435410626</v>
      </c>
      <c r="EA24" t="s">
        <v>405</v>
      </c>
      <c r="EB24">
        <v>0.37937065433814293</v>
      </c>
      <c r="EC24">
        <v>0.37573285072834955</v>
      </c>
      <c r="ED24">
        <v>0.36517855493972701</v>
      </c>
      <c r="EE24">
        <v>0.35738518867745167</v>
      </c>
      <c r="EF24">
        <v>0.30502239336880543</v>
      </c>
      <c r="EG24">
        <v>0.33729948529896014</v>
      </c>
      <c r="EH24">
        <v>0.33893625250914028</v>
      </c>
      <c r="EI24">
        <v>0.35846499953186139</v>
      </c>
      <c r="EJ24">
        <v>0.38069156118435787</v>
      </c>
      <c r="EK24">
        <v>0.37879664130181212</v>
      </c>
      <c r="EL24">
        <v>0.28511971285182008</v>
      </c>
      <c r="EM24">
        <v>0.29004344709202362</v>
      </c>
      <c r="EN24">
        <v>0.28442446034244745</v>
      </c>
      <c r="EO24">
        <v>0.2737907357716366</v>
      </c>
      <c r="EP24">
        <v>0.21558473139631804</v>
      </c>
      <c r="EQ24">
        <v>0.25439122048682411</v>
      </c>
      <c r="ER24">
        <v>0.27454385251938063</v>
      </c>
      <c r="ES24">
        <v>0.27473116854620772</v>
      </c>
      <c r="ET24">
        <v>0.28454269608988875</v>
      </c>
      <c r="EU24">
        <v>0.2885215188211262</v>
      </c>
      <c r="EV24">
        <v>0.21804782711880524</v>
      </c>
      <c r="EW24">
        <v>0.19889546061218108</v>
      </c>
      <c r="EX24">
        <v>0.17375787064678583</v>
      </c>
      <c r="EY24">
        <v>0.16541218846712424</v>
      </c>
      <c r="EZ24">
        <v>0.14160711578797022</v>
      </c>
      <c r="FA24">
        <v>0.16350576397899599</v>
      </c>
      <c r="FB24">
        <v>0.1699126272958339</v>
      </c>
      <c r="FC24">
        <v>0.16735933069645872</v>
      </c>
      <c r="FD24">
        <v>0.1746209989119645</v>
      </c>
      <c r="FE24">
        <v>0.21474790204302879</v>
      </c>
      <c r="FF24">
        <v>0.34887251969999994</v>
      </c>
      <c r="FG24">
        <v>0.33537770978400261</v>
      </c>
      <c r="FH24">
        <v>0.33064668536682584</v>
      </c>
      <c r="FI24">
        <v>0.3192483735434547</v>
      </c>
      <c r="FJ24">
        <v>0.27278871219963408</v>
      </c>
      <c r="FK24">
        <v>0.3030508366633452</v>
      </c>
      <c r="FL24">
        <v>0.32190932298672725</v>
      </c>
      <c r="FM24">
        <v>0.33396904158104046</v>
      </c>
      <c r="FN24">
        <v>0.3676700117527047</v>
      </c>
      <c r="FO24">
        <v>0.3670407315040683</v>
      </c>
      <c r="FQ24" t="s">
        <v>405</v>
      </c>
      <c r="FR24" t="s">
        <v>127</v>
      </c>
      <c r="FS24" t="s">
        <v>128</v>
      </c>
      <c r="FT24">
        <v>0.37706884838407861</v>
      </c>
    </row>
    <row r="25" spans="2:176" x14ac:dyDescent="0.45">
      <c r="B25" t="s">
        <v>406</v>
      </c>
      <c r="C25" t="s">
        <v>123</v>
      </c>
      <c r="D25">
        <v>0.29989095210179439</v>
      </c>
      <c r="E25">
        <v>0.30457737048184536</v>
      </c>
      <c r="F25">
        <v>0.31026103254186277</v>
      </c>
      <c r="G25">
        <v>0.32006510497570029</v>
      </c>
      <c r="H25">
        <v>0.36410901770434329</v>
      </c>
      <c r="I25">
        <v>0.36351038061053859</v>
      </c>
      <c r="J25">
        <v>0.35238545282594436</v>
      </c>
      <c r="K25">
        <v>0.3174424640904337</v>
      </c>
      <c r="L25">
        <v>0.29120193692339214</v>
      </c>
      <c r="M25">
        <v>0.29673192817003824</v>
      </c>
      <c r="N25">
        <v>0.31883866922779192</v>
      </c>
      <c r="O25">
        <v>0.3094177497344956</v>
      </c>
      <c r="P25">
        <v>0.34670102482663789</v>
      </c>
      <c r="Q25">
        <v>0.3850941043152844</v>
      </c>
      <c r="R25">
        <v>0.40422088188188954</v>
      </c>
      <c r="S25">
        <v>0.37218388291689808</v>
      </c>
      <c r="T25">
        <v>0.36753036714490522</v>
      </c>
      <c r="U25">
        <v>0.34532711294546864</v>
      </c>
      <c r="V25">
        <v>0.33959632918542804</v>
      </c>
      <c r="W25">
        <v>0.3188428013416032</v>
      </c>
      <c r="X25">
        <v>0.30517172636725654</v>
      </c>
      <c r="Y25">
        <v>0.31038311218804376</v>
      </c>
      <c r="Z25">
        <v>0.377233140383534</v>
      </c>
      <c r="AA25">
        <v>0.42474823098087189</v>
      </c>
      <c r="AB25">
        <v>0.38012996599942223</v>
      </c>
      <c r="AC25">
        <v>0.39899477504942105</v>
      </c>
      <c r="AD25">
        <v>0.40638113408023813</v>
      </c>
      <c r="AE25">
        <v>0.38164276427529509</v>
      </c>
      <c r="AF25">
        <v>0.36399573804014668</v>
      </c>
      <c r="AG25">
        <v>0.33620671470601415</v>
      </c>
      <c r="AH25">
        <v>0.32989742275692591</v>
      </c>
      <c r="AI25">
        <v>0.35609381700285125</v>
      </c>
      <c r="AJ25">
        <v>0.36895276075892786</v>
      </c>
      <c r="AK25">
        <v>0.38971256928174952</v>
      </c>
      <c r="AL25">
        <v>0.40782103673969256</v>
      </c>
      <c r="AM25">
        <v>0.36383033493042533</v>
      </c>
      <c r="AN25">
        <v>0.34596311844332572</v>
      </c>
      <c r="AO25">
        <v>0.33759991830201563</v>
      </c>
      <c r="AP25">
        <v>0.33445425874366602</v>
      </c>
      <c r="AQ25">
        <v>0.32110849619874782</v>
      </c>
      <c r="EA25" t="s">
        <v>406</v>
      </c>
      <c r="EB25">
        <v>0.43525158633092575</v>
      </c>
      <c r="EC25">
        <v>0.42951925504126459</v>
      </c>
      <c r="ED25">
        <v>0.4290398159710051</v>
      </c>
      <c r="EE25">
        <v>0.43585262939874359</v>
      </c>
      <c r="EF25">
        <v>0.36800036298982147</v>
      </c>
      <c r="EG25">
        <v>0.37749672183886657</v>
      </c>
      <c r="EH25">
        <v>0.38352186601471094</v>
      </c>
      <c r="EI25">
        <v>0.40111084103549582</v>
      </c>
      <c r="EJ25">
        <v>0.41876423053531597</v>
      </c>
      <c r="EK25">
        <v>0.42512760322857945</v>
      </c>
      <c r="EL25">
        <v>0.31543374699181409</v>
      </c>
      <c r="EM25">
        <v>0.31190404130065097</v>
      </c>
      <c r="EN25">
        <v>0.29783833118682262</v>
      </c>
      <c r="EO25">
        <v>0.29828739159479623</v>
      </c>
      <c r="EP25">
        <v>0.26115758525292665</v>
      </c>
      <c r="EQ25">
        <v>0.29682580125926089</v>
      </c>
      <c r="ER25">
        <v>0.30721742316050532</v>
      </c>
      <c r="ES25">
        <v>0.29154803833232718</v>
      </c>
      <c r="ET25">
        <v>0.29820871705795543</v>
      </c>
      <c r="EU25">
        <v>0.32694171120604365</v>
      </c>
      <c r="EV25">
        <v>0.2351332809958275</v>
      </c>
      <c r="EW25">
        <v>0.21088422922975933</v>
      </c>
      <c r="EX25">
        <v>0.18076741880656855</v>
      </c>
      <c r="EY25">
        <v>0.16808220877989707</v>
      </c>
      <c r="EZ25">
        <v>0.14201507053938101</v>
      </c>
      <c r="FA25">
        <v>0.17240374567094816</v>
      </c>
      <c r="FB25">
        <v>0.18729802697589393</v>
      </c>
      <c r="FC25">
        <v>0.18265445975912767</v>
      </c>
      <c r="FD25">
        <v>0.19082125466504923</v>
      </c>
      <c r="FE25">
        <v>0.24363804097083749</v>
      </c>
      <c r="FF25">
        <v>0.34891775794002</v>
      </c>
      <c r="FG25">
        <v>0.33886307187091319</v>
      </c>
      <c r="FH25">
        <v>0.33845318123055596</v>
      </c>
      <c r="FI25">
        <v>0.3268255616705984</v>
      </c>
      <c r="FJ25">
        <v>0.27995231031377393</v>
      </c>
      <c r="FK25">
        <v>0.31734260766479139</v>
      </c>
      <c r="FL25">
        <v>0.31992623840366996</v>
      </c>
      <c r="FM25">
        <v>0.33230687871686682</v>
      </c>
      <c r="FN25">
        <v>0.37608246941373491</v>
      </c>
      <c r="FO25">
        <v>0.38486839672944345</v>
      </c>
      <c r="FQ25" t="s">
        <v>406</v>
      </c>
      <c r="FR25" t="s">
        <v>127</v>
      </c>
      <c r="FS25" t="s">
        <v>128</v>
      </c>
      <c r="FT25">
        <v>0.43188427529553292</v>
      </c>
    </row>
    <row r="26" spans="2:176" x14ac:dyDescent="0.45">
      <c r="B26" t="s">
        <v>407</v>
      </c>
      <c r="C26" t="s">
        <v>123</v>
      </c>
      <c r="D26">
        <v>0.31262795902497414</v>
      </c>
      <c r="E26">
        <v>0.31837128856464642</v>
      </c>
      <c r="F26">
        <v>0.32682641386211253</v>
      </c>
      <c r="G26">
        <v>0.333047749691679</v>
      </c>
      <c r="H26">
        <v>0.36786361529828604</v>
      </c>
      <c r="I26">
        <v>0.36910533641825821</v>
      </c>
      <c r="J26">
        <v>0.36363877857592902</v>
      </c>
      <c r="K26">
        <v>0.33413325698032442</v>
      </c>
      <c r="L26">
        <v>0.310348839098672</v>
      </c>
      <c r="M26">
        <v>0.30990954589363129</v>
      </c>
      <c r="N26">
        <v>0.3269111175825945</v>
      </c>
      <c r="O26">
        <v>0.3131892622048949</v>
      </c>
      <c r="P26">
        <v>0.34907229044692728</v>
      </c>
      <c r="Q26">
        <v>0.4028921071473901</v>
      </c>
      <c r="R26">
        <v>0.42555781557239197</v>
      </c>
      <c r="S26">
        <v>0.39261207628913214</v>
      </c>
      <c r="T26">
        <v>0.38041684984213747</v>
      </c>
      <c r="U26">
        <v>0.36390937637847409</v>
      </c>
      <c r="V26">
        <v>0.33845088877982477</v>
      </c>
      <c r="W26">
        <v>0.31629331744366529</v>
      </c>
      <c r="X26">
        <v>0.32029883030818213</v>
      </c>
      <c r="Y26">
        <v>0.32371213164916213</v>
      </c>
      <c r="Z26">
        <v>0.40096246175767591</v>
      </c>
      <c r="AA26">
        <v>0.44629013807193357</v>
      </c>
      <c r="AB26">
        <v>0.4155981795406567</v>
      </c>
      <c r="AC26">
        <v>0.40374778439583403</v>
      </c>
      <c r="AD26">
        <v>0.42453183335956096</v>
      </c>
      <c r="AE26">
        <v>0.41766237994647504</v>
      </c>
      <c r="AF26">
        <v>0.37437717872867282</v>
      </c>
      <c r="AG26">
        <v>0.34637111444918356</v>
      </c>
      <c r="AH26">
        <v>0.33578198297438328</v>
      </c>
      <c r="AI26">
        <v>0.35624182325496523</v>
      </c>
      <c r="AJ26">
        <v>0.37155016551489228</v>
      </c>
      <c r="AK26">
        <v>0.39704515902707677</v>
      </c>
      <c r="AL26">
        <v>0.41795785881798114</v>
      </c>
      <c r="AM26">
        <v>0.38347951919047329</v>
      </c>
      <c r="AN26">
        <v>0.36206057210034315</v>
      </c>
      <c r="AO26">
        <v>0.34233005466865946</v>
      </c>
      <c r="AP26">
        <v>0.33670893772369098</v>
      </c>
      <c r="AQ26">
        <v>0.34028458734356293</v>
      </c>
      <c r="EA26" t="s">
        <v>407</v>
      </c>
      <c r="EB26">
        <v>0.41404108026841036</v>
      </c>
      <c r="EC26">
        <v>0.412405554119808</v>
      </c>
      <c r="ED26">
        <v>0.40785143271399044</v>
      </c>
      <c r="EE26">
        <v>0.40794696362637395</v>
      </c>
      <c r="EF26">
        <v>0.34198212605745842</v>
      </c>
      <c r="EG26">
        <v>0.35316757675156824</v>
      </c>
      <c r="EH26">
        <v>0.35974633187159066</v>
      </c>
      <c r="EI26">
        <v>0.37564007621258499</v>
      </c>
      <c r="EJ26">
        <v>0.39834933759541147</v>
      </c>
      <c r="EK26">
        <v>0.40328626575086401</v>
      </c>
      <c r="EL26">
        <v>0.2807148379607774</v>
      </c>
      <c r="EM26">
        <v>0.28005547679292603</v>
      </c>
      <c r="EN26">
        <v>0.26867666188374406</v>
      </c>
      <c r="EO26">
        <v>0.2659632400432399</v>
      </c>
      <c r="EP26">
        <v>0.22408813939546235</v>
      </c>
      <c r="EQ26">
        <v>0.25858709586495737</v>
      </c>
      <c r="ER26">
        <v>0.27000341515826143</v>
      </c>
      <c r="ES26">
        <v>0.26323203389968158</v>
      </c>
      <c r="ET26">
        <v>0.27560623396952311</v>
      </c>
      <c r="EU26">
        <v>0.29435839061456581</v>
      </c>
      <c r="EV26">
        <v>0.20903322100436883</v>
      </c>
      <c r="EW26">
        <v>0.19344215362545344</v>
      </c>
      <c r="EX26">
        <v>0.17031015279075212</v>
      </c>
      <c r="EY26">
        <v>0.15540838731660345</v>
      </c>
      <c r="EZ26">
        <v>0.12900480313059551</v>
      </c>
      <c r="FA26">
        <v>0.15650903235085856</v>
      </c>
      <c r="FB26">
        <v>0.17153625668383346</v>
      </c>
      <c r="FC26">
        <v>0.16208131411796153</v>
      </c>
      <c r="FD26">
        <v>0.16549981525420901</v>
      </c>
      <c r="FE26">
        <v>0.21640730430152727</v>
      </c>
      <c r="FF26">
        <v>0.33642257214779708</v>
      </c>
      <c r="FG26">
        <v>0.32657394286214403</v>
      </c>
      <c r="FH26">
        <v>0.32196674236751438</v>
      </c>
      <c r="FI26">
        <v>0.3083230408118362</v>
      </c>
      <c r="FJ26">
        <v>0.25969642584063729</v>
      </c>
      <c r="FK26">
        <v>0.29445901178053818</v>
      </c>
      <c r="FL26">
        <v>0.29605063603894149</v>
      </c>
      <c r="FM26">
        <v>0.29701996292755173</v>
      </c>
      <c r="FN26">
        <v>0.33852619043766308</v>
      </c>
      <c r="FO26">
        <v>0.36456630308685939</v>
      </c>
      <c r="FQ26" t="s">
        <v>407</v>
      </c>
      <c r="FR26" t="s">
        <v>127</v>
      </c>
      <c r="FS26" t="s">
        <v>128</v>
      </c>
      <c r="FT26">
        <v>0.41077534201399735</v>
      </c>
    </row>
    <row r="27" spans="2:176" x14ac:dyDescent="0.45">
      <c r="B27" t="s">
        <v>408</v>
      </c>
      <c r="C27" t="s">
        <v>123</v>
      </c>
      <c r="D27">
        <v>0.32492310768910093</v>
      </c>
      <c r="E27">
        <v>0.33220499753600724</v>
      </c>
      <c r="F27">
        <v>0.33030805557140919</v>
      </c>
      <c r="G27">
        <v>0.34115397204957221</v>
      </c>
      <c r="H27">
        <v>0.37121327364236811</v>
      </c>
      <c r="I27">
        <v>0.38219121309264947</v>
      </c>
      <c r="J27">
        <v>0.36846920927878957</v>
      </c>
      <c r="K27">
        <v>0.32421598925697009</v>
      </c>
      <c r="L27">
        <v>0.30143178366892709</v>
      </c>
      <c r="M27">
        <v>0.31397470499752084</v>
      </c>
      <c r="N27">
        <v>0.3166416758499731</v>
      </c>
      <c r="O27">
        <v>0.30145074464629246</v>
      </c>
      <c r="P27">
        <v>0.32719472426767438</v>
      </c>
      <c r="Q27">
        <v>0.34614476951841538</v>
      </c>
      <c r="R27">
        <v>0.35455108301320126</v>
      </c>
      <c r="S27">
        <v>0.34745469330851286</v>
      </c>
      <c r="T27">
        <v>0.33939861749100492</v>
      </c>
      <c r="U27">
        <v>0.32894962367790925</v>
      </c>
      <c r="V27">
        <v>0.32370682304856391</v>
      </c>
      <c r="W27">
        <v>0.31316803317009295</v>
      </c>
      <c r="X27">
        <v>0.32147513438547021</v>
      </c>
      <c r="Y27">
        <v>0.31088570280943428</v>
      </c>
      <c r="Z27">
        <v>0.36234316762124313</v>
      </c>
      <c r="AA27">
        <v>0.3879675568180338</v>
      </c>
      <c r="AB27">
        <v>0.40949144528603115</v>
      </c>
      <c r="AC27">
        <v>0.41092769868152651</v>
      </c>
      <c r="AD27">
        <v>0.39654923188351593</v>
      </c>
      <c r="AE27">
        <v>0.38028080224879673</v>
      </c>
      <c r="AF27">
        <v>0.35863694239090171</v>
      </c>
      <c r="AG27">
        <v>0.33466233099798137</v>
      </c>
      <c r="AH27">
        <v>0.33059579924734311</v>
      </c>
      <c r="AI27">
        <v>0.35533759818806976</v>
      </c>
      <c r="AJ27">
        <v>0.37149439033640469</v>
      </c>
      <c r="AK27">
        <v>0.39519537702172897</v>
      </c>
      <c r="AL27">
        <v>0.41063624868762649</v>
      </c>
      <c r="AM27">
        <v>0.37020103424018219</v>
      </c>
      <c r="AN27">
        <v>0.3444169097157227</v>
      </c>
      <c r="AO27">
        <v>0.34666886797469987</v>
      </c>
      <c r="AP27">
        <v>0.33871296622706859</v>
      </c>
      <c r="AQ27">
        <v>0.32737546520618777</v>
      </c>
      <c r="EA27" t="s">
        <v>408</v>
      </c>
      <c r="EB27">
        <v>0.43680069840471508</v>
      </c>
      <c r="EC27">
        <v>0.43273464524073169</v>
      </c>
      <c r="ED27">
        <v>0.41959584983662856</v>
      </c>
      <c r="EE27">
        <v>0.41112509037728967</v>
      </c>
      <c r="EF27">
        <v>0.36208216136527971</v>
      </c>
      <c r="EG27">
        <v>0.38832766108814254</v>
      </c>
      <c r="EH27">
        <v>0.38545784503570152</v>
      </c>
      <c r="EI27">
        <v>0.40513682874450929</v>
      </c>
      <c r="EJ27">
        <v>0.42700099847793654</v>
      </c>
      <c r="EK27">
        <v>0.43297565507065622</v>
      </c>
      <c r="EL27">
        <v>0.30644202036803786</v>
      </c>
      <c r="EM27">
        <v>0.31333955822876236</v>
      </c>
      <c r="EN27">
        <v>0.30744495483173062</v>
      </c>
      <c r="EO27">
        <v>0.29574388840335958</v>
      </c>
      <c r="EP27">
        <v>0.23353958967496896</v>
      </c>
      <c r="EQ27">
        <v>0.27467189221832966</v>
      </c>
      <c r="ER27">
        <v>0.29080282669813934</v>
      </c>
      <c r="ES27">
        <v>0.2926353353901498</v>
      </c>
      <c r="ET27">
        <v>0.30294887923960295</v>
      </c>
      <c r="EU27">
        <v>0.30736005704531655</v>
      </c>
      <c r="EV27">
        <v>0.22432994002689691</v>
      </c>
      <c r="EW27">
        <v>0.21304812372975904</v>
      </c>
      <c r="EX27">
        <v>0.19467896911143071</v>
      </c>
      <c r="EY27">
        <v>0.18594822972129618</v>
      </c>
      <c r="EZ27">
        <v>0.15337903819888798</v>
      </c>
      <c r="FA27">
        <v>0.17719999147877127</v>
      </c>
      <c r="FB27">
        <v>0.18748420311692657</v>
      </c>
      <c r="FC27">
        <v>0.18317953610070664</v>
      </c>
      <c r="FD27">
        <v>0.19038273142765225</v>
      </c>
      <c r="FE27">
        <v>0.22571483816341509</v>
      </c>
      <c r="FF27">
        <v>0.38174975983332599</v>
      </c>
      <c r="FG27">
        <v>0.36493255131103841</v>
      </c>
      <c r="FH27">
        <v>0.36254511550525959</v>
      </c>
      <c r="FI27">
        <v>0.35340771902941448</v>
      </c>
      <c r="FJ27">
        <v>0.31100445357272299</v>
      </c>
      <c r="FK27">
        <v>0.33872068614472439</v>
      </c>
      <c r="FL27">
        <v>0.34885578909198245</v>
      </c>
      <c r="FM27">
        <v>0.36370866428688003</v>
      </c>
      <c r="FN27">
        <v>0.39713776309952004</v>
      </c>
      <c r="FO27">
        <v>0.40749352604335859</v>
      </c>
      <c r="FQ27" t="s">
        <v>408</v>
      </c>
      <c r="FR27" t="s">
        <v>127</v>
      </c>
      <c r="FS27" t="s">
        <v>128</v>
      </c>
      <c r="FT27">
        <v>0.43132132224215314</v>
      </c>
    </row>
    <row r="28" spans="2:176" x14ac:dyDescent="0.45">
      <c r="B28" t="s">
        <v>409</v>
      </c>
      <c r="C28" t="s">
        <v>123</v>
      </c>
      <c r="D28">
        <v>0.32321072351209373</v>
      </c>
      <c r="E28">
        <v>0.32303437053022332</v>
      </c>
      <c r="F28">
        <v>0.32637465704673047</v>
      </c>
      <c r="G28">
        <v>0.33940087519864465</v>
      </c>
      <c r="H28">
        <v>0.36462327930919541</v>
      </c>
      <c r="I28">
        <v>0.37126345116995357</v>
      </c>
      <c r="J28">
        <v>0.36242294373295131</v>
      </c>
      <c r="K28">
        <v>0.32419133752589546</v>
      </c>
      <c r="L28">
        <v>0.30162975246435458</v>
      </c>
      <c r="M28">
        <v>0.31171762151226629</v>
      </c>
      <c r="N28">
        <v>0.32750508159741698</v>
      </c>
      <c r="O28">
        <v>0.31077099859770896</v>
      </c>
      <c r="P28">
        <v>0.33670524315988032</v>
      </c>
      <c r="Q28">
        <v>0.37149806052365553</v>
      </c>
      <c r="R28">
        <v>0.38945109237060321</v>
      </c>
      <c r="S28">
        <v>0.37354812661694153</v>
      </c>
      <c r="T28">
        <v>0.37010541566336042</v>
      </c>
      <c r="U28">
        <v>0.34963139430200235</v>
      </c>
      <c r="V28">
        <v>0.33336270075701141</v>
      </c>
      <c r="W28">
        <v>0.31150627997628649</v>
      </c>
      <c r="X28">
        <v>0.33003587822654346</v>
      </c>
      <c r="Y28">
        <v>0.3168594766960523</v>
      </c>
      <c r="Z28">
        <v>0.38029399051561036</v>
      </c>
      <c r="AA28">
        <v>0.41022902782038656</v>
      </c>
      <c r="AB28">
        <v>0.40412705994822951</v>
      </c>
      <c r="AC28">
        <v>0.41070612171583382</v>
      </c>
      <c r="AD28">
        <v>0.40673980510422608</v>
      </c>
      <c r="AE28">
        <v>0.40288677744085749</v>
      </c>
      <c r="AF28">
        <v>0.37560038747823854</v>
      </c>
      <c r="AG28">
        <v>0.35498037834259438</v>
      </c>
      <c r="AH28">
        <v>0.33796278777151439</v>
      </c>
      <c r="AI28">
        <v>0.35934230475749224</v>
      </c>
      <c r="AJ28">
        <v>0.37637824830551436</v>
      </c>
      <c r="AK28">
        <v>0.39892481285679299</v>
      </c>
      <c r="AL28">
        <v>0.4128601748936182</v>
      </c>
      <c r="AM28">
        <v>0.37130256910886705</v>
      </c>
      <c r="AN28">
        <v>0.34443401090999226</v>
      </c>
      <c r="AO28">
        <v>0.33850524970327156</v>
      </c>
      <c r="AP28">
        <v>0.34366955378138309</v>
      </c>
      <c r="AQ28">
        <v>0.34213712475107988</v>
      </c>
      <c r="EA28" t="s">
        <v>409</v>
      </c>
      <c r="EB28">
        <v>0.44109922245662248</v>
      </c>
      <c r="EC28">
        <v>0.43982668266010783</v>
      </c>
      <c r="ED28">
        <v>0.42940989926250445</v>
      </c>
      <c r="EE28">
        <v>0.42364713800036247</v>
      </c>
      <c r="EF28">
        <v>0.36605181172878171</v>
      </c>
      <c r="EG28">
        <v>0.38545700865538995</v>
      </c>
      <c r="EH28">
        <v>0.3865285118110478</v>
      </c>
      <c r="EI28">
        <v>0.40311886434339816</v>
      </c>
      <c r="EJ28">
        <v>0.42274655722366233</v>
      </c>
      <c r="EK28">
        <v>0.43127961749624877</v>
      </c>
      <c r="EL28">
        <v>0.29921212033064953</v>
      </c>
      <c r="EM28">
        <v>0.30486618476393429</v>
      </c>
      <c r="EN28">
        <v>0.29472851777277159</v>
      </c>
      <c r="EO28">
        <v>0.28286837124640285</v>
      </c>
      <c r="EP28">
        <v>0.22603807925074565</v>
      </c>
      <c r="EQ28">
        <v>0.26491559746816917</v>
      </c>
      <c r="ER28">
        <v>0.28078600160433387</v>
      </c>
      <c r="ES28">
        <v>0.27632410490490578</v>
      </c>
      <c r="ET28">
        <v>0.28902718731526122</v>
      </c>
      <c r="EU28">
        <v>0.30236992683173902</v>
      </c>
      <c r="EV28">
        <v>0.21569530201073656</v>
      </c>
      <c r="EW28">
        <v>0.20596578093144394</v>
      </c>
      <c r="EX28">
        <v>0.18752306036565089</v>
      </c>
      <c r="EY28">
        <v>0.17594702209475066</v>
      </c>
      <c r="EZ28">
        <v>0.14285371396007299</v>
      </c>
      <c r="FA28">
        <v>0.16739598709492662</v>
      </c>
      <c r="FB28">
        <v>0.1820744885841597</v>
      </c>
      <c r="FC28">
        <v>0.17263660073007012</v>
      </c>
      <c r="FD28">
        <v>0.17457752450845082</v>
      </c>
      <c r="FE28">
        <v>0.21803438980419163</v>
      </c>
      <c r="FF28">
        <v>0.37209815266490964</v>
      </c>
      <c r="FG28">
        <v>0.35829037809642134</v>
      </c>
      <c r="FH28">
        <v>0.35515004348081464</v>
      </c>
      <c r="FI28">
        <v>0.34640084984098246</v>
      </c>
      <c r="FJ28">
        <v>0.29827560736045527</v>
      </c>
      <c r="FK28">
        <v>0.32567651343153237</v>
      </c>
      <c r="FL28">
        <v>0.32988117393464422</v>
      </c>
      <c r="FM28">
        <v>0.33886709163006357</v>
      </c>
      <c r="FN28">
        <v>0.37556712114978785</v>
      </c>
      <c r="FO28">
        <v>0.3994405776323689</v>
      </c>
      <c r="FQ28" t="s">
        <v>409</v>
      </c>
      <c r="FR28" t="s">
        <v>127</v>
      </c>
      <c r="FS28" t="s">
        <v>128</v>
      </c>
      <c r="FT28">
        <v>0.43869110959168112</v>
      </c>
    </row>
    <row r="29" spans="2:176" x14ac:dyDescent="0.45">
      <c r="B29" t="s">
        <v>410</v>
      </c>
      <c r="C29" t="s">
        <v>123</v>
      </c>
      <c r="D29">
        <v>0.31221895759061524</v>
      </c>
      <c r="E29">
        <v>0.30794719890379119</v>
      </c>
      <c r="F29">
        <v>0.31571657304452377</v>
      </c>
      <c r="G29">
        <v>0.32939076856663685</v>
      </c>
      <c r="H29">
        <v>0.36470676871359209</v>
      </c>
      <c r="I29">
        <v>0.36864327007503145</v>
      </c>
      <c r="J29">
        <v>0.35935572867512</v>
      </c>
      <c r="K29">
        <v>0.3209069117627501</v>
      </c>
      <c r="L29">
        <v>0.29396704119204786</v>
      </c>
      <c r="M29">
        <v>0.299695012799294</v>
      </c>
      <c r="N29">
        <v>0.30906681180182327</v>
      </c>
      <c r="O29">
        <v>0.29641840671345054</v>
      </c>
      <c r="P29">
        <v>0.32921845482926893</v>
      </c>
      <c r="Q29">
        <v>0.36315265958505422</v>
      </c>
      <c r="R29">
        <v>0.38020085343153537</v>
      </c>
      <c r="S29">
        <v>0.36223321361331529</v>
      </c>
      <c r="T29">
        <v>0.36304471651017201</v>
      </c>
      <c r="U29">
        <v>0.33680774116455903</v>
      </c>
      <c r="V29">
        <v>0.33115489832873107</v>
      </c>
      <c r="W29">
        <v>0.32092113207136935</v>
      </c>
      <c r="X29">
        <v>0.31004700780479988</v>
      </c>
      <c r="Y29">
        <v>0.29744929211414001</v>
      </c>
      <c r="Z29">
        <v>0.35245900995634799</v>
      </c>
      <c r="AA29">
        <v>0.39427350564909186</v>
      </c>
      <c r="AB29">
        <v>0.38012681619590138</v>
      </c>
      <c r="AC29">
        <v>0.39005521910246993</v>
      </c>
      <c r="AD29">
        <v>0.39446287729014445</v>
      </c>
      <c r="AE29">
        <v>0.37910417532593327</v>
      </c>
      <c r="AF29">
        <v>0.36211194903279825</v>
      </c>
      <c r="AG29">
        <v>0.33457135233144653</v>
      </c>
      <c r="AH29">
        <v>0.33379606330041811</v>
      </c>
      <c r="AI29">
        <v>0.36705028728879091</v>
      </c>
      <c r="AJ29">
        <v>0.38133297471153027</v>
      </c>
      <c r="AK29">
        <v>0.40175793269602222</v>
      </c>
      <c r="AL29">
        <v>0.40963480788772616</v>
      </c>
      <c r="AM29">
        <v>0.36718006198878261</v>
      </c>
      <c r="AN29">
        <v>0.34404411403172996</v>
      </c>
      <c r="AO29">
        <v>0.34709378892027515</v>
      </c>
      <c r="AP29">
        <v>0.33468855884275689</v>
      </c>
      <c r="AQ29">
        <v>0.3194584432216318</v>
      </c>
      <c r="EA29" t="s">
        <v>410</v>
      </c>
      <c r="EB29">
        <v>0.4456098423818754</v>
      </c>
      <c r="EC29">
        <v>0.44013485922271167</v>
      </c>
      <c r="ED29">
        <v>0.43234400726061767</v>
      </c>
      <c r="EE29">
        <v>0.43203334754702621</v>
      </c>
      <c r="EF29">
        <v>0.37332947840677738</v>
      </c>
      <c r="EG29">
        <v>0.38972801548363617</v>
      </c>
      <c r="EH29">
        <v>0.39210747285602232</v>
      </c>
      <c r="EI29">
        <v>0.40789793343209302</v>
      </c>
      <c r="EJ29">
        <v>0.42887437609041318</v>
      </c>
      <c r="EK29">
        <v>0.43737613069134573</v>
      </c>
      <c r="EL29">
        <v>0.31835002333371082</v>
      </c>
      <c r="EM29">
        <v>0.32155828662478053</v>
      </c>
      <c r="EN29">
        <v>0.30772007063672269</v>
      </c>
      <c r="EO29">
        <v>0.30066953768039811</v>
      </c>
      <c r="EP29">
        <v>0.24924181377642771</v>
      </c>
      <c r="EQ29">
        <v>0.28983032391357222</v>
      </c>
      <c r="ER29">
        <v>0.30114524137326165</v>
      </c>
      <c r="ES29">
        <v>0.2952497253990698</v>
      </c>
      <c r="ET29">
        <v>0.30081891535629846</v>
      </c>
      <c r="EU29">
        <v>0.32064015131470014</v>
      </c>
      <c r="EV29">
        <v>0.23980242452969106</v>
      </c>
      <c r="EW29">
        <v>0.21995756666452809</v>
      </c>
      <c r="EX29">
        <v>0.19236738088025093</v>
      </c>
      <c r="EY29">
        <v>0.17830286630624401</v>
      </c>
      <c r="EZ29">
        <v>0.15165829139838288</v>
      </c>
      <c r="FA29">
        <v>0.17851136400522452</v>
      </c>
      <c r="FB29">
        <v>0.19054370560137465</v>
      </c>
      <c r="FC29">
        <v>0.18422757734628209</v>
      </c>
      <c r="FD29">
        <v>0.19062636367828764</v>
      </c>
      <c r="FE29">
        <v>0.24212749794531579</v>
      </c>
      <c r="FF29">
        <v>0.3666512879076082</v>
      </c>
      <c r="FG29">
        <v>0.34981242666419077</v>
      </c>
      <c r="FH29">
        <v>0.35047067896770101</v>
      </c>
      <c r="FI29">
        <v>0.3404444000668399</v>
      </c>
      <c r="FJ29">
        <v>0.30094109382279732</v>
      </c>
      <c r="FK29">
        <v>0.33183017021406414</v>
      </c>
      <c r="FL29">
        <v>0.33409924864641821</v>
      </c>
      <c r="FM29">
        <v>0.35109317795923461</v>
      </c>
      <c r="FN29">
        <v>0.39080255622216764</v>
      </c>
      <c r="FO29">
        <v>0.4003467643217738</v>
      </c>
      <c r="FQ29" t="s">
        <v>410</v>
      </c>
      <c r="FR29" t="s">
        <v>127</v>
      </c>
      <c r="FS29" t="s">
        <v>128</v>
      </c>
      <c r="FT29">
        <v>0.4413889417522176</v>
      </c>
    </row>
    <row r="30" spans="2:176" x14ac:dyDescent="0.45">
      <c r="B30" t="s">
        <v>411</v>
      </c>
      <c r="C30" t="s">
        <v>123</v>
      </c>
      <c r="D30">
        <v>0.31446749255183626</v>
      </c>
      <c r="E30">
        <v>0.313833002384376</v>
      </c>
      <c r="F30">
        <v>0.31670276472424536</v>
      </c>
      <c r="G30">
        <v>0.32966026460679415</v>
      </c>
      <c r="H30">
        <v>0.37058076065820555</v>
      </c>
      <c r="I30">
        <v>0.37958341520012751</v>
      </c>
      <c r="J30">
        <v>0.36490099814640531</v>
      </c>
      <c r="K30">
        <v>0.32529852833652556</v>
      </c>
      <c r="L30">
        <v>0.29930181815860707</v>
      </c>
      <c r="M30">
        <v>0.29656734263265194</v>
      </c>
      <c r="N30">
        <v>0.29877132160134101</v>
      </c>
      <c r="O30">
        <v>0.28611434305550504</v>
      </c>
      <c r="P30">
        <v>0.30651710148996769</v>
      </c>
      <c r="Q30">
        <v>0.33771290241934876</v>
      </c>
      <c r="R30">
        <v>0.34285672372538006</v>
      </c>
      <c r="S30">
        <v>0.3322921403593822</v>
      </c>
      <c r="T30">
        <v>0.33628636266221035</v>
      </c>
      <c r="U30">
        <v>0.33204995350883193</v>
      </c>
      <c r="V30">
        <v>0.32141168699067491</v>
      </c>
      <c r="W30">
        <v>0.32959360898710727</v>
      </c>
      <c r="X30">
        <v>0.29722591726771314</v>
      </c>
      <c r="Y30">
        <v>0.3002237588849066</v>
      </c>
      <c r="Z30">
        <v>0.34464343284032661</v>
      </c>
      <c r="AA30">
        <v>0.38328744837544271</v>
      </c>
      <c r="AB30">
        <v>0.38880286136385761</v>
      </c>
      <c r="AC30">
        <v>0.37026187963408164</v>
      </c>
      <c r="AD30">
        <v>0.34843736470232639</v>
      </c>
      <c r="AE30">
        <v>0.35164938768727205</v>
      </c>
      <c r="AF30">
        <v>0.3395199504288251</v>
      </c>
      <c r="AG30">
        <v>0.30869239214059269</v>
      </c>
      <c r="AH30">
        <v>0.33562780645254037</v>
      </c>
      <c r="AI30">
        <v>0.36419165851183471</v>
      </c>
      <c r="AJ30">
        <v>0.37169217508768609</v>
      </c>
      <c r="AK30">
        <v>0.40571619871112719</v>
      </c>
      <c r="AL30">
        <v>0.40091191982351332</v>
      </c>
      <c r="AM30">
        <v>0.3679968572578724</v>
      </c>
      <c r="AN30">
        <v>0.36021955759667584</v>
      </c>
      <c r="AO30">
        <v>0.36092466707105697</v>
      </c>
      <c r="AP30">
        <v>0.32768792890638093</v>
      </c>
      <c r="AQ30">
        <v>0.30953550457555706</v>
      </c>
      <c r="EA30" t="s">
        <v>411</v>
      </c>
      <c r="EB30">
        <v>0.44216286946491978</v>
      </c>
      <c r="EC30">
        <v>0.43054655487595711</v>
      </c>
      <c r="ED30">
        <v>0.42963326384214956</v>
      </c>
      <c r="EE30">
        <v>0.42264907016498399</v>
      </c>
      <c r="EF30">
        <v>0.37138760776191015</v>
      </c>
      <c r="EG30">
        <v>0.38547211229242478</v>
      </c>
      <c r="EH30">
        <v>0.38719487396134356</v>
      </c>
      <c r="EI30">
        <v>0.40913329838163942</v>
      </c>
      <c r="EJ30">
        <v>0.43418169736226953</v>
      </c>
      <c r="EK30">
        <v>0.44262958402116176</v>
      </c>
      <c r="EL30">
        <v>0.32828251489999322</v>
      </c>
      <c r="EM30">
        <v>0.3285421012867028</v>
      </c>
      <c r="EN30">
        <v>0.3197600929894181</v>
      </c>
      <c r="EO30">
        <v>0.31180519739409701</v>
      </c>
      <c r="EP30">
        <v>0.26135869386966937</v>
      </c>
      <c r="EQ30">
        <v>0.29976630855061809</v>
      </c>
      <c r="ER30">
        <v>0.31524848733558614</v>
      </c>
      <c r="ES30">
        <v>0.31086161092291587</v>
      </c>
      <c r="ET30">
        <v>0.31393838477468089</v>
      </c>
      <c r="EU30">
        <v>0.32859985047669854</v>
      </c>
      <c r="EV30">
        <v>0.26223062112392476</v>
      </c>
      <c r="EW30">
        <v>0.23350853387561954</v>
      </c>
      <c r="EX30">
        <v>0.20384874124916355</v>
      </c>
      <c r="EY30">
        <v>0.18526085008446791</v>
      </c>
      <c r="EZ30">
        <v>0.16714519135409539</v>
      </c>
      <c r="FA30">
        <v>0.19421617260048157</v>
      </c>
      <c r="FB30">
        <v>0.20500256652399293</v>
      </c>
      <c r="FC30">
        <v>0.20684462334772846</v>
      </c>
      <c r="FD30">
        <v>0.21472364038468508</v>
      </c>
      <c r="FE30">
        <v>0.26126385008615038</v>
      </c>
      <c r="FF30">
        <v>0.37525279228495217</v>
      </c>
      <c r="FG30">
        <v>0.35585796012195514</v>
      </c>
      <c r="FH30">
        <v>0.35513960862405597</v>
      </c>
      <c r="FI30">
        <v>0.34355296839602151</v>
      </c>
      <c r="FJ30">
        <v>0.3183759961931551</v>
      </c>
      <c r="FK30">
        <v>0.35069791206826406</v>
      </c>
      <c r="FL30">
        <v>0.36126740866917284</v>
      </c>
      <c r="FM30">
        <v>0.37875816800978968</v>
      </c>
      <c r="FN30">
        <v>0.40177759371774541</v>
      </c>
      <c r="FO30">
        <v>0.40359710880325267</v>
      </c>
      <c r="FQ30" t="s">
        <v>411</v>
      </c>
      <c r="FR30" t="s">
        <v>127</v>
      </c>
      <c r="FS30" t="s">
        <v>128</v>
      </c>
      <c r="FT30">
        <v>0.4375887655412482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2ADF-829E-4DB6-8285-11BDC6FAE9BD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region=BEL")</f>
        <v>~TFM_DINS-AT: region=BEL</v>
      </c>
      <c r="H9" t="str">
        <f>IF(A11="x","DeActivated","~TFM_DINS-AT: region=BEL")</f>
        <v>~TFM_DINS-AT: region=BEL</v>
      </c>
      <c r="L9" t="str">
        <f>IF(A11="x","DeActivated","~TFM_DINS-AT: region=BEL")</f>
        <v>~TFM_DINS-AT: region=BEL</v>
      </c>
      <c r="P9" t="str">
        <f>IF(A11="x","DeActivated","~TFM_INS-AT: region=BEL")</f>
        <v>~TFM_INS-AT: region=BEL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9.5241642080052813E-2</v>
      </c>
      <c r="P11">
        <v>2020</v>
      </c>
      <c r="Q11" t="s">
        <v>214</v>
      </c>
      <c r="R11">
        <v>0.29073333333333329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0.17708579486984033</v>
      </c>
      <c r="P12">
        <v>2020</v>
      </c>
      <c r="Q12" t="s">
        <v>216</v>
      </c>
      <c r="R12">
        <v>0.20636666666666667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0.13256621167646965</v>
      </c>
      <c r="P13">
        <v>2020</v>
      </c>
      <c r="Q13" t="s">
        <v>217</v>
      </c>
      <c r="R13">
        <v>4.2099999999999999E-2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9.1426983465332734E-2</v>
      </c>
      <c r="P14">
        <v>2020</v>
      </c>
      <c r="Q14" t="s">
        <v>218</v>
      </c>
      <c r="R14">
        <v>8.2833333333333328E-2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8.2726310419534599E-2</v>
      </c>
      <c r="P15">
        <v>2021</v>
      </c>
      <c r="Q15" t="s">
        <v>214</v>
      </c>
      <c r="R15">
        <v>0.25746666666666668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8.8846557111565527E-2</v>
      </c>
      <c r="P16">
        <v>2021</v>
      </c>
      <c r="Q16" t="s">
        <v>216</v>
      </c>
      <c r="R16">
        <v>0.28783333333333333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9.1381045075944911E-2</v>
      </c>
      <c r="P17">
        <v>2021</v>
      </c>
      <c r="Q17" t="s">
        <v>217</v>
      </c>
      <c r="R17">
        <v>0.20503333333333332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8.1176302577490977E-2</v>
      </c>
      <c r="P18">
        <v>2021</v>
      </c>
      <c r="Q18" t="s">
        <v>218</v>
      </c>
      <c r="R18">
        <v>0.20773333333333333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9.2337948149651128E-2</v>
      </c>
      <c r="P19">
        <v>2022</v>
      </c>
      <c r="Q19" t="s">
        <v>214</v>
      </c>
      <c r="R19">
        <v>3.7333333333333336E-2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0.11091299856134995</v>
      </c>
      <c r="P20">
        <v>2022</v>
      </c>
      <c r="Q20" t="s">
        <v>216</v>
      </c>
      <c r="R20">
        <v>0.18916666666666668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0.12124578755777216</v>
      </c>
      <c r="P21">
        <v>2022</v>
      </c>
      <c r="Q21" t="s">
        <v>217</v>
      </c>
      <c r="R21">
        <v>3.8566666666666666E-2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0.22054215931253851</v>
      </c>
      <c r="P22">
        <v>2022</v>
      </c>
      <c r="Q22" t="s">
        <v>218</v>
      </c>
      <c r="R22">
        <v>3.8566666666666666E-2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0.14009570196629784</v>
      </c>
      <c r="P23">
        <v>2025</v>
      </c>
      <c r="Q23" t="s">
        <v>214</v>
      </c>
      <c r="R23">
        <v>0.5171</v>
      </c>
      <c r="S23" t="s">
        <v>215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0.12229744465932257</v>
      </c>
      <c r="P24">
        <v>2025</v>
      </c>
      <c r="Q24" t="s">
        <v>216</v>
      </c>
      <c r="R24">
        <v>0.43120000000000003</v>
      </c>
      <c r="S24" t="s">
        <v>215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0.13004150852268848</v>
      </c>
      <c r="P25">
        <v>2025</v>
      </c>
      <c r="Q25" t="s">
        <v>217</v>
      </c>
      <c r="R25">
        <v>0.15753333333333333</v>
      </c>
      <c r="S25" t="s">
        <v>215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0.13914847567910349</v>
      </c>
      <c r="P26">
        <v>2025</v>
      </c>
      <c r="Q26" t="s">
        <v>218</v>
      </c>
      <c r="R26">
        <v>0.21093333333333333</v>
      </c>
      <c r="S26" t="s">
        <v>215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0.14697073652164949</v>
      </c>
      <c r="P27">
        <v>2026</v>
      </c>
      <c r="Q27" t="s">
        <v>214</v>
      </c>
      <c r="R27">
        <v>0.50403333333333344</v>
      </c>
      <c r="S27" t="s">
        <v>215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0.14508526661054288</v>
      </c>
      <c r="P28">
        <v>2026</v>
      </c>
      <c r="Q28" t="s">
        <v>216</v>
      </c>
      <c r="R28">
        <v>0.44366666666666665</v>
      </c>
      <c r="S28" t="s">
        <v>215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0.15973834300112411</v>
      </c>
      <c r="P29">
        <v>2026</v>
      </c>
      <c r="Q29" t="s">
        <v>217</v>
      </c>
      <c r="R29">
        <v>0.17576666666666665</v>
      </c>
      <c r="S29" t="s">
        <v>215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0.15287824064391065</v>
      </c>
      <c r="P30">
        <v>2026</v>
      </c>
      <c r="Q30" t="s">
        <v>218</v>
      </c>
      <c r="R30">
        <v>0.16606666666666667</v>
      </c>
      <c r="S30" t="s">
        <v>215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0.16052465442096064</v>
      </c>
      <c r="P31">
        <v>2027</v>
      </c>
      <c r="Q31" t="s">
        <v>214</v>
      </c>
      <c r="R31">
        <v>0.44976666666666665</v>
      </c>
      <c r="S31" t="s">
        <v>215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0.12700172293428857</v>
      </c>
      <c r="P32">
        <v>2027</v>
      </c>
      <c r="Q32" t="s">
        <v>216</v>
      </c>
      <c r="R32">
        <v>0.4652</v>
      </c>
      <c r="S32" t="s">
        <v>215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0.13136678121027878</v>
      </c>
      <c r="P33">
        <v>2027</v>
      </c>
      <c r="Q33" t="s">
        <v>217</v>
      </c>
      <c r="R33">
        <v>0.1963</v>
      </c>
      <c r="S33" t="s">
        <v>215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0.10850859023399506</v>
      </c>
      <c r="P34">
        <v>2027</v>
      </c>
      <c r="Q34" t="s">
        <v>218</v>
      </c>
      <c r="R34">
        <v>0.25003333333333333</v>
      </c>
      <c r="S34" t="s">
        <v>215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0.10562266303505297</v>
      </c>
      <c r="P35">
        <v>2028</v>
      </c>
      <c r="Q35" t="s">
        <v>214</v>
      </c>
      <c r="R35">
        <v>0.4834</v>
      </c>
      <c r="S35" t="s">
        <v>215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0.11512856182549402</v>
      </c>
      <c r="P36">
        <v>2028</v>
      </c>
      <c r="Q36" t="s">
        <v>216</v>
      </c>
      <c r="R36">
        <v>0.41886666666666672</v>
      </c>
      <c r="S36" t="s">
        <v>215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0.10688813461692526</v>
      </c>
      <c r="P37">
        <v>2028</v>
      </c>
      <c r="Q37" t="s">
        <v>217</v>
      </c>
      <c r="R37">
        <v>0.16196666666666668</v>
      </c>
      <c r="S37" t="s">
        <v>215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9.4012836635037678E-2</v>
      </c>
      <c r="P38">
        <v>2028</v>
      </c>
      <c r="Q38" t="s">
        <v>218</v>
      </c>
      <c r="R38">
        <v>0.28006666666666669</v>
      </c>
      <c r="S38" t="s">
        <v>215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0.10138623372074607</v>
      </c>
      <c r="P39">
        <v>2029</v>
      </c>
      <c r="Q39" t="s">
        <v>214</v>
      </c>
      <c r="R39">
        <v>0.52250000000000008</v>
      </c>
      <c r="S39" t="s">
        <v>215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0.10852698621112888</v>
      </c>
      <c r="P40">
        <v>2029</v>
      </c>
      <c r="Q40" t="s">
        <v>216</v>
      </c>
      <c r="R40">
        <v>0.43493333333333334</v>
      </c>
      <c r="S40" t="s">
        <v>215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0.15433770130963143</v>
      </c>
      <c r="P41">
        <v>2029</v>
      </c>
      <c r="Q41" t="s">
        <v>217</v>
      </c>
      <c r="R41">
        <v>0.16170000000000001</v>
      </c>
      <c r="S41" t="s">
        <v>215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0.27317443015341958</v>
      </c>
      <c r="P42">
        <v>2029</v>
      </c>
      <c r="Q42" t="s">
        <v>218</v>
      </c>
      <c r="R42">
        <v>0.25286666666666668</v>
      </c>
      <c r="S42" t="s">
        <v>215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0.22351779756691492</v>
      </c>
      <c r="P43">
        <v>2030</v>
      </c>
      <c r="Q43" t="s">
        <v>214</v>
      </c>
      <c r="R43">
        <v>0.46736666666666665</v>
      </c>
      <c r="S43" t="s">
        <v>215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0.18038049665678435</v>
      </c>
      <c r="P44">
        <v>2030</v>
      </c>
      <c r="Q44" t="s">
        <v>216</v>
      </c>
      <c r="R44">
        <v>0.48433333333333334</v>
      </c>
      <c r="S44" t="s">
        <v>215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0.1804137846978886</v>
      </c>
      <c r="P45">
        <v>2030</v>
      </c>
      <c r="Q45" t="s">
        <v>217</v>
      </c>
      <c r="R45">
        <v>0.24736666666666665</v>
      </c>
      <c r="S45" t="s">
        <v>215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0.17470815570341447</v>
      </c>
      <c r="P46">
        <v>2030</v>
      </c>
      <c r="Q46" t="s">
        <v>218</v>
      </c>
      <c r="R46">
        <v>0.17383333333333337</v>
      </c>
      <c r="S46" t="s">
        <v>215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0.18212296396732586</v>
      </c>
      <c r="P47">
        <v>2031</v>
      </c>
      <c r="Q47" t="s">
        <v>214</v>
      </c>
      <c r="R47">
        <v>0.60876666666666679</v>
      </c>
      <c r="S47" t="s">
        <v>215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0.18833184334951603</v>
      </c>
      <c r="P48">
        <v>2031</v>
      </c>
      <c r="Q48" t="s">
        <v>216</v>
      </c>
      <c r="R48">
        <v>0.5665</v>
      </c>
      <c r="S48" t="s">
        <v>215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0.20222486774183523</v>
      </c>
      <c r="P49">
        <v>2031</v>
      </c>
      <c r="Q49" t="s">
        <v>217</v>
      </c>
      <c r="R49">
        <v>0.14383333333333334</v>
      </c>
      <c r="S49" t="s">
        <v>215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0.16571507495280113</v>
      </c>
      <c r="P50">
        <v>2031</v>
      </c>
      <c r="Q50" t="s">
        <v>218</v>
      </c>
      <c r="R50">
        <v>0.24233333333333337</v>
      </c>
      <c r="S50" t="s">
        <v>215</v>
      </c>
    </row>
    <row r="51" spans="3:19" x14ac:dyDescent="0.45">
      <c r="H51" t="s">
        <v>219</v>
      </c>
      <c r="I51" t="s">
        <v>5</v>
      </c>
      <c r="P51">
        <v>2032</v>
      </c>
      <c r="Q51" t="s">
        <v>214</v>
      </c>
      <c r="R51">
        <v>0.6287666666666667</v>
      </c>
      <c r="S51" t="s">
        <v>215</v>
      </c>
    </row>
    <row r="52" spans="3:19" x14ac:dyDescent="0.45">
      <c r="H52" t="s">
        <v>219</v>
      </c>
      <c r="I52" t="s">
        <v>9</v>
      </c>
      <c r="P52">
        <v>2032</v>
      </c>
      <c r="Q52" t="s">
        <v>216</v>
      </c>
      <c r="R52">
        <v>0.51680000000000004</v>
      </c>
      <c r="S52" t="s">
        <v>215</v>
      </c>
    </row>
    <row r="53" spans="3:19" x14ac:dyDescent="0.45">
      <c r="H53" t="s">
        <v>219</v>
      </c>
      <c r="I53" t="s">
        <v>10</v>
      </c>
      <c r="P53">
        <v>2032</v>
      </c>
      <c r="Q53" t="s">
        <v>217</v>
      </c>
      <c r="R53">
        <v>0.14959999999999998</v>
      </c>
      <c r="S53" t="s">
        <v>215</v>
      </c>
    </row>
    <row r="54" spans="3:19" x14ac:dyDescent="0.45">
      <c r="H54" t="s">
        <v>219</v>
      </c>
      <c r="I54" t="s">
        <v>11</v>
      </c>
      <c r="P54">
        <v>2032</v>
      </c>
      <c r="Q54" t="s">
        <v>218</v>
      </c>
      <c r="R54">
        <v>0.23106666666666667</v>
      </c>
      <c r="S54" t="s">
        <v>215</v>
      </c>
    </row>
    <row r="55" spans="3:19" x14ac:dyDescent="0.45">
      <c r="H55" t="s">
        <v>219</v>
      </c>
      <c r="I55" t="s">
        <v>12</v>
      </c>
      <c r="P55">
        <v>2033</v>
      </c>
      <c r="Q55" t="s">
        <v>214</v>
      </c>
      <c r="R55">
        <v>0.41589999999999999</v>
      </c>
      <c r="S55" t="s">
        <v>215</v>
      </c>
    </row>
    <row r="56" spans="3:19" x14ac:dyDescent="0.45">
      <c r="H56" t="s">
        <v>219</v>
      </c>
      <c r="I56" t="s">
        <v>13</v>
      </c>
      <c r="P56">
        <v>2033</v>
      </c>
      <c r="Q56" t="s">
        <v>216</v>
      </c>
      <c r="R56">
        <v>0.48659999999999998</v>
      </c>
      <c r="S56" t="s">
        <v>215</v>
      </c>
    </row>
    <row r="57" spans="3:19" x14ac:dyDescent="0.45">
      <c r="H57" t="s">
        <v>219</v>
      </c>
      <c r="I57" t="s">
        <v>14</v>
      </c>
      <c r="P57">
        <v>2033</v>
      </c>
      <c r="Q57" t="s">
        <v>217</v>
      </c>
      <c r="R57">
        <v>0.13499999999999998</v>
      </c>
      <c r="S57" t="s">
        <v>215</v>
      </c>
    </row>
    <row r="58" spans="3:19" x14ac:dyDescent="0.45">
      <c r="H58" t="s">
        <v>219</v>
      </c>
      <c r="I58" t="s">
        <v>15</v>
      </c>
      <c r="P58">
        <v>2033</v>
      </c>
      <c r="Q58" t="s">
        <v>218</v>
      </c>
      <c r="R58">
        <v>0.17200000000000001</v>
      </c>
      <c r="S58" t="s">
        <v>215</v>
      </c>
    </row>
    <row r="59" spans="3:19" x14ac:dyDescent="0.45">
      <c r="H59" t="s">
        <v>219</v>
      </c>
      <c r="I59" t="s">
        <v>16</v>
      </c>
      <c r="P59">
        <v>2034</v>
      </c>
      <c r="Q59" t="s">
        <v>214</v>
      </c>
      <c r="R59">
        <v>0.55123333333333335</v>
      </c>
      <c r="S59" t="s">
        <v>215</v>
      </c>
    </row>
    <row r="60" spans="3:19" x14ac:dyDescent="0.45">
      <c r="H60" t="s">
        <v>219</v>
      </c>
      <c r="I60" t="s">
        <v>17</v>
      </c>
      <c r="P60">
        <v>2034</v>
      </c>
      <c r="Q60" t="s">
        <v>216</v>
      </c>
      <c r="R60">
        <v>0.53543333333333332</v>
      </c>
      <c r="S60" t="s">
        <v>215</v>
      </c>
    </row>
    <row r="61" spans="3:19" x14ac:dyDescent="0.45">
      <c r="H61" t="s">
        <v>219</v>
      </c>
      <c r="I61" t="s">
        <v>18</v>
      </c>
      <c r="P61">
        <v>2034</v>
      </c>
      <c r="Q61" t="s">
        <v>217</v>
      </c>
      <c r="R61">
        <v>0.21426666666666669</v>
      </c>
      <c r="S61" t="s">
        <v>215</v>
      </c>
    </row>
    <row r="62" spans="3:19" x14ac:dyDescent="0.45">
      <c r="H62" t="s">
        <v>219</v>
      </c>
      <c r="I62" t="s">
        <v>19</v>
      </c>
      <c r="P62">
        <v>2034</v>
      </c>
      <c r="Q62" t="s">
        <v>218</v>
      </c>
      <c r="R62">
        <v>0.23219999999999999</v>
      </c>
      <c r="S62" t="s">
        <v>215</v>
      </c>
    </row>
    <row r="63" spans="3:19" x14ac:dyDescent="0.45">
      <c r="H63" t="s">
        <v>219</v>
      </c>
      <c r="I63" t="s">
        <v>20</v>
      </c>
      <c r="P63">
        <v>2035</v>
      </c>
      <c r="Q63" t="s">
        <v>214</v>
      </c>
      <c r="R63">
        <v>0.56033333333333335</v>
      </c>
      <c r="S63" t="s">
        <v>215</v>
      </c>
    </row>
    <row r="64" spans="3:19" x14ac:dyDescent="0.45">
      <c r="H64" t="s">
        <v>219</v>
      </c>
      <c r="I64" t="s">
        <v>21</v>
      </c>
      <c r="P64">
        <v>2035</v>
      </c>
      <c r="Q64" t="s">
        <v>216</v>
      </c>
      <c r="R64">
        <v>0.5611666666666667</v>
      </c>
      <c r="S64" t="s">
        <v>215</v>
      </c>
    </row>
    <row r="65" spans="8:19" x14ac:dyDescent="0.45">
      <c r="H65" t="s">
        <v>219</v>
      </c>
      <c r="I65" t="s">
        <v>22</v>
      </c>
      <c r="P65">
        <v>2035</v>
      </c>
      <c r="Q65" t="s">
        <v>217</v>
      </c>
      <c r="R65">
        <v>0.22026666666666669</v>
      </c>
      <c r="S65" t="s">
        <v>215</v>
      </c>
    </row>
    <row r="66" spans="8:19" x14ac:dyDescent="0.45">
      <c r="H66" t="s">
        <v>219</v>
      </c>
      <c r="I66" t="s">
        <v>23</v>
      </c>
      <c r="P66">
        <v>2035</v>
      </c>
      <c r="Q66" t="s">
        <v>218</v>
      </c>
      <c r="R66">
        <v>0.24280000000000002</v>
      </c>
      <c r="S66" t="s">
        <v>215</v>
      </c>
    </row>
    <row r="67" spans="8:19" x14ac:dyDescent="0.45">
      <c r="H67" t="s">
        <v>219</v>
      </c>
      <c r="I67" t="s">
        <v>24</v>
      </c>
      <c r="P67">
        <v>2036</v>
      </c>
      <c r="Q67" t="s">
        <v>214</v>
      </c>
      <c r="R67">
        <v>0.7069333333333333</v>
      </c>
      <c r="S67" t="s">
        <v>215</v>
      </c>
    </row>
    <row r="68" spans="8:19" x14ac:dyDescent="0.45">
      <c r="H68" t="s">
        <v>219</v>
      </c>
      <c r="I68" t="s">
        <v>25</v>
      </c>
      <c r="P68">
        <v>2036</v>
      </c>
      <c r="Q68" t="s">
        <v>216</v>
      </c>
      <c r="R68">
        <v>0.53759999999999997</v>
      </c>
      <c r="S68" t="s">
        <v>215</v>
      </c>
    </row>
    <row r="69" spans="8:19" x14ac:dyDescent="0.45">
      <c r="H69" t="s">
        <v>219</v>
      </c>
      <c r="I69" t="s">
        <v>26</v>
      </c>
      <c r="P69">
        <v>2036</v>
      </c>
      <c r="Q69" t="s">
        <v>217</v>
      </c>
      <c r="R69">
        <v>0.26730000000000004</v>
      </c>
      <c r="S69" t="s">
        <v>215</v>
      </c>
    </row>
    <row r="70" spans="8:19" x14ac:dyDescent="0.45">
      <c r="H70" t="s">
        <v>219</v>
      </c>
      <c r="I70" t="s">
        <v>27</v>
      </c>
      <c r="P70">
        <v>2036</v>
      </c>
      <c r="Q70" t="s">
        <v>218</v>
      </c>
      <c r="R70">
        <v>0.15493333333333334</v>
      </c>
      <c r="S70" t="s">
        <v>215</v>
      </c>
    </row>
    <row r="71" spans="8:19" x14ac:dyDescent="0.45">
      <c r="H71" t="s">
        <v>219</v>
      </c>
      <c r="I71" t="s">
        <v>28</v>
      </c>
      <c r="P71">
        <v>2037</v>
      </c>
      <c r="Q71" t="s">
        <v>214</v>
      </c>
      <c r="R71">
        <v>0.58579999999999999</v>
      </c>
      <c r="S71" t="s">
        <v>215</v>
      </c>
    </row>
    <row r="72" spans="8:19" x14ac:dyDescent="0.45">
      <c r="H72" t="s">
        <v>219</v>
      </c>
      <c r="I72" t="s">
        <v>29</v>
      </c>
      <c r="P72">
        <v>2037</v>
      </c>
      <c r="Q72" t="s">
        <v>216</v>
      </c>
      <c r="R72">
        <v>0.50239999999999996</v>
      </c>
      <c r="S72" t="s">
        <v>215</v>
      </c>
    </row>
    <row r="73" spans="8:19" x14ac:dyDescent="0.45">
      <c r="H73" t="s">
        <v>219</v>
      </c>
      <c r="I73" t="s">
        <v>30</v>
      </c>
      <c r="P73">
        <v>2037</v>
      </c>
      <c r="Q73" t="s">
        <v>217</v>
      </c>
      <c r="R73">
        <v>0.13503333333333331</v>
      </c>
      <c r="S73" t="s">
        <v>215</v>
      </c>
    </row>
    <row r="74" spans="8:19" x14ac:dyDescent="0.45">
      <c r="H74" t="s">
        <v>219</v>
      </c>
      <c r="I74" t="s">
        <v>31</v>
      </c>
      <c r="P74">
        <v>2037</v>
      </c>
      <c r="Q74" t="s">
        <v>218</v>
      </c>
      <c r="R74">
        <v>0.21990000000000001</v>
      </c>
      <c r="S74" t="s">
        <v>215</v>
      </c>
    </row>
    <row r="75" spans="8:19" x14ac:dyDescent="0.45">
      <c r="H75" t="s">
        <v>219</v>
      </c>
      <c r="I75" t="s">
        <v>32</v>
      </c>
      <c r="P75">
        <v>2038</v>
      </c>
      <c r="Q75" t="s">
        <v>214</v>
      </c>
      <c r="R75">
        <v>0.54239999999999999</v>
      </c>
      <c r="S75" t="s">
        <v>215</v>
      </c>
    </row>
    <row r="76" spans="8:19" x14ac:dyDescent="0.45">
      <c r="H76" t="s">
        <v>219</v>
      </c>
      <c r="I76" t="s">
        <v>33</v>
      </c>
      <c r="P76">
        <v>2038</v>
      </c>
      <c r="Q76" t="s">
        <v>216</v>
      </c>
      <c r="R76">
        <v>0.64003333333333334</v>
      </c>
      <c r="S76" t="s">
        <v>215</v>
      </c>
    </row>
    <row r="77" spans="8:19" x14ac:dyDescent="0.45">
      <c r="H77" t="s">
        <v>219</v>
      </c>
      <c r="I77" t="s">
        <v>34</v>
      </c>
      <c r="P77">
        <v>2038</v>
      </c>
      <c r="Q77" t="s">
        <v>217</v>
      </c>
      <c r="R77">
        <v>0.21963333333333332</v>
      </c>
      <c r="S77" t="s">
        <v>215</v>
      </c>
    </row>
    <row r="78" spans="8:19" x14ac:dyDescent="0.45">
      <c r="H78" t="s">
        <v>219</v>
      </c>
      <c r="I78" t="s">
        <v>35</v>
      </c>
      <c r="P78">
        <v>2038</v>
      </c>
      <c r="Q78" t="s">
        <v>218</v>
      </c>
      <c r="R78">
        <v>0.19463333333333332</v>
      </c>
      <c r="S78" t="s">
        <v>215</v>
      </c>
    </row>
    <row r="79" spans="8:19" x14ac:dyDescent="0.45">
      <c r="H79" t="s">
        <v>219</v>
      </c>
      <c r="I79" t="s">
        <v>36</v>
      </c>
      <c r="P79">
        <v>2039</v>
      </c>
      <c r="Q79" t="s">
        <v>214</v>
      </c>
      <c r="R79">
        <v>0.60426666666666662</v>
      </c>
      <c r="S79" t="s">
        <v>215</v>
      </c>
    </row>
    <row r="80" spans="8:19" x14ac:dyDescent="0.45">
      <c r="H80" t="s">
        <v>219</v>
      </c>
      <c r="I80" t="s">
        <v>37</v>
      </c>
      <c r="P80">
        <v>2039</v>
      </c>
      <c r="Q80" t="s">
        <v>216</v>
      </c>
      <c r="R80">
        <v>0.68553333333333333</v>
      </c>
      <c r="S80" t="s">
        <v>215</v>
      </c>
    </row>
    <row r="81" spans="8:19" x14ac:dyDescent="0.45">
      <c r="H81" t="s">
        <v>219</v>
      </c>
      <c r="I81" t="s">
        <v>38</v>
      </c>
      <c r="P81">
        <v>2039</v>
      </c>
      <c r="Q81" t="s">
        <v>217</v>
      </c>
      <c r="R81">
        <v>0.1474</v>
      </c>
      <c r="S81" t="s">
        <v>215</v>
      </c>
    </row>
    <row r="82" spans="8:19" x14ac:dyDescent="0.45">
      <c r="H82" t="s">
        <v>219</v>
      </c>
      <c r="I82" t="s">
        <v>39</v>
      </c>
      <c r="P82">
        <v>2039</v>
      </c>
      <c r="Q82" t="s">
        <v>218</v>
      </c>
      <c r="R82">
        <v>0.18060000000000001</v>
      </c>
      <c r="S82" t="s">
        <v>215</v>
      </c>
    </row>
    <row r="83" spans="8:19" x14ac:dyDescent="0.45">
      <c r="H83" t="s">
        <v>219</v>
      </c>
      <c r="I83" t="s">
        <v>40</v>
      </c>
      <c r="P83">
        <v>2040</v>
      </c>
      <c r="Q83" t="s">
        <v>214</v>
      </c>
      <c r="R83">
        <v>0.5588333333333334</v>
      </c>
      <c r="S83" t="s">
        <v>215</v>
      </c>
    </row>
    <row r="84" spans="8:19" x14ac:dyDescent="0.45">
      <c r="H84" t="s">
        <v>219</v>
      </c>
      <c r="I84" t="s">
        <v>41</v>
      </c>
      <c r="P84">
        <v>2040</v>
      </c>
      <c r="Q84" t="s">
        <v>216</v>
      </c>
      <c r="R84">
        <v>0.52863333333333329</v>
      </c>
      <c r="S84" t="s">
        <v>215</v>
      </c>
    </row>
    <row r="85" spans="8:19" x14ac:dyDescent="0.45">
      <c r="H85" t="s">
        <v>219</v>
      </c>
      <c r="I85" t="s">
        <v>42</v>
      </c>
      <c r="P85">
        <v>2040</v>
      </c>
      <c r="Q85" t="s">
        <v>217</v>
      </c>
      <c r="R85">
        <v>0.16496666666666668</v>
      </c>
      <c r="S85" t="s">
        <v>215</v>
      </c>
    </row>
    <row r="86" spans="8:19" x14ac:dyDescent="0.45">
      <c r="H86" t="s">
        <v>219</v>
      </c>
      <c r="I86" t="s">
        <v>43</v>
      </c>
      <c r="P86">
        <v>2040</v>
      </c>
      <c r="Q86" t="s">
        <v>218</v>
      </c>
      <c r="R86">
        <v>0.22716666666666666</v>
      </c>
      <c r="S86" t="s">
        <v>215</v>
      </c>
    </row>
    <row r="87" spans="8:19" x14ac:dyDescent="0.45">
      <c r="H87" t="s">
        <v>219</v>
      </c>
      <c r="I87" t="s">
        <v>44</v>
      </c>
      <c r="P87">
        <v>2041</v>
      </c>
      <c r="Q87" t="s">
        <v>214</v>
      </c>
      <c r="R87">
        <v>0.47746666666666665</v>
      </c>
      <c r="S87" t="s">
        <v>215</v>
      </c>
    </row>
    <row r="88" spans="8:19" x14ac:dyDescent="0.45">
      <c r="H88" t="s">
        <v>219</v>
      </c>
      <c r="I88" t="s">
        <v>45</v>
      </c>
      <c r="P88">
        <v>2041</v>
      </c>
      <c r="Q88" t="s">
        <v>216</v>
      </c>
      <c r="R88">
        <v>0.64263333333333328</v>
      </c>
      <c r="S88" t="s">
        <v>215</v>
      </c>
    </row>
    <row r="89" spans="8:19" x14ac:dyDescent="0.45">
      <c r="H89" t="s">
        <v>219</v>
      </c>
      <c r="I89" t="s">
        <v>46</v>
      </c>
      <c r="P89">
        <v>2041</v>
      </c>
      <c r="Q89" t="s">
        <v>217</v>
      </c>
      <c r="R89">
        <v>0.1855</v>
      </c>
      <c r="S89" t="s">
        <v>215</v>
      </c>
    </row>
    <row r="90" spans="8:19" x14ac:dyDescent="0.45">
      <c r="H90" t="s">
        <v>219</v>
      </c>
      <c r="I90" t="s">
        <v>47</v>
      </c>
      <c r="P90">
        <v>2041</v>
      </c>
      <c r="Q90" t="s">
        <v>218</v>
      </c>
      <c r="R90">
        <v>0.20603333333333332</v>
      </c>
      <c r="S90" t="s">
        <v>215</v>
      </c>
    </row>
    <row r="91" spans="8:19" x14ac:dyDescent="0.45">
      <c r="P91">
        <v>2042</v>
      </c>
      <c r="Q91" t="s">
        <v>214</v>
      </c>
      <c r="R91">
        <v>0.48280000000000006</v>
      </c>
      <c r="S91" t="s">
        <v>215</v>
      </c>
    </row>
    <row r="92" spans="8:19" x14ac:dyDescent="0.45">
      <c r="P92">
        <v>2042</v>
      </c>
      <c r="Q92" t="s">
        <v>216</v>
      </c>
      <c r="R92">
        <v>0.55100000000000005</v>
      </c>
      <c r="S92" t="s">
        <v>215</v>
      </c>
    </row>
    <row r="93" spans="8:19" x14ac:dyDescent="0.45">
      <c r="P93">
        <v>2042</v>
      </c>
      <c r="Q93" t="s">
        <v>217</v>
      </c>
      <c r="R93">
        <v>0.18959999999999999</v>
      </c>
      <c r="S93" t="s">
        <v>215</v>
      </c>
    </row>
    <row r="94" spans="8:19" x14ac:dyDescent="0.45">
      <c r="P94">
        <v>2042</v>
      </c>
      <c r="Q94" t="s">
        <v>218</v>
      </c>
      <c r="R94">
        <v>0.1653</v>
      </c>
      <c r="S94" t="s">
        <v>215</v>
      </c>
    </row>
    <row r="95" spans="8:19" x14ac:dyDescent="0.45">
      <c r="P95">
        <v>2043</v>
      </c>
      <c r="Q95" t="s">
        <v>214</v>
      </c>
      <c r="R95">
        <v>0.49710000000000004</v>
      </c>
      <c r="S95" t="s">
        <v>215</v>
      </c>
    </row>
    <row r="96" spans="8:19" x14ac:dyDescent="0.45">
      <c r="P96">
        <v>2043</v>
      </c>
      <c r="Q96" t="s">
        <v>216</v>
      </c>
      <c r="R96">
        <v>0.59536666666666671</v>
      </c>
      <c r="S96" t="s">
        <v>215</v>
      </c>
    </row>
    <row r="97" spans="16:19" x14ac:dyDescent="0.45">
      <c r="P97">
        <v>2043</v>
      </c>
      <c r="Q97" t="s">
        <v>217</v>
      </c>
      <c r="R97">
        <v>0.21176666666666666</v>
      </c>
      <c r="S97" t="s">
        <v>215</v>
      </c>
    </row>
    <row r="98" spans="16:19" x14ac:dyDescent="0.45">
      <c r="P98">
        <v>2043</v>
      </c>
      <c r="Q98" t="s">
        <v>218</v>
      </c>
      <c r="R98">
        <v>0.19743333333333335</v>
      </c>
      <c r="S98" t="s">
        <v>215</v>
      </c>
    </row>
    <row r="99" spans="16:19" x14ac:dyDescent="0.45">
      <c r="P99">
        <v>2044</v>
      </c>
      <c r="Q99" t="s">
        <v>214</v>
      </c>
      <c r="R99">
        <v>0.55269999999999997</v>
      </c>
      <c r="S99" t="s">
        <v>215</v>
      </c>
    </row>
    <row r="100" spans="16:19" x14ac:dyDescent="0.45">
      <c r="P100">
        <v>2044</v>
      </c>
      <c r="Q100" t="s">
        <v>216</v>
      </c>
      <c r="R100">
        <v>0.61886666666666668</v>
      </c>
      <c r="S100" t="s">
        <v>215</v>
      </c>
    </row>
    <row r="101" spans="16:19" x14ac:dyDescent="0.45">
      <c r="P101">
        <v>2044</v>
      </c>
      <c r="Q101" t="s">
        <v>217</v>
      </c>
      <c r="R101">
        <v>0.21163333333333334</v>
      </c>
      <c r="S101" t="s">
        <v>215</v>
      </c>
    </row>
    <row r="102" spans="16:19" x14ac:dyDescent="0.45">
      <c r="P102">
        <v>2044</v>
      </c>
      <c r="Q102" t="s">
        <v>218</v>
      </c>
      <c r="R102">
        <v>0.32366666666666666</v>
      </c>
      <c r="S102" t="s">
        <v>215</v>
      </c>
    </row>
    <row r="103" spans="16:19" x14ac:dyDescent="0.45">
      <c r="P103">
        <v>2045</v>
      </c>
      <c r="Q103" t="s">
        <v>214</v>
      </c>
      <c r="R103">
        <v>0.53469999999999995</v>
      </c>
      <c r="S103" t="s">
        <v>215</v>
      </c>
    </row>
    <row r="104" spans="16:19" x14ac:dyDescent="0.45">
      <c r="P104">
        <v>2045</v>
      </c>
      <c r="Q104" t="s">
        <v>216</v>
      </c>
      <c r="R104">
        <v>0.52799999999999991</v>
      </c>
      <c r="S104" t="s">
        <v>215</v>
      </c>
    </row>
    <row r="105" spans="16:19" x14ac:dyDescent="0.45">
      <c r="P105">
        <v>2045</v>
      </c>
      <c r="Q105" t="s">
        <v>217</v>
      </c>
      <c r="R105">
        <v>0.10516666666666667</v>
      </c>
      <c r="S105" t="s">
        <v>215</v>
      </c>
    </row>
    <row r="106" spans="16:19" x14ac:dyDescent="0.45">
      <c r="P106">
        <v>2045</v>
      </c>
      <c r="Q106" t="s">
        <v>218</v>
      </c>
      <c r="R106">
        <v>0.1507</v>
      </c>
      <c r="S106" t="s">
        <v>215</v>
      </c>
    </row>
    <row r="107" spans="16:19" x14ac:dyDescent="0.45">
      <c r="P107">
        <v>2046</v>
      </c>
      <c r="Q107" t="s">
        <v>214</v>
      </c>
      <c r="R107">
        <v>0.48646666666666666</v>
      </c>
      <c r="S107" t="s">
        <v>215</v>
      </c>
    </row>
    <row r="108" spans="16:19" x14ac:dyDescent="0.45">
      <c r="P108">
        <v>2046</v>
      </c>
      <c r="Q108" t="s">
        <v>216</v>
      </c>
      <c r="R108">
        <v>0.48816666666666669</v>
      </c>
      <c r="S108" t="s">
        <v>215</v>
      </c>
    </row>
    <row r="109" spans="16:19" x14ac:dyDescent="0.45">
      <c r="P109">
        <v>2046</v>
      </c>
      <c r="Q109" t="s">
        <v>217</v>
      </c>
      <c r="R109">
        <v>0.17583333333333331</v>
      </c>
      <c r="S109" t="s">
        <v>215</v>
      </c>
    </row>
    <row r="110" spans="16:19" x14ac:dyDescent="0.45">
      <c r="P110">
        <v>2046</v>
      </c>
      <c r="Q110" t="s">
        <v>218</v>
      </c>
      <c r="R110">
        <v>0.10953333333333333</v>
      </c>
      <c r="S110" t="s">
        <v>215</v>
      </c>
    </row>
    <row r="111" spans="16:19" x14ac:dyDescent="0.45">
      <c r="P111">
        <v>2047</v>
      </c>
      <c r="Q111" t="s">
        <v>214</v>
      </c>
      <c r="R111">
        <v>0.55716666666666659</v>
      </c>
      <c r="S111" t="s">
        <v>215</v>
      </c>
    </row>
    <row r="112" spans="16:19" x14ac:dyDescent="0.45">
      <c r="P112">
        <v>2047</v>
      </c>
      <c r="Q112" t="s">
        <v>216</v>
      </c>
      <c r="R112">
        <v>0.47473333333333328</v>
      </c>
      <c r="S112" t="s">
        <v>215</v>
      </c>
    </row>
    <row r="113" spans="16:19" x14ac:dyDescent="0.45">
      <c r="P113">
        <v>2047</v>
      </c>
      <c r="Q113" t="s">
        <v>217</v>
      </c>
      <c r="R113">
        <v>0.17846666666666666</v>
      </c>
      <c r="S113" t="s">
        <v>215</v>
      </c>
    </row>
    <row r="114" spans="16:19" x14ac:dyDescent="0.45">
      <c r="P114">
        <v>2047</v>
      </c>
      <c r="Q114" t="s">
        <v>218</v>
      </c>
      <c r="R114">
        <v>0.21209999999999998</v>
      </c>
      <c r="S114" t="s">
        <v>215</v>
      </c>
    </row>
    <row r="115" spans="16:19" x14ac:dyDescent="0.45">
      <c r="P115">
        <v>2048</v>
      </c>
      <c r="Q115" t="s">
        <v>214</v>
      </c>
      <c r="R115">
        <v>0.45019999999999999</v>
      </c>
      <c r="S115" t="s">
        <v>215</v>
      </c>
    </row>
    <row r="116" spans="16:19" x14ac:dyDescent="0.45">
      <c r="P116">
        <v>2048</v>
      </c>
      <c r="Q116" t="s">
        <v>216</v>
      </c>
      <c r="R116">
        <v>0.45990000000000003</v>
      </c>
      <c r="S116" t="s">
        <v>215</v>
      </c>
    </row>
    <row r="117" spans="16:19" x14ac:dyDescent="0.45">
      <c r="P117">
        <v>2048</v>
      </c>
      <c r="Q117" t="s">
        <v>217</v>
      </c>
      <c r="R117">
        <v>0.14776666666666669</v>
      </c>
      <c r="S117" t="s">
        <v>215</v>
      </c>
    </row>
    <row r="118" spans="16:19" x14ac:dyDescent="0.45">
      <c r="P118">
        <v>2048</v>
      </c>
      <c r="Q118" t="s">
        <v>218</v>
      </c>
      <c r="R118">
        <v>0.16006666666666666</v>
      </c>
      <c r="S118" t="s">
        <v>215</v>
      </c>
    </row>
    <row r="119" spans="16:19" x14ac:dyDescent="0.45">
      <c r="P119">
        <v>2049</v>
      </c>
      <c r="Q119" t="s">
        <v>214</v>
      </c>
      <c r="R119">
        <v>0.60726666666666673</v>
      </c>
      <c r="S119" t="s">
        <v>215</v>
      </c>
    </row>
    <row r="120" spans="16:19" x14ac:dyDescent="0.45">
      <c r="P120">
        <v>2049</v>
      </c>
      <c r="Q120" t="s">
        <v>216</v>
      </c>
      <c r="R120">
        <v>0.58993333333333331</v>
      </c>
      <c r="S120" t="s">
        <v>215</v>
      </c>
    </row>
    <row r="121" spans="16:19" x14ac:dyDescent="0.45">
      <c r="P121">
        <v>2049</v>
      </c>
      <c r="Q121" t="s">
        <v>217</v>
      </c>
      <c r="R121">
        <v>0.1667666666666667</v>
      </c>
      <c r="S121" t="s">
        <v>215</v>
      </c>
    </row>
    <row r="122" spans="16:19" x14ac:dyDescent="0.45">
      <c r="P122">
        <v>2049</v>
      </c>
      <c r="Q122" t="s">
        <v>218</v>
      </c>
      <c r="R122">
        <v>0.19896666666666671</v>
      </c>
      <c r="S122" t="s">
        <v>215</v>
      </c>
    </row>
    <row r="123" spans="16:19" x14ac:dyDescent="0.45">
      <c r="P123">
        <v>2050</v>
      </c>
      <c r="Q123" t="s">
        <v>214</v>
      </c>
      <c r="R123">
        <v>0.62299999999999989</v>
      </c>
      <c r="S123" t="s">
        <v>215</v>
      </c>
    </row>
    <row r="124" spans="16:19" x14ac:dyDescent="0.45">
      <c r="P124">
        <v>2050</v>
      </c>
      <c r="Q124" t="s">
        <v>216</v>
      </c>
      <c r="R124">
        <v>0.50866666666666671</v>
      </c>
      <c r="S124" t="s">
        <v>215</v>
      </c>
    </row>
    <row r="125" spans="16:19" x14ac:dyDescent="0.45">
      <c r="P125">
        <v>2050</v>
      </c>
      <c r="Q125" t="s">
        <v>217</v>
      </c>
      <c r="R125">
        <v>0.19873333333333332</v>
      </c>
      <c r="S125" t="s">
        <v>215</v>
      </c>
    </row>
    <row r="126" spans="16:19" x14ac:dyDescent="0.45">
      <c r="P126">
        <v>2050</v>
      </c>
      <c r="Q126" t="s">
        <v>218</v>
      </c>
      <c r="R126">
        <v>0.17923333333333336</v>
      </c>
      <c r="S126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678C-0441-41F0-8A31-9C5DE0BB45DE}">
  <dimension ref="B9:O9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region=DEU")</f>
        <v>~TFM_DINS-AT: region=DEU</v>
      </c>
      <c r="G9" t="str">
        <f>IF(A11="x","DeActivated","~TFM_DINS-AT: region=DEU")</f>
        <v>~TFM_DINS-AT: region=DEU</v>
      </c>
      <c r="L9" t="str">
        <f>IF(A11="x","DeActivated","~TFM_DINS-AT: region=DEU")</f>
        <v>~TFM_DINS-AT: region=DEU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412</v>
      </c>
      <c r="C11" t="s">
        <v>5</v>
      </c>
      <c r="D11">
        <v>0</v>
      </c>
      <c r="E11" t="s">
        <v>6</v>
      </c>
      <c r="G11" t="s">
        <v>413</v>
      </c>
      <c r="H11" t="s">
        <v>5</v>
      </c>
      <c r="I11">
        <v>7.8171046102332595E-2</v>
      </c>
      <c r="J11" t="s">
        <v>6</v>
      </c>
      <c r="L11" t="s">
        <v>414</v>
      </c>
      <c r="M11" t="s">
        <v>5</v>
      </c>
      <c r="N11">
        <v>5.8638770332287142E-2</v>
      </c>
      <c r="O11" t="s">
        <v>6</v>
      </c>
    </row>
    <row r="12" spans="2:15" x14ac:dyDescent="0.45">
      <c r="B12" t="s">
        <v>412</v>
      </c>
      <c r="C12" t="s">
        <v>9</v>
      </c>
      <c r="D12">
        <v>0</v>
      </c>
      <c r="E12" t="s">
        <v>6</v>
      </c>
      <c r="G12" t="s">
        <v>413</v>
      </c>
      <c r="H12" t="s">
        <v>9</v>
      </c>
      <c r="I12">
        <v>2.9429494163180657E-2</v>
      </c>
      <c r="J12" t="s">
        <v>6</v>
      </c>
      <c r="L12" t="s">
        <v>414</v>
      </c>
      <c r="M12" t="s">
        <v>9</v>
      </c>
      <c r="N12">
        <v>2.3016656856375894E-2</v>
      </c>
      <c r="O12" t="s">
        <v>6</v>
      </c>
    </row>
    <row r="13" spans="2:15" x14ac:dyDescent="0.45">
      <c r="B13" t="s">
        <v>412</v>
      </c>
      <c r="C13" t="s">
        <v>10</v>
      </c>
      <c r="D13">
        <v>2.1446612337592643E-5</v>
      </c>
      <c r="E13" t="s">
        <v>6</v>
      </c>
      <c r="G13" t="s">
        <v>413</v>
      </c>
      <c r="H13" t="s">
        <v>10</v>
      </c>
      <c r="I13">
        <v>2.8458611149654787E-2</v>
      </c>
      <c r="J13" t="s">
        <v>6</v>
      </c>
      <c r="L13" t="s">
        <v>414</v>
      </c>
      <c r="M13" t="s">
        <v>10</v>
      </c>
      <c r="N13">
        <v>2.3004409165838562E-2</v>
      </c>
      <c r="O13" t="s">
        <v>6</v>
      </c>
    </row>
    <row r="14" spans="2:15" x14ac:dyDescent="0.45">
      <c r="B14" t="s">
        <v>412</v>
      </c>
      <c r="C14" t="s">
        <v>11</v>
      </c>
      <c r="D14">
        <v>9.9273532054284606E-3</v>
      </c>
      <c r="E14" t="s">
        <v>6</v>
      </c>
      <c r="G14" t="s">
        <v>413</v>
      </c>
      <c r="H14" t="s">
        <v>11</v>
      </c>
      <c r="I14">
        <v>2.6283189343380305E-2</v>
      </c>
      <c r="J14" t="s">
        <v>6</v>
      </c>
      <c r="L14" t="s">
        <v>414</v>
      </c>
      <c r="M14" t="s">
        <v>11</v>
      </c>
      <c r="N14">
        <v>2.3030460998928977E-2</v>
      </c>
      <c r="O14" t="s">
        <v>6</v>
      </c>
    </row>
    <row r="15" spans="2:15" x14ac:dyDescent="0.45">
      <c r="B15" t="s">
        <v>412</v>
      </c>
      <c r="C15" t="s">
        <v>12</v>
      </c>
      <c r="D15">
        <v>3.0180384755182896E-2</v>
      </c>
      <c r="E15" t="s">
        <v>6</v>
      </c>
      <c r="G15" t="s">
        <v>413</v>
      </c>
      <c r="H15" t="s">
        <v>12</v>
      </c>
      <c r="I15">
        <v>2.1630508668298E-2</v>
      </c>
      <c r="J15" t="s">
        <v>6</v>
      </c>
      <c r="L15" t="s">
        <v>414</v>
      </c>
      <c r="M15" t="s">
        <v>12</v>
      </c>
      <c r="N15">
        <v>2.3382547896940283E-2</v>
      </c>
      <c r="O15" t="s">
        <v>6</v>
      </c>
    </row>
    <row r="16" spans="2:15" x14ac:dyDescent="0.45">
      <c r="B16" t="s">
        <v>412</v>
      </c>
      <c r="C16" t="s">
        <v>13</v>
      </c>
      <c r="D16">
        <v>3.4976844478309975E-2</v>
      </c>
      <c r="E16" t="s">
        <v>6</v>
      </c>
      <c r="G16" t="s">
        <v>413</v>
      </c>
      <c r="H16" t="s">
        <v>13</v>
      </c>
      <c r="I16">
        <v>2.3881214439586254E-2</v>
      </c>
      <c r="J16" t="s">
        <v>6</v>
      </c>
      <c r="L16" t="s">
        <v>414</v>
      </c>
      <c r="M16" t="s">
        <v>13</v>
      </c>
      <c r="N16">
        <v>2.318541026691039E-2</v>
      </c>
      <c r="O16" t="s">
        <v>6</v>
      </c>
    </row>
    <row r="17" spans="2:15" x14ac:dyDescent="0.45">
      <c r="B17" t="s">
        <v>412</v>
      </c>
      <c r="C17" t="s">
        <v>14</v>
      </c>
      <c r="D17">
        <v>1.981403241978574E-2</v>
      </c>
      <c r="E17" t="s">
        <v>6</v>
      </c>
      <c r="G17" t="s">
        <v>413</v>
      </c>
      <c r="H17" t="s">
        <v>14</v>
      </c>
      <c r="I17">
        <v>2.7684061030114053E-2</v>
      </c>
      <c r="J17" t="s">
        <v>6</v>
      </c>
      <c r="L17" t="s">
        <v>414</v>
      </c>
      <c r="M17" t="s">
        <v>14</v>
      </c>
      <c r="N17">
        <v>2.3329069301678933E-2</v>
      </c>
      <c r="O17" t="s">
        <v>6</v>
      </c>
    </row>
    <row r="18" spans="2:15" x14ac:dyDescent="0.45">
      <c r="B18" t="s">
        <v>412</v>
      </c>
      <c r="C18" t="s">
        <v>15</v>
      </c>
      <c r="D18">
        <v>2.2652325504649157E-3</v>
      </c>
      <c r="E18" t="s">
        <v>6</v>
      </c>
      <c r="G18" t="s">
        <v>413</v>
      </c>
      <c r="H18" t="s">
        <v>15</v>
      </c>
      <c r="I18">
        <v>3.0151283974183405E-2</v>
      </c>
      <c r="J18" t="s">
        <v>6</v>
      </c>
      <c r="L18" t="s">
        <v>414</v>
      </c>
      <c r="M18" t="s">
        <v>15</v>
      </c>
      <c r="N18">
        <v>2.349228789521322E-2</v>
      </c>
      <c r="O18" t="s">
        <v>6</v>
      </c>
    </row>
    <row r="19" spans="2:15" x14ac:dyDescent="0.45">
      <c r="B19" t="s">
        <v>412</v>
      </c>
      <c r="C19" t="s">
        <v>16</v>
      </c>
      <c r="D19">
        <v>0</v>
      </c>
      <c r="E19" t="s">
        <v>6</v>
      </c>
      <c r="G19" t="s">
        <v>413</v>
      </c>
      <c r="H19" t="s">
        <v>16</v>
      </c>
      <c r="I19">
        <v>3.0883437562136091E-2</v>
      </c>
      <c r="J19" t="s">
        <v>6</v>
      </c>
      <c r="L19" t="s">
        <v>414</v>
      </c>
      <c r="M19" t="s">
        <v>16</v>
      </c>
      <c r="N19">
        <v>2.3504518005222155E-2</v>
      </c>
      <c r="O19" t="s">
        <v>6</v>
      </c>
    </row>
    <row r="20" spans="2:15" x14ac:dyDescent="0.45">
      <c r="B20" t="s">
        <v>412</v>
      </c>
      <c r="C20" t="s">
        <v>17</v>
      </c>
      <c r="D20">
        <v>0</v>
      </c>
      <c r="E20" t="s">
        <v>6</v>
      </c>
      <c r="G20" t="s">
        <v>413</v>
      </c>
      <c r="H20" t="s">
        <v>17</v>
      </c>
      <c r="I20">
        <v>4.6861271133792154E-2</v>
      </c>
      <c r="J20" t="s">
        <v>6</v>
      </c>
      <c r="L20" t="s">
        <v>414</v>
      </c>
      <c r="M20" t="s">
        <v>17</v>
      </c>
      <c r="N20">
        <v>3.5158585212534864E-2</v>
      </c>
      <c r="O20" t="s">
        <v>6</v>
      </c>
    </row>
    <row r="21" spans="2:15" x14ac:dyDescent="0.45">
      <c r="B21" t="s">
        <v>412</v>
      </c>
      <c r="C21" t="s">
        <v>18</v>
      </c>
      <c r="D21">
        <v>0</v>
      </c>
      <c r="E21" t="s">
        <v>6</v>
      </c>
      <c r="G21" t="s">
        <v>413</v>
      </c>
      <c r="H21" t="s">
        <v>18</v>
      </c>
      <c r="I21">
        <v>5.1268538201449575E-2</v>
      </c>
      <c r="J21" t="s">
        <v>6</v>
      </c>
      <c r="L21" t="s">
        <v>414</v>
      </c>
      <c r="M21" t="s">
        <v>18</v>
      </c>
      <c r="N21">
        <v>5.294552989511913E-2</v>
      </c>
      <c r="O21" t="s">
        <v>6</v>
      </c>
    </row>
    <row r="22" spans="2:15" x14ac:dyDescent="0.45">
      <c r="B22" t="s">
        <v>412</v>
      </c>
      <c r="C22" t="s">
        <v>19</v>
      </c>
      <c r="D22">
        <v>6.1652758381662922E-4</v>
      </c>
      <c r="E22" t="s">
        <v>6</v>
      </c>
      <c r="G22" t="s">
        <v>413</v>
      </c>
      <c r="H22" t="s">
        <v>19</v>
      </c>
      <c r="I22">
        <v>2.1281589808790413E-2</v>
      </c>
      <c r="J22" t="s">
        <v>6</v>
      </c>
      <c r="L22" t="s">
        <v>414</v>
      </c>
      <c r="M22" t="s">
        <v>19</v>
      </c>
      <c r="N22">
        <v>2.0370290299565257E-2</v>
      </c>
      <c r="O22" t="s">
        <v>6</v>
      </c>
    </row>
    <row r="23" spans="2:15" x14ac:dyDescent="0.45">
      <c r="B23" t="s">
        <v>412</v>
      </c>
      <c r="C23" t="s">
        <v>20</v>
      </c>
      <c r="D23">
        <v>1.5258810325686489E-2</v>
      </c>
      <c r="E23" t="s">
        <v>6</v>
      </c>
      <c r="G23" t="s">
        <v>413</v>
      </c>
      <c r="H23" t="s">
        <v>20</v>
      </c>
      <c r="I23">
        <v>1.9474442621597969E-2</v>
      </c>
      <c r="J23" t="s">
        <v>6</v>
      </c>
      <c r="L23" t="s">
        <v>414</v>
      </c>
      <c r="M23" t="s">
        <v>20</v>
      </c>
      <c r="N23">
        <v>2.0334296560055462E-2</v>
      </c>
      <c r="O23" t="s">
        <v>6</v>
      </c>
    </row>
    <row r="24" spans="2:15" x14ac:dyDescent="0.45">
      <c r="B24" t="s">
        <v>412</v>
      </c>
      <c r="C24" t="s">
        <v>21</v>
      </c>
      <c r="D24">
        <v>5.3205494883161085E-2</v>
      </c>
      <c r="E24" t="s">
        <v>6</v>
      </c>
      <c r="G24" t="s">
        <v>413</v>
      </c>
      <c r="H24" t="s">
        <v>21</v>
      </c>
      <c r="I24">
        <v>1.9193423768836496E-2</v>
      </c>
      <c r="J24" t="s">
        <v>6</v>
      </c>
      <c r="L24" t="s">
        <v>414</v>
      </c>
      <c r="M24" t="s">
        <v>21</v>
      </c>
      <c r="N24">
        <v>2.0428810894355803E-2</v>
      </c>
      <c r="O24" t="s">
        <v>6</v>
      </c>
    </row>
    <row r="25" spans="2:15" x14ac:dyDescent="0.45">
      <c r="B25" t="s">
        <v>412</v>
      </c>
      <c r="C25" t="s">
        <v>22</v>
      </c>
      <c r="D25">
        <v>8.0716872686708172E-2</v>
      </c>
      <c r="E25" t="s">
        <v>6</v>
      </c>
      <c r="G25" t="s">
        <v>413</v>
      </c>
      <c r="H25" t="s">
        <v>22</v>
      </c>
      <c r="I25">
        <v>1.7043914703207628E-2</v>
      </c>
      <c r="J25" t="s">
        <v>6</v>
      </c>
      <c r="L25" t="s">
        <v>414</v>
      </c>
      <c r="M25" t="s">
        <v>22</v>
      </c>
      <c r="N25">
        <v>2.0532161342590203E-2</v>
      </c>
      <c r="O25" t="s">
        <v>6</v>
      </c>
    </row>
    <row r="26" spans="2:15" x14ac:dyDescent="0.45">
      <c r="B26" t="s">
        <v>412</v>
      </c>
      <c r="C26" t="s">
        <v>23</v>
      </c>
      <c r="D26">
        <v>8.159241153486084E-2</v>
      </c>
      <c r="E26" t="s">
        <v>6</v>
      </c>
      <c r="G26" t="s">
        <v>413</v>
      </c>
      <c r="H26" t="s">
        <v>23</v>
      </c>
      <c r="I26">
        <v>2.0322985988199281E-2</v>
      </c>
      <c r="J26" t="s">
        <v>6</v>
      </c>
      <c r="L26" t="s">
        <v>414</v>
      </c>
      <c r="M26" t="s">
        <v>23</v>
      </c>
      <c r="N26">
        <v>2.1092810757526042E-2</v>
      </c>
      <c r="O26" t="s">
        <v>6</v>
      </c>
    </row>
    <row r="27" spans="2:15" x14ac:dyDescent="0.45">
      <c r="B27" t="s">
        <v>412</v>
      </c>
      <c r="C27" t="s">
        <v>24</v>
      </c>
      <c r="D27">
        <v>5.8940232352262867E-2</v>
      </c>
      <c r="E27" t="s">
        <v>6</v>
      </c>
      <c r="G27" t="s">
        <v>413</v>
      </c>
      <c r="H27" t="s">
        <v>24</v>
      </c>
      <c r="I27">
        <v>2.200045308151154E-2</v>
      </c>
      <c r="J27" t="s">
        <v>6</v>
      </c>
      <c r="L27" t="s">
        <v>414</v>
      </c>
      <c r="M27" t="s">
        <v>24</v>
      </c>
      <c r="N27">
        <v>2.1835861395485261E-2</v>
      </c>
      <c r="O27" t="s">
        <v>6</v>
      </c>
    </row>
    <row r="28" spans="2:15" x14ac:dyDescent="0.45">
      <c r="B28" t="s">
        <v>412</v>
      </c>
      <c r="C28" t="s">
        <v>25</v>
      </c>
      <c r="D28">
        <v>2.4076298379042491E-2</v>
      </c>
      <c r="E28" t="s">
        <v>6</v>
      </c>
      <c r="G28" t="s">
        <v>413</v>
      </c>
      <c r="H28" t="s">
        <v>25</v>
      </c>
      <c r="I28">
        <v>2.1218250753277976E-2</v>
      </c>
      <c r="J28" t="s">
        <v>6</v>
      </c>
      <c r="L28" t="s">
        <v>414</v>
      </c>
      <c r="M28" t="s">
        <v>25</v>
      </c>
      <c r="N28">
        <v>2.2090174659888009E-2</v>
      </c>
      <c r="O28" t="s">
        <v>6</v>
      </c>
    </row>
    <row r="29" spans="2:15" x14ac:dyDescent="0.45">
      <c r="B29" t="s">
        <v>412</v>
      </c>
      <c r="C29" t="s">
        <v>26</v>
      </c>
      <c r="D29">
        <v>1.6742949053099177E-3</v>
      </c>
      <c r="E29" t="s">
        <v>6</v>
      </c>
      <c r="G29" t="s">
        <v>413</v>
      </c>
      <c r="H29" t="s">
        <v>26</v>
      </c>
      <c r="I29">
        <v>2.2218352868756317E-2</v>
      </c>
      <c r="J29" t="s">
        <v>6</v>
      </c>
      <c r="L29" t="s">
        <v>414</v>
      </c>
      <c r="M29" t="s">
        <v>26</v>
      </c>
      <c r="N29">
        <v>2.231656400471356E-2</v>
      </c>
      <c r="O29" t="s">
        <v>6</v>
      </c>
    </row>
    <row r="30" spans="2:15" x14ac:dyDescent="0.45">
      <c r="B30" t="s">
        <v>412</v>
      </c>
      <c r="C30" t="s">
        <v>27</v>
      </c>
      <c r="D30">
        <v>0</v>
      </c>
      <c r="E30" t="s">
        <v>6</v>
      </c>
      <c r="G30" t="s">
        <v>413</v>
      </c>
      <c r="H30" t="s">
        <v>27</v>
      </c>
      <c r="I30">
        <v>3.362208875518187E-2</v>
      </c>
      <c r="J30" t="s">
        <v>6</v>
      </c>
      <c r="L30" t="s">
        <v>414</v>
      </c>
      <c r="M30" t="s">
        <v>27</v>
      </c>
      <c r="N30">
        <v>3.3464863577684426E-2</v>
      </c>
      <c r="O30" t="s">
        <v>6</v>
      </c>
    </row>
    <row r="31" spans="2:15" x14ac:dyDescent="0.45">
      <c r="B31" t="s">
        <v>412</v>
      </c>
      <c r="C31" t="s">
        <v>28</v>
      </c>
      <c r="D31">
        <v>0</v>
      </c>
      <c r="E31" t="s">
        <v>6</v>
      </c>
      <c r="G31" t="s">
        <v>413</v>
      </c>
      <c r="H31" t="s">
        <v>28</v>
      </c>
      <c r="I31">
        <v>3.7053979385187487E-2</v>
      </c>
      <c r="J31" t="s">
        <v>6</v>
      </c>
      <c r="L31" t="s">
        <v>414</v>
      </c>
      <c r="M31" t="s">
        <v>28</v>
      </c>
      <c r="N31">
        <v>3.8698895951696975E-2</v>
      </c>
      <c r="O31" t="s">
        <v>6</v>
      </c>
    </row>
    <row r="32" spans="2:15" x14ac:dyDescent="0.45">
      <c r="B32" t="s">
        <v>412</v>
      </c>
      <c r="C32" t="s">
        <v>29</v>
      </c>
      <c r="D32">
        <v>1.9197693289123305E-3</v>
      </c>
      <c r="E32" t="s">
        <v>6</v>
      </c>
      <c r="G32" t="s">
        <v>413</v>
      </c>
      <c r="H32" t="s">
        <v>29</v>
      </c>
      <c r="I32">
        <v>1.1538934364202688E-2</v>
      </c>
      <c r="J32" t="s">
        <v>6</v>
      </c>
      <c r="L32" t="s">
        <v>414</v>
      </c>
      <c r="M32" t="s">
        <v>29</v>
      </c>
      <c r="N32">
        <v>1.6125293732188344E-2</v>
      </c>
      <c r="O32" t="s">
        <v>6</v>
      </c>
    </row>
    <row r="33" spans="2:15" x14ac:dyDescent="0.45">
      <c r="B33" t="s">
        <v>412</v>
      </c>
      <c r="C33" t="s">
        <v>30</v>
      </c>
      <c r="D33">
        <v>2.5307022942669739E-2</v>
      </c>
      <c r="E33" t="s">
        <v>6</v>
      </c>
      <c r="G33" t="s">
        <v>413</v>
      </c>
      <c r="H33" t="s">
        <v>30</v>
      </c>
      <c r="I33">
        <v>9.1520941944262576E-3</v>
      </c>
      <c r="J33" t="s">
        <v>6</v>
      </c>
      <c r="L33" t="s">
        <v>414</v>
      </c>
      <c r="M33" t="s">
        <v>30</v>
      </c>
      <c r="N33">
        <v>1.6304498262225603E-2</v>
      </c>
      <c r="O33" t="s">
        <v>6</v>
      </c>
    </row>
    <row r="34" spans="2:15" x14ac:dyDescent="0.45">
      <c r="B34" t="s">
        <v>412</v>
      </c>
      <c r="C34" t="s">
        <v>31</v>
      </c>
      <c r="D34">
        <v>6.8779801845325256E-2</v>
      </c>
      <c r="E34" t="s">
        <v>6</v>
      </c>
      <c r="G34" t="s">
        <v>413</v>
      </c>
      <c r="H34" t="s">
        <v>31</v>
      </c>
      <c r="I34">
        <v>9.3681127250062456E-3</v>
      </c>
      <c r="J34" t="s">
        <v>6</v>
      </c>
      <c r="L34" t="s">
        <v>414</v>
      </c>
      <c r="M34" t="s">
        <v>31</v>
      </c>
      <c r="N34">
        <v>1.6463437051413569E-2</v>
      </c>
      <c r="O34" t="s">
        <v>6</v>
      </c>
    </row>
    <row r="35" spans="2:15" x14ac:dyDescent="0.45">
      <c r="B35" t="s">
        <v>412</v>
      </c>
      <c r="C35" t="s">
        <v>32</v>
      </c>
      <c r="D35">
        <v>9.6752221062696653E-2</v>
      </c>
      <c r="E35" t="s">
        <v>6</v>
      </c>
      <c r="G35" t="s">
        <v>413</v>
      </c>
      <c r="H35" t="s">
        <v>32</v>
      </c>
      <c r="I35">
        <v>1.0103474478582088E-2</v>
      </c>
      <c r="J35" t="s">
        <v>6</v>
      </c>
      <c r="L35" t="s">
        <v>414</v>
      </c>
      <c r="M35" t="s">
        <v>32</v>
      </c>
      <c r="N35">
        <v>1.5878905241731002E-2</v>
      </c>
      <c r="O35" t="s">
        <v>6</v>
      </c>
    </row>
    <row r="36" spans="2:15" x14ac:dyDescent="0.45">
      <c r="B36" t="s">
        <v>412</v>
      </c>
      <c r="C36" t="s">
        <v>33</v>
      </c>
      <c r="D36">
        <v>9.5941146028594201E-2</v>
      </c>
      <c r="E36" t="s">
        <v>6</v>
      </c>
      <c r="G36" t="s">
        <v>413</v>
      </c>
      <c r="H36" t="s">
        <v>33</v>
      </c>
      <c r="I36">
        <v>1.3035814609194979E-2</v>
      </c>
      <c r="J36" t="s">
        <v>6</v>
      </c>
      <c r="L36" t="s">
        <v>414</v>
      </c>
      <c r="M36" t="s">
        <v>33</v>
      </c>
      <c r="N36">
        <v>1.5994188347755213E-2</v>
      </c>
      <c r="O36" t="s">
        <v>6</v>
      </c>
    </row>
    <row r="37" spans="2:15" x14ac:dyDescent="0.45">
      <c r="B37" t="s">
        <v>412</v>
      </c>
      <c r="C37" t="s">
        <v>34</v>
      </c>
      <c r="D37">
        <v>7.2637126245728822E-2</v>
      </c>
      <c r="E37" t="s">
        <v>6</v>
      </c>
      <c r="G37" t="s">
        <v>413</v>
      </c>
      <c r="H37" t="s">
        <v>34</v>
      </c>
      <c r="I37">
        <v>1.4591448804988347E-2</v>
      </c>
      <c r="J37" t="s">
        <v>6</v>
      </c>
      <c r="L37" t="s">
        <v>414</v>
      </c>
      <c r="M37" t="s">
        <v>34</v>
      </c>
      <c r="N37">
        <v>1.650697135982112E-2</v>
      </c>
      <c r="O37" t="s">
        <v>6</v>
      </c>
    </row>
    <row r="38" spans="2:15" x14ac:dyDescent="0.45">
      <c r="B38" t="s">
        <v>412</v>
      </c>
      <c r="C38" t="s">
        <v>35</v>
      </c>
      <c r="D38">
        <v>3.5976238746404682E-2</v>
      </c>
      <c r="E38" t="s">
        <v>6</v>
      </c>
      <c r="G38" t="s">
        <v>413</v>
      </c>
      <c r="H38" t="s">
        <v>35</v>
      </c>
      <c r="I38">
        <v>1.4778736415679181E-2</v>
      </c>
      <c r="J38" t="s">
        <v>6</v>
      </c>
      <c r="L38" t="s">
        <v>414</v>
      </c>
      <c r="M38" t="s">
        <v>35</v>
      </c>
      <c r="N38">
        <v>1.6671564293072309E-2</v>
      </c>
      <c r="O38" t="s">
        <v>6</v>
      </c>
    </row>
    <row r="39" spans="2:15" x14ac:dyDescent="0.45">
      <c r="B39" t="s">
        <v>412</v>
      </c>
      <c r="C39" t="s">
        <v>36</v>
      </c>
      <c r="D39">
        <v>5.2725768962874437E-3</v>
      </c>
      <c r="E39" t="s">
        <v>6</v>
      </c>
      <c r="G39" t="s">
        <v>413</v>
      </c>
      <c r="H39" t="s">
        <v>36</v>
      </c>
      <c r="I39">
        <v>1.618951950802279E-2</v>
      </c>
      <c r="J39" t="s">
        <v>6</v>
      </c>
      <c r="L39" t="s">
        <v>414</v>
      </c>
      <c r="M39" t="s">
        <v>36</v>
      </c>
      <c r="N39">
        <v>1.6061452299216714E-2</v>
      </c>
      <c r="O39" t="s">
        <v>6</v>
      </c>
    </row>
    <row r="40" spans="2:15" x14ac:dyDescent="0.45">
      <c r="B40" t="s">
        <v>412</v>
      </c>
      <c r="C40" t="s">
        <v>37</v>
      </c>
      <c r="D40">
        <v>4.4614979349151146E-7</v>
      </c>
      <c r="E40" t="s">
        <v>6</v>
      </c>
      <c r="G40" t="s">
        <v>413</v>
      </c>
      <c r="H40" t="s">
        <v>37</v>
      </c>
      <c r="I40">
        <v>2.557708949605806E-2</v>
      </c>
      <c r="J40" t="s">
        <v>6</v>
      </c>
      <c r="L40" t="s">
        <v>414</v>
      </c>
      <c r="M40" t="s">
        <v>37</v>
      </c>
      <c r="N40">
        <v>2.2565718909014681E-2</v>
      </c>
      <c r="O40" t="s">
        <v>6</v>
      </c>
    </row>
    <row r="41" spans="2:15" x14ac:dyDescent="0.45">
      <c r="B41" t="s">
        <v>412</v>
      </c>
      <c r="C41" t="s">
        <v>38</v>
      </c>
      <c r="D41">
        <v>0</v>
      </c>
      <c r="E41" t="s">
        <v>6</v>
      </c>
      <c r="G41" t="s">
        <v>413</v>
      </c>
      <c r="H41" t="s">
        <v>38</v>
      </c>
      <c r="I41">
        <v>5.8233734366348502E-2</v>
      </c>
      <c r="J41" t="s">
        <v>6</v>
      </c>
      <c r="L41" t="s">
        <v>414</v>
      </c>
      <c r="M41" t="s">
        <v>38</v>
      </c>
      <c r="N41">
        <v>5.7219477534014081E-2</v>
      </c>
      <c r="O41" t="s">
        <v>6</v>
      </c>
    </row>
    <row r="42" spans="2:15" x14ac:dyDescent="0.45">
      <c r="B42" t="s">
        <v>412</v>
      </c>
      <c r="C42" t="s">
        <v>39</v>
      </c>
      <c r="D42">
        <v>0</v>
      </c>
      <c r="E42" t="s">
        <v>6</v>
      </c>
      <c r="G42" t="s">
        <v>413</v>
      </c>
      <c r="H42" t="s">
        <v>39</v>
      </c>
      <c r="I42">
        <v>2.342024629361663E-2</v>
      </c>
      <c r="J42" t="s">
        <v>6</v>
      </c>
      <c r="L42" t="s">
        <v>414</v>
      </c>
      <c r="M42" t="s">
        <v>39</v>
      </c>
      <c r="N42">
        <v>2.2453029891917119E-2</v>
      </c>
      <c r="O42" t="s">
        <v>6</v>
      </c>
    </row>
    <row r="43" spans="2:15" x14ac:dyDescent="0.45">
      <c r="B43" t="s">
        <v>412</v>
      </c>
      <c r="C43" t="s">
        <v>40</v>
      </c>
      <c r="D43">
        <v>3.8772593830813753E-3</v>
      </c>
      <c r="E43" t="s">
        <v>6</v>
      </c>
      <c r="G43" t="s">
        <v>413</v>
      </c>
      <c r="H43" t="s">
        <v>40</v>
      </c>
      <c r="I43">
        <v>2.1124870427641072E-2</v>
      </c>
      <c r="J43" t="s">
        <v>6</v>
      </c>
      <c r="L43" t="s">
        <v>414</v>
      </c>
      <c r="M43" t="s">
        <v>40</v>
      </c>
      <c r="N43">
        <v>2.2536310900843261E-2</v>
      </c>
      <c r="O43" t="s">
        <v>6</v>
      </c>
    </row>
    <row r="44" spans="2:15" x14ac:dyDescent="0.45">
      <c r="B44" t="s">
        <v>412</v>
      </c>
      <c r="C44" t="s">
        <v>41</v>
      </c>
      <c r="D44">
        <v>2.896667297230519E-2</v>
      </c>
      <c r="E44" t="s">
        <v>6</v>
      </c>
      <c r="G44" t="s">
        <v>413</v>
      </c>
      <c r="H44" t="s">
        <v>41</v>
      </c>
      <c r="I44">
        <v>1.8827162841039705E-2</v>
      </c>
      <c r="J44" t="s">
        <v>6</v>
      </c>
      <c r="L44" t="s">
        <v>414</v>
      </c>
      <c r="M44" t="s">
        <v>41</v>
      </c>
      <c r="N44">
        <v>2.230485060277651E-2</v>
      </c>
      <c r="O44" t="s">
        <v>6</v>
      </c>
    </row>
    <row r="45" spans="2:15" x14ac:dyDescent="0.45">
      <c r="B45" t="s">
        <v>412</v>
      </c>
      <c r="C45" t="s">
        <v>42</v>
      </c>
      <c r="D45">
        <v>5.4643750368708402E-2</v>
      </c>
      <c r="E45" t="s">
        <v>6</v>
      </c>
      <c r="G45" t="s">
        <v>413</v>
      </c>
      <c r="H45" t="s">
        <v>42</v>
      </c>
      <c r="I45">
        <v>1.5614838945511909E-2</v>
      </c>
      <c r="J45" t="s">
        <v>6</v>
      </c>
      <c r="L45" t="s">
        <v>414</v>
      </c>
      <c r="M45" t="s">
        <v>42</v>
      </c>
      <c r="N45">
        <v>2.246522518763934E-2</v>
      </c>
      <c r="O45" t="s">
        <v>6</v>
      </c>
    </row>
    <row r="46" spans="2:15" x14ac:dyDescent="0.45">
      <c r="B46" t="s">
        <v>412</v>
      </c>
      <c r="C46" t="s">
        <v>43</v>
      </c>
      <c r="D46">
        <v>5.5472769163623606E-2</v>
      </c>
      <c r="E46" t="s">
        <v>6</v>
      </c>
      <c r="G46" t="s">
        <v>413</v>
      </c>
      <c r="H46" t="s">
        <v>43</v>
      </c>
      <c r="I46">
        <v>1.8240286571916443E-2</v>
      </c>
      <c r="J46" t="s">
        <v>6</v>
      </c>
      <c r="L46" t="s">
        <v>414</v>
      </c>
      <c r="M46" t="s">
        <v>43</v>
      </c>
      <c r="N46">
        <v>2.2418706459416026E-2</v>
      </c>
      <c r="O46" t="s">
        <v>6</v>
      </c>
    </row>
    <row r="47" spans="2:15" x14ac:dyDescent="0.45">
      <c r="B47" t="s">
        <v>412</v>
      </c>
      <c r="C47" t="s">
        <v>44</v>
      </c>
      <c r="D47">
        <v>3.4035503192844374E-2</v>
      </c>
      <c r="E47" t="s">
        <v>6</v>
      </c>
      <c r="G47" t="s">
        <v>413</v>
      </c>
      <c r="H47" t="s">
        <v>44</v>
      </c>
      <c r="I47">
        <v>1.93761664054082E-2</v>
      </c>
      <c r="J47" t="s">
        <v>6</v>
      </c>
      <c r="L47" t="s">
        <v>414</v>
      </c>
      <c r="M47" t="s">
        <v>44</v>
      </c>
      <c r="N47">
        <v>2.2743306369787001E-2</v>
      </c>
      <c r="O47" t="s">
        <v>6</v>
      </c>
    </row>
    <row r="48" spans="2:15" x14ac:dyDescent="0.45">
      <c r="B48" t="s">
        <v>412</v>
      </c>
      <c r="C48" t="s">
        <v>45</v>
      </c>
      <c r="D48">
        <v>7.1175015541391764E-3</v>
      </c>
      <c r="E48" t="s">
        <v>6</v>
      </c>
      <c r="G48" t="s">
        <v>413</v>
      </c>
      <c r="H48" t="s">
        <v>45</v>
      </c>
      <c r="I48">
        <v>1.9801322770012571E-2</v>
      </c>
      <c r="J48" t="s">
        <v>6</v>
      </c>
      <c r="L48" t="s">
        <v>414</v>
      </c>
      <c r="M48" t="s">
        <v>45</v>
      </c>
      <c r="N48">
        <v>2.3243334399605107E-2</v>
      </c>
      <c r="O48" t="s">
        <v>6</v>
      </c>
    </row>
    <row r="49" spans="2:15" x14ac:dyDescent="0.45">
      <c r="B49" t="s">
        <v>412</v>
      </c>
      <c r="C49" t="s">
        <v>46</v>
      </c>
      <c r="D49">
        <v>3.3957446527976148E-5</v>
      </c>
      <c r="E49" t="s">
        <v>6</v>
      </c>
      <c r="G49" t="s">
        <v>413</v>
      </c>
      <c r="H49" t="s">
        <v>46</v>
      </c>
      <c r="I49">
        <v>2.0955672984646539E-2</v>
      </c>
      <c r="J49" t="s">
        <v>6</v>
      </c>
      <c r="L49" t="s">
        <v>414</v>
      </c>
      <c r="M49" t="s">
        <v>46</v>
      </c>
      <c r="N49">
        <v>2.3458312727094494E-2</v>
      </c>
      <c r="O49" t="s">
        <v>6</v>
      </c>
    </row>
    <row r="50" spans="2:15" x14ac:dyDescent="0.45">
      <c r="B50" t="s">
        <v>412</v>
      </c>
      <c r="C50" t="s">
        <v>47</v>
      </c>
      <c r="D50">
        <v>0</v>
      </c>
      <c r="E50" t="s">
        <v>6</v>
      </c>
      <c r="G50" t="s">
        <v>413</v>
      </c>
      <c r="H50" t="s">
        <v>47</v>
      </c>
      <c r="I50">
        <v>3.1938336295042224E-2</v>
      </c>
      <c r="J50" t="s">
        <v>6</v>
      </c>
      <c r="L50" t="s">
        <v>414</v>
      </c>
      <c r="M50" t="s">
        <v>47</v>
      </c>
      <c r="N50">
        <v>3.4732441159856034E-2</v>
      </c>
      <c r="O50" t="s">
        <v>6</v>
      </c>
    </row>
    <row r="51" spans="2:15" x14ac:dyDescent="0.45">
      <c r="B51" t="s">
        <v>415</v>
      </c>
      <c r="C51" t="s">
        <v>5</v>
      </c>
      <c r="D51">
        <v>0</v>
      </c>
      <c r="E51" t="s">
        <v>6</v>
      </c>
      <c r="G51" t="s">
        <v>416</v>
      </c>
      <c r="H51" t="s">
        <v>5</v>
      </c>
      <c r="I51">
        <v>7.0796587131880515E-2</v>
      </c>
      <c r="J51" t="s">
        <v>6</v>
      </c>
      <c r="L51" t="s">
        <v>417</v>
      </c>
      <c r="M51" t="s">
        <v>5</v>
      </c>
      <c r="N51">
        <v>5.8845996982784893E-2</v>
      </c>
      <c r="O51" t="s">
        <v>6</v>
      </c>
    </row>
    <row r="52" spans="2:15" x14ac:dyDescent="0.45">
      <c r="B52" t="s">
        <v>415</v>
      </c>
      <c r="C52" t="s">
        <v>9</v>
      </c>
      <c r="D52">
        <v>0</v>
      </c>
      <c r="E52" t="s">
        <v>6</v>
      </c>
      <c r="G52" t="s">
        <v>416</v>
      </c>
      <c r="H52" t="s">
        <v>9</v>
      </c>
      <c r="I52">
        <v>2.7841202644450332E-2</v>
      </c>
      <c r="J52" t="s">
        <v>6</v>
      </c>
      <c r="L52" t="s">
        <v>417</v>
      </c>
      <c r="M52" t="s">
        <v>9</v>
      </c>
      <c r="N52">
        <v>2.3280352967794189E-2</v>
      </c>
      <c r="O52" t="s">
        <v>6</v>
      </c>
    </row>
    <row r="53" spans="2:15" x14ac:dyDescent="0.45">
      <c r="B53" t="s">
        <v>415</v>
      </c>
      <c r="C53" t="s">
        <v>10</v>
      </c>
      <c r="D53">
        <v>8.1445789240288822E-5</v>
      </c>
      <c r="E53" t="s">
        <v>6</v>
      </c>
      <c r="G53" t="s">
        <v>416</v>
      </c>
      <c r="H53" t="s">
        <v>10</v>
      </c>
      <c r="I53">
        <v>2.7661048110483047E-2</v>
      </c>
      <c r="J53" t="s">
        <v>6</v>
      </c>
      <c r="L53" t="s">
        <v>417</v>
      </c>
      <c r="M53" t="s">
        <v>10</v>
      </c>
      <c r="N53">
        <v>2.3290464063333998E-2</v>
      </c>
      <c r="O53" t="s">
        <v>6</v>
      </c>
    </row>
    <row r="54" spans="2:15" x14ac:dyDescent="0.45">
      <c r="B54" t="s">
        <v>415</v>
      </c>
      <c r="C54" t="s">
        <v>11</v>
      </c>
      <c r="D54">
        <v>1.1155539291125139E-2</v>
      </c>
      <c r="E54" t="s">
        <v>6</v>
      </c>
      <c r="G54" t="s">
        <v>416</v>
      </c>
      <c r="H54" t="s">
        <v>11</v>
      </c>
      <c r="I54">
        <v>2.5392661666690894E-2</v>
      </c>
      <c r="J54" t="s">
        <v>6</v>
      </c>
      <c r="L54" t="s">
        <v>417</v>
      </c>
      <c r="M54" t="s">
        <v>11</v>
      </c>
      <c r="N54">
        <v>2.3288503680740671E-2</v>
      </c>
      <c r="O54" t="s">
        <v>6</v>
      </c>
    </row>
    <row r="55" spans="2:15" x14ac:dyDescent="0.45">
      <c r="B55" t="s">
        <v>415</v>
      </c>
      <c r="C55" t="s">
        <v>12</v>
      </c>
      <c r="D55">
        <v>3.2126514856897971E-2</v>
      </c>
      <c r="E55" t="s">
        <v>6</v>
      </c>
      <c r="G55" t="s">
        <v>416</v>
      </c>
      <c r="H55" t="s">
        <v>12</v>
      </c>
      <c r="I55">
        <v>2.1672021842183465E-2</v>
      </c>
      <c r="J55" t="s">
        <v>6</v>
      </c>
      <c r="L55" t="s">
        <v>417</v>
      </c>
      <c r="M55" t="s">
        <v>12</v>
      </c>
      <c r="N55">
        <v>2.3351542178258057E-2</v>
      </c>
      <c r="O55" t="s">
        <v>6</v>
      </c>
    </row>
    <row r="56" spans="2:15" x14ac:dyDescent="0.45">
      <c r="B56" t="s">
        <v>415</v>
      </c>
      <c r="C56" t="s">
        <v>13</v>
      </c>
      <c r="D56">
        <v>3.2844779215809902E-2</v>
      </c>
      <c r="E56" t="s">
        <v>6</v>
      </c>
      <c r="G56" t="s">
        <v>416</v>
      </c>
      <c r="H56" t="s">
        <v>13</v>
      </c>
      <c r="I56">
        <v>2.3536701685700587E-2</v>
      </c>
      <c r="J56" t="s">
        <v>6</v>
      </c>
      <c r="L56" t="s">
        <v>417</v>
      </c>
      <c r="M56" t="s">
        <v>13</v>
      </c>
      <c r="N56">
        <v>2.3345179688224131E-2</v>
      </c>
      <c r="O56" t="s">
        <v>6</v>
      </c>
    </row>
    <row r="57" spans="2:15" x14ac:dyDescent="0.45">
      <c r="B57" t="s">
        <v>415</v>
      </c>
      <c r="C57" t="s">
        <v>14</v>
      </c>
      <c r="D57">
        <v>1.6604632651998425E-2</v>
      </c>
      <c r="E57" t="s">
        <v>6</v>
      </c>
      <c r="G57" t="s">
        <v>416</v>
      </c>
      <c r="H57" t="s">
        <v>14</v>
      </c>
      <c r="I57">
        <v>2.5430679243576823E-2</v>
      </c>
      <c r="J57" t="s">
        <v>6</v>
      </c>
      <c r="L57" t="s">
        <v>417</v>
      </c>
      <c r="M57" t="s">
        <v>14</v>
      </c>
      <c r="N57">
        <v>2.3279424714101639E-2</v>
      </c>
      <c r="O57" t="s">
        <v>6</v>
      </c>
    </row>
    <row r="58" spans="2:15" x14ac:dyDescent="0.45">
      <c r="B58" t="s">
        <v>415</v>
      </c>
      <c r="C58" t="s">
        <v>15</v>
      </c>
      <c r="D58">
        <v>1.5927807882399005E-3</v>
      </c>
      <c r="E58" t="s">
        <v>6</v>
      </c>
      <c r="G58" t="s">
        <v>416</v>
      </c>
      <c r="H58" t="s">
        <v>15</v>
      </c>
      <c r="I58">
        <v>2.7585063541404192E-2</v>
      </c>
      <c r="J58" t="s">
        <v>6</v>
      </c>
      <c r="L58" t="s">
        <v>417</v>
      </c>
      <c r="M58" t="s">
        <v>15</v>
      </c>
      <c r="N58">
        <v>2.3635153848574283E-2</v>
      </c>
      <c r="O58" t="s">
        <v>6</v>
      </c>
    </row>
    <row r="59" spans="2:15" x14ac:dyDescent="0.45">
      <c r="B59" t="s">
        <v>415</v>
      </c>
      <c r="C59" t="s">
        <v>16</v>
      </c>
      <c r="D59">
        <v>0</v>
      </c>
      <c r="E59" t="s">
        <v>6</v>
      </c>
      <c r="G59" t="s">
        <v>416</v>
      </c>
      <c r="H59" t="s">
        <v>16</v>
      </c>
      <c r="I59">
        <v>2.8374076772383985E-2</v>
      </c>
      <c r="J59" t="s">
        <v>6</v>
      </c>
      <c r="L59" t="s">
        <v>417</v>
      </c>
      <c r="M59" t="s">
        <v>16</v>
      </c>
      <c r="N59">
        <v>2.3709742372431199E-2</v>
      </c>
      <c r="O59" t="s">
        <v>6</v>
      </c>
    </row>
    <row r="60" spans="2:15" x14ac:dyDescent="0.45">
      <c r="B60" t="s">
        <v>415</v>
      </c>
      <c r="C60" t="s">
        <v>17</v>
      </c>
      <c r="D60">
        <v>0</v>
      </c>
      <c r="E60" t="s">
        <v>6</v>
      </c>
      <c r="G60" t="s">
        <v>416</v>
      </c>
      <c r="H60" t="s">
        <v>17</v>
      </c>
      <c r="I60">
        <v>4.142794865113808E-2</v>
      </c>
      <c r="J60" t="s">
        <v>6</v>
      </c>
      <c r="L60" t="s">
        <v>417</v>
      </c>
      <c r="M60" t="s">
        <v>17</v>
      </c>
      <c r="N60">
        <v>3.5368639426922026E-2</v>
      </c>
      <c r="O60" t="s">
        <v>6</v>
      </c>
    </row>
    <row r="61" spans="2:15" x14ac:dyDescent="0.45">
      <c r="B61" t="s">
        <v>415</v>
      </c>
      <c r="C61" t="s">
        <v>18</v>
      </c>
      <c r="D61">
        <v>0</v>
      </c>
      <c r="E61" t="s">
        <v>6</v>
      </c>
      <c r="G61" t="s">
        <v>416</v>
      </c>
      <c r="H61" t="s">
        <v>18</v>
      </c>
      <c r="I61">
        <v>5.1240550728863014E-2</v>
      </c>
      <c r="J61" t="s">
        <v>6</v>
      </c>
      <c r="L61" t="s">
        <v>417</v>
      </c>
      <c r="M61" t="s">
        <v>18</v>
      </c>
      <c r="N61">
        <v>5.2747215075911499E-2</v>
      </c>
      <c r="O61" t="s">
        <v>6</v>
      </c>
    </row>
    <row r="62" spans="2:15" x14ac:dyDescent="0.45">
      <c r="B62" t="s">
        <v>415</v>
      </c>
      <c r="C62" t="s">
        <v>19</v>
      </c>
      <c r="D62">
        <v>9.4031661427590105E-4</v>
      </c>
      <c r="E62" t="s">
        <v>6</v>
      </c>
      <c r="G62" t="s">
        <v>416</v>
      </c>
      <c r="H62" t="s">
        <v>19</v>
      </c>
      <c r="I62">
        <v>2.1202761946392232E-2</v>
      </c>
      <c r="J62" t="s">
        <v>6</v>
      </c>
      <c r="L62" t="s">
        <v>417</v>
      </c>
      <c r="M62" t="s">
        <v>19</v>
      </c>
      <c r="N62">
        <v>2.0149612253304493E-2</v>
      </c>
      <c r="O62" t="s">
        <v>6</v>
      </c>
    </row>
    <row r="63" spans="2:15" x14ac:dyDescent="0.45">
      <c r="B63" t="s">
        <v>415</v>
      </c>
      <c r="C63" t="s">
        <v>20</v>
      </c>
      <c r="D63">
        <v>1.8929653860941888E-2</v>
      </c>
      <c r="E63" t="s">
        <v>6</v>
      </c>
      <c r="G63" t="s">
        <v>416</v>
      </c>
      <c r="H63" t="s">
        <v>20</v>
      </c>
      <c r="I63">
        <v>2.1441683754957301E-2</v>
      </c>
      <c r="J63" t="s">
        <v>6</v>
      </c>
      <c r="L63" t="s">
        <v>417</v>
      </c>
      <c r="M63" t="s">
        <v>20</v>
      </c>
      <c r="N63">
        <v>1.9904153147818588E-2</v>
      </c>
      <c r="O63" t="s">
        <v>6</v>
      </c>
    </row>
    <row r="64" spans="2:15" x14ac:dyDescent="0.45">
      <c r="B64" t="s">
        <v>415</v>
      </c>
      <c r="C64" t="s">
        <v>21</v>
      </c>
      <c r="D64">
        <v>5.9715107172908719E-2</v>
      </c>
      <c r="E64" t="s">
        <v>6</v>
      </c>
      <c r="G64" t="s">
        <v>416</v>
      </c>
      <c r="H64" t="s">
        <v>21</v>
      </c>
      <c r="I64">
        <v>2.203181440130832E-2</v>
      </c>
      <c r="J64" t="s">
        <v>6</v>
      </c>
      <c r="L64" t="s">
        <v>417</v>
      </c>
      <c r="M64" t="s">
        <v>21</v>
      </c>
      <c r="N64">
        <v>2.0022686253720747E-2</v>
      </c>
      <c r="O64" t="s">
        <v>6</v>
      </c>
    </row>
    <row r="65" spans="2:15" x14ac:dyDescent="0.45">
      <c r="B65" t="s">
        <v>415</v>
      </c>
      <c r="C65" t="s">
        <v>22</v>
      </c>
      <c r="D65">
        <v>8.4524876170341337E-2</v>
      </c>
      <c r="E65" t="s">
        <v>6</v>
      </c>
      <c r="G65" t="s">
        <v>416</v>
      </c>
      <c r="H65" t="s">
        <v>22</v>
      </c>
      <c r="I65">
        <v>1.8788665536353878E-2</v>
      </c>
      <c r="J65" t="s">
        <v>6</v>
      </c>
      <c r="L65" t="s">
        <v>417</v>
      </c>
      <c r="M65" t="s">
        <v>22</v>
      </c>
      <c r="N65">
        <v>1.972931311929977E-2</v>
      </c>
      <c r="O65" t="s">
        <v>6</v>
      </c>
    </row>
    <row r="66" spans="2:15" x14ac:dyDescent="0.45">
      <c r="B66" t="s">
        <v>415</v>
      </c>
      <c r="C66" t="s">
        <v>23</v>
      </c>
      <c r="D66">
        <v>8.1067476120981724E-2</v>
      </c>
      <c r="E66" t="s">
        <v>6</v>
      </c>
      <c r="G66" t="s">
        <v>416</v>
      </c>
      <c r="H66" t="s">
        <v>23</v>
      </c>
      <c r="I66">
        <v>1.9680171576160872E-2</v>
      </c>
      <c r="J66" t="s">
        <v>6</v>
      </c>
      <c r="L66" t="s">
        <v>417</v>
      </c>
      <c r="M66" t="s">
        <v>23</v>
      </c>
      <c r="N66">
        <v>2.0287628707762857E-2</v>
      </c>
      <c r="O66" t="s">
        <v>6</v>
      </c>
    </row>
    <row r="67" spans="2:15" x14ac:dyDescent="0.45">
      <c r="B67" t="s">
        <v>415</v>
      </c>
      <c r="C67" t="s">
        <v>24</v>
      </c>
      <c r="D67">
        <v>5.6295508769797671E-2</v>
      </c>
      <c r="E67" t="s">
        <v>6</v>
      </c>
      <c r="G67" t="s">
        <v>416</v>
      </c>
      <c r="H67" t="s">
        <v>24</v>
      </c>
      <c r="I67">
        <v>2.0992550818921051E-2</v>
      </c>
      <c r="J67" t="s">
        <v>6</v>
      </c>
      <c r="L67" t="s">
        <v>417</v>
      </c>
      <c r="M67" t="s">
        <v>24</v>
      </c>
      <c r="N67">
        <v>2.077544712201396E-2</v>
      </c>
      <c r="O67" t="s">
        <v>6</v>
      </c>
    </row>
    <row r="68" spans="2:15" x14ac:dyDescent="0.45">
      <c r="B68" t="s">
        <v>415</v>
      </c>
      <c r="C68" t="s">
        <v>25</v>
      </c>
      <c r="D68">
        <v>2.241419928803589E-2</v>
      </c>
      <c r="E68" t="s">
        <v>6</v>
      </c>
      <c r="G68" t="s">
        <v>416</v>
      </c>
      <c r="H68" t="s">
        <v>25</v>
      </c>
      <c r="I68">
        <v>2.1757843469847136E-2</v>
      </c>
      <c r="J68" t="s">
        <v>6</v>
      </c>
      <c r="L68" t="s">
        <v>417</v>
      </c>
      <c r="M68" t="s">
        <v>25</v>
      </c>
      <c r="N68">
        <v>2.1114577448405388E-2</v>
      </c>
      <c r="O68" t="s">
        <v>6</v>
      </c>
    </row>
    <row r="69" spans="2:15" x14ac:dyDescent="0.45">
      <c r="B69" t="s">
        <v>415</v>
      </c>
      <c r="C69" t="s">
        <v>26</v>
      </c>
      <c r="D69">
        <v>1.3970712775270432E-3</v>
      </c>
      <c r="E69" t="s">
        <v>6</v>
      </c>
      <c r="G69" t="s">
        <v>416</v>
      </c>
      <c r="H69" t="s">
        <v>26</v>
      </c>
      <c r="I69">
        <v>2.3494175058957501E-2</v>
      </c>
      <c r="J69" t="s">
        <v>6</v>
      </c>
      <c r="L69" t="s">
        <v>417</v>
      </c>
      <c r="M69" t="s">
        <v>26</v>
      </c>
      <c r="N69">
        <v>2.1482772592859863E-2</v>
      </c>
      <c r="O69" t="s">
        <v>6</v>
      </c>
    </row>
    <row r="70" spans="2:15" x14ac:dyDescent="0.45">
      <c r="B70" t="s">
        <v>415</v>
      </c>
      <c r="C70" t="s">
        <v>27</v>
      </c>
      <c r="D70">
        <v>0</v>
      </c>
      <c r="E70" t="s">
        <v>6</v>
      </c>
      <c r="G70" t="s">
        <v>416</v>
      </c>
      <c r="H70" t="s">
        <v>27</v>
      </c>
      <c r="I70">
        <v>3.3772815518664998E-2</v>
      </c>
      <c r="J70" t="s">
        <v>6</v>
      </c>
      <c r="L70" t="s">
        <v>417</v>
      </c>
      <c r="M70" t="s">
        <v>27</v>
      </c>
      <c r="N70">
        <v>3.2222850367454751E-2</v>
      </c>
      <c r="O70" t="s">
        <v>6</v>
      </c>
    </row>
    <row r="71" spans="2:15" x14ac:dyDescent="0.45">
      <c r="B71" t="s">
        <v>415</v>
      </c>
      <c r="C71" t="s">
        <v>28</v>
      </c>
      <c r="D71">
        <v>0</v>
      </c>
      <c r="E71" t="s">
        <v>6</v>
      </c>
      <c r="G71" t="s">
        <v>416</v>
      </c>
      <c r="H71" t="s">
        <v>28</v>
      </c>
      <c r="I71">
        <v>3.3445384581694361E-2</v>
      </c>
      <c r="J71" t="s">
        <v>6</v>
      </c>
      <c r="L71" t="s">
        <v>417</v>
      </c>
      <c r="M71" t="s">
        <v>28</v>
      </c>
      <c r="N71">
        <v>3.887079890616655E-2</v>
      </c>
      <c r="O71" t="s">
        <v>6</v>
      </c>
    </row>
    <row r="72" spans="2:15" x14ac:dyDescent="0.45">
      <c r="B72" t="s">
        <v>415</v>
      </c>
      <c r="C72" t="s">
        <v>29</v>
      </c>
      <c r="D72">
        <v>2.3219345183863684E-3</v>
      </c>
      <c r="E72" t="s">
        <v>6</v>
      </c>
      <c r="G72" t="s">
        <v>416</v>
      </c>
      <c r="H72" t="s">
        <v>29</v>
      </c>
      <c r="I72">
        <v>1.1588480092565863E-2</v>
      </c>
      <c r="J72" t="s">
        <v>6</v>
      </c>
      <c r="L72" t="s">
        <v>417</v>
      </c>
      <c r="M72" t="s">
        <v>29</v>
      </c>
      <c r="N72">
        <v>1.5844433963064463E-2</v>
      </c>
      <c r="O72" t="s">
        <v>6</v>
      </c>
    </row>
    <row r="73" spans="2:15" x14ac:dyDescent="0.45">
      <c r="B73" t="s">
        <v>415</v>
      </c>
      <c r="C73" t="s">
        <v>30</v>
      </c>
      <c r="D73">
        <v>2.7533640591201725E-2</v>
      </c>
      <c r="E73" t="s">
        <v>6</v>
      </c>
      <c r="G73" t="s">
        <v>416</v>
      </c>
      <c r="H73" t="s">
        <v>30</v>
      </c>
      <c r="I73">
        <v>9.3001214029841354E-3</v>
      </c>
      <c r="J73" t="s">
        <v>6</v>
      </c>
      <c r="L73" t="s">
        <v>417</v>
      </c>
      <c r="M73" t="s">
        <v>30</v>
      </c>
      <c r="N73">
        <v>1.6272697506414493E-2</v>
      </c>
      <c r="O73" t="s">
        <v>6</v>
      </c>
    </row>
    <row r="74" spans="2:15" x14ac:dyDescent="0.45">
      <c r="B74" t="s">
        <v>415</v>
      </c>
      <c r="C74" t="s">
        <v>31</v>
      </c>
      <c r="D74">
        <v>7.096563281350407E-2</v>
      </c>
      <c r="E74" t="s">
        <v>6</v>
      </c>
      <c r="G74" t="s">
        <v>416</v>
      </c>
      <c r="H74" t="s">
        <v>31</v>
      </c>
      <c r="I74">
        <v>9.2168808045739719E-3</v>
      </c>
      <c r="J74" t="s">
        <v>6</v>
      </c>
      <c r="L74" t="s">
        <v>417</v>
      </c>
      <c r="M74" t="s">
        <v>31</v>
      </c>
      <c r="N74">
        <v>1.6845638000155587E-2</v>
      </c>
      <c r="O74" t="s">
        <v>6</v>
      </c>
    </row>
    <row r="75" spans="2:15" x14ac:dyDescent="0.45">
      <c r="B75" t="s">
        <v>415</v>
      </c>
      <c r="C75" t="s">
        <v>32</v>
      </c>
      <c r="D75">
        <v>9.7330383882974991E-2</v>
      </c>
      <c r="E75" t="s">
        <v>6</v>
      </c>
      <c r="G75" t="s">
        <v>416</v>
      </c>
      <c r="H75" t="s">
        <v>32</v>
      </c>
      <c r="I75">
        <v>8.3150035752908476E-3</v>
      </c>
      <c r="J75" t="s">
        <v>6</v>
      </c>
      <c r="L75" t="s">
        <v>417</v>
      </c>
      <c r="M75" t="s">
        <v>32</v>
      </c>
      <c r="N75">
        <v>1.6409313344353697E-2</v>
      </c>
      <c r="O75" t="s">
        <v>6</v>
      </c>
    </row>
    <row r="76" spans="2:15" x14ac:dyDescent="0.45">
      <c r="B76" t="s">
        <v>415</v>
      </c>
      <c r="C76" t="s">
        <v>33</v>
      </c>
      <c r="D76">
        <v>9.5253739820058969E-2</v>
      </c>
      <c r="E76" t="s">
        <v>6</v>
      </c>
      <c r="G76" t="s">
        <v>416</v>
      </c>
      <c r="H76" t="s">
        <v>33</v>
      </c>
      <c r="I76">
        <v>1.0356247509151711E-2</v>
      </c>
      <c r="J76" t="s">
        <v>6</v>
      </c>
      <c r="L76" t="s">
        <v>417</v>
      </c>
      <c r="M76" t="s">
        <v>33</v>
      </c>
      <c r="N76">
        <v>1.6614889786849628E-2</v>
      </c>
      <c r="O76" t="s">
        <v>6</v>
      </c>
    </row>
    <row r="77" spans="2:15" x14ac:dyDescent="0.45">
      <c r="B77" t="s">
        <v>415</v>
      </c>
      <c r="C77" t="s">
        <v>34</v>
      </c>
      <c r="D77">
        <v>7.0729327951964682E-2</v>
      </c>
      <c r="E77" t="s">
        <v>6</v>
      </c>
      <c r="G77" t="s">
        <v>416</v>
      </c>
      <c r="H77" t="s">
        <v>34</v>
      </c>
      <c r="I77">
        <v>1.1920139188273685E-2</v>
      </c>
      <c r="J77" t="s">
        <v>6</v>
      </c>
      <c r="L77" t="s">
        <v>417</v>
      </c>
      <c r="M77" t="s">
        <v>34</v>
      </c>
      <c r="N77">
        <v>1.6779214015230616E-2</v>
      </c>
      <c r="O77" t="s">
        <v>6</v>
      </c>
    </row>
    <row r="78" spans="2:15" x14ac:dyDescent="0.45">
      <c r="B78" t="s">
        <v>415</v>
      </c>
      <c r="C78" t="s">
        <v>35</v>
      </c>
      <c r="D78">
        <v>3.3236486627997441E-2</v>
      </c>
      <c r="E78" t="s">
        <v>6</v>
      </c>
      <c r="G78" t="s">
        <v>416</v>
      </c>
      <c r="H78" t="s">
        <v>35</v>
      </c>
      <c r="I78">
        <v>1.2977299882219925E-2</v>
      </c>
      <c r="J78" t="s">
        <v>6</v>
      </c>
      <c r="L78" t="s">
        <v>417</v>
      </c>
      <c r="M78" t="s">
        <v>35</v>
      </c>
      <c r="N78">
        <v>1.7130126972046952E-2</v>
      </c>
      <c r="O78" t="s">
        <v>6</v>
      </c>
    </row>
    <row r="79" spans="2:15" x14ac:dyDescent="0.45">
      <c r="B79" t="s">
        <v>415</v>
      </c>
      <c r="C79" t="s">
        <v>36</v>
      </c>
      <c r="D79">
        <v>4.3850558201579664E-3</v>
      </c>
      <c r="E79" t="s">
        <v>6</v>
      </c>
      <c r="G79" t="s">
        <v>416</v>
      </c>
      <c r="H79" t="s">
        <v>36</v>
      </c>
      <c r="I79">
        <v>1.4347902390981569E-2</v>
      </c>
      <c r="J79" t="s">
        <v>6</v>
      </c>
      <c r="L79" t="s">
        <v>417</v>
      </c>
      <c r="M79" t="s">
        <v>36</v>
      </c>
      <c r="N79">
        <v>1.6742690218921181E-2</v>
      </c>
      <c r="O79" t="s">
        <v>6</v>
      </c>
    </row>
    <row r="80" spans="2:15" x14ac:dyDescent="0.45">
      <c r="B80" t="s">
        <v>415</v>
      </c>
      <c r="C80" t="s">
        <v>37</v>
      </c>
      <c r="D80">
        <v>0</v>
      </c>
      <c r="E80" t="s">
        <v>6</v>
      </c>
      <c r="G80" t="s">
        <v>416</v>
      </c>
      <c r="H80" t="s">
        <v>37</v>
      </c>
      <c r="I80">
        <v>2.3265749870339712E-2</v>
      </c>
      <c r="J80" t="s">
        <v>6</v>
      </c>
      <c r="L80" t="s">
        <v>417</v>
      </c>
      <c r="M80" t="s">
        <v>37</v>
      </c>
      <c r="N80">
        <v>2.4636857914118116E-2</v>
      </c>
      <c r="O80" t="s">
        <v>6</v>
      </c>
    </row>
    <row r="81" spans="2:15" x14ac:dyDescent="0.45">
      <c r="B81" t="s">
        <v>415</v>
      </c>
      <c r="C81" t="s">
        <v>38</v>
      </c>
      <c r="D81">
        <v>0</v>
      </c>
      <c r="E81" t="s">
        <v>6</v>
      </c>
      <c r="G81" t="s">
        <v>416</v>
      </c>
      <c r="H81" t="s">
        <v>38</v>
      </c>
      <c r="I81">
        <v>6.0115774678379447E-2</v>
      </c>
      <c r="J81" t="s">
        <v>6</v>
      </c>
      <c r="L81" t="s">
        <v>417</v>
      </c>
      <c r="M81" t="s">
        <v>38</v>
      </c>
      <c r="N81">
        <v>5.8197094587815877E-2</v>
      </c>
      <c r="O81" t="s">
        <v>6</v>
      </c>
    </row>
    <row r="82" spans="2:15" x14ac:dyDescent="0.45">
      <c r="B82" t="s">
        <v>415</v>
      </c>
      <c r="C82" t="s">
        <v>39</v>
      </c>
      <c r="D82">
        <v>2.715744934077284E-8</v>
      </c>
      <c r="E82" t="s">
        <v>6</v>
      </c>
      <c r="G82" t="s">
        <v>416</v>
      </c>
      <c r="H82" t="s">
        <v>39</v>
      </c>
      <c r="I82">
        <v>2.5567676111577925E-2</v>
      </c>
      <c r="J82" t="s">
        <v>6</v>
      </c>
      <c r="L82" t="s">
        <v>417</v>
      </c>
      <c r="M82" t="s">
        <v>39</v>
      </c>
      <c r="N82">
        <v>2.2597715309777902E-2</v>
      </c>
      <c r="O82" t="s">
        <v>6</v>
      </c>
    </row>
    <row r="83" spans="2:15" x14ac:dyDescent="0.45">
      <c r="B83" t="s">
        <v>415</v>
      </c>
      <c r="C83" t="s">
        <v>40</v>
      </c>
      <c r="D83">
        <v>4.8679791106902657E-3</v>
      </c>
      <c r="E83" t="s">
        <v>6</v>
      </c>
      <c r="G83" t="s">
        <v>416</v>
      </c>
      <c r="H83" t="s">
        <v>40</v>
      </c>
      <c r="I83">
        <v>2.5378322080293995E-2</v>
      </c>
      <c r="J83" t="s">
        <v>6</v>
      </c>
      <c r="L83" t="s">
        <v>417</v>
      </c>
      <c r="M83" t="s">
        <v>40</v>
      </c>
      <c r="N83">
        <v>2.2652034382392106E-2</v>
      </c>
      <c r="O83" t="s">
        <v>6</v>
      </c>
    </row>
    <row r="84" spans="2:15" x14ac:dyDescent="0.45">
      <c r="B84" t="s">
        <v>415</v>
      </c>
      <c r="C84" t="s">
        <v>41</v>
      </c>
      <c r="D84">
        <v>2.9642518209879013E-2</v>
      </c>
      <c r="E84" t="s">
        <v>6</v>
      </c>
      <c r="G84" t="s">
        <v>416</v>
      </c>
      <c r="H84" t="s">
        <v>41</v>
      </c>
      <c r="I84">
        <v>2.4833949317421573E-2</v>
      </c>
      <c r="J84" t="s">
        <v>6</v>
      </c>
      <c r="L84" t="s">
        <v>417</v>
      </c>
      <c r="M84" t="s">
        <v>41</v>
      </c>
      <c r="N84">
        <v>2.2301651784967215E-2</v>
      </c>
      <c r="O84" t="s">
        <v>6</v>
      </c>
    </row>
    <row r="85" spans="2:15" x14ac:dyDescent="0.45">
      <c r="B85" t="s">
        <v>415</v>
      </c>
      <c r="C85" t="s">
        <v>42</v>
      </c>
      <c r="D85">
        <v>5.1743086482584619E-2</v>
      </c>
      <c r="E85" t="s">
        <v>6</v>
      </c>
      <c r="G85" t="s">
        <v>416</v>
      </c>
      <c r="H85" t="s">
        <v>42</v>
      </c>
      <c r="I85">
        <v>2.1153661432784757E-2</v>
      </c>
      <c r="J85" t="s">
        <v>6</v>
      </c>
      <c r="L85" t="s">
        <v>417</v>
      </c>
      <c r="M85" t="s">
        <v>42</v>
      </c>
      <c r="N85">
        <v>2.214009012571324E-2</v>
      </c>
      <c r="O85" t="s">
        <v>6</v>
      </c>
    </row>
    <row r="86" spans="2:15" x14ac:dyDescent="0.45">
      <c r="B86" t="s">
        <v>415</v>
      </c>
      <c r="C86" t="s">
        <v>43</v>
      </c>
      <c r="D86">
        <v>5.4273041112774943E-2</v>
      </c>
      <c r="E86" t="s">
        <v>6</v>
      </c>
      <c r="G86" t="s">
        <v>416</v>
      </c>
      <c r="H86" t="s">
        <v>43</v>
      </c>
      <c r="I86">
        <v>2.2333351954357199E-2</v>
      </c>
      <c r="J86" t="s">
        <v>6</v>
      </c>
      <c r="L86" t="s">
        <v>417</v>
      </c>
      <c r="M86" t="s">
        <v>43</v>
      </c>
      <c r="N86">
        <v>2.2217624898616228E-2</v>
      </c>
      <c r="O86" t="s">
        <v>6</v>
      </c>
    </row>
    <row r="87" spans="2:15" x14ac:dyDescent="0.45">
      <c r="B87" t="s">
        <v>415</v>
      </c>
      <c r="C87" t="s">
        <v>44</v>
      </c>
      <c r="D87">
        <v>3.1944616366735581E-2</v>
      </c>
      <c r="E87" t="s">
        <v>6</v>
      </c>
      <c r="G87" t="s">
        <v>416</v>
      </c>
      <c r="H87" t="s">
        <v>44</v>
      </c>
      <c r="I87">
        <v>2.1167631867340657E-2</v>
      </c>
      <c r="J87" t="s">
        <v>6</v>
      </c>
      <c r="L87" t="s">
        <v>417</v>
      </c>
      <c r="M87" t="s">
        <v>44</v>
      </c>
      <c r="N87">
        <v>2.2672604213710274E-2</v>
      </c>
      <c r="O87" t="s">
        <v>6</v>
      </c>
    </row>
    <row r="88" spans="2:15" x14ac:dyDescent="0.45">
      <c r="B88" t="s">
        <v>415</v>
      </c>
      <c r="C88" t="s">
        <v>45</v>
      </c>
      <c r="D88">
        <v>6.0676712573978636E-3</v>
      </c>
      <c r="E88" t="s">
        <v>6</v>
      </c>
      <c r="G88" t="s">
        <v>416</v>
      </c>
      <c r="H88" t="s">
        <v>45</v>
      </c>
      <c r="I88">
        <v>2.1677811971208018E-2</v>
      </c>
      <c r="J88" t="s">
        <v>6</v>
      </c>
      <c r="L88" t="s">
        <v>417</v>
      </c>
      <c r="M88" t="s">
        <v>45</v>
      </c>
      <c r="N88">
        <v>2.2697256034695083E-2</v>
      </c>
      <c r="O88" t="s">
        <v>6</v>
      </c>
    </row>
    <row r="89" spans="2:15" x14ac:dyDescent="0.45">
      <c r="B89" t="s">
        <v>415</v>
      </c>
      <c r="C89" t="s">
        <v>46</v>
      </c>
      <c r="D89">
        <v>1.4956408119202008E-5</v>
      </c>
      <c r="E89" t="s">
        <v>6</v>
      </c>
      <c r="G89" t="s">
        <v>416</v>
      </c>
      <c r="H89" t="s">
        <v>46</v>
      </c>
      <c r="I89">
        <v>2.3068238312842375E-2</v>
      </c>
      <c r="J89" t="s">
        <v>6</v>
      </c>
      <c r="L89" t="s">
        <v>417</v>
      </c>
      <c r="M89" t="s">
        <v>46</v>
      </c>
      <c r="N89">
        <v>2.3252938196461494E-2</v>
      </c>
      <c r="O89" t="s">
        <v>6</v>
      </c>
    </row>
    <row r="90" spans="2:15" x14ac:dyDescent="0.45">
      <c r="B90" t="s">
        <v>415</v>
      </c>
      <c r="C90" t="s">
        <v>47</v>
      </c>
      <c r="D90">
        <v>0</v>
      </c>
      <c r="E90" t="s">
        <v>6</v>
      </c>
      <c r="G90" t="s">
        <v>416</v>
      </c>
      <c r="H90" t="s">
        <v>47</v>
      </c>
      <c r="I90">
        <v>3.5849348875394156E-2</v>
      </c>
      <c r="J90" t="s">
        <v>6</v>
      </c>
      <c r="L90" t="s">
        <v>417</v>
      </c>
      <c r="M90" t="s">
        <v>47</v>
      </c>
      <c r="N90">
        <v>3.5293073826809171E-2</v>
      </c>
      <c r="O90" t="s">
        <v>6</v>
      </c>
    </row>
    <row r="91" spans="2:15" x14ac:dyDescent="0.45">
      <c r="B91" t="s">
        <v>418</v>
      </c>
      <c r="C91" t="s">
        <v>5</v>
      </c>
      <c r="D91">
        <v>0</v>
      </c>
      <c r="E91" t="s">
        <v>6</v>
      </c>
      <c r="G91" t="s">
        <v>419</v>
      </c>
      <c r="H91" t="s">
        <v>5</v>
      </c>
      <c r="I91">
        <v>7.632449716528511E-2</v>
      </c>
      <c r="J91" t="s">
        <v>6</v>
      </c>
      <c r="L91" t="s">
        <v>420</v>
      </c>
      <c r="M91" t="s">
        <v>5</v>
      </c>
      <c r="N91">
        <v>5.972279330136393E-2</v>
      </c>
      <c r="O91" t="s">
        <v>6</v>
      </c>
    </row>
    <row r="92" spans="2:15" x14ac:dyDescent="0.45">
      <c r="B92" t="s">
        <v>418</v>
      </c>
      <c r="C92" t="s">
        <v>9</v>
      </c>
      <c r="D92">
        <v>0</v>
      </c>
      <c r="E92" t="s">
        <v>6</v>
      </c>
      <c r="G92" t="s">
        <v>419</v>
      </c>
      <c r="H92" t="s">
        <v>9</v>
      </c>
      <c r="I92">
        <v>2.8964358947659991E-2</v>
      </c>
      <c r="J92" t="s">
        <v>6</v>
      </c>
      <c r="L92" t="s">
        <v>420</v>
      </c>
      <c r="M92" t="s">
        <v>9</v>
      </c>
      <c r="N92">
        <v>2.405226711950419E-2</v>
      </c>
      <c r="O92" t="s">
        <v>6</v>
      </c>
    </row>
    <row r="93" spans="2:15" x14ac:dyDescent="0.45">
      <c r="B93" t="s">
        <v>418</v>
      </c>
      <c r="C93" t="s">
        <v>10</v>
      </c>
      <c r="D93">
        <v>1.2440723095422755E-4</v>
      </c>
      <c r="E93" t="s">
        <v>6</v>
      </c>
      <c r="G93" t="s">
        <v>419</v>
      </c>
      <c r="H93" t="s">
        <v>10</v>
      </c>
      <c r="I93">
        <v>2.7765289776676454E-2</v>
      </c>
      <c r="J93" t="s">
        <v>6</v>
      </c>
      <c r="L93" t="s">
        <v>420</v>
      </c>
      <c r="M93" t="s">
        <v>10</v>
      </c>
      <c r="N93">
        <v>2.389880224436091E-2</v>
      </c>
      <c r="O93" t="s">
        <v>6</v>
      </c>
    </row>
    <row r="94" spans="2:15" x14ac:dyDescent="0.45">
      <c r="B94" t="s">
        <v>418</v>
      </c>
      <c r="C94" t="s">
        <v>11</v>
      </c>
      <c r="D94">
        <v>1.3870167966166072E-2</v>
      </c>
      <c r="E94" t="s">
        <v>6</v>
      </c>
      <c r="G94" t="s">
        <v>419</v>
      </c>
      <c r="H94" t="s">
        <v>11</v>
      </c>
      <c r="I94">
        <v>2.5908482670170638E-2</v>
      </c>
      <c r="J94" t="s">
        <v>6</v>
      </c>
      <c r="L94" t="s">
        <v>420</v>
      </c>
      <c r="M94" t="s">
        <v>11</v>
      </c>
      <c r="N94">
        <v>2.4197455782905133E-2</v>
      </c>
      <c r="O94" t="s">
        <v>6</v>
      </c>
    </row>
    <row r="95" spans="2:15" x14ac:dyDescent="0.45">
      <c r="B95" t="s">
        <v>418</v>
      </c>
      <c r="C95" t="s">
        <v>12</v>
      </c>
      <c r="D95">
        <v>3.5415865248422974E-2</v>
      </c>
      <c r="E95" t="s">
        <v>6</v>
      </c>
      <c r="G95" t="s">
        <v>419</v>
      </c>
      <c r="H95" t="s">
        <v>12</v>
      </c>
      <c r="I95">
        <v>2.0496073928498823E-2</v>
      </c>
      <c r="J95" t="s">
        <v>6</v>
      </c>
      <c r="L95" t="s">
        <v>420</v>
      </c>
      <c r="M95" t="s">
        <v>12</v>
      </c>
      <c r="N95">
        <v>2.3958268595166698E-2</v>
      </c>
      <c r="O95" t="s">
        <v>6</v>
      </c>
    </row>
    <row r="96" spans="2:15" x14ac:dyDescent="0.45">
      <c r="B96" t="s">
        <v>418</v>
      </c>
      <c r="C96" t="s">
        <v>13</v>
      </c>
      <c r="D96">
        <v>3.6136247071405614E-2</v>
      </c>
      <c r="E96" t="s">
        <v>6</v>
      </c>
      <c r="G96" t="s">
        <v>419</v>
      </c>
      <c r="H96" t="s">
        <v>13</v>
      </c>
      <c r="I96">
        <v>2.2098832577117308E-2</v>
      </c>
      <c r="J96" t="s">
        <v>6</v>
      </c>
      <c r="L96" t="s">
        <v>420</v>
      </c>
      <c r="M96" t="s">
        <v>13</v>
      </c>
      <c r="N96">
        <v>2.4051403072495828E-2</v>
      </c>
      <c r="O96" t="s">
        <v>6</v>
      </c>
    </row>
    <row r="97" spans="2:15" x14ac:dyDescent="0.45">
      <c r="B97" t="s">
        <v>418</v>
      </c>
      <c r="C97" t="s">
        <v>14</v>
      </c>
      <c r="D97">
        <v>1.6608751321152717E-2</v>
      </c>
      <c r="E97" t="s">
        <v>6</v>
      </c>
      <c r="G97" t="s">
        <v>419</v>
      </c>
      <c r="H97" t="s">
        <v>14</v>
      </c>
      <c r="I97">
        <v>2.4367153498917878E-2</v>
      </c>
      <c r="J97" t="s">
        <v>6</v>
      </c>
      <c r="L97" t="s">
        <v>420</v>
      </c>
      <c r="M97" t="s">
        <v>14</v>
      </c>
      <c r="N97">
        <v>2.4003267441420277E-2</v>
      </c>
      <c r="O97" t="s">
        <v>6</v>
      </c>
    </row>
    <row r="98" spans="2:15" x14ac:dyDescent="0.45">
      <c r="B98" t="s">
        <v>418</v>
      </c>
      <c r="C98" t="s">
        <v>15</v>
      </c>
      <c r="D98">
        <v>1.1287485857319186E-3</v>
      </c>
      <c r="E98" t="s">
        <v>6</v>
      </c>
      <c r="G98" t="s">
        <v>419</v>
      </c>
      <c r="H98" t="s">
        <v>15</v>
      </c>
      <c r="I98">
        <v>2.7801644580199323E-2</v>
      </c>
      <c r="J98" t="s">
        <v>6</v>
      </c>
      <c r="L98" t="s">
        <v>420</v>
      </c>
      <c r="M98" t="s">
        <v>15</v>
      </c>
      <c r="N98">
        <v>2.4416810485274228E-2</v>
      </c>
      <c r="O98" t="s">
        <v>6</v>
      </c>
    </row>
    <row r="99" spans="2:15" x14ac:dyDescent="0.45">
      <c r="B99" t="s">
        <v>418</v>
      </c>
      <c r="C99" t="s">
        <v>16</v>
      </c>
      <c r="D99">
        <v>0</v>
      </c>
      <c r="E99" t="s">
        <v>6</v>
      </c>
      <c r="G99" t="s">
        <v>419</v>
      </c>
      <c r="H99" t="s">
        <v>16</v>
      </c>
      <c r="I99">
        <v>3.0255940329553189E-2</v>
      </c>
      <c r="J99" t="s">
        <v>6</v>
      </c>
      <c r="L99" t="s">
        <v>420</v>
      </c>
      <c r="M99" t="s">
        <v>16</v>
      </c>
      <c r="N99">
        <v>2.4460593164835297E-2</v>
      </c>
      <c r="O99" t="s">
        <v>6</v>
      </c>
    </row>
    <row r="100" spans="2:15" x14ac:dyDescent="0.45">
      <c r="B100" t="s">
        <v>418</v>
      </c>
      <c r="C100" t="s">
        <v>17</v>
      </c>
      <c r="D100">
        <v>0</v>
      </c>
      <c r="E100" t="s">
        <v>6</v>
      </c>
      <c r="G100" t="s">
        <v>419</v>
      </c>
      <c r="H100" t="s">
        <v>17</v>
      </c>
      <c r="I100">
        <v>4.5451874847216536E-2</v>
      </c>
      <c r="J100" t="s">
        <v>6</v>
      </c>
      <c r="L100" t="s">
        <v>420</v>
      </c>
      <c r="M100" t="s">
        <v>17</v>
      </c>
      <c r="N100">
        <v>3.6136613796925877E-2</v>
      </c>
      <c r="O100" t="s">
        <v>6</v>
      </c>
    </row>
    <row r="101" spans="2:15" x14ac:dyDescent="0.45">
      <c r="B101" t="s">
        <v>418</v>
      </c>
      <c r="C101" t="s">
        <v>18</v>
      </c>
      <c r="D101">
        <v>0</v>
      </c>
      <c r="E101" t="s">
        <v>6</v>
      </c>
      <c r="G101" t="s">
        <v>419</v>
      </c>
      <c r="H101" t="s">
        <v>18</v>
      </c>
      <c r="I101">
        <v>5.4831953075251363E-2</v>
      </c>
      <c r="J101" t="s">
        <v>6</v>
      </c>
      <c r="L101" t="s">
        <v>420</v>
      </c>
      <c r="M101" t="s">
        <v>18</v>
      </c>
      <c r="N101">
        <v>5.2248161006167887E-2</v>
      </c>
      <c r="O101" t="s">
        <v>6</v>
      </c>
    </row>
    <row r="102" spans="2:15" x14ac:dyDescent="0.45">
      <c r="B102" t="s">
        <v>418</v>
      </c>
      <c r="C102" t="s">
        <v>19</v>
      </c>
      <c r="D102">
        <v>1.0396159839184847E-3</v>
      </c>
      <c r="E102" t="s">
        <v>6</v>
      </c>
      <c r="G102" t="s">
        <v>419</v>
      </c>
      <c r="H102" t="s">
        <v>19</v>
      </c>
      <c r="I102">
        <v>2.3066944199488289E-2</v>
      </c>
      <c r="J102" t="s">
        <v>6</v>
      </c>
      <c r="L102" t="s">
        <v>420</v>
      </c>
      <c r="M102" t="s">
        <v>19</v>
      </c>
      <c r="N102">
        <v>2.025018310161629E-2</v>
      </c>
      <c r="O102" t="s">
        <v>6</v>
      </c>
    </row>
    <row r="103" spans="2:15" x14ac:dyDescent="0.45">
      <c r="B103" t="s">
        <v>418</v>
      </c>
      <c r="C103" t="s">
        <v>20</v>
      </c>
      <c r="D103">
        <v>2.0212099784105934E-2</v>
      </c>
      <c r="E103" t="s">
        <v>6</v>
      </c>
      <c r="G103" t="s">
        <v>419</v>
      </c>
      <c r="H103" t="s">
        <v>20</v>
      </c>
      <c r="I103">
        <v>2.0994079101216232E-2</v>
      </c>
      <c r="J103" t="s">
        <v>6</v>
      </c>
      <c r="L103" t="s">
        <v>420</v>
      </c>
      <c r="M103" t="s">
        <v>20</v>
      </c>
      <c r="N103">
        <v>1.9801950141068815E-2</v>
      </c>
      <c r="O103" t="s">
        <v>6</v>
      </c>
    </row>
    <row r="104" spans="2:15" x14ac:dyDescent="0.45">
      <c r="B104" t="s">
        <v>418</v>
      </c>
      <c r="C104" t="s">
        <v>21</v>
      </c>
      <c r="D104">
        <v>6.0519830973982718E-2</v>
      </c>
      <c r="E104" t="s">
        <v>6</v>
      </c>
      <c r="G104" t="s">
        <v>419</v>
      </c>
      <c r="H104" t="s">
        <v>21</v>
      </c>
      <c r="I104">
        <v>1.9110962982058829E-2</v>
      </c>
      <c r="J104" t="s">
        <v>6</v>
      </c>
      <c r="L104" t="s">
        <v>420</v>
      </c>
      <c r="M104" t="s">
        <v>21</v>
      </c>
      <c r="N104">
        <v>1.9574452570668342E-2</v>
      </c>
      <c r="O104" t="s">
        <v>6</v>
      </c>
    </row>
    <row r="105" spans="2:15" x14ac:dyDescent="0.45">
      <c r="B105" t="s">
        <v>418</v>
      </c>
      <c r="C105" t="s">
        <v>22</v>
      </c>
      <c r="D105">
        <v>8.2589160619198659E-2</v>
      </c>
      <c r="E105" t="s">
        <v>6</v>
      </c>
      <c r="G105" t="s">
        <v>419</v>
      </c>
      <c r="H105" t="s">
        <v>22</v>
      </c>
      <c r="I105">
        <v>1.5044840923625895E-2</v>
      </c>
      <c r="J105" t="s">
        <v>6</v>
      </c>
      <c r="L105" t="s">
        <v>420</v>
      </c>
      <c r="M105" t="s">
        <v>22</v>
      </c>
      <c r="N105">
        <v>1.8851556895177309E-2</v>
      </c>
      <c r="O105" t="s">
        <v>6</v>
      </c>
    </row>
    <row r="106" spans="2:15" x14ac:dyDescent="0.45">
      <c r="B106" t="s">
        <v>418</v>
      </c>
      <c r="C106" t="s">
        <v>23</v>
      </c>
      <c r="D106">
        <v>7.8855527653653876E-2</v>
      </c>
      <c r="E106" t="s">
        <v>6</v>
      </c>
      <c r="G106" t="s">
        <v>419</v>
      </c>
      <c r="H106" t="s">
        <v>23</v>
      </c>
      <c r="I106">
        <v>1.5981532500669592E-2</v>
      </c>
      <c r="J106" t="s">
        <v>6</v>
      </c>
      <c r="L106" t="s">
        <v>420</v>
      </c>
      <c r="M106" t="s">
        <v>23</v>
      </c>
      <c r="N106">
        <v>1.9151341018223977E-2</v>
      </c>
      <c r="O106" t="s">
        <v>6</v>
      </c>
    </row>
    <row r="107" spans="2:15" x14ac:dyDescent="0.45">
      <c r="B107" t="s">
        <v>418</v>
      </c>
      <c r="C107" t="s">
        <v>24</v>
      </c>
      <c r="D107">
        <v>5.392039983436054E-2</v>
      </c>
      <c r="E107" t="s">
        <v>6</v>
      </c>
      <c r="G107" t="s">
        <v>419</v>
      </c>
      <c r="H107" t="s">
        <v>24</v>
      </c>
      <c r="I107">
        <v>1.7566893223339673E-2</v>
      </c>
      <c r="J107" t="s">
        <v>6</v>
      </c>
      <c r="L107" t="s">
        <v>420</v>
      </c>
      <c r="M107" t="s">
        <v>24</v>
      </c>
      <c r="N107">
        <v>1.9767324208780624E-2</v>
      </c>
      <c r="O107" t="s">
        <v>6</v>
      </c>
    </row>
    <row r="108" spans="2:15" x14ac:dyDescent="0.45">
      <c r="B108" t="s">
        <v>418</v>
      </c>
      <c r="C108" t="s">
        <v>25</v>
      </c>
      <c r="D108">
        <v>1.9792581920987488E-2</v>
      </c>
      <c r="E108" t="s">
        <v>6</v>
      </c>
      <c r="G108" t="s">
        <v>419</v>
      </c>
      <c r="H108" t="s">
        <v>25</v>
      </c>
      <c r="I108">
        <v>1.9103331077704552E-2</v>
      </c>
      <c r="J108" t="s">
        <v>6</v>
      </c>
      <c r="L108" t="s">
        <v>420</v>
      </c>
      <c r="M108" t="s">
        <v>25</v>
      </c>
      <c r="N108">
        <v>2.0321345828394469E-2</v>
      </c>
      <c r="O108" t="s">
        <v>6</v>
      </c>
    </row>
    <row r="109" spans="2:15" x14ac:dyDescent="0.45">
      <c r="B109" t="s">
        <v>418</v>
      </c>
      <c r="C109" t="s">
        <v>26</v>
      </c>
      <c r="D109">
        <v>1.0414449124643583E-3</v>
      </c>
      <c r="E109" t="s">
        <v>6</v>
      </c>
      <c r="G109" t="s">
        <v>419</v>
      </c>
      <c r="H109" t="s">
        <v>26</v>
      </c>
      <c r="I109">
        <v>2.2445938606279643E-2</v>
      </c>
      <c r="J109" t="s">
        <v>6</v>
      </c>
      <c r="L109" t="s">
        <v>420</v>
      </c>
      <c r="M109" t="s">
        <v>26</v>
      </c>
      <c r="N109">
        <v>2.0618473833603986E-2</v>
      </c>
      <c r="O109" t="s">
        <v>6</v>
      </c>
    </row>
    <row r="110" spans="2:15" x14ac:dyDescent="0.45">
      <c r="B110" t="s">
        <v>418</v>
      </c>
      <c r="C110" t="s">
        <v>27</v>
      </c>
      <c r="D110">
        <v>0</v>
      </c>
      <c r="E110" t="s">
        <v>6</v>
      </c>
      <c r="G110" t="s">
        <v>419</v>
      </c>
      <c r="H110" t="s">
        <v>27</v>
      </c>
      <c r="I110">
        <v>3.5341281591454887E-2</v>
      </c>
      <c r="J110" t="s">
        <v>6</v>
      </c>
      <c r="L110" t="s">
        <v>420</v>
      </c>
      <c r="M110" t="s">
        <v>27</v>
      </c>
      <c r="N110">
        <v>3.1282912015076166E-2</v>
      </c>
      <c r="O110" t="s">
        <v>6</v>
      </c>
    </row>
    <row r="111" spans="2:15" x14ac:dyDescent="0.45">
      <c r="B111" t="s">
        <v>418</v>
      </c>
      <c r="C111" t="s">
        <v>28</v>
      </c>
      <c r="D111">
        <v>0</v>
      </c>
      <c r="E111" t="s">
        <v>6</v>
      </c>
      <c r="G111" t="s">
        <v>419</v>
      </c>
      <c r="H111" t="s">
        <v>28</v>
      </c>
      <c r="I111">
        <v>4.1257221937698881E-2</v>
      </c>
      <c r="J111" t="s">
        <v>6</v>
      </c>
      <c r="L111" t="s">
        <v>420</v>
      </c>
      <c r="M111" t="s">
        <v>28</v>
      </c>
      <c r="N111">
        <v>4.0502780179941279E-2</v>
      </c>
      <c r="O111" t="s">
        <v>6</v>
      </c>
    </row>
    <row r="112" spans="2:15" x14ac:dyDescent="0.45">
      <c r="B112" t="s">
        <v>418</v>
      </c>
      <c r="C112" t="s">
        <v>29</v>
      </c>
      <c r="D112">
        <v>2.4923843985400589E-3</v>
      </c>
      <c r="E112" t="s">
        <v>6</v>
      </c>
      <c r="G112" t="s">
        <v>419</v>
      </c>
      <c r="H112" t="s">
        <v>29</v>
      </c>
      <c r="I112">
        <v>1.3087691259370952E-2</v>
      </c>
      <c r="J112" t="s">
        <v>6</v>
      </c>
      <c r="L112" t="s">
        <v>420</v>
      </c>
      <c r="M112" t="s">
        <v>29</v>
      </c>
      <c r="N112">
        <v>1.6068301833371868E-2</v>
      </c>
      <c r="O112" t="s">
        <v>6</v>
      </c>
    </row>
    <row r="113" spans="2:15" x14ac:dyDescent="0.45">
      <c r="B113" t="s">
        <v>418</v>
      </c>
      <c r="C113" t="s">
        <v>30</v>
      </c>
      <c r="D113">
        <v>2.9218470009172187E-2</v>
      </c>
      <c r="E113" t="s">
        <v>6</v>
      </c>
      <c r="G113" t="s">
        <v>419</v>
      </c>
      <c r="H113" t="s">
        <v>30</v>
      </c>
      <c r="I113">
        <v>8.6752662953678266E-3</v>
      </c>
      <c r="J113" t="s">
        <v>6</v>
      </c>
      <c r="L113" t="s">
        <v>420</v>
      </c>
      <c r="M113" t="s">
        <v>30</v>
      </c>
      <c r="N113">
        <v>1.6101824868613494E-2</v>
      </c>
      <c r="O113" t="s">
        <v>6</v>
      </c>
    </row>
    <row r="114" spans="2:15" x14ac:dyDescent="0.45">
      <c r="B114" t="s">
        <v>418</v>
      </c>
      <c r="C114" t="s">
        <v>31</v>
      </c>
      <c r="D114">
        <v>7.3179446494884989E-2</v>
      </c>
      <c r="E114" t="s">
        <v>6</v>
      </c>
      <c r="G114" t="s">
        <v>419</v>
      </c>
      <c r="H114" t="s">
        <v>31</v>
      </c>
      <c r="I114">
        <v>7.9407936620206968E-3</v>
      </c>
      <c r="J114" t="s">
        <v>6</v>
      </c>
      <c r="L114" t="s">
        <v>420</v>
      </c>
      <c r="M114" t="s">
        <v>31</v>
      </c>
      <c r="N114">
        <v>1.6938597016057898E-2</v>
      </c>
      <c r="O114" t="s">
        <v>6</v>
      </c>
    </row>
    <row r="115" spans="2:15" x14ac:dyDescent="0.45">
      <c r="B115" t="s">
        <v>418</v>
      </c>
      <c r="C115" t="s">
        <v>32</v>
      </c>
      <c r="D115">
        <v>9.6129656820579085E-2</v>
      </c>
      <c r="E115" t="s">
        <v>6</v>
      </c>
      <c r="G115" t="s">
        <v>419</v>
      </c>
      <c r="H115" t="s">
        <v>32</v>
      </c>
      <c r="I115">
        <v>7.881261201171148E-3</v>
      </c>
      <c r="J115" t="s">
        <v>6</v>
      </c>
      <c r="L115" t="s">
        <v>420</v>
      </c>
      <c r="M115" t="s">
        <v>32</v>
      </c>
      <c r="N115">
        <v>1.6605373185203446E-2</v>
      </c>
      <c r="O115" t="s">
        <v>6</v>
      </c>
    </row>
    <row r="116" spans="2:15" x14ac:dyDescent="0.45">
      <c r="B116" t="s">
        <v>418</v>
      </c>
      <c r="C116" t="s">
        <v>33</v>
      </c>
      <c r="D116">
        <v>9.0777256419659627E-2</v>
      </c>
      <c r="E116" t="s">
        <v>6</v>
      </c>
      <c r="G116" t="s">
        <v>419</v>
      </c>
      <c r="H116" t="s">
        <v>33</v>
      </c>
      <c r="I116">
        <v>8.943235587972765E-3</v>
      </c>
      <c r="J116" t="s">
        <v>6</v>
      </c>
      <c r="L116" t="s">
        <v>420</v>
      </c>
      <c r="M116" t="s">
        <v>33</v>
      </c>
      <c r="N116">
        <v>1.6875428728459659E-2</v>
      </c>
      <c r="O116" t="s">
        <v>6</v>
      </c>
    </row>
    <row r="117" spans="2:15" x14ac:dyDescent="0.45">
      <c r="B117" t="s">
        <v>418</v>
      </c>
      <c r="C117" t="s">
        <v>34</v>
      </c>
      <c r="D117">
        <v>6.7094402697755115E-2</v>
      </c>
      <c r="E117" t="s">
        <v>6</v>
      </c>
      <c r="G117" t="s">
        <v>419</v>
      </c>
      <c r="H117" t="s">
        <v>34</v>
      </c>
      <c r="I117">
        <v>1.0314772022552951E-2</v>
      </c>
      <c r="J117" t="s">
        <v>6</v>
      </c>
      <c r="L117" t="s">
        <v>420</v>
      </c>
      <c r="M117" t="s">
        <v>34</v>
      </c>
      <c r="N117">
        <v>1.6845032436707316E-2</v>
      </c>
      <c r="O117" t="s">
        <v>6</v>
      </c>
    </row>
    <row r="118" spans="2:15" x14ac:dyDescent="0.45">
      <c r="B118" t="s">
        <v>418</v>
      </c>
      <c r="C118" t="s">
        <v>35</v>
      </c>
      <c r="D118">
        <v>3.0846741381275657E-2</v>
      </c>
      <c r="E118" t="s">
        <v>6</v>
      </c>
      <c r="G118" t="s">
        <v>419</v>
      </c>
      <c r="H118" t="s">
        <v>35</v>
      </c>
      <c r="I118">
        <v>1.1318128613922809E-2</v>
      </c>
      <c r="J118" t="s">
        <v>6</v>
      </c>
      <c r="L118" t="s">
        <v>420</v>
      </c>
      <c r="M118" t="s">
        <v>35</v>
      </c>
      <c r="N118">
        <v>1.6989842384648682E-2</v>
      </c>
      <c r="O118" t="s">
        <v>6</v>
      </c>
    </row>
    <row r="119" spans="2:15" x14ac:dyDescent="0.45">
      <c r="B119" t="s">
        <v>418</v>
      </c>
      <c r="C119" t="s">
        <v>36</v>
      </c>
      <c r="D119">
        <v>3.3889453860215268E-3</v>
      </c>
      <c r="E119" t="s">
        <v>6</v>
      </c>
      <c r="G119" t="s">
        <v>419</v>
      </c>
      <c r="H119" t="s">
        <v>36</v>
      </c>
      <c r="I119">
        <v>1.4039395530262505E-2</v>
      </c>
      <c r="J119" t="s">
        <v>6</v>
      </c>
      <c r="L119" t="s">
        <v>420</v>
      </c>
      <c r="M119" t="s">
        <v>36</v>
      </c>
      <c r="N119">
        <v>1.7053562180129121E-2</v>
      </c>
      <c r="O119" t="s">
        <v>6</v>
      </c>
    </row>
    <row r="120" spans="2:15" x14ac:dyDescent="0.45">
      <c r="B120" t="s">
        <v>418</v>
      </c>
      <c r="C120" t="s">
        <v>37</v>
      </c>
      <c r="D120">
        <v>0</v>
      </c>
      <c r="E120" t="s">
        <v>6</v>
      </c>
      <c r="G120" t="s">
        <v>419</v>
      </c>
      <c r="H120" t="s">
        <v>37</v>
      </c>
      <c r="I120">
        <v>2.6436514754691023E-2</v>
      </c>
      <c r="J120" t="s">
        <v>6</v>
      </c>
      <c r="L120" t="s">
        <v>420</v>
      </c>
      <c r="M120" t="s">
        <v>37</v>
      </c>
      <c r="N120">
        <v>2.5374696138594319E-2</v>
      </c>
      <c r="O120" t="s">
        <v>6</v>
      </c>
    </row>
    <row r="121" spans="2:15" x14ac:dyDescent="0.45">
      <c r="B121" t="s">
        <v>418</v>
      </c>
      <c r="C121" t="s">
        <v>38</v>
      </c>
      <c r="D121">
        <v>0</v>
      </c>
      <c r="E121" t="s">
        <v>6</v>
      </c>
      <c r="G121" t="s">
        <v>419</v>
      </c>
      <c r="H121" t="s">
        <v>38</v>
      </c>
      <c r="I121">
        <v>6.5023584007832924E-2</v>
      </c>
      <c r="J121" t="s">
        <v>6</v>
      </c>
      <c r="L121" t="s">
        <v>420</v>
      </c>
      <c r="M121" t="s">
        <v>38</v>
      </c>
      <c r="N121">
        <v>5.7861670103336475E-2</v>
      </c>
      <c r="O121" t="s">
        <v>6</v>
      </c>
    </row>
    <row r="122" spans="2:15" x14ac:dyDescent="0.45">
      <c r="B122" t="s">
        <v>418</v>
      </c>
      <c r="C122" t="s">
        <v>39</v>
      </c>
      <c r="D122">
        <v>1.5071469917224586E-6</v>
      </c>
      <c r="E122" t="s">
        <v>6</v>
      </c>
      <c r="G122" t="s">
        <v>419</v>
      </c>
      <c r="H122" t="s">
        <v>39</v>
      </c>
      <c r="I122">
        <v>2.5881000037570299E-2</v>
      </c>
      <c r="J122" t="s">
        <v>6</v>
      </c>
      <c r="L122" t="s">
        <v>420</v>
      </c>
      <c r="M122" t="s">
        <v>39</v>
      </c>
      <c r="N122">
        <v>2.2779291407585899E-2</v>
      </c>
      <c r="O122" t="s">
        <v>6</v>
      </c>
    </row>
    <row r="123" spans="2:15" x14ac:dyDescent="0.45">
      <c r="B123" t="s">
        <v>418</v>
      </c>
      <c r="C123" t="s">
        <v>40</v>
      </c>
      <c r="D123">
        <v>6.6027506142087413E-3</v>
      </c>
      <c r="E123" t="s">
        <v>6</v>
      </c>
      <c r="G123" t="s">
        <v>419</v>
      </c>
      <c r="H123" t="s">
        <v>40</v>
      </c>
      <c r="I123">
        <v>2.5129382630319913E-2</v>
      </c>
      <c r="J123" t="s">
        <v>6</v>
      </c>
      <c r="L123" t="s">
        <v>420</v>
      </c>
      <c r="M123" t="s">
        <v>40</v>
      </c>
      <c r="N123">
        <v>2.2547966998286942E-2</v>
      </c>
      <c r="O123" t="s">
        <v>6</v>
      </c>
    </row>
    <row r="124" spans="2:15" x14ac:dyDescent="0.45">
      <c r="B124" t="s">
        <v>418</v>
      </c>
      <c r="C124" t="s">
        <v>41</v>
      </c>
      <c r="D124">
        <v>3.3584536687264827E-2</v>
      </c>
      <c r="E124" t="s">
        <v>6</v>
      </c>
      <c r="G124" t="s">
        <v>419</v>
      </c>
      <c r="H124" t="s">
        <v>41</v>
      </c>
      <c r="I124">
        <v>2.2292694408782829E-2</v>
      </c>
      <c r="J124" t="s">
        <v>6</v>
      </c>
      <c r="L124" t="s">
        <v>420</v>
      </c>
      <c r="M124" t="s">
        <v>41</v>
      </c>
      <c r="N124">
        <v>2.2176312365061474E-2</v>
      </c>
      <c r="O124" t="s">
        <v>6</v>
      </c>
    </row>
    <row r="125" spans="2:15" x14ac:dyDescent="0.45">
      <c r="B125" t="s">
        <v>418</v>
      </c>
      <c r="C125" t="s">
        <v>42</v>
      </c>
      <c r="D125">
        <v>5.514005546961822E-2</v>
      </c>
      <c r="E125" t="s">
        <v>6</v>
      </c>
      <c r="G125" t="s">
        <v>419</v>
      </c>
      <c r="H125" t="s">
        <v>42</v>
      </c>
      <c r="I125">
        <v>1.7640032220290598E-2</v>
      </c>
      <c r="J125" t="s">
        <v>6</v>
      </c>
      <c r="L125" t="s">
        <v>420</v>
      </c>
      <c r="M125" t="s">
        <v>42</v>
      </c>
      <c r="N125">
        <v>2.1329221176556931E-2</v>
      </c>
      <c r="O125" t="s">
        <v>6</v>
      </c>
    </row>
    <row r="126" spans="2:15" x14ac:dyDescent="0.45">
      <c r="B126" t="s">
        <v>418</v>
      </c>
      <c r="C126" t="s">
        <v>43</v>
      </c>
      <c r="D126">
        <v>5.4736810493487172E-2</v>
      </c>
      <c r="E126" t="s">
        <v>6</v>
      </c>
      <c r="G126" t="s">
        <v>419</v>
      </c>
      <c r="H126" t="s">
        <v>43</v>
      </c>
      <c r="I126">
        <v>1.831038228174349E-2</v>
      </c>
      <c r="J126" t="s">
        <v>6</v>
      </c>
      <c r="L126" t="s">
        <v>420</v>
      </c>
      <c r="M126" t="s">
        <v>43</v>
      </c>
      <c r="N126">
        <v>2.1478786349556096E-2</v>
      </c>
      <c r="O126" t="s">
        <v>6</v>
      </c>
    </row>
    <row r="127" spans="2:15" x14ac:dyDescent="0.45">
      <c r="B127" t="s">
        <v>418</v>
      </c>
      <c r="C127" t="s">
        <v>44</v>
      </c>
      <c r="D127">
        <v>3.0514896840380421E-2</v>
      </c>
      <c r="E127" t="s">
        <v>6</v>
      </c>
      <c r="G127" t="s">
        <v>419</v>
      </c>
      <c r="H127" t="s">
        <v>44</v>
      </c>
      <c r="I127">
        <v>1.8688562351766174E-2</v>
      </c>
      <c r="J127" t="s">
        <v>6</v>
      </c>
      <c r="L127" t="s">
        <v>420</v>
      </c>
      <c r="M127" t="s">
        <v>44</v>
      </c>
      <c r="N127">
        <v>2.1938223604111903E-2</v>
      </c>
      <c r="O127" t="s">
        <v>6</v>
      </c>
    </row>
    <row r="128" spans="2:15" x14ac:dyDescent="0.45">
      <c r="B128" t="s">
        <v>418</v>
      </c>
      <c r="C128" t="s">
        <v>45</v>
      </c>
      <c r="D128">
        <v>5.0336464622277892E-3</v>
      </c>
      <c r="E128" t="s">
        <v>6</v>
      </c>
      <c r="G128" t="s">
        <v>419</v>
      </c>
      <c r="H128" t="s">
        <v>45</v>
      </c>
      <c r="I128">
        <v>2.0542832929355468E-2</v>
      </c>
      <c r="J128" t="s">
        <v>6</v>
      </c>
      <c r="L128" t="s">
        <v>420</v>
      </c>
      <c r="M128" t="s">
        <v>45</v>
      </c>
      <c r="N128">
        <v>2.2413979393868327E-2</v>
      </c>
      <c r="O128" t="s">
        <v>6</v>
      </c>
    </row>
    <row r="129" spans="2:15" x14ac:dyDescent="0.45">
      <c r="B129" t="s">
        <v>418</v>
      </c>
      <c r="C129" t="s">
        <v>46</v>
      </c>
      <c r="D129">
        <v>3.6435714250298648E-6</v>
      </c>
      <c r="E129" t="s">
        <v>6</v>
      </c>
      <c r="G129" t="s">
        <v>419</v>
      </c>
      <c r="H129" t="s">
        <v>46</v>
      </c>
      <c r="I129">
        <v>2.4036589304437295E-2</v>
      </c>
      <c r="J129" t="s">
        <v>6</v>
      </c>
      <c r="L129" t="s">
        <v>420</v>
      </c>
      <c r="M129" t="s">
        <v>46</v>
      </c>
      <c r="N129">
        <v>2.2679564239980438E-2</v>
      </c>
      <c r="O129" t="s">
        <v>6</v>
      </c>
    </row>
    <row r="130" spans="2:15" x14ac:dyDescent="0.45">
      <c r="B130" t="s">
        <v>418</v>
      </c>
      <c r="C130" t="s">
        <v>47</v>
      </c>
      <c r="D130">
        <v>0</v>
      </c>
      <c r="E130" t="s">
        <v>6</v>
      </c>
      <c r="G130" t="s">
        <v>419</v>
      </c>
      <c r="H130" t="s">
        <v>47</v>
      </c>
      <c r="I130">
        <v>3.9638753360488048E-2</v>
      </c>
      <c r="J130" t="s">
        <v>6</v>
      </c>
      <c r="L130" t="s">
        <v>420</v>
      </c>
      <c r="M130" t="s">
        <v>47</v>
      </c>
      <c r="N130">
        <v>3.467356978689496E-2</v>
      </c>
      <c r="O130" t="s">
        <v>6</v>
      </c>
    </row>
    <row r="131" spans="2:15" x14ac:dyDescent="0.45">
      <c r="B131" t="s">
        <v>421</v>
      </c>
      <c r="C131" t="s">
        <v>5</v>
      </c>
      <c r="D131">
        <v>0</v>
      </c>
      <c r="E131" t="s">
        <v>6</v>
      </c>
      <c r="G131" t="s">
        <v>422</v>
      </c>
      <c r="H131" t="s">
        <v>5</v>
      </c>
      <c r="I131">
        <v>7.1235652618514195E-2</v>
      </c>
      <c r="J131" t="s">
        <v>6</v>
      </c>
      <c r="L131" t="s">
        <v>423</v>
      </c>
      <c r="M131" t="s">
        <v>5</v>
      </c>
      <c r="N131">
        <v>6.0191567163938392E-2</v>
      </c>
      <c r="O131" t="s">
        <v>6</v>
      </c>
    </row>
    <row r="132" spans="2:15" x14ac:dyDescent="0.45">
      <c r="B132" t="s">
        <v>421</v>
      </c>
      <c r="C132" t="s">
        <v>9</v>
      </c>
      <c r="D132">
        <v>0</v>
      </c>
      <c r="E132" t="s">
        <v>6</v>
      </c>
      <c r="G132" t="s">
        <v>422</v>
      </c>
      <c r="H132" t="s">
        <v>9</v>
      </c>
      <c r="I132">
        <v>2.8596473174406709E-2</v>
      </c>
      <c r="J132" t="s">
        <v>6</v>
      </c>
      <c r="L132" t="s">
        <v>423</v>
      </c>
      <c r="M132" t="s">
        <v>9</v>
      </c>
      <c r="N132">
        <v>2.4039259405019418E-2</v>
      </c>
      <c r="O132" t="s">
        <v>6</v>
      </c>
    </row>
    <row r="133" spans="2:15" x14ac:dyDescent="0.45">
      <c r="B133" t="s">
        <v>421</v>
      </c>
      <c r="C133" t="s">
        <v>10</v>
      </c>
      <c r="D133">
        <v>4.5478394098230355E-5</v>
      </c>
      <c r="E133" t="s">
        <v>6</v>
      </c>
      <c r="G133" t="s">
        <v>422</v>
      </c>
      <c r="H133" t="s">
        <v>10</v>
      </c>
      <c r="I133">
        <v>2.759313184898592E-2</v>
      </c>
      <c r="J133" t="s">
        <v>6</v>
      </c>
      <c r="L133" t="s">
        <v>423</v>
      </c>
      <c r="M133" t="s">
        <v>10</v>
      </c>
      <c r="N133">
        <v>2.409847262676797E-2</v>
      </c>
      <c r="O133" t="s">
        <v>6</v>
      </c>
    </row>
    <row r="134" spans="2:15" x14ac:dyDescent="0.45">
      <c r="B134" t="s">
        <v>421</v>
      </c>
      <c r="C134" t="s">
        <v>11</v>
      </c>
      <c r="D134">
        <v>1.1783761239486431E-2</v>
      </c>
      <c r="E134" t="s">
        <v>6</v>
      </c>
      <c r="G134" t="s">
        <v>422</v>
      </c>
      <c r="H134" t="s">
        <v>11</v>
      </c>
      <c r="I134">
        <v>2.662098690543609E-2</v>
      </c>
      <c r="J134" t="s">
        <v>6</v>
      </c>
      <c r="L134" t="s">
        <v>423</v>
      </c>
      <c r="M134" t="s">
        <v>11</v>
      </c>
      <c r="N134">
        <v>2.3998540151356589E-2</v>
      </c>
      <c r="O134" t="s">
        <v>6</v>
      </c>
    </row>
    <row r="135" spans="2:15" x14ac:dyDescent="0.45">
      <c r="B135" t="s">
        <v>421</v>
      </c>
      <c r="C135" t="s">
        <v>12</v>
      </c>
      <c r="D135">
        <v>3.4489589117891586E-2</v>
      </c>
      <c r="E135" t="s">
        <v>6</v>
      </c>
      <c r="G135" t="s">
        <v>422</v>
      </c>
      <c r="H135" t="s">
        <v>12</v>
      </c>
      <c r="I135">
        <v>2.3438676272787357E-2</v>
      </c>
      <c r="J135" t="s">
        <v>6</v>
      </c>
      <c r="L135" t="s">
        <v>423</v>
      </c>
      <c r="M135" t="s">
        <v>12</v>
      </c>
      <c r="N135">
        <v>2.373060653749855E-2</v>
      </c>
      <c r="O135" t="s">
        <v>6</v>
      </c>
    </row>
    <row r="136" spans="2:15" x14ac:dyDescent="0.45">
      <c r="B136" t="s">
        <v>421</v>
      </c>
      <c r="C136" t="s">
        <v>13</v>
      </c>
      <c r="D136">
        <v>3.739824931611381E-2</v>
      </c>
      <c r="E136" t="s">
        <v>6</v>
      </c>
      <c r="G136" t="s">
        <v>422</v>
      </c>
      <c r="H136" t="s">
        <v>13</v>
      </c>
      <c r="I136">
        <v>2.4329356972607737E-2</v>
      </c>
      <c r="J136" t="s">
        <v>6</v>
      </c>
      <c r="L136" t="s">
        <v>423</v>
      </c>
      <c r="M136" t="s">
        <v>13</v>
      </c>
      <c r="N136">
        <v>2.3728556066945836E-2</v>
      </c>
      <c r="O136" t="s">
        <v>6</v>
      </c>
    </row>
    <row r="137" spans="2:15" x14ac:dyDescent="0.45">
      <c r="B137" t="s">
        <v>421</v>
      </c>
      <c r="C137" t="s">
        <v>14</v>
      </c>
      <c r="D137">
        <v>2.0990868873272679E-2</v>
      </c>
      <c r="E137" t="s">
        <v>6</v>
      </c>
      <c r="G137" t="s">
        <v>422</v>
      </c>
      <c r="H137" t="s">
        <v>14</v>
      </c>
      <c r="I137">
        <v>2.5081753865268414E-2</v>
      </c>
      <c r="J137" t="s">
        <v>6</v>
      </c>
      <c r="L137" t="s">
        <v>423</v>
      </c>
      <c r="M137" t="s">
        <v>14</v>
      </c>
      <c r="N137">
        <v>2.3779688643046849E-2</v>
      </c>
      <c r="O137" t="s">
        <v>6</v>
      </c>
    </row>
    <row r="138" spans="2:15" x14ac:dyDescent="0.45">
      <c r="B138" t="s">
        <v>421</v>
      </c>
      <c r="C138" t="s">
        <v>15</v>
      </c>
      <c r="D138">
        <v>2.1070536169515669E-3</v>
      </c>
      <c r="E138" t="s">
        <v>6</v>
      </c>
      <c r="G138" t="s">
        <v>422</v>
      </c>
      <c r="H138" t="s">
        <v>15</v>
      </c>
      <c r="I138">
        <v>2.7497061958260939E-2</v>
      </c>
      <c r="J138" t="s">
        <v>6</v>
      </c>
      <c r="L138" t="s">
        <v>423</v>
      </c>
      <c r="M138" t="s">
        <v>15</v>
      </c>
      <c r="N138">
        <v>2.4112762711744107E-2</v>
      </c>
      <c r="O138" t="s">
        <v>6</v>
      </c>
    </row>
    <row r="139" spans="2:15" x14ac:dyDescent="0.45">
      <c r="B139" t="s">
        <v>421</v>
      </c>
      <c r="C139" t="s">
        <v>16</v>
      </c>
      <c r="D139">
        <v>0</v>
      </c>
      <c r="E139" t="s">
        <v>6</v>
      </c>
      <c r="G139" t="s">
        <v>422</v>
      </c>
      <c r="H139" t="s">
        <v>16</v>
      </c>
      <c r="I139">
        <v>2.916014016715902E-2</v>
      </c>
      <c r="J139" t="s">
        <v>6</v>
      </c>
      <c r="L139" t="s">
        <v>423</v>
      </c>
      <c r="M139" t="s">
        <v>16</v>
      </c>
      <c r="N139">
        <v>2.4017567882141457E-2</v>
      </c>
      <c r="O139" t="s">
        <v>6</v>
      </c>
    </row>
    <row r="140" spans="2:15" x14ac:dyDescent="0.45">
      <c r="B140" t="s">
        <v>421</v>
      </c>
      <c r="C140" t="s">
        <v>17</v>
      </c>
      <c r="D140">
        <v>0</v>
      </c>
      <c r="E140" t="s">
        <v>6</v>
      </c>
      <c r="G140" t="s">
        <v>422</v>
      </c>
      <c r="H140" t="s">
        <v>17</v>
      </c>
      <c r="I140">
        <v>4.2482510202634695E-2</v>
      </c>
      <c r="J140" t="s">
        <v>6</v>
      </c>
      <c r="L140" t="s">
        <v>423</v>
      </c>
      <c r="M140" t="s">
        <v>17</v>
      </c>
      <c r="N140">
        <v>3.6034279462174863E-2</v>
      </c>
      <c r="O140" t="s">
        <v>6</v>
      </c>
    </row>
    <row r="141" spans="2:15" x14ac:dyDescent="0.45">
      <c r="B141" t="s">
        <v>421</v>
      </c>
      <c r="C141" t="s">
        <v>18</v>
      </c>
      <c r="D141">
        <v>0</v>
      </c>
      <c r="E141" t="s">
        <v>6</v>
      </c>
      <c r="G141" t="s">
        <v>422</v>
      </c>
      <c r="H141" t="s">
        <v>18</v>
      </c>
      <c r="I141">
        <v>5.0888650577605436E-2</v>
      </c>
      <c r="J141" t="s">
        <v>6</v>
      </c>
      <c r="L141" t="s">
        <v>423</v>
      </c>
      <c r="M141" t="s">
        <v>18</v>
      </c>
      <c r="N141">
        <v>5.3032883530188625E-2</v>
      </c>
      <c r="O141" t="s">
        <v>6</v>
      </c>
    </row>
    <row r="142" spans="2:15" x14ac:dyDescent="0.45">
      <c r="B142" t="s">
        <v>421</v>
      </c>
      <c r="C142" t="s">
        <v>19</v>
      </c>
      <c r="D142">
        <v>6.5710152572602001E-4</v>
      </c>
      <c r="E142" t="s">
        <v>6</v>
      </c>
      <c r="G142" t="s">
        <v>422</v>
      </c>
      <c r="H142" t="s">
        <v>19</v>
      </c>
      <c r="I142">
        <v>2.1719523675043241E-2</v>
      </c>
      <c r="J142" t="s">
        <v>6</v>
      </c>
      <c r="L142" t="s">
        <v>423</v>
      </c>
      <c r="M142" t="s">
        <v>19</v>
      </c>
      <c r="N142">
        <v>2.0469812513749828E-2</v>
      </c>
      <c r="O142" t="s">
        <v>6</v>
      </c>
    </row>
    <row r="143" spans="2:15" x14ac:dyDescent="0.45">
      <c r="B143" t="s">
        <v>421</v>
      </c>
      <c r="C143" t="s">
        <v>20</v>
      </c>
      <c r="D143">
        <v>1.5688337568983444E-2</v>
      </c>
      <c r="E143" t="s">
        <v>6</v>
      </c>
      <c r="G143" t="s">
        <v>422</v>
      </c>
      <c r="H143" t="s">
        <v>20</v>
      </c>
      <c r="I143">
        <v>2.1157173671479824E-2</v>
      </c>
      <c r="J143" t="s">
        <v>6</v>
      </c>
      <c r="L143" t="s">
        <v>423</v>
      </c>
      <c r="M143" t="s">
        <v>20</v>
      </c>
      <c r="N143">
        <v>2.0014472564640468E-2</v>
      </c>
      <c r="O143" t="s">
        <v>6</v>
      </c>
    </row>
    <row r="144" spans="2:15" x14ac:dyDescent="0.45">
      <c r="B144" t="s">
        <v>421</v>
      </c>
      <c r="C144" t="s">
        <v>21</v>
      </c>
      <c r="D144">
        <v>5.2553168781791455E-2</v>
      </c>
      <c r="E144" t="s">
        <v>6</v>
      </c>
      <c r="G144" t="s">
        <v>422</v>
      </c>
      <c r="H144" t="s">
        <v>21</v>
      </c>
      <c r="I144">
        <v>2.0040877782918607E-2</v>
      </c>
      <c r="J144" t="s">
        <v>6</v>
      </c>
      <c r="L144" t="s">
        <v>423</v>
      </c>
      <c r="M144" t="s">
        <v>21</v>
      </c>
      <c r="N144">
        <v>1.9884302069119137E-2</v>
      </c>
      <c r="O144" t="s">
        <v>6</v>
      </c>
    </row>
    <row r="145" spans="2:15" x14ac:dyDescent="0.45">
      <c r="B145" t="s">
        <v>421</v>
      </c>
      <c r="C145" t="s">
        <v>22</v>
      </c>
      <c r="D145">
        <v>7.881410643542755E-2</v>
      </c>
      <c r="E145" t="s">
        <v>6</v>
      </c>
      <c r="G145" t="s">
        <v>422</v>
      </c>
      <c r="H145" t="s">
        <v>22</v>
      </c>
      <c r="I145">
        <v>1.6399454853500219E-2</v>
      </c>
      <c r="J145" t="s">
        <v>6</v>
      </c>
      <c r="L145" t="s">
        <v>423</v>
      </c>
      <c r="M145" t="s">
        <v>22</v>
      </c>
      <c r="N145">
        <v>1.9117049497892991E-2</v>
      </c>
      <c r="O145" t="s">
        <v>6</v>
      </c>
    </row>
    <row r="146" spans="2:15" x14ac:dyDescent="0.45">
      <c r="B146" t="s">
        <v>421</v>
      </c>
      <c r="C146" t="s">
        <v>23</v>
      </c>
      <c r="D146">
        <v>8.024867779505547E-2</v>
      </c>
      <c r="E146" t="s">
        <v>6</v>
      </c>
      <c r="G146" t="s">
        <v>422</v>
      </c>
      <c r="H146" t="s">
        <v>23</v>
      </c>
      <c r="I146">
        <v>1.7749724437998722E-2</v>
      </c>
      <c r="J146" t="s">
        <v>6</v>
      </c>
      <c r="L146" t="s">
        <v>423</v>
      </c>
      <c r="M146" t="s">
        <v>23</v>
      </c>
      <c r="N146">
        <v>1.9589629349073216E-2</v>
      </c>
      <c r="O146" t="s">
        <v>6</v>
      </c>
    </row>
    <row r="147" spans="2:15" x14ac:dyDescent="0.45">
      <c r="B147" t="s">
        <v>421</v>
      </c>
      <c r="C147" t="s">
        <v>24</v>
      </c>
      <c r="D147">
        <v>5.7376684766263945E-2</v>
      </c>
      <c r="E147" t="s">
        <v>6</v>
      </c>
      <c r="G147" t="s">
        <v>422</v>
      </c>
      <c r="H147" t="s">
        <v>24</v>
      </c>
      <c r="I147">
        <v>1.8695202387428035E-2</v>
      </c>
      <c r="J147" t="s">
        <v>6</v>
      </c>
      <c r="L147" t="s">
        <v>423</v>
      </c>
      <c r="M147" t="s">
        <v>24</v>
      </c>
      <c r="N147">
        <v>2.0291008652541978E-2</v>
      </c>
      <c r="O147" t="s">
        <v>6</v>
      </c>
    </row>
    <row r="148" spans="2:15" x14ac:dyDescent="0.45">
      <c r="B148" t="s">
        <v>421</v>
      </c>
      <c r="C148" t="s">
        <v>25</v>
      </c>
      <c r="D148">
        <v>2.202369122512144E-2</v>
      </c>
      <c r="E148" t="s">
        <v>6</v>
      </c>
      <c r="G148" t="s">
        <v>422</v>
      </c>
      <c r="H148" t="s">
        <v>25</v>
      </c>
      <c r="I148">
        <v>2.0100343534130167E-2</v>
      </c>
      <c r="J148" t="s">
        <v>6</v>
      </c>
      <c r="L148" t="s">
        <v>423</v>
      </c>
      <c r="M148" t="s">
        <v>25</v>
      </c>
      <c r="N148">
        <v>2.0898809707391282E-2</v>
      </c>
      <c r="O148" t="s">
        <v>6</v>
      </c>
    </row>
    <row r="149" spans="2:15" x14ac:dyDescent="0.45">
      <c r="B149" t="s">
        <v>421</v>
      </c>
      <c r="C149" t="s">
        <v>26</v>
      </c>
      <c r="D149">
        <v>1.3979264280031274E-3</v>
      </c>
      <c r="E149" t="s">
        <v>6</v>
      </c>
      <c r="G149" t="s">
        <v>422</v>
      </c>
      <c r="H149" t="s">
        <v>26</v>
      </c>
      <c r="I149">
        <v>2.272924820575337E-2</v>
      </c>
      <c r="J149" t="s">
        <v>6</v>
      </c>
      <c r="L149" t="s">
        <v>423</v>
      </c>
      <c r="M149" t="s">
        <v>26</v>
      </c>
      <c r="N149">
        <v>2.1479779955277254E-2</v>
      </c>
      <c r="O149" t="s">
        <v>6</v>
      </c>
    </row>
    <row r="150" spans="2:15" x14ac:dyDescent="0.45">
      <c r="B150" t="s">
        <v>421</v>
      </c>
      <c r="C150" t="s">
        <v>27</v>
      </c>
      <c r="D150">
        <v>0</v>
      </c>
      <c r="E150" t="s">
        <v>6</v>
      </c>
      <c r="G150" t="s">
        <v>422</v>
      </c>
      <c r="H150" t="s">
        <v>27</v>
      </c>
      <c r="I150">
        <v>3.3455987436381611E-2</v>
      </c>
      <c r="J150" t="s">
        <v>6</v>
      </c>
      <c r="L150" t="s">
        <v>423</v>
      </c>
      <c r="M150" t="s">
        <v>27</v>
      </c>
      <c r="N150">
        <v>3.2123114304265996E-2</v>
      </c>
      <c r="O150" t="s">
        <v>6</v>
      </c>
    </row>
    <row r="151" spans="2:15" x14ac:dyDescent="0.45">
      <c r="B151" t="s">
        <v>421</v>
      </c>
      <c r="C151" t="s">
        <v>28</v>
      </c>
      <c r="D151">
        <v>0</v>
      </c>
      <c r="E151" t="s">
        <v>6</v>
      </c>
      <c r="G151" t="s">
        <v>422</v>
      </c>
      <c r="H151" t="s">
        <v>28</v>
      </c>
      <c r="I151">
        <v>3.4950504395090121E-2</v>
      </c>
      <c r="J151" t="s">
        <v>6</v>
      </c>
      <c r="L151" t="s">
        <v>423</v>
      </c>
      <c r="M151" t="s">
        <v>28</v>
      </c>
      <c r="N151">
        <v>3.8581707783448167E-2</v>
      </c>
      <c r="O151" t="s">
        <v>6</v>
      </c>
    </row>
    <row r="152" spans="2:15" x14ac:dyDescent="0.45">
      <c r="B152" t="s">
        <v>421</v>
      </c>
      <c r="C152" t="s">
        <v>29</v>
      </c>
      <c r="D152">
        <v>2.0495302578871881E-3</v>
      </c>
      <c r="E152" t="s">
        <v>6</v>
      </c>
      <c r="G152" t="s">
        <v>422</v>
      </c>
      <c r="H152" t="s">
        <v>29</v>
      </c>
      <c r="I152">
        <v>1.1923304141817182E-2</v>
      </c>
      <c r="J152" t="s">
        <v>6</v>
      </c>
      <c r="L152" t="s">
        <v>423</v>
      </c>
      <c r="M152" t="s">
        <v>29</v>
      </c>
      <c r="N152">
        <v>1.6069141318315144E-2</v>
      </c>
      <c r="O152" t="s">
        <v>6</v>
      </c>
    </row>
    <row r="153" spans="2:15" x14ac:dyDescent="0.45">
      <c r="B153" t="s">
        <v>421</v>
      </c>
      <c r="C153" t="s">
        <v>30</v>
      </c>
      <c r="D153">
        <v>2.6816891224180153E-2</v>
      </c>
      <c r="E153" t="s">
        <v>6</v>
      </c>
      <c r="G153" t="s">
        <v>422</v>
      </c>
      <c r="H153" t="s">
        <v>30</v>
      </c>
      <c r="I153">
        <v>8.4857471352174432E-3</v>
      </c>
      <c r="J153" t="s">
        <v>6</v>
      </c>
      <c r="L153" t="s">
        <v>423</v>
      </c>
      <c r="M153" t="s">
        <v>30</v>
      </c>
      <c r="N153">
        <v>1.6261544380876253E-2</v>
      </c>
      <c r="O153" t="s">
        <v>6</v>
      </c>
    </row>
    <row r="154" spans="2:15" x14ac:dyDescent="0.45">
      <c r="B154" t="s">
        <v>421</v>
      </c>
      <c r="C154" t="s">
        <v>31</v>
      </c>
      <c r="D154">
        <v>7.0960461044816361E-2</v>
      </c>
      <c r="E154" t="s">
        <v>6</v>
      </c>
      <c r="G154" t="s">
        <v>422</v>
      </c>
      <c r="H154" t="s">
        <v>31</v>
      </c>
      <c r="I154">
        <v>8.3558906008748095E-3</v>
      </c>
      <c r="J154" t="s">
        <v>6</v>
      </c>
      <c r="L154" t="s">
        <v>423</v>
      </c>
      <c r="M154" t="s">
        <v>31</v>
      </c>
      <c r="N154">
        <v>1.628072091758145E-2</v>
      </c>
      <c r="O154" t="s">
        <v>6</v>
      </c>
    </row>
    <row r="155" spans="2:15" x14ac:dyDescent="0.45">
      <c r="B155" t="s">
        <v>421</v>
      </c>
      <c r="C155" t="s">
        <v>32</v>
      </c>
      <c r="D155">
        <v>9.6748862710606703E-2</v>
      </c>
      <c r="E155" t="s">
        <v>6</v>
      </c>
      <c r="G155" t="s">
        <v>422</v>
      </c>
      <c r="H155" t="s">
        <v>32</v>
      </c>
      <c r="I155">
        <v>8.2224958098953433E-3</v>
      </c>
      <c r="J155" t="s">
        <v>6</v>
      </c>
      <c r="L155" t="s">
        <v>423</v>
      </c>
      <c r="M155" t="s">
        <v>32</v>
      </c>
      <c r="N155">
        <v>1.5554158650365482E-2</v>
      </c>
      <c r="O155" t="s">
        <v>6</v>
      </c>
    </row>
    <row r="156" spans="2:15" x14ac:dyDescent="0.45">
      <c r="B156" t="s">
        <v>421</v>
      </c>
      <c r="C156" t="s">
        <v>33</v>
      </c>
      <c r="D156">
        <v>9.4024972217205849E-2</v>
      </c>
      <c r="E156" t="s">
        <v>6</v>
      </c>
      <c r="G156" t="s">
        <v>422</v>
      </c>
      <c r="H156" t="s">
        <v>33</v>
      </c>
      <c r="I156">
        <v>9.6168905340772489E-3</v>
      </c>
      <c r="J156" t="s">
        <v>6</v>
      </c>
      <c r="L156" t="s">
        <v>423</v>
      </c>
      <c r="M156" t="s">
        <v>33</v>
      </c>
      <c r="N156">
        <v>1.5687101797532362E-2</v>
      </c>
      <c r="O156" t="s">
        <v>6</v>
      </c>
    </row>
    <row r="157" spans="2:15" x14ac:dyDescent="0.45">
      <c r="B157" t="s">
        <v>421</v>
      </c>
      <c r="C157" t="s">
        <v>34</v>
      </c>
      <c r="D157">
        <v>7.0973558089930028E-2</v>
      </c>
      <c r="E157" t="s">
        <v>6</v>
      </c>
      <c r="G157" t="s">
        <v>422</v>
      </c>
      <c r="H157" t="s">
        <v>34</v>
      </c>
      <c r="I157">
        <v>1.0864345154090094E-2</v>
      </c>
      <c r="J157" t="s">
        <v>6</v>
      </c>
      <c r="L157" t="s">
        <v>423</v>
      </c>
      <c r="M157" t="s">
        <v>34</v>
      </c>
      <c r="N157">
        <v>1.6181229227172782E-2</v>
      </c>
      <c r="O157" t="s">
        <v>6</v>
      </c>
    </row>
    <row r="158" spans="2:15" x14ac:dyDescent="0.45">
      <c r="B158" t="s">
        <v>421</v>
      </c>
      <c r="C158" t="s">
        <v>35</v>
      </c>
      <c r="D158">
        <v>3.428963017882098E-2</v>
      </c>
      <c r="E158" t="s">
        <v>6</v>
      </c>
      <c r="G158" t="s">
        <v>422</v>
      </c>
      <c r="H158" t="s">
        <v>35</v>
      </c>
      <c r="I158">
        <v>1.164568362161651E-2</v>
      </c>
      <c r="J158" t="s">
        <v>6</v>
      </c>
      <c r="L158" t="s">
        <v>423</v>
      </c>
      <c r="M158" t="s">
        <v>35</v>
      </c>
      <c r="N158">
        <v>1.6374199531465912E-2</v>
      </c>
      <c r="O158" t="s">
        <v>6</v>
      </c>
    </row>
    <row r="159" spans="2:15" x14ac:dyDescent="0.45">
      <c r="B159" t="s">
        <v>421</v>
      </c>
      <c r="C159" t="s">
        <v>36</v>
      </c>
      <c r="D159">
        <v>4.4040893572134393E-3</v>
      </c>
      <c r="E159" t="s">
        <v>6</v>
      </c>
      <c r="G159" t="s">
        <v>422</v>
      </c>
      <c r="H159" t="s">
        <v>36</v>
      </c>
      <c r="I159">
        <v>1.3738967112526054E-2</v>
      </c>
      <c r="J159" t="s">
        <v>6</v>
      </c>
      <c r="L159" t="s">
        <v>423</v>
      </c>
      <c r="M159" t="s">
        <v>36</v>
      </c>
      <c r="N159">
        <v>1.6190138269753289E-2</v>
      </c>
      <c r="O159" t="s">
        <v>6</v>
      </c>
    </row>
    <row r="160" spans="2:15" x14ac:dyDescent="0.45">
      <c r="B160" t="s">
        <v>421</v>
      </c>
      <c r="C160" t="s">
        <v>37</v>
      </c>
      <c r="D160">
        <v>0</v>
      </c>
      <c r="E160" t="s">
        <v>6</v>
      </c>
      <c r="G160" t="s">
        <v>422</v>
      </c>
      <c r="H160" t="s">
        <v>37</v>
      </c>
      <c r="I160">
        <v>2.2585709993873725E-2</v>
      </c>
      <c r="J160" t="s">
        <v>6</v>
      </c>
      <c r="L160" t="s">
        <v>423</v>
      </c>
      <c r="M160" t="s">
        <v>37</v>
      </c>
      <c r="N160">
        <v>2.4050810463114625E-2</v>
      </c>
      <c r="O160" t="s">
        <v>6</v>
      </c>
    </row>
    <row r="161" spans="2:15" x14ac:dyDescent="0.45">
      <c r="B161" t="s">
        <v>421</v>
      </c>
      <c r="C161" t="s">
        <v>38</v>
      </c>
      <c r="D161">
        <v>0</v>
      </c>
      <c r="E161" t="s">
        <v>6</v>
      </c>
      <c r="G161" t="s">
        <v>422</v>
      </c>
      <c r="H161" t="s">
        <v>38</v>
      </c>
      <c r="I161">
        <v>6.2273134438512179E-2</v>
      </c>
      <c r="J161" t="s">
        <v>6</v>
      </c>
      <c r="L161" t="s">
        <v>423</v>
      </c>
      <c r="M161" t="s">
        <v>38</v>
      </c>
      <c r="N161">
        <v>5.8282246188877632E-2</v>
      </c>
      <c r="O161" t="s">
        <v>6</v>
      </c>
    </row>
    <row r="162" spans="2:15" x14ac:dyDescent="0.45">
      <c r="B162" t="s">
        <v>421</v>
      </c>
      <c r="C162" t="s">
        <v>39</v>
      </c>
      <c r="D162">
        <v>0</v>
      </c>
      <c r="E162" t="s">
        <v>6</v>
      </c>
      <c r="G162" t="s">
        <v>422</v>
      </c>
      <c r="H162" t="s">
        <v>39</v>
      </c>
      <c r="I162">
        <v>2.6838558700435229E-2</v>
      </c>
      <c r="J162" t="s">
        <v>6</v>
      </c>
      <c r="L162" t="s">
        <v>423</v>
      </c>
      <c r="M162" t="s">
        <v>39</v>
      </c>
      <c r="N162">
        <v>2.2909028401107746E-2</v>
      </c>
      <c r="O162" t="s">
        <v>6</v>
      </c>
    </row>
    <row r="163" spans="2:15" x14ac:dyDescent="0.45">
      <c r="B163" t="s">
        <v>421</v>
      </c>
      <c r="C163" t="s">
        <v>40</v>
      </c>
      <c r="D163">
        <v>5.0759775834112123E-3</v>
      </c>
      <c r="E163" t="s">
        <v>6</v>
      </c>
      <c r="G163" t="s">
        <v>422</v>
      </c>
      <c r="H163" t="s">
        <v>40</v>
      </c>
      <c r="I163">
        <v>2.7667790277671404E-2</v>
      </c>
      <c r="J163" t="s">
        <v>6</v>
      </c>
      <c r="L163" t="s">
        <v>423</v>
      </c>
      <c r="M163" t="s">
        <v>40</v>
      </c>
      <c r="N163">
        <v>2.2773495103207215E-2</v>
      </c>
      <c r="O163" t="s">
        <v>6</v>
      </c>
    </row>
    <row r="164" spans="2:15" x14ac:dyDescent="0.45">
      <c r="B164" t="s">
        <v>421</v>
      </c>
      <c r="C164" t="s">
        <v>41</v>
      </c>
      <c r="D164">
        <v>3.1035526393170976E-2</v>
      </c>
      <c r="E164" t="s">
        <v>6</v>
      </c>
      <c r="G164" t="s">
        <v>422</v>
      </c>
      <c r="H164" t="s">
        <v>41</v>
      </c>
      <c r="I164">
        <v>2.6103620507931337E-2</v>
      </c>
      <c r="J164" t="s">
        <v>6</v>
      </c>
      <c r="L164" t="s">
        <v>423</v>
      </c>
      <c r="M164" t="s">
        <v>41</v>
      </c>
      <c r="N164">
        <v>2.2479116819474912E-2</v>
      </c>
      <c r="O164" t="s">
        <v>6</v>
      </c>
    </row>
    <row r="165" spans="2:15" x14ac:dyDescent="0.45">
      <c r="B165" t="s">
        <v>421</v>
      </c>
      <c r="C165" t="s">
        <v>42</v>
      </c>
      <c r="D165">
        <v>5.4893925593915961E-2</v>
      </c>
      <c r="E165" t="s">
        <v>6</v>
      </c>
      <c r="G165" t="s">
        <v>422</v>
      </c>
      <c r="H165" t="s">
        <v>42</v>
      </c>
      <c r="I165">
        <v>2.0251790049265E-2</v>
      </c>
      <c r="J165" t="s">
        <v>6</v>
      </c>
      <c r="L165" t="s">
        <v>423</v>
      </c>
      <c r="M165" t="s">
        <v>42</v>
      </c>
      <c r="N165">
        <v>2.2106807851556345E-2</v>
      </c>
      <c r="O165" t="s">
        <v>6</v>
      </c>
    </row>
    <row r="166" spans="2:15" x14ac:dyDescent="0.45">
      <c r="B166" t="s">
        <v>421</v>
      </c>
      <c r="C166" t="s">
        <v>43</v>
      </c>
      <c r="D166">
        <v>5.3869150883626628E-2</v>
      </c>
      <c r="E166" t="s">
        <v>6</v>
      </c>
      <c r="G166" t="s">
        <v>422</v>
      </c>
      <c r="H166" t="s">
        <v>43</v>
      </c>
      <c r="I166">
        <v>2.1315203600466934E-2</v>
      </c>
      <c r="J166" t="s">
        <v>6</v>
      </c>
      <c r="L166" t="s">
        <v>423</v>
      </c>
      <c r="M166" t="s">
        <v>43</v>
      </c>
      <c r="N166">
        <v>2.2070176142160919E-2</v>
      </c>
      <c r="O166" t="s">
        <v>6</v>
      </c>
    </row>
    <row r="167" spans="2:15" x14ac:dyDescent="0.45">
      <c r="B167" t="s">
        <v>421</v>
      </c>
      <c r="C167" t="s">
        <v>44</v>
      </c>
      <c r="D167">
        <v>3.2508978778840181E-2</v>
      </c>
      <c r="E167" t="s">
        <v>6</v>
      </c>
      <c r="G167" t="s">
        <v>422</v>
      </c>
      <c r="H167" t="s">
        <v>44</v>
      </c>
      <c r="I167">
        <v>2.0835719109080979E-2</v>
      </c>
      <c r="J167" t="s">
        <v>6</v>
      </c>
      <c r="L167" t="s">
        <v>423</v>
      </c>
      <c r="M167" t="s">
        <v>44</v>
      </c>
      <c r="N167">
        <v>2.258079471120069E-2</v>
      </c>
      <c r="O167" t="s">
        <v>6</v>
      </c>
    </row>
    <row r="168" spans="2:15" x14ac:dyDescent="0.45">
      <c r="B168" t="s">
        <v>421</v>
      </c>
      <c r="C168" t="s">
        <v>45</v>
      </c>
      <c r="D168">
        <v>6.7520599705328324E-3</v>
      </c>
      <c r="E168" t="s">
        <v>6</v>
      </c>
      <c r="G168" t="s">
        <v>422</v>
      </c>
      <c r="H168" t="s">
        <v>45</v>
      </c>
      <c r="I168">
        <v>2.2014607608552304E-2</v>
      </c>
      <c r="J168" t="s">
        <v>6</v>
      </c>
      <c r="L168" t="s">
        <v>423</v>
      </c>
      <c r="M168" t="s">
        <v>45</v>
      </c>
      <c r="N168">
        <v>2.2789776934487936E-2</v>
      </c>
      <c r="O168" t="s">
        <v>6</v>
      </c>
    </row>
    <row r="169" spans="2:15" x14ac:dyDescent="0.45">
      <c r="B169" t="s">
        <v>421</v>
      </c>
      <c r="C169" t="s">
        <v>46</v>
      </c>
      <c r="D169">
        <v>2.169063165631715E-5</v>
      </c>
      <c r="E169" t="s">
        <v>6</v>
      </c>
      <c r="G169" t="s">
        <v>422</v>
      </c>
      <c r="H169" t="s">
        <v>46</v>
      </c>
      <c r="I169">
        <v>2.4595096927997918E-2</v>
      </c>
      <c r="J169" t="s">
        <v>6</v>
      </c>
      <c r="L169" t="s">
        <v>423</v>
      </c>
      <c r="M169" t="s">
        <v>46</v>
      </c>
      <c r="N169">
        <v>2.3066452108488029E-2</v>
      </c>
      <c r="O169" t="s">
        <v>6</v>
      </c>
    </row>
    <row r="170" spans="2:15" x14ac:dyDescent="0.45">
      <c r="B170" t="s">
        <v>421</v>
      </c>
      <c r="C170" t="s">
        <v>47</v>
      </c>
      <c r="D170">
        <v>0</v>
      </c>
      <c r="E170" t="s">
        <v>6</v>
      </c>
      <c r="G170" t="s">
        <v>422</v>
      </c>
      <c r="H170" t="s">
        <v>47</v>
      </c>
      <c r="I170">
        <v>3.8743009732705384E-2</v>
      </c>
      <c r="J170" t="s">
        <v>6</v>
      </c>
      <c r="L170" t="s">
        <v>423</v>
      </c>
      <c r="M170" t="s">
        <v>47</v>
      </c>
      <c r="N170">
        <v>3.5079190605038786E-2</v>
      </c>
      <c r="O170" t="s">
        <v>6</v>
      </c>
    </row>
    <row r="171" spans="2:15" x14ac:dyDescent="0.45">
      <c r="B171" t="s">
        <v>424</v>
      </c>
      <c r="C171" t="s">
        <v>5</v>
      </c>
      <c r="D171">
        <v>0</v>
      </c>
      <c r="E171" t="s">
        <v>6</v>
      </c>
      <c r="G171" t="s">
        <v>425</v>
      </c>
      <c r="H171" t="s">
        <v>5</v>
      </c>
      <c r="I171">
        <v>6.9921828511709361E-2</v>
      </c>
      <c r="J171" t="s">
        <v>6</v>
      </c>
      <c r="L171" t="s">
        <v>426</v>
      </c>
      <c r="M171" t="s">
        <v>5</v>
      </c>
      <c r="N171">
        <v>6.2902976436113298E-2</v>
      </c>
      <c r="O171" t="s">
        <v>6</v>
      </c>
    </row>
    <row r="172" spans="2:15" x14ac:dyDescent="0.45">
      <c r="B172" t="s">
        <v>424</v>
      </c>
      <c r="C172" t="s">
        <v>9</v>
      </c>
      <c r="D172">
        <v>0</v>
      </c>
      <c r="E172" t="s">
        <v>6</v>
      </c>
      <c r="G172" t="s">
        <v>425</v>
      </c>
      <c r="H172" t="s">
        <v>9</v>
      </c>
      <c r="I172">
        <v>2.7405471065044894E-2</v>
      </c>
      <c r="J172" t="s">
        <v>6</v>
      </c>
      <c r="L172" t="s">
        <v>426</v>
      </c>
      <c r="M172" t="s">
        <v>9</v>
      </c>
      <c r="N172">
        <v>2.5617465018315071E-2</v>
      </c>
      <c r="O172" t="s">
        <v>6</v>
      </c>
    </row>
    <row r="173" spans="2:15" x14ac:dyDescent="0.45">
      <c r="B173" t="s">
        <v>424</v>
      </c>
      <c r="C173" t="s">
        <v>10</v>
      </c>
      <c r="D173">
        <v>8.0758179686693843E-5</v>
      </c>
      <c r="E173" t="s">
        <v>6</v>
      </c>
      <c r="G173" t="s">
        <v>425</v>
      </c>
      <c r="H173" t="s">
        <v>10</v>
      </c>
      <c r="I173">
        <v>2.746090728168174E-2</v>
      </c>
      <c r="J173" t="s">
        <v>6</v>
      </c>
      <c r="L173" t="s">
        <v>426</v>
      </c>
      <c r="M173" t="s">
        <v>10</v>
      </c>
      <c r="N173">
        <v>2.5535491578203298E-2</v>
      </c>
      <c r="O173" t="s">
        <v>6</v>
      </c>
    </row>
    <row r="174" spans="2:15" x14ac:dyDescent="0.45">
      <c r="B174" t="s">
        <v>424</v>
      </c>
      <c r="C174" t="s">
        <v>11</v>
      </c>
      <c r="D174">
        <v>1.378018665898793E-2</v>
      </c>
      <c r="E174" t="s">
        <v>6</v>
      </c>
      <c r="G174" t="s">
        <v>425</v>
      </c>
      <c r="H174" t="s">
        <v>11</v>
      </c>
      <c r="I174">
        <v>2.8002187529104335E-2</v>
      </c>
      <c r="J174" t="s">
        <v>6</v>
      </c>
      <c r="L174" t="s">
        <v>426</v>
      </c>
      <c r="M174" t="s">
        <v>11</v>
      </c>
      <c r="N174">
        <v>2.5804488812489375E-2</v>
      </c>
      <c r="O174" t="s">
        <v>6</v>
      </c>
    </row>
    <row r="175" spans="2:15" x14ac:dyDescent="0.45">
      <c r="B175" t="s">
        <v>424</v>
      </c>
      <c r="C175" t="s">
        <v>12</v>
      </c>
      <c r="D175">
        <v>3.7229289095566463E-2</v>
      </c>
      <c r="E175" t="s">
        <v>6</v>
      </c>
      <c r="G175" t="s">
        <v>425</v>
      </c>
      <c r="H175" t="s">
        <v>12</v>
      </c>
      <c r="I175">
        <v>2.249097319299458E-2</v>
      </c>
      <c r="J175" t="s">
        <v>6</v>
      </c>
      <c r="L175" t="s">
        <v>426</v>
      </c>
      <c r="M175" t="s">
        <v>12</v>
      </c>
      <c r="N175">
        <v>2.5112252891214035E-2</v>
      </c>
      <c r="O175" t="s">
        <v>6</v>
      </c>
    </row>
    <row r="176" spans="2:15" x14ac:dyDescent="0.45">
      <c r="B176" t="s">
        <v>424</v>
      </c>
      <c r="C176" t="s">
        <v>13</v>
      </c>
      <c r="D176">
        <v>3.9456176091152512E-2</v>
      </c>
      <c r="E176" t="s">
        <v>6</v>
      </c>
      <c r="G176" t="s">
        <v>425</v>
      </c>
      <c r="H176" t="s">
        <v>13</v>
      </c>
      <c r="I176">
        <v>2.5092359745570836E-2</v>
      </c>
      <c r="J176" t="s">
        <v>6</v>
      </c>
      <c r="L176" t="s">
        <v>426</v>
      </c>
      <c r="M176" t="s">
        <v>13</v>
      </c>
      <c r="N176">
        <v>2.5186079372229917E-2</v>
      </c>
      <c r="O176" t="s">
        <v>6</v>
      </c>
    </row>
    <row r="177" spans="2:15" x14ac:dyDescent="0.45">
      <c r="B177" t="s">
        <v>424</v>
      </c>
      <c r="C177" t="s">
        <v>14</v>
      </c>
      <c r="D177">
        <v>2.0535055508622769E-2</v>
      </c>
      <c r="E177" t="s">
        <v>6</v>
      </c>
      <c r="G177" t="s">
        <v>425</v>
      </c>
      <c r="H177" t="s">
        <v>14</v>
      </c>
      <c r="I177">
        <v>2.6424346231482525E-2</v>
      </c>
      <c r="J177" t="s">
        <v>6</v>
      </c>
      <c r="L177" t="s">
        <v>426</v>
      </c>
      <c r="M177" t="s">
        <v>14</v>
      </c>
      <c r="N177">
        <v>2.4964481809203558E-2</v>
      </c>
      <c r="O177" t="s">
        <v>6</v>
      </c>
    </row>
    <row r="178" spans="2:15" x14ac:dyDescent="0.45">
      <c r="B178" t="s">
        <v>424</v>
      </c>
      <c r="C178" t="s">
        <v>15</v>
      </c>
      <c r="D178">
        <v>1.7954858071714303E-3</v>
      </c>
      <c r="E178" t="s">
        <v>6</v>
      </c>
      <c r="G178" t="s">
        <v>425</v>
      </c>
      <c r="H178" t="s">
        <v>15</v>
      </c>
      <c r="I178">
        <v>2.8538299210919698E-2</v>
      </c>
      <c r="J178" t="s">
        <v>6</v>
      </c>
      <c r="L178" t="s">
        <v>426</v>
      </c>
      <c r="M178" t="s">
        <v>15</v>
      </c>
      <c r="N178">
        <v>2.5589800406008872E-2</v>
      </c>
      <c r="O178" t="s">
        <v>6</v>
      </c>
    </row>
    <row r="179" spans="2:15" x14ac:dyDescent="0.45">
      <c r="B179" t="s">
        <v>424</v>
      </c>
      <c r="C179" t="s">
        <v>16</v>
      </c>
      <c r="D179">
        <v>0</v>
      </c>
      <c r="E179" t="s">
        <v>6</v>
      </c>
      <c r="G179" t="s">
        <v>425</v>
      </c>
      <c r="H179" t="s">
        <v>16</v>
      </c>
      <c r="I179">
        <v>2.9956512386301454E-2</v>
      </c>
      <c r="J179" t="s">
        <v>6</v>
      </c>
      <c r="L179" t="s">
        <v>426</v>
      </c>
      <c r="M179" t="s">
        <v>16</v>
      </c>
      <c r="N179">
        <v>2.5637102032505039E-2</v>
      </c>
      <c r="O179" t="s">
        <v>6</v>
      </c>
    </row>
    <row r="180" spans="2:15" x14ac:dyDescent="0.45">
      <c r="B180" t="s">
        <v>424</v>
      </c>
      <c r="C180" t="s">
        <v>17</v>
      </c>
      <c r="D180">
        <v>0</v>
      </c>
      <c r="E180" t="s">
        <v>6</v>
      </c>
      <c r="G180" t="s">
        <v>425</v>
      </c>
      <c r="H180" t="s">
        <v>17</v>
      </c>
      <c r="I180">
        <v>4.4625549100977359E-2</v>
      </c>
      <c r="J180" t="s">
        <v>6</v>
      </c>
      <c r="L180" t="s">
        <v>426</v>
      </c>
      <c r="M180" t="s">
        <v>17</v>
      </c>
      <c r="N180">
        <v>3.7964540619074019E-2</v>
      </c>
      <c r="O180" t="s">
        <v>6</v>
      </c>
    </row>
    <row r="181" spans="2:15" x14ac:dyDescent="0.45">
      <c r="B181" t="s">
        <v>424</v>
      </c>
      <c r="C181" t="s">
        <v>18</v>
      </c>
      <c r="D181">
        <v>0</v>
      </c>
      <c r="E181" t="s">
        <v>6</v>
      </c>
      <c r="G181" t="s">
        <v>425</v>
      </c>
      <c r="H181" t="s">
        <v>18</v>
      </c>
      <c r="I181">
        <v>4.8883128522938996E-2</v>
      </c>
      <c r="J181" t="s">
        <v>6</v>
      </c>
      <c r="L181" t="s">
        <v>426</v>
      </c>
      <c r="M181" t="s">
        <v>18</v>
      </c>
      <c r="N181">
        <v>5.1843988642649157E-2</v>
      </c>
      <c r="O181" t="s">
        <v>6</v>
      </c>
    </row>
    <row r="182" spans="2:15" x14ac:dyDescent="0.45">
      <c r="B182" t="s">
        <v>424</v>
      </c>
      <c r="C182" t="s">
        <v>19</v>
      </c>
      <c r="D182">
        <v>7.4601255660429455E-4</v>
      </c>
      <c r="E182" t="s">
        <v>6</v>
      </c>
      <c r="G182" t="s">
        <v>425</v>
      </c>
      <c r="H182" t="s">
        <v>19</v>
      </c>
      <c r="I182">
        <v>1.9653125456849645E-2</v>
      </c>
      <c r="J182" t="s">
        <v>6</v>
      </c>
      <c r="L182" t="s">
        <v>426</v>
      </c>
      <c r="M182" t="s">
        <v>19</v>
      </c>
      <c r="N182">
        <v>2.0892285555778753E-2</v>
      </c>
      <c r="O182" t="s">
        <v>6</v>
      </c>
    </row>
    <row r="183" spans="2:15" x14ac:dyDescent="0.45">
      <c r="B183" t="s">
        <v>424</v>
      </c>
      <c r="C183" t="s">
        <v>20</v>
      </c>
      <c r="D183">
        <v>1.7114289660390549E-2</v>
      </c>
      <c r="E183" t="s">
        <v>6</v>
      </c>
      <c r="G183" t="s">
        <v>425</v>
      </c>
      <c r="H183" t="s">
        <v>20</v>
      </c>
      <c r="I183">
        <v>1.9940576969253561E-2</v>
      </c>
      <c r="J183" t="s">
        <v>6</v>
      </c>
      <c r="L183" t="s">
        <v>426</v>
      </c>
      <c r="M183" t="s">
        <v>20</v>
      </c>
      <c r="N183">
        <v>2.0103694289655655E-2</v>
      </c>
      <c r="O183" t="s">
        <v>6</v>
      </c>
    </row>
    <row r="184" spans="2:15" x14ac:dyDescent="0.45">
      <c r="B184" t="s">
        <v>424</v>
      </c>
      <c r="C184" t="s">
        <v>21</v>
      </c>
      <c r="D184">
        <v>5.4076094935032445E-2</v>
      </c>
      <c r="E184" t="s">
        <v>6</v>
      </c>
      <c r="G184" t="s">
        <v>425</v>
      </c>
      <c r="H184" t="s">
        <v>21</v>
      </c>
      <c r="I184">
        <v>1.9775337526703952E-2</v>
      </c>
      <c r="J184" t="s">
        <v>6</v>
      </c>
      <c r="L184" t="s">
        <v>426</v>
      </c>
      <c r="M184" t="s">
        <v>21</v>
      </c>
      <c r="N184">
        <v>1.9541531181513253E-2</v>
      </c>
      <c r="O184" t="s">
        <v>6</v>
      </c>
    </row>
    <row r="185" spans="2:15" x14ac:dyDescent="0.45">
      <c r="B185" t="s">
        <v>424</v>
      </c>
      <c r="C185" t="s">
        <v>22</v>
      </c>
      <c r="D185">
        <v>7.8589477151856407E-2</v>
      </c>
      <c r="E185" t="s">
        <v>6</v>
      </c>
      <c r="G185" t="s">
        <v>425</v>
      </c>
      <c r="H185" t="s">
        <v>22</v>
      </c>
      <c r="I185">
        <v>1.4250873580038979E-2</v>
      </c>
      <c r="J185" t="s">
        <v>6</v>
      </c>
      <c r="L185" t="s">
        <v>426</v>
      </c>
      <c r="M185" t="s">
        <v>22</v>
      </c>
      <c r="N185">
        <v>1.852231847183786E-2</v>
      </c>
      <c r="O185" t="s">
        <v>6</v>
      </c>
    </row>
    <row r="186" spans="2:15" x14ac:dyDescent="0.45">
      <c r="B186" t="s">
        <v>424</v>
      </c>
      <c r="C186" t="s">
        <v>23</v>
      </c>
      <c r="D186">
        <v>7.7729799892183038E-2</v>
      </c>
      <c r="E186" t="s">
        <v>6</v>
      </c>
      <c r="G186" t="s">
        <v>425</v>
      </c>
      <c r="H186" t="s">
        <v>23</v>
      </c>
      <c r="I186">
        <v>1.6539835669308604E-2</v>
      </c>
      <c r="J186" t="s">
        <v>6</v>
      </c>
      <c r="L186" t="s">
        <v>426</v>
      </c>
      <c r="M186" t="s">
        <v>23</v>
      </c>
      <c r="N186">
        <v>1.8806164993952691E-2</v>
      </c>
      <c r="O186" t="s">
        <v>6</v>
      </c>
    </row>
    <row r="187" spans="2:15" x14ac:dyDescent="0.45">
      <c r="B187" t="s">
        <v>424</v>
      </c>
      <c r="C187" t="s">
        <v>24</v>
      </c>
      <c r="D187">
        <v>5.5040172441274758E-2</v>
      </c>
      <c r="E187" t="s">
        <v>6</v>
      </c>
      <c r="G187" t="s">
        <v>425</v>
      </c>
      <c r="H187" t="s">
        <v>24</v>
      </c>
      <c r="I187">
        <v>1.8080218931058097E-2</v>
      </c>
      <c r="J187" t="s">
        <v>6</v>
      </c>
      <c r="L187" t="s">
        <v>426</v>
      </c>
      <c r="M187" t="s">
        <v>24</v>
      </c>
      <c r="N187">
        <v>1.9097370106179873E-2</v>
      </c>
      <c r="O187" t="s">
        <v>6</v>
      </c>
    </row>
    <row r="188" spans="2:15" x14ac:dyDescent="0.45">
      <c r="B188" t="s">
        <v>424</v>
      </c>
      <c r="C188" t="s">
        <v>25</v>
      </c>
      <c r="D188">
        <v>2.0684976785581569E-2</v>
      </c>
      <c r="E188" t="s">
        <v>6</v>
      </c>
      <c r="G188" t="s">
        <v>425</v>
      </c>
      <c r="H188" t="s">
        <v>25</v>
      </c>
      <c r="I188">
        <v>1.8718005052171822E-2</v>
      </c>
      <c r="J188" t="s">
        <v>6</v>
      </c>
      <c r="L188" t="s">
        <v>426</v>
      </c>
      <c r="M188" t="s">
        <v>25</v>
      </c>
      <c r="N188">
        <v>1.9517491603621411E-2</v>
      </c>
      <c r="O188" t="s">
        <v>6</v>
      </c>
    </row>
    <row r="189" spans="2:15" x14ac:dyDescent="0.45">
      <c r="B189" t="s">
        <v>424</v>
      </c>
      <c r="C189" t="s">
        <v>26</v>
      </c>
      <c r="D189">
        <v>1.1492590913436856E-3</v>
      </c>
      <c r="E189" t="s">
        <v>6</v>
      </c>
      <c r="G189" t="s">
        <v>425</v>
      </c>
      <c r="H189" t="s">
        <v>26</v>
      </c>
      <c r="I189">
        <v>1.9811172127730061E-2</v>
      </c>
      <c r="J189" t="s">
        <v>6</v>
      </c>
      <c r="L189" t="s">
        <v>426</v>
      </c>
      <c r="M189" t="s">
        <v>26</v>
      </c>
      <c r="N189">
        <v>2.056229930394066E-2</v>
      </c>
      <c r="O189" t="s">
        <v>6</v>
      </c>
    </row>
    <row r="190" spans="2:15" x14ac:dyDescent="0.45">
      <c r="B190" t="s">
        <v>424</v>
      </c>
      <c r="C190" t="s">
        <v>27</v>
      </c>
      <c r="D190">
        <v>0</v>
      </c>
      <c r="E190" t="s">
        <v>6</v>
      </c>
      <c r="G190" t="s">
        <v>425</v>
      </c>
      <c r="H190" t="s">
        <v>27</v>
      </c>
      <c r="I190">
        <v>3.060676255626529E-2</v>
      </c>
      <c r="J190" t="s">
        <v>6</v>
      </c>
      <c r="L190" t="s">
        <v>426</v>
      </c>
      <c r="M190" t="s">
        <v>27</v>
      </c>
      <c r="N190">
        <v>3.1155428781169163E-2</v>
      </c>
      <c r="O190" t="s">
        <v>6</v>
      </c>
    </row>
    <row r="191" spans="2:15" x14ac:dyDescent="0.45">
      <c r="B191" t="s">
        <v>424</v>
      </c>
      <c r="C191" t="s">
        <v>28</v>
      </c>
      <c r="D191">
        <v>0</v>
      </c>
      <c r="E191" t="s">
        <v>6</v>
      </c>
      <c r="G191" t="s">
        <v>425</v>
      </c>
      <c r="H191" t="s">
        <v>28</v>
      </c>
      <c r="I191">
        <v>3.1954879733120063E-2</v>
      </c>
      <c r="J191" t="s">
        <v>6</v>
      </c>
      <c r="L191" t="s">
        <v>426</v>
      </c>
      <c r="M191" t="s">
        <v>28</v>
      </c>
      <c r="N191">
        <v>3.8631706071461762E-2</v>
      </c>
      <c r="O191" t="s">
        <v>6</v>
      </c>
    </row>
    <row r="192" spans="2:15" x14ac:dyDescent="0.45">
      <c r="B192" t="s">
        <v>424</v>
      </c>
      <c r="C192" t="s">
        <v>29</v>
      </c>
      <c r="D192">
        <v>2.1088801677325146E-3</v>
      </c>
      <c r="E192" t="s">
        <v>6</v>
      </c>
      <c r="G192" t="s">
        <v>425</v>
      </c>
      <c r="H192" t="s">
        <v>29</v>
      </c>
      <c r="I192">
        <v>1.0087953234200869E-2</v>
      </c>
      <c r="J192" t="s">
        <v>6</v>
      </c>
      <c r="L192" t="s">
        <v>426</v>
      </c>
      <c r="M192" t="s">
        <v>29</v>
      </c>
      <c r="N192">
        <v>1.5277484227813999E-2</v>
      </c>
      <c r="O192" t="s">
        <v>6</v>
      </c>
    </row>
    <row r="193" spans="2:15" x14ac:dyDescent="0.45">
      <c r="B193" t="s">
        <v>424</v>
      </c>
      <c r="C193" t="s">
        <v>30</v>
      </c>
      <c r="D193">
        <v>2.7683264977023451E-2</v>
      </c>
      <c r="E193" t="s">
        <v>6</v>
      </c>
      <c r="G193" t="s">
        <v>425</v>
      </c>
      <c r="H193" t="s">
        <v>30</v>
      </c>
      <c r="I193">
        <v>8.2773844083637912E-3</v>
      </c>
      <c r="J193" t="s">
        <v>6</v>
      </c>
      <c r="L193" t="s">
        <v>426</v>
      </c>
      <c r="M193" t="s">
        <v>30</v>
      </c>
      <c r="N193">
        <v>1.5377429749447641E-2</v>
      </c>
      <c r="O193" t="s">
        <v>6</v>
      </c>
    </row>
    <row r="194" spans="2:15" x14ac:dyDescent="0.45">
      <c r="B194" t="s">
        <v>424</v>
      </c>
      <c r="C194" t="s">
        <v>31</v>
      </c>
      <c r="D194">
        <v>7.1923445568079419E-2</v>
      </c>
      <c r="E194" t="s">
        <v>6</v>
      </c>
      <c r="G194" t="s">
        <v>425</v>
      </c>
      <c r="H194" t="s">
        <v>31</v>
      </c>
      <c r="I194">
        <v>9.0266775231797308E-3</v>
      </c>
      <c r="J194" t="s">
        <v>6</v>
      </c>
      <c r="L194" t="s">
        <v>426</v>
      </c>
      <c r="M194" t="s">
        <v>31</v>
      </c>
      <c r="N194">
        <v>1.5495452363625237E-2</v>
      </c>
      <c r="O194" t="s">
        <v>6</v>
      </c>
    </row>
    <row r="195" spans="2:15" x14ac:dyDescent="0.45">
      <c r="B195" t="s">
        <v>424</v>
      </c>
      <c r="C195" t="s">
        <v>32</v>
      </c>
      <c r="D195">
        <v>9.5596098322158249E-2</v>
      </c>
      <c r="E195" t="s">
        <v>6</v>
      </c>
      <c r="G195" t="s">
        <v>425</v>
      </c>
      <c r="H195" t="s">
        <v>32</v>
      </c>
      <c r="I195">
        <v>8.6483887789322797E-3</v>
      </c>
      <c r="J195" t="s">
        <v>6</v>
      </c>
      <c r="L195" t="s">
        <v>426</v>
      </c>
      <c r="M195" t="s">
        <v>32</v>
      </c>
      <c r="N195">
        <v>1.4628657823175652E-2</v>
      </c>
      <c r="O195" t="s">
        <v>6</v>
      </c>
    </row>
    <row r="196" spans="2:15" x14ac:dyDescent="0.45">
      <c r="B196" t="s">
        <v>424</v>
      </c>
      <c r="C196" t="s">
        <v>33</v>
      </c>
      <c r="D196">
        <v>9.1558921965397999E-2</v>
      </c>
      <c r="E196" t="s">
        <v>6</v>
      </c>
      <c r="G196" t="s">
        <v>425</v>
      </c>
      <c r="H196" t="s">
        <v>33</v>
      </c>
      <c r="I196">
        <v>1.0360938428998651E-2</v>
      </c>
      <c r="J196" t="s">
        <v>6</v>
      </c>
      <c r="L196" t="s">
        <v>426</v>
      </c>
      <c r="M196" t="s">
        <v>33</v>
      </c>
      <c r="N196">
        <v>1.5332058876481787E-2</v>
      </c>
      <c r="O196" t="s">
        <v>6</v>
      </c>
    </row>
    <row r="197" spans="2:15" x14ac:dyDescent="0.45">
      <c r="B197" t="s">
        <v>424</v>
      </c>
      <c r="C197" t="s">
        <v>34</v>
      </c>
      <c r="D197">
        <v>6.7805959634775273E-2</v>
      </c>
      <c r="E197" t="s">
        <v>6</v>
      </c>
      <c r="G197" t="s">
        <v>425</v>
      </c>
      <c r="H197" t="s">
        <v>34</v>
      </c>
      <c r="I197">
        <v>1.192295422593543E-2</v>
      </c>
      <c r="J197" t="s">
        <v>6</v>
      </c>
      <c r="L197" t="s">
        <v>426</v>
      </c>
      <c r="M197" t="s">
        <v>34</v>
      </c>
      <c r="N197">
        <v>1.5304449142227419E-2</v>
      </c>
      <c r="O197" t="s">
        <v>6</v>
      </c>
    </row>
    <row r="198" spans="2:15" x14ac:dyDescent="0.45">
      <c r="B198" t="s">
        <v>424</v>
      </c>
      <c r="C198" t="s">
        <v>35</v>
      </c>
      <c r="D198">
        <v>3.2073906377550823E-2</v>
      </c>
      <c r="E198" t="s">
        <v>6</v>
      </c>
      <c r="G198" t="s">
        <v>425</v>
      </c>
      <c r="H198" t="s">
        <v>35</v>
      </c>
      <c r="I198">
        <v>1.2456116786661324E-2</v>
      </c>
      <c r="J198" t="s">
        <v>6</v>
      </c>
      <c r="L198" t="s">
        <v>426</v>
      </c>
      <c r="M198" t="s">
        <v>35</v>
      </c>
      <c r="N198">
        <v>1.5523954229968464E-2</v>
      </c>
      <c r="O198" t="s">
        <v>6</v>
      </c>
    </row>
    <row r="199" spans="2:15" x14ac:dyDescent="0.45">
      <c r="B199" t="s">
        <v>424</v>
      </c>
      <c r="C199" t="s">
        <v>36</v>
      </c>
      <c r="D199">
        <v>3.65862323674621E-3</v>
      </c>
      <c r="E199" t="s">
        <v>6</v>
      </c>
      <c r="G199" t="s">
        <v>425</v>
      </c>
      <c r="H199" t="s">
        <v>36</v>
      </c>
      <c r="I199">
        <v>1.3395986054015903E-2</v>
      </c>
      <c r="J199" t="s">
        <v>6</v>
      </c>
      <c r="L199" t="s">
        <v>426</v>
      </c>
      <c r="M199" t="s">
        <v>36</v>
      </c>
      <c r="N199">
        <v>1.5805942466540743E-2</v>
      </c>
      <c r="O199" t="s">
        <v>6</v>
      </c>
    </row>
    <row r="200" spans="2:15" x14ac:dyDescent="0.45">
      <c r="B200" t="s">
        <v>424</v>
      </c>
      <c r="C200" t="s">
        <v>37</v>
      </c>
      <c r="D200">
        <v>0</v>
      </c>
      <c r="E200" t="s">
        <v>6</v>
      </c>
      <c r="G200" t="s">
        <v>425</v>
      </c>
      <c r="H200" t="s">
        <v>37</v>
      </c>
      <c r="I200">
        <v>2.20241460082315E-2</v>
      </c>
      <c r="J200" t="s">
        <v>6</v>
      </c>
      <c r="L200" t="s">
        <v>426</v>
      </c>
      <c r="M200" t="s">
        <v>37</v>
      </c>
      <c r="N200">
        <v>2.3929596539248123E-2</v>
      </c>
      <c r="O200" t="s">
        <v>6</v>
      </c>
    </row>
    <row r="201" spans="2:15" x14ac:dyDescent="0.45">
      <c r="B201" t="s">
        <v>424</v>
      </c>
      <c r="C201" t="s">
        <v>38</v>
      </c>
      <c r="D201">
        <v>0</v>
      </c>
      <c r="E201" t="s">
        <v>6</v>
      </c>
      <c r="G201" t="s">
        <v>425</v>
      </c>
      <c r="H201" t="s">
        <v>38</v>
      </c>
      <c r="I201">
        <v>6.8463387074714652E-2</v>
      </c>
      <c r="J201" t="s">
        <v>6</v>
      </c>
      <c r="L201" t="s">
        <v>426</v>
      </c>
      <c r="M201" t="s">
        <v>38</v>
      </c>
      <c r="N201">
        <v>5.7106264659730073E-2</v>
      </c>
      <c r="O201" t="s">
        <v>6</v>
      </c>
    </row>
    <row r="202" spans="2:15" x14ac:dyDescent="0.45">
      <c r="B202" t="s">
        <v>424</v>
      </c>
      <c r="C202" t="s">
        <v>39</v>
      </c>
      <c r="D202">
        <v>0</v>
      </c>
      <c r="E202" t="s">
        <v>6</v>
      </c>
      <c r="G202" t="s">
        <v>425</v>
      </c>
      <c r="H202" t="s">
        <v>39</v>
      </c>
      <c r="I202">
        <v>2.7269193056314187E-2</v>
      </c>
      <c r="J202" t="s">
        <v>6</v>
      </c>
      <c r="L202" t="s">
        <v>426</v>
      </c>
      <c r="M202" t="s">
        <v>39</v>
      </c>
      <c r="N202">
        <v>2.3285272799120377E-2</v>
      </c>
      <c r="O202" t="s">
        <v>6</v>
      </c>
    </row>
    <row r="203" spans="2:15" x14ac:dyDescent="0.45">
      <c r="B203" t="s">
        <v>424</v>
      </c>
      <c r="C203" t="s">
        <v>40</v>
      </c>
      <c r="D203">
        <v>5.8607669568965541E-3</v>
      </c>
      <c r="E203" t="s">
        <v>6</v>
      </c>
      <c r="G203" t="s">
        <v>425</v>
      </c>
      <c r="H203" t="s">
        <v>40</v>
      </c>
      <c r="I203">
        <v>2.6353128231977694E-2</v>
      </c>
      <c r="J203" t="s">
        <v>6</v>
      </c>
      <c r="L203" t="s">
        <v>426</v>
      </c>
      <c r="M203" t="s">
        <v>40</v>
      </c>
      <c r="N203">
        <v>2.2998349431979835E-2</v>
      </c>
      <c r="O203" t="s">
        <v>6</v>
      </c>
    </row>
    <row r="204" spans="2:15" x14ac:dyDescent="0.45">
      <c r="B204" t="s">
        <v>424</v>
      </c>
      <c r="C204" t="s">
        <v>41</v>
      </c>
      <c r="D204">
        <v>3.2378475800278889E-2</v>
      </c>
      <c r="E204" t="s">
        <v>6</v>
      </c>
      <c r="G204" t="s">
        <v>425</v>
      </c>
      <c r="H204" t="s">
        <v>41</v>
      </c>
      <c r="I204">
        <v>2.4326064772158363E-2</v>
      </c>
      <c r="J204" t="s">
        <v>6</v>
      </c>
      <c r="L204" t="s">
        <v>426</v>
      </c>
      <c r="M204" t="s">
        <v>41</v>
      </c>
      <c r="N204">
        <v>2.2481842481941787E-2</v>
      </c>
      <c r="O204" t="s">
        <v>6</v>
      </c>
    </row>
    <row r="205" spans="2:15" x14ac:dyDescent="0.45">
      <c r="B205" t="s">
        <v>424</v>
      </c>
      <c r="C205" t="s">
        <v>42</v>
      </c>
      <c r="D205">
        <v>5.6449204748327021E-2</v>
      </c>
      <c r="E205" t="s">
        <v>6</v>
      </c>
      <c r="G205" t="s">
        <v>425</v>
      </c>
      <c r="H205" t="s">
        <v>42</v>
      </c>
      <c r="I205">
        <v>2.0115832796808883E-2</v>
      </c>
      <c r="J205" t="s">
        <v>6</v>
      </c>
      <c r="L205" t="s">
        <v>426</v>
      </c>
      <c r="M205" t="s">
        <v>42</v>
      </c>
      <c r="N205">
        <v>2.1806416754260111E-2</v>
      </c>
      <c r="O205" t="s">
        <v>6</v>
      </c>
    </row>
    <row r="206" spans="2:15" x14ac:dyDescent="0.45">
      <c r="B206" t="s">
        <v>424</v>
      </c>
      <c r="C206" t="s">
        <v>43</v>
      </c>
      <c r="D206">
        <v>5.600803043310229E-2</v>
      </c>
      <c r="E206" t="s">
        <v>6</v>
      </c>
      <c r="G206" t="s">
        <v>425</v>
      </c>
      <c r="H206" t="s">
        <v>43</v>
      </c>
      <c r="I206">
        <v>2.3562842915319286E-2</v>
      </c>
      <c r="J206" t="s">
        <v>6</v>
      </c>
      <c r="L206" t="s">
        <v>426</v>
      </c>
      <c r="M206" t="s">
        <v>43</v>
      </c>
      <c r="N206">
        <v>2.1963490892061743E-2</v>
      </c>
      <c r="O206" t="s">
        <v>6</v>
      </c>
    </row>
    <row r="207" spans="2:15" x14ac:dyDescent="0.45">
      <c r="B207" t="s">
        <v>424</v>
      </c>
      <c r="C207" t="s">
        <v>44</v>
      </c>
      <c r="D207">
        <v>3.2696387914631739E-2</v>
      </c>
      <c r="E207" t="s">
        <v>6</v>
      </c>
      <c r="G207" t="s">
        <v>425</v>
      </c>
      <c r="H207" t="s">
        <v>44</v>
      </c>
      <c r="I207">
        <v>2.4619721205966023E-2</v>
      </c>
      <c r="J207" t="s">
        <v>6</v>
      </c>
      <c r="L207" t="s">
        <v>426</v>
      </c>
      <c r="M207" t="s">
        <v>44</v>
      </c>
      <c r="N207">
        <v>2.2172181319776225E-2</v>
      </c>
      <c r="O207" t="s">
        <v>6</v>
      </c>
    </row>
    <row r="208" spans="2:15" x14ac:dyDescent="0.45">
      <c r="B208" t="s">
        <v>424</v>
      </c>
      <c r="C208" t="s">
        <v>45</v>
      </c>
      <c r="D208">
        <v>6.1793166936451949E-3</v>
      </c>
      <c r="E208" t="s">
        <v>6</v>
      </c>
      <c r="G208" t="s">
        <v>425</v>
      </c>
      <c r="H208" t="s">
        <v>45</v>
      </c>
      <c r="I208">
        <v>2.5635522973453298E-2</v>
      </c>
      <c r="J208" t="s">
        <v>6</v>
      </c>
      <c r="L208" t="s">
        <v>426</v>
      </c>
      <c r="M208" t="s">
        <v>45</v>
      </c>
      <c r="N208">
        <v>2.2222064570149504E-2</v>
      </c>
      <c r="O208" t="s">
        <v>6</v>
      </c>
    </row>
    <row r="209" spans="2:15" x14ac:dyDescent="0.45">
      <c r="B209" t="s">
        <v>424</v>
      </c>
      <c r="C209" t="s">
        <v>46</v>
      </c>
      <c r="D209">
        <v>1.1683348201115815E-5</v>
      </c>
      <c r="E209" t="s">
        <v>6</v>
      </c>
      <c r="G209" t="s">
        <v>425</v>
      </c>
      <c r="H209" t="s">
        <v>46</v>
      </c>
      <c r="I209">
        <v>2.6389376643507535E-2</v>
      </c>
      <c r="J209" t="s">
        <v>6</v>
      </c>
      <c r="L209" t="s">
        <v>426</v>
      </c>
      <c r="M209" t="s">
        <v>46</v>
      </c>
      <c r="N209">
        <v>2.2436144237459387E-2</v>
      </c>
      <c r="O209" t="s">
        <v>6</v>
      </c>
    </row>
    <row r="210" spans="2:15" x14ac:dyDescent="0.45">
      <c r="B210" t="s">
        <v>424</v>
      </c>
      <c r="C210" t="s">
        <v>47</v>
      </c>
      <c r="D210">
        <v>0</v>
      </c>
      <c r="E210" t="s">
        <v>6</v>
      </c>
      <c r="G210" t="s">
        <v>425</v>
      </c>
      <c r="H210" t="s">
        <v>47</v>
      </c>
      <c r="I210">
        <v>3.8932034500032894E-2</v>
      </c>
      <c r="J210" t="s">
        <v>6</v>
      </c>
      <c r="L210" t="s">
        <v>426</v>
      </c>
      <c r="M210" t="s">
        <v>47</v>
      </c>
      <c r="N210">
        <v>3.3863989457877684E-2</v>
      </c>
      <c r="O210" t="s">
        <v>6</v>
      </c>
    </row>
    <row r="211" spans="2:15" x14ac:dyDescent="0.45">
      <c r="B211" t="s">
        <v>427</v>
      </c>
      <c r="C211" t="s">
        <v>5</v>
      </c>
      <c r="D211">
        <v>0</v>
      </c>
      <c r="E211" t="s">
        <v>6</v>
      </c>
      <c r="G211" t="s">
        <v>428</v>
      </c>
      <c r="H211" t="s">
        <v>5</v>
      </c>
      <c r="I211">
        <v>6.5714487556708223E-2</v>
      </c>
      <c r="J211" t="s">
        <v>6</v>
      </c>
      <c r="L211" t="s">
        <v>429</v>
      </c>
      <c r="M211" t="s">
        <v>5</v>
      </c>
      <c r="N211">
        <v>5.9237033649276717E-2</v>
      </c>
      <c r="O211" t="s">
        <v>6</v>
      </c>
    </row>
    <row r="212" spans="2:15" x14ac:dyDescent="0.45">
      <c r="B212" t="s">
        <v>427</v>
      </c>
      <c r="C212" t="s">
        <v>9</v>
      </c>
      <c r="D212">
        <v>0</v>
      </c>
      <c r="E212" t="s">
        <v>6</v>
      </c>
      <c r="G212" t="s">
        <v>428</v>
      </c>
      <c r="H212" t="s">
        <v>9</v>
      </c>
      <c r="I212">
        <v>2.4281519556002138E-2</v>
      </c>
      <c r="J212" t="s">
        <v>6</v>
      </c>
      <c r="L212" t="s">
        <v>429</v>
      </c>
      <c r="M212" t="s">
        <v>9</v>
      </c>
      <c r="N212">
        <v>2.3790634126970578E-2</v>
      </c>
      <c r="O212" t="s">
        <v>6</v>
      </c>
    </row>
    <row r="213" spans="2:15" x14ac:dyDescent="0.45">
      <c r="B213" t="s">
        <v>427</v>
      </c>
      <c r="C213" t="s">
        <v>10</v>
      </c>
      <c r="D213">
        <v>1.5951118368022851E-4</v>
      </c>
      <c r="E213" t="s">
        <v>6</v>
      </c>
      <c r="G213" t="s">
        <v>428</v>
      </c>
      <c r="H213" t="s">
        <v>10</v>
      </c>
      <c r="I213">
        <v>2.4004285155783921E-2</v>
      </c>
      <c r="J213" t="s">
        <v>6</v>
      </c>
      <c r="L213" t="s">
        <v>429</v>
      </c>
      <c r="M213" t="s">
        <v>10</v>
      </c>
      <c r="N213">
        <v>2.420533438151927E-2</v>
      </c>
      <c r="O213" t="s">
        <v>6</v>
      </c>
    </row>
    <row r="214" spans="2:15" x14ac:dyDescent="0.45">
      <c r="B214" t="s">
        <v>427</v>
      </c>
      <c r="C214" t="s">
        <v>11</v>
      </c>
      <c r="D214">
        <v>1.1699751703597007E-2</v>
      </c>
      <c r="E214" t="s">
        <v>6</v>
      </c>
      <c r="G214" t="s">
        <v>428</v>
      </c>
      <c r="H214" t="s">
        <v>11</v>
      </c>
      <c r="I214">
        <v>2.4657399821614637E-2</v>
      </c>
      <c r="J214" t="s">
        <v>6</v>
      </c>
      <c r="L214" t="s">
        <v>429</v>
      </c>
      <c r="M214" t="s">
        <v>11</v>
      </c>
      <c r="N214">
        <v>2.4340535065603734E-2</v>
      </c>
      <c r="O214" t="s">
        <v>6</v>
      </c>
    </row>
    <row r="215" spans="2:15" x14ac:dyDescent="0.45">
      <c r="B215" t="s">
        <v>427</v>
      </c>
      <c r="C215" t="s">
        <v>12</v>
      </c>
      <c r="D215">
        <v>3.1497783062814519E-2</v>
      </c>
      <c r="E215" t="s">
        <v>6</v>
      </c>
      <c r="G215" t="s">
        <v>428</v>
      </c>
      <c r="H215" t="s">
        <v>12</v>
      </c>
      <c r="I215">
        <v>1.9822438532120772E-2</v>
      </c>
      <c r="J215" t="s">
        <v>6</v>
      </c>
      <c r="L215" t="s">
        <v>429</v>
      </c>
      <c r="M215" t="s">
        <v>12</v>
      </c>
      <c r="N215">
        <v>2.4782899360466133E-2</v>
      </c>
      <c r="O215" t="s">
        <v>6</v>
      </c>
    </row>
    <row r="216" spans="2:15" x14ac:dyDescent="0.45">
      <c r="B216" t="s">
        <v>427</v>
      </c>
      <c r="C216" t="s">
        <v>13</v>
      </c>
      <c r="D216">
        <v>3.1084763143761972E-2</v>
      </c>
      <c r="E216" t="s">
        <v>6</v>
      </c>
      <c r="G216" t="s">
        <v>428</v>
      </c>
      <c r="H216" t="s">
        <v>13</v>
      </c>
      <c r="I216">
        <v>2.3887321809115979E-2</v>
      </c>
      <c r="J216" t="s">
        <v>6</v>
      </c>
      <c r="L216" t="s">
        <v>429</v>
      </c>
      <c r="M216" t="s">
        <v>13</v>
      </c>
      <c r="N216">
        <v>2.5144107548636191E-2</v>
      </c>
      <c r="O216" t="s">
        <v>6</v>
      </c>
    </row>
    <row r="217" spans="2:15" x14ac:dyDescent="0.45">
      <c r="B217" t="s">
        <v>427</v>
      </c>
      <c r="C217" t="s">
        <v>14</v>
      </c>
      <c r="D217">
        <v>1.406842870749919E-2</v>
      </c>
      <c r="E217" t="s">
        <v>6</v>
      </c>
      <c r="G217" t="s">
        <v>428</v>
      </c>
      <c r="H217" t="s">
        <v>14</v>
      </c>
      <c r="I217">
        <v>2.6139614891704403E-2</v>
      </c>
      <c r="J217" t="s">
        <v>6</v>
      </c>
      <c r="L217" t="s">
        <v>429</v>
      </c>
      <c r="M217" t="s">
        <v>14</v>
      </c>
      <c r="N217">
        <v>2.5101609499356956E-2</v>
      </c>
      <c r="O217" t="s">
        <v>6</v>
      </c>
    </row>
    <row r="218" spans="2:15" x14ac:dyDescent="0.45">
      <c r="B218" t="s">
        <v>427</v>
      </c>
      <c r="C218" t="s">
        <v>15</v>
      </c>
      <c r="D218">
        <v>1.0039619647680723E-3</v>
      </c>
      <c r="E218" t="s">
        <v>6</v>
      </c>
      <c r="G218" t="s">
        <v>428</v>
      </c>
      <c r="H218" t="s">
        <v>15</v>
      </c>
      <c r="I218">
        <v>2.7059485867595188E-2</v>
      </c>
      <c r="J218" t="s">
        <v>6</v>
      </c>
      <c r="L218" t="s">
        <v>429</v>
      </c>
      <c r="M218" t="s">
        <v>15</v>
      </c>
      <c r="N218">
        <v>2.568309911362042E-2</v>
      </c>
      <c r="O218" t="s">
        <v>6</v>
      </c>
    </row>
    <row r="219" spans="2:15" x14ac:dyDescent="0.45">
      <c r="B219" t="s">
        <v>427</v>
      </c>
      <c r="C219" t="s">
        <v>16</v>
      </c>
      <c r="D219">
        <v>0</v>
      </c>
      <c r="E219" t="s">
        <v>6</v>
      </c>
      <c r="G219" t="s">
        <v>428</v>
      </c>
      <c r="H219" t="s">
        <v>16</v>
      </c>
      <c r="I219">
        <v>2.9058510225060952E-2</v>
      </c>
      <c r="J219" t="s">
        <v>6</v>
      </c>
      <c r="L219" t="s">
        <v>429</v>
      </c>
      <c r="M219" t="s">
        <v>16</v>
      </c>
      <c r="N219">
        <v>2.6036904261303086E-2</v>
      </c>
      <c r="O219" t="s">
        <v>6</v>
      </c>
    </row>
    <row r="220" spans="2:15" x14ac:dyDescent="0.45">
      <c r="B220" t="s">
        <v>427</v>
      </c>
      <c r="C220" t="s">
        <v>17</v>
      </c>
      <c r="D220">
        <v>0</v>
      </c>
      <c r="E220" t="s">
        <v>6</v>
      </c>
      <c r="G220" t="s">
        <v>428</v>
      </c>
      <c r="H220" t="s">
        <v>17</v>
      </c>
      <c r="I220">
        <v>4.4978682743408605E-2</v>
      </c>
      <c r="J220" t="s">
        <v>6</v>
      </c>
      <c r="L220" t="s">
        <v>429</v>
      </c>
      <c r="M220" t="s">
        <v>17</v>
      </c>
      <c r="N220">
        <v>3.7833447849664602E-2</v>
      </c>
      <c r="O220" t="s">
        <v>6</v>
      </c>
    </row>
    <row r="221" spans="2:15" x14ac:dyDescent="0.45">
      <c r="B221" t="s">
        <v>427</v>
      </c>
      <c r="C221" t="s">
        <v>18</v>
      </c>
      <c r="D221">
        <v>0</v>
      </c>
      <c r="E221" t="s">
        <v>6</v>
      </c>
      <c r="G221" t="s">
        <v>428</v>
      </c>
      <c r="H221" t="s">
        <v>18</v>
      </c>
      <c r="I221">
        <v>5.1085929030241908E-2</v>
      </c>
      <c r="J221" t="s">
        <v>6</v>
      </c>
      <c r="L221" t="s">
        <v>429</v>
      </c>
      <c r="M221" t="s">
        <v>18</v>
      </c>
      <c r="N221">
        <v>5.504429504594073E-2</v>
      </c>
      <c r="O221" t="s">
        <v>6</v>
      </c>
    </row>
    <row r="222" spans="2:15" x14ac:dyDescent="0.45">
      <c r="B222" t="s">
        <v>427</v>
      </c>
      <c r="C222" t="s">
        <v>19</v>
      </c>
      <c r="D222">
        <v>1.1927421634570189E-3</v>
      </c>
      <c r="E222" t="s">
        <v>6</v>
      </c>
      <c r="G222" t="s">
        <v>428</v>
      </c>
      <c r="H222" t="s">
        <v>19</v>
      </c>
      <c r="I222">
        <v>1.756964766737237E-2</v>
      </c>
      <c r="J222" t="s">
        <v>6</v>
      </c>
      <c r="L222" t="s">
        <v>429</v>
      </c>
      <c r="M222" t="s">
        <v>19</v>
      </c>
      <c r="N222">
        <v>2.0681059786336092E-2</v>
      </c>
      <c r="O222" t="s">
        <v>6</v>
      </c>
    </row>
    <row r="223" spans="2:15" x14ac:dyDescent="0.45">
      <c r="B223" t="s">
        <v>427</v>
      </c>
      <c r="C223" t="s">
        <v>20</v>
      </c>
      <c r="D223">
        <v>2.2198746435898781E-2</v>
      </c>
      <c r="E223" t="s">
        <v>6</v>
      </c>
      <c r="G223" t="s">
        <v>428</v>
      </c>
      <c r="H223" t="s">
        <v>20</v>
      </c>
      <c r="I223">
        <v>1.7770699969653744E-2</v>
      </c>
      <c r="J223" t="s">
        <v>6</v>
      </c>
      <c r="L223" t="s">
        <v>429</v>
      </c>
      <c r="M223" t="s">
        <v>20</v>
      </c>
      <c r="N223">
        <v>2.0788713566505503E-2</v>
      </c>
      <c r="O223" t="s">
        <v>6</v>
      </c>
    </row>
    <row r="224" spans="2:15" x14ac:dyDescent="0.45">
      <c r="B224" t="s">
        <v>427</v>
      </c>
      <c r="C224" t="s">
        <v>21</v>
      </c>
      <c r="D224">
        <v>6.5721415395118596E-2</v>
      </c>
      <c r="E224" t="s">
        <v>6</v>
      </c>
      <c r="G224" t="s">
        <v>428</v>
      </c>
      <c r="H224" t="s">
        <v>21</v>
      </c>
      <c r="I224">
        <v>1.8388472290230561E-2</v>
      </c>
      <c r="J224" t="s">
        <v>6</v>
      </c>
      <c r="L224" t="s">
        <v>429</v>
      </c>
      <c r="M224" t="s">
        <v>21</v>
      </c>
      <c r="N224">
        <v>2.0616511661033437E-2</v>
      </c>
      <c r="O224" t="s">
        <v>6</v>
      </c>
    </row>
    <row r="225" spans="2:15" x14ac:dyDescent="0.45">
      <c r="B225" t="s">
        <v>427</v>
      </c>
      <c r="C225" t="s">
        <v>22</v>
      </c>
      <c r="D225">
        <v>9.0367341397462941E-2</v>
      </c>
      <c r="E225" t="s">
        <v>6</v>
      </c>
      <c r="G225" t="s">
        <v>428</v>
      </c>
      <c r="H225" t="s">
        <v>22</v>
      </c>
      <c r="I225">
        <v>1.5708802823098722E-2</v>
      </c>
      <c r="J225" t="s">
        <v>6</v>
      </c>
      <c r="L225" t="s">
        <v>429</v>
      </c>
      <c r="M225" t="s">
        <v>22</v>
      </c>
      <c r="N225">
        <v>1.9626066372960639E-2</v>
      </c>
      <c r="O225" t="s">
        <v>6</v>
      </c>
    </row>
    <row r="226" spans="2:15" x14ac:dyDescent="0.45">
      <c r="B226" t="s">
        <v>427</v>
      </c>
      <c r="C226" t="s">
        <v>23</v>
      </c>
      <c r="D226">
        <v>8.5766062258786635E-2</v>
      </c>
      <c r="E226" t="s">
        <v>6</v>
      </c>
      <c r="G226" t="s">
        <v>428</v>
      </c>
      <c r="H226" t="s">
        <v>23</v>
      </c>
      <c r="I226">
        <v>2.00146077887173E-2</v>
      </c>
      <c r="J226" t="s">
        <v>6</v>
      </c>
      <c r="L226" t="s">
        <v>429</v>
      </c>
      <c r="M226" t="s">
        <v>23</v>
      </c>
      <c r="N226">
        <v>2.0315226468688687E-2</v>
      </c>
      <c r="O226" t="s">
        <v>6</v>
      </c>
    </row>
    <row r="227" spans="2:15" x14ac:dyDescent="0.45">
      <c r="B227" t="s">
        <v>427</v>
      </c>
      <c r="C227" t="s">
        <v>24</v>
      </c>
      <c r="D227">
        <v>5.9587319648648433E-2</v>
      </c>
      <c r="E227" t="s">
        <v>6</v>
      </c>
      <c r="G227" t="s">
        <v>428</v>
      </c>
      <c r="H227" t="s">
        <v>24</v>
      </c>
      <c r="I227">
        <v>2.1955321078591168E-2</v>
      </c>
      <c r="J227" t="s">
        <v>6</v>
      </c>
      <c r="L227" t="s">
        <v>429</v>
      </c>
      <c r="M227" t="s">
        <v>24</v>
      </c>
      <c r="N227">
        <v>2.1388997590048371E-2</v>
      </c>
      <c r="O227" t="s">
        <v>6</v>
      </c>
    </row>
    <row r="228" spans="2:15" x14ac:dyDescent="0.45">
      <c r="B228" t="s">
        <v>427</v>
      </c>
      <c r="C228" t="s">
        <v>25</v>
      </c>
      <c r="D228">
        <v>2.1513483309099815E-2</v>
      </c>
      <c r="E228" t="s">
        <v>6</v>
      </c>
      <c r="G228" t="s">
        <v>428</v>
      </c>
      <c r="H228" t="s">
        <v>25</v>
      </c>
      <c r="I228">
        <v>2.2177391761609981E-2</v>
      </c>
      <c r="J228" t="s">
        <v>6</v>
      </c>
      <c r="L228" t="s">
        <v>429</v>
      </c>
      <c r="M228" t="s">
        <v>25</v>
      </c>
      <c r="N228">
        <v>2.2376716963209944E-2</v>
      </c>
      <c r="O228" t="s">
        <v>6</v>
      </c>
    </row>
    <row r="229" spans="2:15" x14ac:dyDescent="0.45">
      <c r="B229" t="s">
        <v>427</v>
      </c>
      <c r="C229" t="s">
        <v>26</v>
      </c>
      <c r="D229">
        <v>1.1907181590626757E-3</v>
      </c>
      <c r="E229" t="s">
        <v>6</v>
      </c>
      <c r="G229" t="s">
        <v>428</v>
      </c>
      <c r="H229" t="s">
        <v>26</v>
      </c>
      <c r="I229">
        <v>2.1744755910654157E-2</v>
      </c>
      <c r="J229" t="s">
        <v>6</v>
      </c>
      <c r="L229" t="s">
        <v>429</v>
      </c>
      <c r="M229" t="s">
        <v>26</v>
      </c>
      <c r="N229">
        <v>2.3080046392135092E-2</v>
      </c>
      <c r="O229" t="s">
        <v>6</v>
      </c>
    </row>
    <row r="230" spans="2:15" x14ac:dyDescent="0.45">
      <c r="B230" t="s">
        <v>427</v>
      </c>
      <c r="C230" t="s">
        <v>27</v>
      </c>
      <c r="D230">
        <v>0</v>
      </c>
      <c r="E230" t="s">
        <v>6</v>
      </c>
      <c r="G230" t="s">
        <v>428</v>
      </c>
      <c r="H230" t="s">
        <v>27</v>
      </c>
      <c r="I230">
        <v>3.227380081303894E-2</v>
      </c>
      <c r="J230" t="s">
        <v>6</v>
      </c>
      <c r="L230" t="s">
        <v>429</v>
      </c>
      <c r="M230" t="s">
        <v>27</v>
      </c>
      <c r="N230">
        <v>3.5040338221637837E-2</v>
      </c>
      <c r="O230" t="s">
        <v>6</v>
      </c>
    </row>
    <row r="231" spans="2:15" x14ac:dyDescent="0.45">
      <c r="B231" t="s">
        <v>427</v>
      </c>
      <c r="C231" t="s">
        <v>28</v>
      </c>
      <c r="D231">
        <v>0</v>
      </c>
      <c r="E231" t="s">
        <v>6</v>
      </c>
      <c r="G231" t="s">
        <v>428</v>
      </c>
      <c r="H231" t="s">
        <v>28</v>
      </c>
      <c r="I231">
        <v>3.7186194959818501E-2</v>
      </c>
      <c r="J231" t="s">
        <v>6</v>
      </c>
      <c r="L231" t="s">
        <v>429</v>
      </c>
      <c r="M231" t="s">
        <v>28</v>
      </c>
      <c r="N231">
        <v>3.8287675200450427E-2</v>
      </c>
      <c r="O231" t="s">
        <v>6</v>
      </c>
    </row>
    <row r="232" spans="2:15" x14ac:dyDescent="0.45">
      <c r="B232" t="s">
        <v>427</v>
      </c>
      <c r="C232" t="s">
        <v>29</v>
      </c>
      <c r="D232">
        <v>2.7204910507176859E-3</v>
      </c>
      <c r="E232" t="s">
        <v>6</v>
      </c>
      <c r="G232" t="s">
        <v>428</v>
      </c>
      <c r="H232" t="s">
        <v>29</v>
      </c>
      <c r="I232">
        <v>1.0840995996515692E-2</v>
      </c>
      <c r="J232" t="s">
        <v>6</v>
      </c>
      <c r="L232" t="s">
        <v>429</v>
      </c>
      <c r="M232" t="s">
        <v>29</v>
      </c>
      <c r="N232">
        <v>1.4832494825133631E-2</v>
      </c>
      <c r="O232" t="s">
        <v>6</v>
      </c>
    </row>
    <row r="233" spans="2:15" x14ac:dyDescent="0.45">
      <c r="B233" t="s">
        <v>427</v>
      </c>
      <c r="C233" t="s">
        <v>30</v>
      </c>
      <c r="D233">
        <v>2.88879972011672E-2</v>
      </c>
      <c r="E233" t="s">
        <v>6</v>
      </c>
      <c r="G233" t="s">
        <v>428</v>
      </c>
      <c r="H233" t="s">
        <v>30</v>
      </c>
      <c r="I233">
        <v>8.0612373228124475E-3</v>
      </c>
      <c r="J233" t="s">
        <v>6</v>
      </c>
      <c r="L233" t="s">
        <v>429</v>
      </c>
      <c r="M233" t="s">
        <v>30</v>
      </c>
      <c r="N233">
        <v>1.4613312660206497E-2</v>
      </c>
      <c r="O233" t="s">
        <v>6</v>
      </c>
    </row>
    <row r="234" spans="2:15" x14ac:dyDescent="0.45">
      <c r="B234" t="s">
        <v>427</v>
      </c>
      <c r="C234" t="s">
        <v>31</v>
      </c>
      <c r="D234">
        <v>6.9806980159466459E-2</v>
      </c>
      <c r="E234" t="s">
        <v>6</v>
      </c>
      <c r="G234" t="s">
        <v>428</v>
      </c>
      <c r="H234" t="s">
        <v>31</v>
      </c>
      <c r="I234">
        <v>9.2991884974153189E-3</v>
      </c>
      <c r="J234" t="s">
        <v>6</v>
      </c>
      <c r="L234" t="s">
        <v>429</v>
      </c>
      <c r="M234" t="s">
        <v>31</v>
      </c>
      <c r="N234">
        <v>1.4305376233728604E-2</v>
      </c>
      <c r="O234" t="s">
        <v>6</v>
      </c>
    </row>
    <row r="235" spans="2:15" x14ac:dyDescent="0.45">
      <c r="B235" t="s">
        <v>427</v>
      </c>
      <c r="C235" t="s">
        <v>32</v>
      </c>
      <c r="D235">
        <v>9.3786210017156438E-2</v>
      </c>
      <c r="E235" t="s">
        <v>6</v>
      </c>
      <c r="G235" t="s">
        <v>428</v>
      </c>
      <c r="H235" t="s">
        <v>32</v>
      </c>
      <c r="I235">
        <v>1.0778608386232199E-2</v>
      </c>
      <c r="J235" t="s">
        <v>6</v>
      </c>
      <c r="L235" t="s">
        <v>429</v>
      </c>
      <c r="M235" t="s">
        <v>32</v>
      </c>
      <c r="N235">
        <v>1.2520522349565041E-2</v>
      </c>
      <c r="O235" t="s">
        <v>6</v>
      </c>
    </row>
    <row r="236" spans="2:15" x14ac:dyDescent="0.45">
      <c r="B236" t="s">
        <v>427</v>
      </c>
      <c r="C236" t="s">
        <v>33</v>
      </c>
      <c r="D236">
        <v>9.2433552714147799E-2</v>
      </c>
      <c r="E236" t="s">
        <v>6</v>
      </c>
      <c r="G236" t="s">
        <v>428</v>
      </c>
      <c r="H236" t="s">
        <v>33</v>
      </c>
      <c r="I236">
        <v>1.4306577599564409E-2</v>
      </c>
      <c r="J236" t="s">
        <v>6</v>
      </c>
      <c r="L236" t="s">
        <v>429</v>
      </c>
      <c r="M236" t="s">
        <v>33</v>
      </c>
      <c r="N236">
        <v>1.3162827208849561E-2</v>
      </c>
      <c r="O236" t="s">
        <v>6</v>
      </c>
    </row>
    <row r="237" spans="2:15" x14ac:dyDescent="0.45">
      <c r="B237" t="s">
        <v>427</v>
      </c>
      <c r="C237" t="s">
        <v>34</v>
      </c>
      <c r="D237">
        <v>6.743349859179415E-2</v>
      </c>
      <c r="E237" t="s">
        <v>6</v>
      </c>
      <c r="G237" t="s">
        <v>428</v>
      </c>
      <c r="H237" t="s">
        <v>34</v>
      </c>
      <c r="I237">
        <v>1.6476635297496846E-2</v>
      </c>
      <c r="J237" t="s">
        <v>6</v>
      </c>
      <c r="L237" t="s">
        <v>429</v>
      </c>
      <c r="M237" t="s">
        <v>34</v>
      </c>
      <c r="N237">
        <v>1.4831196222602568E-2</v>
      </c>
      <c r="O237" t="s">
        <v>6</v>
      </c>
    </row>
    <row r="238" spans="2:15" x14ac:dyDescent="0.45">
      <c r="B238" t="s">
        <v>427</v>
      </c>
      <c r="C238" t="s">
        <v>35</v>
      </c>
      <c r="D238">
        <v>3.1281622141851907E-2</v>
      </c>
      <c r="E238" t="s">
        <v>6</v>
      </c>
      <c r="G238" t="s">
        <v>428</v>
      </c>
      <c r="H238" t="s">
        <v>35</v>
      </c>
      <c r="I238">
        <v>1.4239169213591838E-2</v>
      </c>
      <c r="J238" t="s">
        <v>6</v>
      </c>
      <c r="L238" t="s">
        <v>429</v>
      </c>
      <c r="M238" t="s">
        <v>35</v>
      </c>
      <c r="N238">
        <v>1.606871097415289E-2</v>
      </c>
      <c r="O238" t="s">
        <v>6</v>
      </c>
    </row>
    <row r="239" spans="2:15" x14ac:dyDescent="0.45">
      <c r="B239" t="s">
        <v>427</v>
      </c>
      <c r="C239" t="s">
        <v>36</v>
      </c>
      <c r="D239">
        <v>3.6254333132076633E-3</v>
      </c>
      <c r="E239" t="s">
        <v>6</v>
      </c>
      <c r="G239" t="s">
        <v>428</v>
      </c>
      <c r="H239" t="s">
        <v>36</v>
      </c>
      <c r="I239">
        <v>1.4106141187642106E-2</v>
      </c>
      <c r="J239" t="s">
        <v>6</v>
      </c>
      <c r="L239" t="s">
        <v>429</v>
      </c>
      <c r="M239" t="s">
        <v>36</v>
      </c>
      <c r="N239">
        <v>1.6743380298403956E-2</v>
      </c>
      <c r="O239" t="s">
        <v>6</v>
      </c>
    </row>
    <row r="240" spans="2:15" x14ac:dyDescent="0.45">
      <c r="B240" t="s">
        <v>427</v>
      </c>
      <c r="C240" t="s">
        <v>37</v>
      </c>
      <c r="D240">
        <v>0</v>
      </c>
      <c r="E240" t="s">
        <v>6</v>
      </c>
      <c r="G240" t="s">
        <v>428</v>
      </c>
      <c r="H240" t="s">
        <v>37</v>
      </c>
      <c r="I240">
        <v>2.2509954584010235E-2</v>
      </c>
      <c r="J240" t="s">
        <v>6</v>
      </c>
      <c r="L240" t="s">
        <v>429</v>
      </c>
      <c r="M240" t="s">
        <v>37</v>
      </c>
      <c r="N240">
        <v>2.5211349630917264E-2</v>
      </c>
      <c r="O240" t="s">
        <v>6</v>
      </c>
    </row>
    <row r="241" spans="2:15" x14ac:dyDescent="0.45">
      <c r="B241" t="s">
        <v>427</v>
      </c>
      <c r="C241" t="s">
        <v>38</v>
      </c>
      <c r="D241">
        <v>0</v>
      </c>
      <c r="E241" t="s">
        <v>6</v>
      </c>
      <c r="G241" t="s">
        <v>428</v>
      </c>
      <c r="H241" t="s">
        <v>38</v>
      </c>
      <c r="I241">
        <v>5.9397556020233507E-2</v>
      </c>
      <c r="J241" t="s">
        <v>6</v>
      </c>
      <c r="L241" t="s">
        <v>429</v>
      </c>
      <c r="M241" t="s">
        <v>38</v>
      </c>
      <c r="N241">
        <v>5.3854526527046885E-2</v>
      </c>
      <c r="O241" t="s">
        <v>6</v>
      </c>
    </row>
    <row r="242" spans="2:15" x14ac:dyDescent="0.45">
      <c r="B242" t="s">
        <v>427</v>
      </c>
      <c r="C242" t="s">
        <v>39</v>
      </c>
      <c r="D242">
        <v>9.1197581397775898E-7</v>
      </c>
      <c r="E242" t="s">
        <v>6</v>
      </c>
      <c r="G242" t="s">
        <v>428</v>
      </c>
      <c r="H242" t="s">
        <v>39</v>
      </c>
      <c r="I242">
        <v>2.3342390825616285E-2</v>
      </c>
      <c r="J242" t="s">
        <v>6</v>
      </c>
      <c r="L242" t="s">
        <v>429</v>
      </c>
      <c r="M242" t="s">
        <v>39</v>
      </c>
      <c r="N242">
        <v>2.1213672559240403E-2</v>
      </c>
      <c r="O242" t="s">
        <v>6</v>
      </c>
    </row>
    <row r="243" spans="2:15" x14ac:dyDescent="0.45">
      <c r="B243" t="s">
        <v>427</v>
      </c>
      <c r="C243" t="s">
        <v>40</v>
      </c>
      <c r="D243">
        <v>6.0083319786839971E-3</v>
      </c>
      <c r="E243" t="s">
        <v>6</v>
      </c>
      <c r="G243" t="s">
        <v>428</v>
      </c>
      <c r="H243" t="s">
        <v>40</v>
      </c>
      <c r="I243">
        <v>2.2679393799084804E-2</v>
      </c>
      <c r="J243" t="s">
        <v>6</v>
      </c>
      <c r="L243" t="s">
        <v>429</v>
      </c>
      <c r="M243" t="s">
        <v>40</v>
      </c>
      <c r="N243">
        <v>2.1854741314902178E-2</v>
      </c>
      <c r="O243" t="s">
        <v>6</v>
      </c>
    </row>
    <row r="244" spans="2:15" x14ac:dyDescent="0.45">
      <c r="B244" t="s">
        <v>427</v>
      </c>
      <c r="C244" t="s">
        <v>41</v>
      </c>
      <c r="D244">
        <v>3.1238832864031393E-2</v>
      </c>
      <c r="E244" t="s">
        <v>6</v>
      </c>
      <c r="G244" t="s">
        <v>428</v>
      </c>
      <c r="H244" t="s">
        <v>41</v>
      </c>
      <c r="I244">
        <v>2.2518769261457659E-2</v>
      </c>
      <c r="J244" t="s">
        <v>6</v>
      </c>
      <c r="L244" t="s">
        <v>429</v>
      </c>
      <c r="M244" t="s">
        <v>41</v>
      </c>
      <c r="N244">
        <v>2.2359339944200075E-2</v>
      </c>
      <c r="O244" t="s">
        <v>6</v>
      </c>
    </row>
    <row r="245" spans="2:15" x14ac:dyDescent="0.45">
      <c r="B245" t="s">
        <v>427</v>
      </c>
      <c r="C245" t="s">
        <v>42</v>
      </c>
      <c r="D245">
        <v>5.2331020027108877E-2</v>
      </c>
      <c r="E245" t="s">
        <v>6</v>
      </c>
      <c r="G245" t="s">
        <v>428</v>
      </c>
      <c r="H245" t="s">
        <v>42</v>
      </c>
      <c r="I245">
        <v>2.0714877191193987E-2</v>
      </c>
      <c r="J245" t="s">
        <v>6</v>
      </c>
      <c r="L245" t="s">
        <v>429</v>
      </c>
      <c r="M245" t="s">
        <v>42</v>
      </c>
      <c r="N245">
        <v>2.1334352390587417E-2</v>
      </c>
      <c r="O245" t="s">
        <v>6</v>
      </c>
    </row>
    <row r="246" spans="2:15" x14ac:dyDescent="0.45">
      <c r="B246" t="s">
        <v>427</v>
      </c>
      <c r="C246" t="s">
        <v>43</v>
      </c>
      <c r="D246">
        <v>4.9939329179803711E-2</v>
      </c>
      <c r="E246" t="s">
        <v>6</v>
      </c>
      <c r="G246" t="s">
        <v>428</v>
      </c>
      <c r="H246" t="s">
        <v>43</v>
      </c>
      <c r="I246">
        <v>2.6758210470744618E-2</v>
      </c>
      <c r="J246" t="s">
        <v>6</v>
      </c>
      <c r="L246" t="s">
        <v>429</v>
      </c>
      <c r="M246" t="s">
        <v>43</v>
      </c>
      <c r="N246">
        <v>2.0946530564377855E-2</v>
      </c>
      <c r="O246" t="s">
        <v>6</v>
      </c>
    </row>
    <row r="247" spans="2:15" x14ac:dyDescent="0.45">
      <c r="B247" t="s">
        <v>427</v>
      </c>
      <c r="C247" t="s">
        <v>44</v>
      </c>
      <c r="D247">
        <v>2.8615114601232845E-2</v>
      </c>
      <c r="E247" t="s">
        <v>6</v>
      </c>
      <c r="G247" t="s">
        <v>428</v>
      </c>
      <c r="H247" t="s">
        <v>44</v>
      </c>
      <c r="I247">
        <v>2.7536180516027717E-2</v>
      </c>
      <c r="J247" t="s">
        <v>6</v>
      </c>
      <c r="L247" t="s">
        <v>429</v>
      </c>
      <c r="M247" t="s">
        <v>44</v>
      </c>
      <c r="N247">
        <v>2.1751729147477569E-2</v>
      </c>
      <c r="O247" t="s">
        <v>6</v>
      </c>
    </row>
    <row r="248" spans="2:15" x14ac:dyDescent="0.45">
      <c r="B248" t="s">
        <v>427</v>
      </c>
      <c r="C248" t="s">
        <v>45</v>
      </c>
      <c r="D248">
        <v>4.8339850490676543E-3</v>
      </c>
      <c r="E248" t="s">
        <v>6</v>
      </c>
      <c r="G248" t="s">
        <v>428</v>
      </c>
      <c r="H248" t="s">
        <v>45</v>
      </c>
      <c r="I248">
        <v>2.7038862658344084E-2</v>
      </c>
      <c r="J248" t="s">
        <v>6</v>
      </c>
      <c r="L248" t="s">
        <v>429</v>
      </c>
      <c r="M248" t="s">
        <v>45</v>
      </c>
      <c r="N248">
        <v>2.2823937874581524E-2</v>
      </c>
      <c r="O248" t="s">
        <v>6</v>
      </c>
    </row>
    <row r="249" spans="2:15" x14ac:dyDescent="0.45">
      <c r="B249" t="s">
        <v>427</v>
      </c>
      <c r="C249" t="s">
        <v>46</v>
      </c>
      <c r="D249">
        <v>4.6606010922767359E-6</v>
      </c>
      <c r="E249" t="s">
        <v>6</v>
      </c>
      <c r="G249" t="s">
        <v>428</v>
      </c>
      <c r="H249" t="s">
        <v>46</v>
      </c>
      <c r="I249">
        <v>2.6948430944326789E-2</v>
      </c>
      <c r="J249" t="s">
        <v>6</v>
      </c>
      <c r="L249" t="s">
        <v>429</v>
      </c>
      <c r="M249" t="s">
        <v>46</v>
      </c>
      <c r="N249">
        <v>2.3447794082492604E-2</v>
      </c>
      <c r="O249" t="s">
        <v>6</v>
      </c>
    </row>
    <row r="250" spans="2:15" x14ac:dyDescent="0.45">
      <c r="B250" t="s">
        <v>427</v>
      </c>
      <c r="C250" t="s">
        <v>47</v>
      </c>
      <c r="D250">
        <v>0</v>
      </c>
      <c r="E250" t="s">
        <v>6</v>
      </c>
      <c r="G250" t="s">
        <v>428</v>
      </c>
      <c r="H250" t="s">
        <v>47</v>
      </c>
      <c r="I250">
        <v>3.6967449975548516E-2</v>
      </c>
      <c r="J250" t="s">
        <v>6</v>
      </c>
      <c r="L250" t="s">
        <v>429</v>
      </c>
      <c r="M250" t="s">
        <v>47</v>
      </c>
      <c r="N250">
        <v>3.4722953066169744E-2</v>
      </c>
      <c r="O250" t="s">
        <v>6</v>
      </c>
    </row>
    <row r="251" spans="2:15" x14ac:dyDescent="0.45">
      <c r="B251" t="s">
        <v>430</v>
      </c>
      <c r="C251" t="s">
        <v>5</v>
      </c>
      <c r="D251">
        <v>0</v>
      </c>
      <c r="E251" t="s">
        <v>6</v>
      </c>
      <c r="G251" t="s">
        <v>431</v>
      </c>
      <c r="H251" t="s">
        <v>5</v>
      </c>
      <c r="I251">
        <v>7.1564847437458418E-2</v>
      </c>
      <c r="J251" t="s">
        <v>6</v>
      </c>
      <c r="L251" t="s">
        <v>432</v>
      </c>
      <c r="M251" t="s">
        <v>5</v>
      </c>
      <c r="N251">
        <v>6.4656764317108484E-2</v>
      </c>
      <c r="O251" t="s">
        <v>6</v>
      </c>
    </row>
    <row r="252" spans="2:15" x14ac:dyDescent="0.45">
      <c r="B252" t="s">
        <v>430</v>
      </c>
      <c r="C252" t="s">
        <v>9</v>
      </c>
      <c r="D252">
        <v>0</v>
      </c>
      <c r="E252" t="s">
        <v>6</v>
      </c>
      <c r="G252" t="s">
        <v>431</v>
      </c>
      <c r="H252" t="s">
        <v>9</v>
      </c>
      <c r="I252">
        <v>2.7909523160582463E-2</v>
      </c>
      <c r="J252" t="s">
        <v>6</v>
      </c>
      <c r="L252" t="s">
        <v>432</v>
      </c>
      <c r="M252" t="s">
        <v>9</v>
      </c>
      <c r="N252">
        <v>2.66314000724726E-2</v>
      </c>
      <c r="O252" t="s">
        <v>6</v>
      </c>
    </row>
    <row r="253" spans="2:15" x14ac:dyDescent="0.45">
      <c r="B253" t="s">
        <v>430</v>
      </c>
      <c r="C253" t="s">
        <v>10</v>
      </c>
      <c r="D253">
        <v>8.0512285122396807E-5</v>
      </c>
      <c r="E253" t="s">
        <v>6</v>
      </c>
      <c r="G253" t="s">
        <v>431</v>
      </c>
      <c r="H253" t="s">
        <v>10</v>
      </c>
      <c r="I253">
        <v>2.6681597990115644E-2</v>
      </c>
      <c r="J253" t="s">
        <v>6</v>
      </c>
      <c r="L253" t="s">
        <v>432</v>
      </c>
      <c r="M253" t="s">
        <v>10</v>
      </c>
      <c r="N253">
        <v>2.6826904475562734E-2</v>
      </c>
      <c r="O253" t="s">
        <v>6</v>
      </c>
    </row>
    <row r="254" spans="2:15" x14ac:dyDescent="0.45">
      <c r="B254" t="s">
        <v>430</v>
      </c>
      <c r="C254" t="s">
        <v>11</v>
      </c>
      <c r="D254">
        <v>9.6145928232172669E-3</v>
      </c>
      <c r="E254" t="s">
        <v>6</v>
      </c>
      <c r="G254" t="s">
        <v>431</v>
      </c>
      <c r="H254" t="s">
        <v>11</v>
      </c>
      <c r="I254">
        <v>2.5337864021410656E-2</v>
      </c>
      <c r="J254" t="s">
        <v>6</v>
      </c>
      <c r="L254" t="s">
        <v>432</v>
      </c>
      <c r="M254" t="s">
        <v>11</v>
      </c>
      <c r="N254">
        <v>2.7373313501576332E-2</v>
      </c>
      <c r="O254" t="s">
        <v>6</v>
      </c>
    </row>
    <row r="255" spans="2:15" x14ac:dyDescent="0.45">
      <c r="B255" t="s">
        <v>430</v>
      </c>
      <c r="C255" t="s">
        <v>12</v>
      </c>
      <c r="D255">
        <v>2.9951809162545921E-2</v>
      </c>
      <c r="E255" t="s">
        <v>6</v>
      </c>
      <c r="G255" t="s">
        <v>431</v>
      </c>
      <c r="H255" t="s">
        <v>12</v>
      </c>
      <c r="I255">
        <v>2.021210670263204E-2</v>
      </c>
      <c r="J255" t="s">
        <v>6</v>
      </c>
      <c r="L255" t="s">
        <v>432</v>
      </c>
      <c r="M255" t="s">
        <v>12</v>
      </c>
      <c r="N255">
        <v>2.5965376806324009E-2</v>
      </c>
      <c r="O255" t="s">
        <v>6</v>
      </c>
    </row>
    <row r="256" spans="2:15" x14ac:dyDescent="0.45">
      <c r="B256" t="s">
        <v>430</v>
      </c>
      <c r="C256" t="s">
        <v>13</v>
      </c>
      <c r="D256">
        <v>3.1955624490117768E-2</v>
      </c>
      <c r="E256" t="s">
        <v>6</v>
      </c>
      <c r="G256" t="s">
        <v>431</v>
      </c>
      <c r="H256" t="s">
        <v>13</v>
      </c>
      <c r="I256">
        <v>2.2395352525289104E-2</v>
      </c>
      <c r="J256" t="s">
        <v>6</v>
      </c>
      <c r="L256" t="s">
        <v>432</v>
      </c>
      <c r="M256" t="s">
        <v>13</v>
      </c>
      <c r="N256">
        <v>2.58783132124209E-2</v>
      </c>
      <c r="O256" t="s">
        <v>6</v>
      </c>
    </row>
    <row r="257" spans="2:15" x14ac:dyDescent="0.45">
      <c r="B257" t="s">
        <v>430</v>
      </c>
      <c r="C257" t="s">
        <v>14</v>
      </c>
      <c r="D257">
        <v>1.6584131525118825E-2</v>
      </c>
      <c r="E257" t="s">
        <v>6</v>
      </c>
      <c r="G257" t="s">
        <v>431</v>
      </c>
      <c r="H257" t="s">
        <v>14</v>
      </c>
      <c r="I257">
        <v>2.4633296013269548E-2</v>
      </c>
      <c r="J257" t="s">
        <v>6</v>
      </c>
      <c r="L257" t="s">
        <v>432</v>
      </c>
      <c r="M257" t="s">
        <v>14</v>
      </c>
      <c r="N257">
        <v>2.6193561813605101E-2</v>
      </c>
      <c r="O257" t="s">
        <v>6</v>
      </c>
    </row>
    <row r="258" spans="2:15" x14ac:dyDescent="0.45">
      <c r="B258" t="s">
        <v>430</v>
      </c>
      <c r="C258" t="s">
        <v>15</v>
      </c>
      <c r="D258">
        <v>1.6369303998216419E-3</v>
      </c>
      <c r="E258" t="s">
        <v>6</v>
      </c>
      <c r="G258" t="s">
        <v>431</v>
      </c>
      <c r="H258" t="s">
        <v>15</v>
      </c>
      <c r="I258">
        <v>2.6914581087434788E-2</v>
      </c>
      <c r="J258" t="s">
        <v>6</v>
      </c>
      <c r="L258" t="s">
        <v>432</v>
      </c>
      <c r="M258" t="s">
        <v>15</v>
      </c>
      <c r="N258">
        <v>2.7343449141788049E-2</v>
      </c>
      <c r="O258" t="s">
        <v>6</v>
      </c>
    </row>
    <row r="259" spans="2:15" x14ac:dyDescent="0.45">
      <c r="B259" t="s">
        <v>430</v>
      </c>
      <c r="C259" t="s">
        <v>16</v>
      </c>
      <c r="D259">
        <v>0</v>
      </c>
      <c r="E259" t="s">
        <v>6</v>
      </c>
      <c r="G259" t="s">
        <v>431</v>
      </c>
      <c r="H259" t="s">
        <v>16</v>
      </c>
      <c r="I259">
        <v>2.9107199932125544E-2</v>
      </c>
      <c r="J259" t="s">
        <v>6</v>
      </c>
      <c r="L259" t="s">
        <v>432</v>
      </c>
      <c r="M259" t="s">
        <v>16</v>
      </c>
      <c r="N259">
        <v>2.7757831836141566E-2</v>
      </c>
      <c r="O259" t="s">
        <v>6</v>
      </c>
    </row>
    <row r="260" spans="2:15" x14ac:dyDescent="0.45">
      <c r="B260" t="s">
        <v>430</v>
      </c>
      <c r="C260" t="s">
        <v>17</v>
      </c>
      <c r="D260">
        <v>0</v>
      </c>
      <c r="E260" t="s">
        <v>6</v>
      </c>
      <c r="G260" t="s">
        <v>431</v>
      </c>
      <c r="H260" t="s">
        <v>17</v>
      </c>
      <c r="I260">
        <v>4.5432844259345795E-2</v>
      </c>
      <c r="J260" t="s">
        <v>6</v>
      </c>
      <c r="L260" t="s">
        <v>432</v>
      </c>
      <c r="M260" t="s">
        <v>17</v>
      </c>
      <c r="N260">
        <v>3.9791646513982572E-2</v>
      </c>
      <c r="O260" t="s">
        <v>6</v>
      </c>
    </row>
    <row r="261" spans="2:15" x14ac:dyDescent="0.45">
      <c r="B261" t="s">
        <v>430</v>
      </c>
      <c r="C261" t="s">
        <v>18</v>
      </c>
      <c r="D261">
        <v>0</v>
      </c>
      <c r="E261" t="s">
        <v>6</v>
      </c>
      <c r="G261" t="s">
        <v>431</v>
      </c>
      <c r="H261" t="s">
        <v>18</v>
      </c>
      <c r="I261">
        <v>5.548608227298011E-2</v>
      </c>
      <c r="J261" t="s">
        <v>6</v>
      </c>
      <c r="L261" t="s">
        <v>432</v>
      </c>
      <c r="M261" t="s">
        <v>18</v>
      </c>
      <c r="N261">
        <v>5.2695421037986238E-2</v>
      </c>
      <c r="O261" t="s">
        <v>6</v>
      </c>
    </row>
    <row r="262" spans="2:15" x14ac:dyDescent="0.45">
      <c r="B262" t="s">
        <v>430</v>
      </c>
      <c r="C262" t="s">
        <v>19</v>
      </c>
      <c r="D262">
        <v>9.4306054634754469E-4</v>
      </c>
      <c r="E262" t="s">
        <v>6</v>
      </c>
      <c r="G262" t="s">
        <v>431</v>
      </c>
      <c r="H262" t="s">
        <v>19</v>
      </c>
      <c r="I262">
        <v>2.2376763439901994E-2</v>
      </c>
      <c r="J262" t="s">
        <v>6</v>
      </c>
      <c r="L262" t="s">
        <v>432</v>
      </c>
      <c r="M262" t="s">
        <v>19</v>
      </c>
      <c r="N262">
        <v>1.9734791511823613E-2</v>
      </c>
      <c r="O262" t="s">
        <v>6</v>
      </c>
    </row>
    <row r="263" spans="2:15" x14ac:dyDescent="0.45">
      <c r="B263" t="s">
        <v>430</v>
      </c>
      <c r="C263" t="s">
        <v>20</v>
      </c>
      <c r="D263">
        <v>1.9162393397949312E-2</v>
      </c>
      <c r="E263" t="s">
        <v>6</v>
      </c>
      <c r="G263" t="s">
        <v>431</v>
      </c>
      <c r="H263" t="s">
        <v>20</v>
      </c>
      <c r="I263">
        <v>2.1014094365552738E-2</v>
      </c>
      <c r="J263" t="s">
        <v>6</v>
      </c>
      <c r="L263" t="s">
        <v>432</v>
      </c>
      <c r="M263" t="s">
        <v>20</v>
      </c>
      <c r="N263">
        <v>1.6998166617104505E-2</v>
      </c>
      <c r="O263" t="s">
        <v>6</v>
      </c>
    </row>
    <row r="264" spans="2:15" x14ac:dyDescent="0.45">
      <c r="B264" t="s">
        <v>430</v>
      </c>
      <c r="C264" t="s">
        <v>21</v>
      </c>
      <c r="D264">
        <v>6.1506967978926151E-2</v>
      </c>
      <c r="E264" t="s">
        <v>6</v>
      </c>
      <c r="G264" t="s">
        <v>431</v>
      </c>
      <c r="H264" t="s">
        <v>21</v>
      </c>
      <c r="I264">
        <v>1.9693029936426139E-2</v>
      </c>
      <c r="J264" t="s">
        <v>6</v>
      </c>
      <c r="L264" t="s">
        <v>432</v>
      </c>
      <c r="M264" t="s">
        <v>21</v>
      </c>
      <c r="N264">
        <v>1.6206601236202951E-2</v>
      </c>
      <c r="O264" t="s">
        <v>6</v>
      </c>
    </row>
    <row r="265" spans="2:15" x14ac:dyDescent="0.45">
      <c r="B265" t="s">
        <v>430</v>
      </c>
      <c r="C265" t="s">
        <v>22</v>
      </c>
      <c r="D265">
        <v>8.7088553270055269E-2</v>
      </c>
      <c r="E265" t="s">
        <v>6</v>
      </c>
      <c r="G265" t="s">
        <v>431</v>
      </c>
      <c r="H265" t="s">
        <v>22</v>
      </c>
      <c r="I265">
        <v>1.5898607238044423E-2</v>
      </c>
      <c r="J265" t="s">
        <v>6</v>
      </c>
      <c r="L265" t="s">
        <v>432</v>
      </c>
      <c r="M265" t="s">
        <v>22</v>
      </c>
      <c r="N265">
        <v>1.5100667542283869E-2</v>
      </c>
      <c r="O265" t="s">
        <v>6</v>
      </c>
    </row>
    <row r="266" spans="2:15" x14ac:dyDescent="0.45">
      <c r="B266" t="s">
        <v>430</v>
      </c>
      <c r="C266" t="s">
        <v>23</v>
      </c>
      <c r="D266">
        <v>8.588418385249949E-2</v>
      </c>
      <c r="E266" t="s">
        <v>6</v>
      </c>
      <c r="G266" t="s">
        <v>431</v>
      </c>
      <c r="H266" t="s">
        <v>23</v>
      </c>
      <c r="I266">
        <v>1.734163131781976E-2</v>
      </c>
      <c r="J266" t="s">
        <v>6</v>
      </c>
      <c r="L266" t="s">
        <v>432</v>
      </c>
      <c r="M266" t="s">
        <v>23</v>
      </c>
      <c r="N266">
        <v>1.7489389862575807E-2</v>
      </c>
      <c r="O266" t="s">
        <v>6</v>
      </c>
    </row>
    <row r="267" spans="2:15" x14ac:dyDescent="0.45">
      <c r="B267" t="s">
        <v>430</v>
      </c>
      <c r="C267" t="s">
        <v>24</v>
      </c>
      <c r="D267">
        <v>6.1204565557847528E-2</v>
      </c>
      <c r="E267" t="s">
        <v>6</v>
      </c>
      <c r="G267" t="s">
        <v>431</v>
      </c>
      <c r="H267" t="s">
        <v>24</v>
      </c>
      <c r="I267">
        <v>1.746011501880192E-2</v>
      </c>
      <c r="J267" t="s">
        <v>6</v>
      </c>
      <c r="L267" t="s">
        <v>432</v>
      </c>
      <c r="M267" t="s">
        <v>24</v>
      </c>
      <c r="N267">
        <v>1.8189797125709107E-2</v>
      </c>
      <c r="O267" t="s">
        <v>6</v>
      </c>
    </row>
    <row r="268" spans="2:15" x14ac:dyDescent="0.45">
      <c r="B268" t="s">
        <v>430</v>
      </c>
      <c r="C268" t="s">
        <v>25</v>
      </c>
      <c r="D268">
        <v>2.4202243210605316E-2</v>
      </c>
      <c r="E268" t="s">
        <v>6</v>
      </c>
      <c r="G268" t="s">
        <v>431</v>
      </c>
      <c r="H268" t="s">
        <v>25</v>
      </c>
      <c r="I268">
        <v>1.8382139074157266E-2</v>
      </c>
      <c r="J268" t="s">
        <v>6</v>
      </c>
      <c r="L268" t="s">
        <v>432</v>
      </c>
      <c r="M268" t="s">
        <v>25</v>
      </c>
      <c r="N268">
        <v>1.9102574990657054E-2</v>
      </c>
      <c r="O268" t="s">
        <v>6</v>
      </c>
    </row>
    <row r="269" spans="2:15" x14ac:dyDescent="0.45">
      <c r="B269" t="s">
        <v>430</v>
      </c>
      <c r="C269" t="s">
        <v>26</v>
      </c>
      <c r="D269">
        <v>1.5280063529552574E-3</v>
      </c>
      <c r="E269" t="s">
        <v>6</v>
      </c>
      <c r="G269" t="s">
        <v>431</v>
      </c>
      <c r="H269" t="s">
        <v>26</v>
      </c>
      <c r="I269">
        <v>2.1391127974777491E-2</v>
      </c>
      <c r="J269" t="s">
        <v>6</v>
      </c>
      <c r="L269" t="s">
        <v>432</v>
      </c>
      <c r="M269" t="s">
        <v>26</v>
      </c>
      <c r="N269">
        <v>2.1423475388782386E-2</v>
      </c>
      <c r="O269" t="s">
        <v>6</v>
      </c>
    </row>
    <row r="270" spans="2:15" x14ac:dyDescent="0.45">
      <c r="B270" t="s">
        <v>430</v>
      </c>
      <c r="C270" t="s">
        <v>27</v>
      </c>
      <c r="D270">
        <v>0</v>
      </c>
      <c r="E270" t="s">
        <v>6</v>
      </c>
      <c r="G270" t="s">
        <v>431</v>
      </c>
      <c r="H270" t="s">
        <v>27</v>
      </c>
      <c r="I270">
        <v>3.4625442525550852E-2</v>
      </c>
      <c r="J270" t="s">
        <v>6</v>
      </c>
      <c r="L270" t="s">
        <v>432</v>
      </c>
      <c r="M270" t="s">
        <v>27</v>
      </c>
      <c r="N270">
        <v>3.2983869807317899E-2</v>
      </c>
      <c r="O270" t="s">
        <v>6</v>
      </c>
    </row>
    <row r="271" spans="2:15" x14ac:dyDescent="0.45">
      <c r="B271" t="s">
        <v>430</v>
      </c>
      <c r="C271" t="s">
        <v>28</v>
      </c>
      <c r="D271">
        <v>0</v>
      </c>
      <c r="E271" t="s">
        <v>6</v>
      </c>
      <c r="G271" t="s">
        <v>431</v>
      </c>
      <c r="H271" t="s">
        <v>28</v>
      </c>
      <c r="I271">
        <v>3.9362339154205707E-2</v>
      </c>
      <c r="J271" t="s">
        <v>6</v>
      </c>
      <c r="L271" t="s">
        <v>432</v>
      </c>
      <c r="M271" t="s">
        <v>28</v>
      </c>
      <c r="N271">
        <v>3.5939120374871722E-2</v>
      </c>
      <c r="O271" t="s">
        <v>6</v>
      </c>
    </row>
    <row r="272" spans="2:15" x14ac:dyDescent="0.45">
      <c r="B272" t="s">
        <v>430</v>
      </c>
      <c r="C272" t="s">
        <v>29</v>
      </c>
      <c r="D272">
        <v>2.4836086978585036E-3</v>
      </c>
      <c r="E272" t="s">
        <v>6</v>
      </c>
      <c r="G272" t="s">
        <v>431</v>
      </c>
      <c r="H272" t="s">
        <v>29</v>
      </c>
      <c r="I272">
        <v>1.2734992463467598E-2</v>
      </c>
      <c r="J272" t="s">
        <v>6</v>
      </c>
      <c r="L272" t="s">
        <v>432</v>
      </c>
      <c r="M272" t="s">
        <v>29</v>
      </c>
      <c r="N272">
        <v>1.4377300439108525E-2</v>
      </c>
      <c r="O272" t="s">
        <v>6</v>
      </c>
    </row>
    <row r="273" spans="2:15" x14ac:dyDescent="0.45">
      <c r="B273" t="s">
        <v>430</v>
      </c>
      <c r="C273" t="s">
        <v>30</v>
      </c>
      <c r="D273">
        <v>2.6542544257175751E-2</v>
      </c>
      <c r="E273" t="s">
        <v>6</v>
      </c>
      <c r="G273" t="s">
        <v>431</v>
      </c>
      <c r="H273" t="s">
        <v>30</v>
      </c>
      <c r="I273">
        <v>9.2484039895052092E-3</v>
      </c>
      <c r="J273" t="s">
        <v>6</v>
      </c>
      <c r="L273" t="s">
        <v>432</v>
      </c>
      <c r="M273" t="s">
        <v>30</v>
      </c>
      <c r="N273">
        <v>1.3363663009027844E-2</v>
      </c>
      <c r="O273" t="s">
        <v>6</v>
      </c>
    </row>
    <row r="274" spans="2:15" x14ac:dyDescent="0.45">
      <c r="B274" t="s">
        <v>430</v>
      </c>
      <c r="C274" t="s">
        <v>31</v>
      </c>
      <c r="D274">
        <v>6.736340613478195E-2</v>
      </c>
      <c r="E274" t="s">
        <v>6</v>
      </c>
      <c r="G274" t="s">
        <v>431</v>
      </c>
      <c r="H274" t="s">
        <v>31</v>
      </c>
      <c r="I274">
        <v>9.4759942525334557E-3</v>
      </c>
      <c r="J274" t="s">
        <v>6</v>
      </c>
      <c r="L274" t="s">
        <v>432</v>
      </c>
      <c r="M274" t="s">
        <v>31</v>
      </c>
      <c r="N274">
        <v>1.3980868571984667E-2</v>
      </c>
      <c r="O274" t="s">
        <v>6</v>
      </c>
    </row>
    <row r="275" spans="2:15" x14ac:dyDescent="0.45">
      <c r="B275" t="s">
        <v>430</v>
      </c>
      <c r="C275" t="s">
        <v>32</v>
      </c>
      <c r="D275">
        <v>9.3715768416904585E-2</v>
      </c>
      <c r="E275" t="s">
        <v>6</v>
      </c>
      <c r="G275" t="s">
        <v>431</v>
      </c>
      <c r="H275" t="s">
        <v>32</v>
      </c>
      <c r="I275">
        <v>1.0977639860753284E-2</v>
      </c>
      <c r="J275" t="s">
        <v>6</v>
      </c>
      <c r="L275" t="s">
        <v>432</v>
      </c>
      <c r="M275" t="s">
        <v>32</v>
      </c>
      <c r="N275">
        <v>1.2811533054480406E-2</v>
      </c>
      <c r="O275" t="s">
        <v>6</v>
      </c>
    </row>
    <row r="276" spans="2:15" x14ac:dyDescent="0.45">
      <c r="B276" t="s">
        <v>430</v>
      </c>
      <c r="C276" t="s">
        <v>33</v>
      </c>
      <c r="D276">
        <v>9.2712917513149209E-2</v>
      </c>
      <c r="E276" t="s">
        <v>6</v>
      </c>
      <c r="G276" t="s">
        <v>431</v>
      </c>
      <c r="H276" t="s">
        <v>33</v>
      </c>
      <c r="I276">
        <v>1.2266778409732238E-2</v>
      </c>
      <c r="J276" t="s">
        <v>6</v>
      </c>
      <c r="L276" t="s">
        <v>432</v>
      </c>
      <c r="M276" t="s">
        <v>33</v>
      </c>
      <c r="N276">
        <v>1.4125706860050671E-2</v>
      </c>
      <c r="O276" t="s">
        <v>6</v>
      </c>
    </row>
    <row r="277" spans="2:15" x14ac:dyDescent="0.45">
      <c r="B277" t="s">
        <v>430</v>
      </c>
      <c r="C277" t="s">
        <v>34</v>
      </c>
      <c r="D277">
        <v>7.0699037450048172E-2</v>
      </c>
      <c r="E277" t="s">
        <v>6</v>
      </c>
      <c r="G277" t="s">
        <v>431</v>
      </c>
      <c r="H277" t="s">
        <v>34</v>
      </c>
      <c r="I277">
        <v>1.2425942871466008E-2</v>
      </c>
      <c r="J277" t="s">
        <v>6</v>
      </c>
      <c r="L277" t="s">
        <v>432</v>
      </c>
      <c r="M277" t="s">
        <v>34</v>
      </c>
      <c r="N277">
        <v>1.3973177034881233E-2</v>
      </c>
      <c r="O277" t="s">
        <v>6</v>
      </c>
    </row>
    <row r="278" spans="2:15" x14ac:dyDescent="0.45">
      <c r="B278" t="s">
        <v>430</v>
      </c>
      <c r="C278" t="s">
        <v>35</v>
      </c>
      <c r="D278">
        <v>3.3852496110104852E-2</v>
      </c>
      <c r="E278" t="s">
        <v>6</v>
      </c>
      <c r="G278" t="s">
        <v>431</v>
      </c>
      <c r="H278" t="s">
        <v>35</v>
      </c>
      <c r="I278">
        <v>1.2593944191475474E-2</v>
      </c>
      <c r="J278" t="s">
        <v>6</v>
      </c>
      <c r="L278" t="s">
        <v>432</v>
      </c>
      <c r="M278" t="s">
        <v>35</v>
      </c>
      <c r="N278">
        <v>1.2735276283431223E-2</v>
      </c>
      <c r="O278" t="s">
        <v>6</v>
      </c>
    </row>
    <row r="279" spans="2:15" x14ac:dyDescent="0.45">
      <c r="B279" t="s">
        <v>430</v>
      </c>
      <c r="C279" t="s">
        <v>36</v>
      </c>
      <c r="D279">
        <v>4.6800601990263169E-3</v>
      </c>
      <c r="E279" t="s">
        <v>6</v>
      </c>
      <c r="G279" t="s">
        <v>431</v>
      </c>
      <c r="H279" t="s">
        <v>36</v>
      </c>
      <c r="I279">
        <v>1.3555291839203109E-2</v>
      </c>
      <c r="J279" t="s">
        <v>6</v>
      </c>
      <c r="L279" t="s">
        <v>432</v>
      </c>
      <c r="M279" t="s">
        <v>36</v>
      </c>
      <c r="N279">
        <v>1.3195125798843681E-2</v>
      </c>
      <c r="O279" t="s">
        <v>6</v>
      </c>
    </row>
    <row r="280" spans="2:15" x14ac:dyDescent="0.45">
      <c r="B280" t="s">
        <v>430</v>
      </c>
      <c r="C280" t="s">
        <v>37</v>
      </c>
      <c r="D280">
        <v>3.4196326086991126E-6</v>
      </c>
      <c r="E280" t="s">
        <v>6</v>
      </c>
      <c r="G280" t="s">
        <v>431</v>
      </c>
      <c r="H280" t="s">
        <v>37</v>
      </c>
      <c r="I280">
        <v>2.550043286209757E-2</v>
      </c>
      <c r="J280" t="s">
        <v>6</v>
      </c>
      <c r="L280" t="s">
        <v>432</v>
      </c>
      <c r="M280" t="s">
        <v>37</v>
      </c>
      <c r="N280">
        <v>2.2006841941811493E-2</v>
      </c>
      <c r="O280" t="s">
        <v>6</v>
      </c>
    </row>
    <row r="281" spans="2:15" x14ac:dyDescent="0.45">
      <c r="B281" t="s">
        <v>430</v>
      </c>
      <c r="C281" t="s">
        <v>38</v>
      </c>
      <c r="D281">
        <v>0</v>
      </c>
      <c r="E281" t="s">
        <v>6</v>
      </c>
      <c r="G281" t="s">
        <v>431</v>
      </c>
      <c r="H281" t="s">
        <v>38</v>
      </c>
      <c r="I281">
        <v>6.2972328056426094E-2</v>
      </c>
      <c r="J281" t="s">
        <v>6</v>
      </c>
      <c r="L281" t="s">
        <v>432</v>
      </c>
      <c r="M281" t="s">
        <v>38</v>
      </c>
      <c r="N281">
        <v>5.7426006287138537E-2</v>
      </c>
      <c r="O281" t="s">
        <v>6</v>
      </c>
    </row>
    <row r="282" spans="2:15" x14ac:dyDescent="0.45">
      <c r="B282" t="s">
        <v>430</v>
      </c>
      <c r="C282" t="s">
        <v>39</v>
      </c>
      <c r="D282">
        <v>2.5237183072050237E-7</v>
      </c>
      <c r="E282" t="s">
        <v>6</v>
      </c>
      <c r="G282" t="s">
        <v>431</v>
      </c>
      <c r="H282" t="s">
        <v>39</v>
      </c>
      <c r="I282">
        <v>2.4078645262061757E-2</v>
      </c>
      <c r="J282" t="s">
        <v>6</v>
      </c>
      <c r="L282" t="s">
        <v>432</v>
      </c>
      <c r="M282" t="s">
        <v>39</v>
      </c>
      <c r="N282">
        <v>2.3389123022164761E-2</v>
      </c>
      <c r="O282" t="s">
        <v>6</v>
      </c>
    </row>
    <row r="283" spans="2:15" x14ac:dyDescent="0.45">
      <c r="B283" t="s">
        <v>430</v>
      </c>
      <c r="C283" t="s">
        <v>40</v>
      </c>
      <c r="D283">
        <v>4.7420260968556796E-3</v>
      </c>
      <c r="E283" t="s">
        <v>6</v>
      </c>
      <c r="G283" t="s">
        <v>431</v>
      </c>
      <c r="H283" t="s">
        <v>40</v>
      </c>
      <c r="I283">
        <v>2.2493114944066098E-2</v>
      </c>
      <c r="J283" t="s">
        <v>6</v>
      </c>
      <c r="L283" t="s">
        <v>432</v>
      </c>
      <c r="M283" t="s">
        <v>40</v>
      </c>
      <c r="N283">
        <v>2.3575670598559563E-2</v>
      </c>
      <c r="O283" t="s">
        <v>6</v>
      </c>
    </row>
    <row r="284" spans="2:15" x14ac:dyDescent="0.45">
      <c r="B284" t="s">
        <v>430</v>
      </c>
      <c r="C284" t="s">
        <v>41</v>
      </c>
      <c r="D284">
        <v>2.9701303845325048E-2</v>
      </c>
      <c r="E284" t="s">
        <v>6</v>
      </c>
      <c r="G284" t="s">
        <v>431</v>
      </c>
      <c r="H284" t="s">
        <v>41</v>
      </c>
      <c r="I284">
        <v>2.0592777501305636E-2</v>
      </c>
      <c r="J284" t="s">
        <v>6</v>
      </c>
      <c r="L284" t="s">
        <v>432</v>
      </c>
      <c r="M284" t="s">
        <v>41</v>
      </c>
      <c r="N284">
        <v>2.3036204151886567E-2</v>
      </c>
      <c r="O284" t="s">
        <v>6</v>
      </c>
    </row>
    <row r="285" spans="2:15" x14ac:dyDescent="0.45">
      <c r="B285" t="s">
        <v>430</v>
      </c>
      <c r="C285" t="s">
        <v>42</v>
      </c>
      <c r="D285">
        <v>5.1931912508993303E-2</v>
      </c>
      <c r="E285" t="s">
        <v>6</v>
      </c>
      <c r="G285" t="s">
        <v>431</v>
      </c>
      <c r="H285" t="s">
        <v>42</v>
      </c>
      <c r="I285">
        <v>1.727852696161011E-2</v>
      </c>
      <c r="J285" t="s">
        <v>6</v>
      </c>
      <c r="L285" t="s">
        <v>432</v>
      </c>
      <c r="M285" t="s">
        <v>42</v>
      </c>
      <c r="N285">
        <v>2.2056410880395148E-2</v>
      </c>
      <c r="O285" t="s">
        <v>6</v>
      </c>
    </row>
    <row r="286" spans="2:15" x14ac:dyDescent="0.45">
      <c r="B286" t="s">
        <v>430</v>
      </c>
      <c r="C286" t="s">
        <v>43</v>
      </c>
      <c r="D286">
        <v>5.2965600171747666E-2</v>
      </c>
      <c r="E286" t="s">
        <v>6</v>
      </c>
      <c r="G286" t="s">
        <v>431</v>
      </c>
      <c r="H286" t="s">
        <v>43</v>
      </c>
      <c r="I286">
        <v>1.9341019530707926E-2</v>
      </c>
      <c r="J286" t="s">
        <v>6</v>
      </c>
      <c r="L286" t="s">
        <v>432</v>
      </c>
      <c r="M286" t="s">
        <v>43</v>
      </c>
      <c r="N286">
        <v>2.2869756595755786E-2</v>
      </c>
      <c r="O286" t="s">
        <v>6</v>
      </c>
    </row>
    <row r="287" spans="2:15" x14ac:dyDescent="0.45">
      <c r="B287" t="s">
        <v>430</v>
      </c>
      <c r="C287" t="s">
        <v>44</v>
      </c>
      <c r="D287">
        <v>3.1292581616209424E-2</v>
      </c>
      <c r="E287" t="s">
        <v>6</v>
      </c>
      <c r="G287" t="s">
        <v>431</v>
      </c>
      <c r="H287" t="s">
        <v>44</v>
      </c>
      <c r="I287">
        <v>2.1768287742306356E-2</v>
      </c>
      <c r="J287" t="s">
        <v>6</v>
      </c>
      <c r="L287" t="s">
        <v>432</v>
      </c>
      <c r="M287" t="s">
        <v>44</v>
      </c>
      <c r="N287">
        <v>2.3930682048295571E-2</v>
      </c>
      <c r="O287" t="s">
        <v>6</v>
      </c>
    </row>
    <row r="288" spans="2:15" x14ac:dyDescent="0.45">
      <c r="B288" t="s">
        <v>430</v>
      </c>
      <c r="C288" t="s">
        <v>45</v>
      </c>
      <c r="D288">
        <v>5.9519896031107935E-3</v>
      </c>
      <c r="E288" t="s">
        <v>6</v>
      </c>
      <c r="G288" t="s">
        <v>431</v>
      </c>
      <c r="H288" t="s">
        <v>45</v>
      </c>
      <c r="I288">
        <v>2.4064271316253053E-2</v>
      </c>
      <c r="J288" t="s">
        <v>6</v>
      </c>
      <c r="L288" t="s">
        <v>432</v>
      </c>
      <c r="M288" t="s">
        <v>45</v>
      </c>
      <c r="N288">
        <v>2.4558984076549044E-2</v>
      </c>
      <c r="O288" t="s">
        <v>6</v>
      </c>
    </row>
    <row r="289" spans="2:15" x14ac:dyDescent="0.45">
      <c r="B289" t="s">
        <v>430</v>
      </c>
      <c r="C289" t="s">
        <v>46</v>
      </c>
      <c r="D289">
        <v>1.7500521137874233E-5</v>
      </c>
      <c r="E289" t="s">
        <v>6</v>
      </c>
      <c r="G289" t="s">
        <v>431</v>
      </c>
      <c r="H289" t="s">
        <v>46</v>
      </c>
      <c r="I289">
        <v>2.6999787337993374E-2</v>
      </c>
      <c r="J289" t="s">
        <v>6</v>
      </c>
      <c r="L289" t="s">
        <v>432</v>
      </c>
      <c r="M289" t="s">
        <v>46</v>
      </c>
      <c r="N289">
        <v>2.6228444838846652E-2</v>
      </c>
      <c r="O289" t="s">
        <v>6</v>
      </c>
    </row>
    <row r="290" spans="2:15" x14ac:dyDescent="0.45">
      <c r="B290" t="s">
        <v>430</v>
      </c>
      <c r="C290" t="s">
        <v>47</v>
      </c>
      <c r="D290">
        <v>0</v>
      </c>
      <c r="E290" t="s">
        <v>6</v>
      </c>
      <c r="G290" t="s">
        <v>431</v>
      </c>
      <c r="H290" t="s">
        <v>47</v>
      </c>
      <c r="I290">
        <v>3.8411235159151444E-2</v>
      </c>
      <c r="J290" t="s">
        <v>6</v>
      </c>
      <c r="L290" t="s">
        <v>432</v>
      </c>
      <c r="M290" t="s">
        <v>47</v>
      </c>
      <c r="N290">
        <v>3.8076787320491134E-2</v>
      </c>
      <c r="O290" t="s">
        <v>6</v>
      </c>
    </row>
    <row r="291" spans="2:15" x14ac:dyDescent="0.45">
      <c r="B291" t="s">
        <v>433</v>
      </c>
      <c r="C291" t="s">
        <v>5</v>
      </c>
      <c r="D291">
        <v>0</v>
      </c>
      <c r="E291" t="s">
        <v>6</v>
      </c>
      <c r="G291" t="s">
        <v>434</v>
      </c>
      <c r="H291" t="s">
        <v>5</v>
      </c>
      <c r="I291">
        <v>6.901011898729946E-2</v>
      </c>
      <c r="J291" t="s">
        <v>6</v>
      </c>
      <c r="L291" t="s">
        <v>435</v>
      </c>
      <c r="M291" t="s">
        <v>5</v>
      </c>
      <c r="N291">
        <v>6.7719182051053886E-2</v>
      </c>
      <c r="O291" t="s">
        <v>6</v>
      </c>
    </row>
    <row r="292" spans="2:15" x14ac:dyDescent="0.45">
      <c r="B292" t="s">
        <v>433</v>
      </c>
      <c r="C292" t="s">
        <v>9</v>
      </c>
      <c r="D292">
        <v>0</v>
      </c>
      <c r="E292" t="s">
        <v>6</v>
      </c>
      <c r="G292" t="s">
        <v>434</v>
      </c>
      <c r="H292" t="s">
        <v>9</v>
      </c>
      <c r="I292">
        <v>2.7604600994729837E-2</v>
      </c>
      <c r="J292" t="s">
        <v>6</v>
      </c>
      <c r="L292" t="s">
        <v>435</v>
      </c>
      <c r="M292" t="s">
        <v>9</v>
      </c>
      <c r="N292">
        <v>2.7636851489804985E-2</v>
      </c>
      <c r="O292" t="s">
        <v>6</v>
      </c>
    </row>
    <row r="293" spans="2:15" x14ac:dyDescent="0.45">
      <c r="B293" t="s">
        <v>433</v>
      </c>
      <c r="C293" t="s">
        <v>10</v>
      </c>
      <c r="D293">
        <v>1.0212940252591596E-4</v>
      </c>
      <c r="E293" t="s">
        <v>6</v>
      </c>
      <c r="G293" t="s">
        <v>434</v>
      </c>
      <c r="H293" t="s">
        <v>10</v>
      </c>
      <c r="I293">
        <v>2.7426479289116467E-2</v>
      </c>
      <c r="J293" t="s">
        <v>6</v>
      </c>
      <c r="L293" t="s">
        <v>435</v>
      </c>
      <c r="M293" t="s">
        <v>10</v>
      </c>
      <c r="N293">
        <v>2.7596083582345565E-2</v>
      </c>
      <c r="O293" t="s">
        <v>6</v>
      </c>
    </row>
    <row r="294" spans="2:15" x14ac:dyDescent="0.45">
      <c r="B294" t="s">
        <v>433</v>
      </c>
      <c r="C294" t="s">
        <v>11</v>
      </c>
      <c r="D294">
        <v>8.8069332344262469E-3</v>
      </c>
      <c r="E294" t="s">
        <v>6</v>
      </c>
      <c r="G294" t="s">
        <v>434</v>
      </c>
      <c r="H294" t="s">
        <v>11</v>
      </c>
      <c r="I294">
        <v>2.6727383363818587E-2</v>
      </c>
      <c r="J294" t="s">
        <v>6</v>
      </c>
      <c r="L294" t="s">
        <v>435</v>
      </c>
      <c r="M294" t="s">
        <v>11</v>
      </c>
      <c r="N294">
        <v>2.7430972814502855E-2</v>
      </c>
      <c r="O294" t="s">
        <v>6</v>
      </c>
    </row>
    <row r="295" spans="2:15" x14ac:dyDescent="0.45">
      <c r="B295" t="s">
        <v>433</v>
      </c>
      <c r="C295" t="s">
        <v>12</v>
      </c>
      <c r="D295">
        <v>2.7660403342209022E-2</v>
      </c>
      <c r="E295" t="s">
        <v>6</v>
      </c>
      <c r="G295" t="s">
        <v>434</v>
      </c>
      <c r="H295" t="s">
        <v>12</v>
      </c>
      <c r="I295">
        <v>2.1588798128218876E-2</v>
      </c>
      <c r="J295" t="s">
        <v>6</v>
      </c>
      <c r="L295" t="s">
        <v>435</v>
      </c>
      <c r="M295" t="s">
        <v>12</v>
      </c>
      <c r="N295">
        <v>2.5735878466813609E-2</v>
      </c>
      <c r="O295" t="s">
        <v>6</v>
      </c>
    </row>
    <row r="296" spans="2:15" x14ac:dyDescent="0.45">
      <c r="B296" t="s">
        <v>433</v>
      </c>
      <c r="C296" t="s">
        <v>13</v>
      </c>
      <c r="D296">
        <v>3.1611084802852726E-2</v>
      </c>
      <c r="E296" t="s">
        <v>6</v>
      </c>
      <c r="G296" t="s">
        <v>434</v>
      </c>
      <c r="H296" t="s">
        <v>13</v>
      </c>
      <c r="I296">
        <v>2.3185347771213897E-2</v>
      </c>
      <c r="J296" t="s">
        <v>6</v>
      </c>
      <c r="L296" t="s">
        <v>435</v>
      </c>
      <c r="M296" t="s">
        <v>13</v>
      </c>
      <c r="N296">
        <v>2.6402450402724133E-2</v>
      </c>
      <c r="O296" t="s">
        <v>6</v>
      </c>
    </row>
    <row r="297" spans="2:15" x14ac:dyDescent="0.45">
      <c r="B297" t="s">
        <v>433</v>
      </c>
      <c r="C297" t="s">
        <v>14</v>
      </c>
      <c r="D297">
        <v>1.729497306353469E-2</v>
      </c>
      <c r="E297" t="s">
        <v>6</v>
      </c>
      <c r="G297" t="s">
        <v>434</v>
      </c>
      <c r="H297" t="s">
        <v>14</v>
      </c>
      <c r="I297">
        <v>2.4541552575762217E-2</v>
      </c>
      <c r="J297" t="s">
        <v>6</v>
      </c>
      <c r="L297" t="s">
        <v>435</v>
      </c>
      <c r="M297" t="s">
        <v>14</v>
      </c>
      <c r="N297">
        <v>2.6679403996202642E-2</v>
      </c>
      <c r="O297" t="s">
        <v>6</v>
      </c>
    </row>
    <row r="298" spans="2:15" x14ac:dyDescent="0.45">
      <c r="B298" t="s">
        <v>433</v>
      </c>
      <c r="C298" t="s">
        <v>15</v>
      </c>
      <c r="D298">
        <v>1.4897395566557388E-3</v>
      </c>
      <c r="E298" t="s">
        <v>6</v>
      </c>
      <c r="G298" t="s">
        <v>434</v>
      </c>
      <c r="H298" t="s">
        <v>15</v>
      </c>
      <c r="I298">
        <v>2.6504173254308344E-2</v>
      </c>
      <c r="J298" t="s">
        <v>6</v>
      </c>
      <c r="L298" t="s">
        <v>435</v>
      </c>
      <c r="M298" t="s">
        <v>15</v>
      </c>
      <c r="N298">
        <v>2.7577384875996393E-2</v>
      </c>
      <c r="O298" t="s">
        <v>6</v>
      </c>
    </row>
    <row r="299" spans="2:15" x14ac:dyDescent="0.45">
      <c r="B299" t="s">
        <v>433</v>
      </c>
      <c r="C299" t="s">
        <v>16</v>
      </c>
      <c r="D299">
        <v>0</v>
      </c>
      <c r="E299" t="s">
        <v>6</v>
      </c>
      <c r="G299" t="s">
        <v>434</v>
      </c>
      <c r="H299" t="s">
        <v>16</v>
      </c>
      <c r="I299">
        <v>2.8169552360436549E-2</v>
      </c>
      <c r="J299" t="s">
        <v>6</v>
      </c>
      <c r="L299" t="s">
        <v>435</v>
      </c>
      <c r="M299" t="s">
        <v>16</v>
      </c>
      <c r="N299">
        <v>2.7965937041809108E-2</v>
      </c>
      <c r="O299" t="s">
        <v>6</v>
      </c>
    </row>
    <row r="300" spans="2:15" x14ac:dyDescent="0.45">
      <c r="B300" t="s">
        <v>433</v>
      </c>
      <c r="C300" t="s">
        <v>17</v>
      </c>
      <c r="D300">
        <v>0</v>
      </c>
      <c r="E300" t="s">
        <v>6</v>
      </c>
      <c r="G300" t="s">
        <v>434</v>
      </c>
      <c r="H300" t="s">
        <v>17</v>
      </c>
      <c r="I300">
        <v>4.1577306031611236E-2</v>
      </c>
      <c r="J300" t="s">
        <v>6</v>
      </c>
      <c r="L300" t="s">
        <v>435</v>
      </c>
      <c r="M300" t="s">
        <v>17</v>
      </c>
      <c r="N300">
        <v>4.0955269046823915E-2</v>
      </c>
      <c r="O300" t="s">
        <v>6</v>
      </c>
    </row>
    <row r="301" spans="2:15" x14ac:dyDescent="0.45">
      <c r="B301" t="s">
        <v>433</v>
      </c>
      <c r="C301" t="s">
        <v>18</v>
      </c>
      <c r="D301">
        <v>0</v>
      </c>
      <c r="E301" t="s">
        <v>6</v>
      </c>
      <c r="G301" t="s">
        <v>434</v>
      </c>
      <c r="H301" t="s">
        <v>18</v>
      </c>
      <c r="I301">
        <v>5.3058341274874646E-2</v>
      </c>
      <c r="J301" t="s">
        <v>6</v>
      </c>
      <c r="L301" t="s">
        <v>435</v>
      </c>
      <c r="M301" t="s">
        <v>18</v>
      </c>
      <c r="N301">
        <v>5.0243724804193403E-2</v>
      </c>
      <c r="O301" t="s">
        <v>6</v>
      </c>
    </row>
    <row r="302" spans="2:15" x14ac:dyDescent="0.45">
      <c r="B302" t="s">
        <v>433</v>
      </c>
      <c r="C302" t="s">
        <v>19</v>
      </c>
      <c r="D302">
        <v>9.6712207675645335E-4</v>
      </c>
      <c r="E302" t="s">
        <v>6</v>
      </c>
      <c r="G302" t="s">
        <v>434</v>
      </c>
      <c r="H302" t="s">
        <v>19</v>
      </c>
      <c r="I302">
        <v>2.2002446816797531E-2</v>
      </c>
      <c r="J302" t="s">
        <v>6</v>
      </c>
      <c r="L302" t="s">
        <v>435</v>
      </c>
      <c r="M302" t="s">
        <v>19</v>
      </c>
      <c r="N302">
        <v>2.0251305122306978E-2</v>
      </c>
      <c r="O302" t="s">
        <v>6</v>
      </c>
    </row>
    <row r="303" spans="2:15" x14ac:dyDescent="0.45">
      <c r="B303" t="s">
        <v>433</v>
      </c>
      <c r="C303" t="s">
        <v>20</v>
      </c>
      <c r="D303">
        <v>1.8854889476805133E-2</v>
      </c>
      <c r="E303" t="s">
        <v>6</v>
      </c>
      <c r="G303" t="s">
        <v>434</v>
      </c>
      <c r="H303" t="s">
        <v>20</v>
      </c>
      <c r="I303">
        <v>2.1275281826000306E-2</v>
      </c>
      <c r="J303" t="s">
        <v>6</v>
      </c>
      <c r="L303" t="s">
        <v>435</v>
      </c>
      <c r="M303" t="s">
        <v>20</v>
      </c>
      <c r="N303">
        <v>1.8868774341722856E-2</v>
      </c>
      <c r="O303" t="s">
        <v>6</v>
      </c>
    </row>
    <row r="304" spans="2:15" x14ac:dyDescent="0.45">
      <c r="B304" t="s">
        <v>433</v>
      </c>
      <c r="C304" t="s">
        <v>21</v>
      </c>
      <c r="D304">
        <v>5.9571224310967667E-2</v>
      </c>
      <c r="E304" t="s">
        <v>6</v>
      </c>
      <c r="G304" t="s">
        <v>434</v>
      </c>
      <c r="H304" t="s">
        <v>21</v>
      </c>
      <c r="I304">
        <v>2.0874075071618065E-2</v>
      </c>
      <c r="J304" t="s">
        <v>6</v>
      </c>
      <c r="L304" t="s">
        <v>435</v>
      </c>
      <c r="M304" t="s">
        <v>21</v>
      </c>
      <c r="N304">
        <v>1.8770467561298135E-2</v>
      </c>
      <c r="O304" t="s">
        <v>6</v>
      </c>
    </row>
    <row r="305" spans="2:15" x14ac:dyDescent="0.45">
      <c r="B305" t="s">
        <v>433</v>
      </c>
      <c r="C305" t="s">
        <v>22</v>
      </c>
      <c r="D305">
        <v>8.6420661183551392E-2</v>
      </c>
      <c r="E305" t="s">
        <v>6</v>
      </c>
      <c r="G305" t="s">
        <v>434</v>
      </c>
      <c r="H305" t="s">
        <v>22</v>
      </c>
      <c r="I305">
        <v>1.6117180944086425E-2</v>
      </c>
      <c r="J305" t="s">
        <v>6</v>
      </c>
      <c r="L305" t="s">
        <v>435</v>
      </c>
      <c r="M305" t="s">
        <v>22</v>
      </c>
      <c r="N305">
        <v>1.8219201338853325E-2</v>
      </c>
      <c r="O305" t="s">
        <v>6</v>
      </c>
    </row>
    <row r="306" spans="2:15" x14ac:dyDescent="0.45">
      <c r="B306" t="s">
        <v>433</v>
      </c>
      <c r="C306" t="s">
        <v>23</v>
      </c>
      <c r="D306">
        <v>8.9470646069150242E-2</v>
      </c>
      <c r="E306" t="s">
        <v>6</v>
      </c>
      <c r="G306" t="s">
        <v>434</v>
      </c>
      <c r="H306" t="s">
        <v>23</v>
      </c>
      <c r="I306">
        <v>1.8406754632427469E-2</v>
      </c>
      <c r="J306" t="s">
        <v>6</v>
      </c>
      <c r="L306" t="s">
        <v>435</v>
      </c>
      <c r="M306" t="s">
        <v>23</v>
      </c>
      <c r="N306">
        <v>1.985170193880776E-2</v>
      </c>
      <c r="O306" t="s">
        <v>6</v>
      </c>
    </row>
    <row r="307" spans="2:15" x14ac:dyDescent="0.45">
      <c r="B307" t="s">
        <v>433</v>
      </c>
      <c r="C307" t="s">
        <v>24</v>
      </c>
      <c r="D307">
        <v>6.5618389505156499E-2</v>
      </c>
      <c r="E307" t="s">
        <v>6</v>
      </c>
      <c r="G307" t="s">
        <v>434</v>
      </c>
      <c r="H307" t="s">
        <v>24</v>
      </c>
      <c r="I307">
        <v>1.9936785737702929E-2</v>
      </c>
      <c r="J307" t="s">
        <v>6</v>
      </c>
      <c r="L307" t="s">
        <v>435</v>
      </c>
      <c r="M307" t="s">
        <v>24</v>
      </c>
      <c r="N307">
        <v>1.982840414277692E-2</v>
      </c>
      <c r="O307" t="s">
        <v>6</v>
      </c>
    </row>
    <row r="308" spans="2:15" x14ac:dyDescent="0.45">
      <c r="B308" t="s">
        <v>433</v>
      </c>
      <c r="C308" t="s">
        <v>25</v>
      </c>
      <c r="D308">
        <v>2.5253710516944531E-2</v>
      </c>
      <c r="E308" t="s">
        <v>6</v>
      </c>
      <c r="G308" t="s">
        <v>434</v>
      </c>
      <c r="H308" t="s">
        <v>25</v>
      </c>
      <c r="I308">
        <v>1.9476182287380312E-2</v>
      </c>
      <c r="J308" t="s">
        <v>6</v>
      </c>
      <c r="L308" t="s">
        <v>435</v>
      </c>
      <c r="M308" t="s">
        <v>25</v>
      </c>
      <c r="N308">
        <v>1.8706584166044423E-2</v>
      </c>
      <c r="O308" t="s">
        <v>6</v>
      </c>
    </row>
    <row r="309" spans="2:15" x14ac:dyDescent="0.45">
      <c r="B309" t="s">
        <v>433</v>
      </c>
      <c r="C309" t="s">
        <v>26</v>
      </c>
      <c r="D309">
        <v>1.4899906427346626E-3</v>
      </c>
      <c r="E309" t="s">
        <v>6</v>
      </c>
      <c r="G309" t="s">
        <v>434</v>
      </c>
      <c r="H309" t="s">
        <v>26</v>
      </c>
      <c r="I309">
        <v>2.0617218601627879E-2</v>
      </c>
      <c r="J309" t="s">
        <v>6</v>
      </c>
      <c r="L309" t="s">
        <v>435</v>
      </c>
      <c r="M309" t="s">
        <v>26</v>
      </c>
      <c r="N309">
        <v>1.9631051771049499E-2</v>
      </c>
      <c r="O309" t="s">
        <v>6</v>
      </c>
    </row>
    <row r="310" spans="2:15" x14ac:dyDescent="0.45">
      <c r="B310" t="s">
        <v>433</v>
      </c>
      <c r="C310" t="s">
        <v>27</v>
      </c>
      <c r="D310">
        <v>0</v>
      </c>
      <c r="E310" t="s">
        <v>6</v>
      </c>
      <c r="G310" t="s">
        <v>434</v>
      </c>
      <c r="H310" t="s">
        <v>27</v>
      </c>
      <c r="I310">
        <v>3.2755111287028793E-2</v>
      </c>
      <c r="J310" t="s">
        <v>6</v>
      </c>
      <c r="L310" t="s">
        <v>435</v>
      </c>
      <c r="M310" t="s">
        <v>27</v>
      </c>
      <c r="N310">
        <v>3.0369134787493778E-2</v>
      </c>
      <c r="O310" t="s">
        <v>6</v>
      </c>
    </row>
    <row r="311" spans="2:15" x14ac:dyDescent="0.45">
      <c r="B311" t="s">
        <v>433</v>
      </c>
      <c r="C311" t="s">
        <v>28</v>
      </c>
      <c r="D311">
        <v>0</v>
      </c>
      <c r="E311" t="s">
        <v>6</v>
      </c>
      <c r="G311" t="s">
        <v>434</v>
      </c>
      <c r="H311" t="s">
        <v>28</v>
      </c>
      <c r="I311">
        <v>3.8066533745926459E-2</v>
      </c>
      <c r="J311" t="s">
        <v>6</v>
      </c>
      <c r="L311" t="s">
        <v>435</v>
      </c>
      <c r="M311" t="s">
        <v>28</v>
      </c>
      <c r="N311">
        <v>3.5575648245617146E-2</v>
      </c>
      <c r="O311" t="s">
        <v>6</v>
      </c>
    </row>
    <row r="312" spans="2:15" x14ac:dyDescent="0.45">
      <c r="B312" t="s">
        <v>433</v>
      </c>
      <c r="C312" t="s">
        <v>29</v>
      </c>
      <c r="D312">
        <v>2.4661136060573005E-3</v>
      </c>
      <c r="E312" t="s">
        <v>6</v>
      </c>
      <c r="G312" t="s">
        <v>434</v>
      </c>
      <c r="H312" t="s">
        <v>29</v>
      </c>
      <c r="I312">
        <v>1.3580678636510583E-2</v>
      </c>
      <c r="J312" t="s">
        <v>6</v>
      </c>
      <c r="L312" t="s">
        <v>435</v>
      </c>
      <c r="M312" t="s">
        <v>29</v>
      </c>
      <c r="N312">
        <v>1.3531986523352746E-2</v>
      </c>
      <c r="O312" t="s">
        <v>6</v>
      </c>
    </row>
    <row r="313" spans="2:15" x14ac:dyDescent="0.45">
      <c r="B313" t="s">
        <v>433</v>
      </c>
      <c r="C313" t="s">
        <v>30</v>
      </c>
      <c r="D313">
        <v>2.5765821019227402E-2</v>
      </c>
      <c r="E313" t="s">
        <v>6</v>
      </c>
      <c r="G313" t="s">
        <v>434</v>
      </c>
      <c r="H313" t="s">
        <v>30</v>
      </c>
      <c r="I313">
        <v>1.1103493249351171E-2</v>
      </c>
      <c r="J313" t="s">
        <v>6</v>
      </c>
      <c r="L313" t="s">
        <v>435</v>
      </c>
      <c r="M313" t="s">
        <v>30</v>
      </c>
      <c r="N313">
        <v>1.3252063000233521E-2</v>
      </c>
      <c r="O313" t="s">
        <v>6</v>
      </c>
    </row>
    <row r="314" spans="2:15" x14ac:dyDescent="0.45">
      <c r="B314" t="s">
        <v>433</v>
      </c>
      <c r="C314" t="s">
        <v>31</v>
      </c>
      <c r="D314">
        <v>6.4865459633118697E-2</v>
      </c>
      <c r="E314" t="s">
        <v>6</v>
      </c>
      <c r="G314" t="s">
        <v>434</v>
      </c>
      <c r="H314" t="s">
        <v>31</v>
      </c>
      <c r="I314">
        <v>1.0385311052528691E-2</v>
      </c>
      <c r="J314" t="s">
        <v>6</v>
      </c>
      <c r="L314" t="s">
        <v>435</v>
      </c>
      <c r="M314" t="s">
        <v>31</v>
      </c>
      <c r="N314">
        <v>1.3371775828759569E-2</v>
      </c>
      <c r="O314" t="s">
        <v>6</v>
      </c>
    </row>
    <row r="315" spans="2:15" x14ac:dyDescent="0.45">
      <c r="B315" t="s">
        <v>433</v>
      </c>
      <c r="C315" t="s">
        <v>32</v>
      </c>
      <c r="D315">
        <v>9.0780139439969071E-2</v>
      </c>
      <c r="E315" t="s">
        <v>6</v>
      </c>
      <c r="G315" t="s">
        <v>434</v>
      </c>
      <c r="H315" t="s">
        <v>32</v>
      </c>
      <c r="I315">
        <v>9.2364780390824588E-3</v>
      </c>
      <c r="J315" t="s">
        <v>6</v>
      </c>
      <c r="L315" t="s">
        <v>435</v>
      </c>
      <c r="M315" t="s">
        <v>32</v>
      </c>
      <c r="N315">
        <v>1.2777011605278631E-2</v>
      </c>
      <c r="O315" t="s">
        <v>6</v>
      </c>
    </row>
    <row r="316" spans="2:15" x14ac:dyDescent="0.45">
      <c r="B316" t="s">
        <v>433</v>
      </c>
      <c r="C316" t="s">
        <v>33</v>
      </c>
      <c r="D316">
        <v>9.2288458175846688E-2</v>
      </c>
      <c r="E316" t="s">
        <v>6</v>
      </c>
      <c r="G316" t="s">
        <v>434</v>
      </c>
      <c r="H316" t="s">
        <v>33</v>
      </c>
      <c r="I316">
        <v>1.0941497841139966E-2</v>
      </c>
      <c r="J316" t="s">
        <v>6</v>
      </c>
      <c r="L316" t="s">
        <v>435</v>
      </c>
      <c r="M316" t="s">
        <v>33</v>
      </c>
      <c r="N316">
        <v>1.4541904186358357E-2</v>
      </c>
      <c r="O316" t="s">
        <v>6</v>
      </c>
    </row>
    <row r="317" spans="2:15" x14ac:dyDescent="0.45">
      <c r="B317" t="s">
        <v>433</v>
      </c>
      <c r="C317" t="s">
        <v>34</v>
      </c>
      <c r="D317">
        <v>7.1623652795929429E-2</v>
      </c>
      <c r="E317" t="s">
        <v>6</v>
      </c>
      <c r="G317" t="s">
        <v>434</v>
      </c>
      <c r="H317" t="s">
        <v>34</v>
      </c>
      <c r="I317">
        <v>1.18866350896256E-2</v>
      </c>
      <c r="J317" t="s">
        <v>6</v>
      </c>
      <c r="L317" t="s">
        <v>435</v>
      </c>
      <c r="M317" t="s">
        <v>34</v>
      </c>
      <c r="N317">
        <v>1.5096638311226259E-2</v>
      </c>
      <c r="O317" t="s">
        <v>6</v>
      </c>
    </row>
    <row r="318" spans="2:15" x14ac:dyDescent="0.45">
      <c r="B318" t="s">
        <v>433</v>
      </c>
      <c r="C318" t="s">
        <v>35</v>
      </c>
      <c r="D318">
        <v>3.4616977750965727E-2</v>
      </c>
      <c r="E318" t="s">
        <v>6</v>
      </c>
      <c r="G318" t="s">
        <v>434</v>
      </c>
      <c r="H318" t="s">
        <v>35</v>
      </c>
      <c r="I318">
        <v>1.1685943784852352E-2</v>
      </c>
      <c r="J318" t="s">
        <v>6</v>
      </c>
      <c r="L318" t="s">
        <v>435</v>
      </c>
      <c r="M318" t="s">
        <v>35</v>
      </c>
      <c r="N318">
        <v>1.3944310852635878E-2</v>
      </c>
      <c r="O318" t="s">
        <v>6</v>
      </c>
    </row>
    <row r="319" spans="2:15" x14ac:dyDescent="0.45">
      <c r="B319" t="s">
        <v>433</v>
      </c>
      <c r="C319" t="s">
        <v>36</v>
      </c>
      <c r="D319">
        <v>4.565006180440717E-3</v>
      </c>
      <c r="E319" t="s">
        <v>6</v>
      </c>
      <c r="G319" t="s">
        <v>434</v>
      </c>
      <c r="H319" t="s">
        <v>36</v>
      </c>
      <c r="I319">
        <v>1.283129138564219E-2</v>
      </c>
      <c r="J319" t="s">
        <v>6</v>
      </c>
      <c r="L319" t="s">
        <v>435</v>
      </c>
      <c r="M319" t="s">
        <v>36</v>
      </c>
      <c r="N319">
        <v>1.3916013962486965E-2</v>
      </c>
      <c r="O319" t="s">
        <v>6</v>
      </c>
    </row>
    <row r="320" spans="2:15" x14ac:dyDescent="0.45">
      <c r="B320" t="s">
        <v>433</v>
      </c>
      <c r="C320" t="s">
        <v>37</v>
      </c>
      <c r="D320">
        <v>1.0436153984212803E-5</v>
      </c>
      <c r="E320" t="s">
        <v>6</v>
      </c>
      <c r="G320" t="s">
        <v>434</v>
      </c>
      <c r="H320" t="s">
        <v>37</v>
      </c>
      <c r="I320">
        <v>2.3714652057745315E-2</v>
      </c>
      <c r="J320" t="s">
        <v>6</v>
      </c>
      <c r="L320" t="s">
        <v>435</v>
      </c>
      <c r="M320" t="s">
        <v>37</v>
      </c>
      <c r="N320">
        <v>2.2070189485627986E-2</v>
      </c>
      <c r="O320" t="s">
        <v>6</v>
      </c>
    </row>
    <row r="321" spans="2:15" x14ac:dyDescent="0.45">
      <c r="B321" t="s">
        <v>433</v>
      </c>
      <c r="C321" t="s">
        <v>38</v>
      </c>
      <c r="D321">
        <v>0</v>
      </c>
      <c r="E321" t="s">
        <v>6</v>
      </c>
      <c r="G321" t="s">
        <v>434</v>
      </c>
      <c r="H321" t="s">
        <v>38</v>
      </c>
      <c r="I321">
        <v>6.372211779245579E-2</v>
      </c>
      <c r="J321" t="s">
        <v>6</v>
      </c>
      <c r="L321" t="s">
        <v>435</v>
      </c>
      <c r="M321" t="s">
        <v>38</v>
      </c>
      <c r="N321">
        <v>5.5677531676528953E-2</v>
      </c>
      <c r="O321" t="s">
        <v>6</v>
      </c>
    </row>
    <row r="322" spans="2:15" x14ac:dyDescent="0.45">
      <c r="B322" t="s">
        <v>433</v>
      </c>
      <c r="C322" t="s">
        <v>39</v>
      </c>
      <c r="D322">
        <v>8.662001934450035E-7</v>
      </c>
      <c r="E322" t="s">
        <v>6</v>
      </c>
      <c r="G322" t="s">
        <v>434</v>
      </c>
      <c r="H322" t="s">
        <v>39</v>
      </c>
      <c r="I322">
        <v>2.502641886214467E-2</v>
      </c>
      <c r="J322" t="s">
        <v>6</v>
      </c>
      <c r="L322" t="s">
        <v>435</v>
      </c>
      <c r="M322" t="s">
        <v>39</v>
      </c>
      <c r="N322">
        <v>2.2820329885722496E-2</v>
      </c>
      <c r="O322" t="s">
        <v>6</v>
      </c>
    </row>
    <row r="323" spans="2:15" x14ac:dyDescent="0.45">
      <c r="B323" t="s">
        <v>433</v>
      </c>
      <c r="C323" t="s">
        <v>40</v>
      </c>
      <c r="D323">
        <v>5.0875963816171856E-3</v>
      </c>
      <c r="E323" t="s">
        <v>6</v>
      </c>
      <c r="G323" t="s">
        <v>434</v>
      </c>
      <c r="H323" t="s">
        <v>40</v>
      </c>
      <c r="I323">
        <v>2.4260060123930827E-2</v>
      </c>
      <c r="J323" t="s">
        <v>6</v>
      </c>
      <c r="L323" t="s">
        <v>435</v>
      </c>
      <c r="M323" t="s">
        <v>40</v>
      </c>
      <c r="N323">
        <v>2.3320041005246463E-2</v>
      </c>
      <c r="O323" t="s">
        <v>6</v>
      </c>
    </row>
    <row r="324" spans="2:15" x14ac:dyDescent="0.45">
      <c r="B324" t="s">
        <v>433</v>
      </c>
      <c r="C324" t="s">
        <v>41</v>
      </c>
      <c r="D324">
        <v>3.0432221543732475E-2</v>
      </c>
      <c r="E324" t="s">
        <v>6</v>
      </c>
      <c r="G324" t="s">
        <v>434</v>
      </c>
      <c r="H324" t="s">
        <v>41</v>
      </c>
      <c r="I324">
        <v>2.3044243061137216E-2</v>
      </c>
      <c r="J324" t="s">
        <v>6</v>
      </c>
      <c r="L324" t="s">
        <v>435</v>
      </c>
      <c r="M324" t="s">
        <v>41</v>
      </c>
      <c r="N324">
        <v>2.309386277684744E-2</v>
      </c>
      <c r="O324" t="s">
        <v>6</v>
      </c>
    </row>
    <row r="325" spans="2:15" x14ac:dyDescent="0.45">
      <c r="B325" t="s">
        <v>433</v>
      </c>
      <c r="C325" t="s">
        <v>42</v>
      </c>
      <c r="D325">
        <v>5.3199515579270808E-2</v>
      </c>
      <c r="E325" t="s">
        <v>6</v>
      </c>
      <c r="G325" t="s">
        <v>434</v>
      </c>
      <c r="H325" t="s">
        <v>42</v>
      </c>
      <c r="I325">
        <v>1.8814710635216135E-2</v>
      </c>
      <c r="J325" t="s">
        <v>6</v>
      </c>
      <c r="L325" t="s">
        <v>435</v>
      </c>
      <c r="M325" t="s">
        <v>42</v>
      </c>
      <c r="N325">
        <v>2.118568793745183E-2</v>
      </c>
      <c r="O325" t="s">
        <v>6</v>
      </c>
    </row>
    <row r="326" spans="2:15" x14ac:dyDescent="0.45">
      <c r="B326" t="s">
        <v>433</v>
      </c>
      <c r="C326" t="s">
        <v>43</v>
      </c>
      <c r="D326">
        <v>5.3020246437579112E-2</v>
      </c>
      <c r="E326" t="s">
        <v>6</v>
      </c>
      <c r="G326" t="s">
        <v>434</v>
      </c>
      <c r="H326" t="s">
        <v>43</v>
      </c>
      <c r="I326">
        <v>2.1008625826180235E-2</v>
      </c>
      <c r="J326" t="s">
        <v>6</v>
      </c>
      <c r="L326" t="s">
        <v>435</v>
      </c>
      <c r="M326" t="s">
        <v>43</v>
      </c>
      <c r="N326">
        <v>2.2440463273104973E-2</v>
      </c>
      <c r="O326" t="s">
        <v>6</v>
      </c>
    </row>
    <row r="327" spans="2:15" x14ac:dyDescent="0.45">
      <c r="B327" t="s">
        <v>433</v>
      </c>
      <c r="C327" t="s">
        <v>44</v>
      </c>
      <c r="D327">
        <v>3.0867616231358294E-2</v>
      </c>
      <c r="E327" t="s">
        <v>6</v>
      </c>
      <c r="G327" t="s">
        <v>434</v>
      </c>
      <c r="H327" t="s">
        <v>44</v>
      </c>
      <c r="I327">
        <v>2.2143855860143325E-2</v>
      </c>
      <c r="J327" t="s">
        <v>6</v>
      </c>
      <c r="L327" t="s">
        <v>435</v>
      </c>
      <c r="M327" t="s">
        <v>44</v>
      </c>
      <c r="N327">
        <v>2.25498893830673E-2</v>
      </c>
      <c r="O327" t="s">
        <v>6</v>
      </c>
    </row>
    <row r="328" spans="2:15" x14ac:dyDescent="0.45">
      <c r="B328" t="s">
        <v>433</v>
      </c>
      <c r="C328" t="s">
        <v>45</v>
      </c>
      <c r="D328">
        <v>5.7804649214198015E-3</v>
      </c>
      <c r="E328" t="s">
        <v>6</v>
      </c>
      <c r="G328" t="s">
        <v>434</v>
      </c>
      <c r="H328" t="s">
        <v>45</v>
      </c>
      <c r="I328">
        <v>2.3337334133976234E-2</v>
      </c>
      <c r="J328" t="s">
        <v>6</v>
      </c>
      <c r="L328" t="s">
        <v>435</v>
      </c>
      <c r="M328" t="s">
        <v>45</v>
      </c>
      <c r="N328">
        <v>2.275862340682409E-2</v>
      </c>
      <c r="O328" t="s">
        <v>6</v>
      </c>
    </row>
    <row r="329" spans="2:15" x14ac:dyDescent="0.45">
      <c r="B329" t="s">
        <v>433</v>
      </c>
      <c r="C329" t="s">
        <v>46</v>
      </c>
      <c r="D329">
        <v>1.7510765017152769E-5</v>
      </c>
      <c r="E329" t="s">
        <v>6</v>
      </c>
      <c r="G329" t="s">
        <v>434</v>
      </c>
      <c r="H329" t="s">
        <v>46</v>
      </c>
      <c r="I329">
        <v>2.5375409064659921E-2</v>
      </c>
      <c r="J329" t="s">
        <v>6</v>
      </c>
      <c r="L329" t="s">
        <v>435</v>
      </c>
      <c r="M329" t="s">
        <v>46</v>
      </c>
      <c r="N329">
        <v>2.308308483703915E-2</v>
      </c>
      <c r="O329" t="s">
        <v>6</v>
      </c>
    </row>
    <row r="330" spans="2:15" x14ac:dyDescent="0.45">
      <c r="B330" t="s">
        <v>433</v>
      </c>
      <c r="C330" t="s">
        <v>47</v>
      </c>
      <c r="D330">
        <v>0</v>
      </c>
      <c r="E330" t="s">
        <v>6</v>
      </c>
      <c r="G330" t="s">
        <v>434</v>
      </c>
      <c r="H330" t="s">
        <v>47</v>
      </c>
      <c r="I330">
        <v>3.8980018521689426E-2</v>
      </c>
      <c r="J330" t="s">
        <v>6</v>
      </c>
      <c r="L330" t="s">
        <v>435</v>
      </c>
      <c r="M330" t="s">
        <v>47</v>
      </c>
      <c r="N330">
        <v>3.455318007396465E-2</v>
      </c>
      <c r="O330" t="s">
        <v>6</v>
      </c>
    </row>
    <row r="331" spans="2:15" x14ac:dyDescent="0.45">
      <c r="B331" t="s">
        <v>436</v>
      </c>
      <c r="C331" t="s">
        <v>5</v>
      </c>
      <c r="D331">
        <v>0</v>
      </c>
      <c r="E331" t="s">
        <v>6</v>
      </c>
      <c r="G331" t="s">
        <v>437</v>
      </c>
      <c r="H331" t="s">
        <v>5</v>
      </c>
      <c r="I331">
        <v>7.0972539152262121E-2</v>
      </c>
      <c r="J331" t="s">
        <v>6</v>
      </c>
      <c r="L331" t="s">
        <v>438</v>
      </c>
      <c r="M331" t="s">
        <v>5</v>
      </c>
      <c r="N331">
        <v>6.4568742288076575E-2</v>
      </c>
      <c r="O331" t="s">
        <v>6</v>
      </c>
    </row>
    <row r="332" spans="2:15" x14ac:dyDescent="0.45">
      <c r="B332" t="s">
        <v>436</v>
      </c>
      <c r="C332" t="s">
        <v>9</v>
      </c>
      <c r="D332">
        <v>0</v>
      </c>
      <c r="E332" t="s">
        <v>6</v>
      </c>
      <c r="G332" t="s">
        <v>437</v>
      </c>
      <c r="H332" t="s">
        <v>9</v>
      </c>
      <c r="I332">
        <v>2.8031174892089429E-2</v>
      </c>
      <c r="J332" t="s">
        <v>6</v>
      </c>
      <c r="L332" t="s">
        <v>438</v>
      </c>
      <c r="M332" t="s">
        <v>9</v>
      </c>
      <c r="N332">
        <v>2.6610897326873242E-2</v>
      </c>
      <c r="O332" t="s">
        <v>6</v>
      </c>
    </row>
    <row r="333" spans="2:15" x14ac:dyDescent="0.45">
      <c r="B333" t="s">
        <v>436</v>
      </c>
      <c r="C333" t="s">
        <v>10</v>
      </c>
      <c r="D333">
        <v>4.4967956592868047E-5</v>
      </c>
      <c r="E333" t="s">
        <v>6</v>
      </c>
      <c r="G333" t="s">
        <v>437</v>
      </c>
      <c r="H333" t="s">
        <v>10</v>
      </c>
      <c r="I333">
        <v>2.747127568513625E-2</v>
      </c>
      <c r="J333" t="s">
        <v>6</v>
      </c>
      <c r="L333" t="s">
        <v>438</v>
      </c>
      <c r="M333" t="s">
        <v>10</v>
      </c>
      <c r="N333">
        <v>2.7164359267265931E-2</v>
      </c>
      <c r="O333" t="s">
        <v>6</v>
      </c>
    </row>
    <row r="334" spans="2:15" x14ac:dyDescent="0.45">
      <c r="B334" t="s">
        <v>436</v>
      </c>
      <c r="C334" t="s">
        <v>11</v>
      </c>
      <c r="D334">
        <v>9.5179969537830741E-3</v>
      </c>
      <c r="E334" t="s">
        <v>6</v>
      </c>
      <c r="G334" t="s">
        <v>437</v>
      </c>
      <c r="H334" t="s">
        <v>11</v>
      </c>
      <c r="I334">
        <v>2.7323212813626367E-2</v>
      </c>
      <c r="J334" t="s">
        <v>6</v>
      </c>
      <c r="L334" t="s">
        <v>438</v>
      </c>
      <c r="M334" t="s">
        <v>11</v>
      </c>
      <c r="N334">
        <v>2.696628473053932E-2</v>
      </c>
      <c r="O334" t="s">
        <v>6</v>
      </c>
    </row>
    <row r="335" spans="2:15" x14ac:dyDescent="0.45">
      <c r="B335" t="s">
        <v>436</v>
      </c>
      <c r="C335" t="s">
        <v>12</v>
      </c>
      <c r="D335">
        <v>2.8947440649492236E-2</v>
      </c>
      <c r="E335" t="s">
        <v>6</v>
      </c>
      <c r="G335" t="s">
        <v>437</v>
      </c>
      <c r="H335" t="s">
        <v>12</v>
      </c>
      <c r="I335">
        <v>2.3984535854752593E-2</v>
      </c>
      <c r="J335" t="s">
        <v>6</v>
      </c>
      <c r="L335" t="s">
        <v>438</v>
      </c>
      <c r="M335" t="s">
        <v>12</v>
      </c>
      <c r="N335">
        <v>2.582601948045701E-2</v>
      </c>
      <c r="O335" t="s">
        <v>6</v>
      </c>
    </row>
    <row r="336" spans="2:15" x14ac:dyDescent="0.45">
      <c r="B336" t="s">
        <v>436</v>
      </c>
      <c r="C336" t="s">
        <v>13</v>
      </c>
      <c r="D336">
        <v>3.2577700350981849E-2</v>
      </c>
      <c r="E336" t="s">
        <v>6</v>
      </c>
      <c r="G336" t="s">
        <v>437</v>
      </c>
      <c r="H336" t="s">
        <v>13</v>
      </c>
      <c r="I336">
        <v>2.5186373983733822E-2</v>
      </c>
      <c r="J336" t="s">
        <v>6</v>
      </c>
      <c r="L336" t="s">
        <v>438</v>
      </c>
      <c r="M336" t="s">
        <v>13</v>
      </c>
      <c r="N336">
        <v>2.5523128797141977E-2</v>
      </c>
      <c r="O336" t="s">
        <v>6</v>
      </c>
    </row>
    <row r="337" spans="2:15" x14ac:dyDescent="0.45">
      <c r="B337" t="s">
        <v>436</v>
      </c>
      <c r="C337" t="s">
        <v>14</v>
      </c>
      <c r="D337">
        <v>1.8024057510011682E-2</v>
      </c>
      <c r="E337" t="s">
        <v>6</v>
      </c>
      <c r="G337" t="s">
        <v>437</v>
      </c>
      <c r="H337" t="s">
        <v>14</v>
      </c>
      <c r="I337">
        <v>2.5967977126213938E-2</v>
      </c>
      <c r="J337" t="s">
        <v>6</v>
      </c>
      <c r="L337" t="s">
        <v>438</v>
      </c>
      <c r="M337" t="s">
        <v>14</v>
      </c>
      <c r="N337">
        <v>2.5310621417278131E-2</v>
      </c>
      <c r="O337" t="s">
        <v>6</v>
      </c>
    </row>
    <row r="338" spans="2:15" x14ac:dyDescent="0.45">
      <c r="B338" t="s">
        <v>436</v>
      </c>
      <c r="C338" t="s">
        <v>15</v>
      </c>
      <c r="D338">
        <v>1.9702218830508086E-3</v>
      </c>
      <c r="E338" t="s">
        <v>6</v>
      </c>
      <c r="G338" t="s">
        <v>437</v>
      </c>
      <c r="H338" t="s">
        <v>15</v>
      </c>
      <c r="I338">
        <v>2.7992618906349083E-2</v>
      </c>
      <c r="J338" t="s">
        <v>6</v>
      </c>
      <c r="L338" t="s">
        <v>438</v>
      </c>
      <c r="M338" t="s">
        <v>15</v>
      </c>
      <c r="N338">
        <v>2.606881375631084E-2</v>
      </c>
      <c r="O338" t="s">
        <v>6</v>
      </c>
    </row>
    <row r="339" spans="2:15" x14ac:dyDescent="0.45">
      <c r="B339" t="s">
        <v>436</v>
      </c>
      <c r="C339" t="s">
        <v>16</v>
      </c>
      <c r="D339">
        <v>0</v>
      </c>
      <c r="E339" t="s">
        <v>6</v>
      </c>
      <c r="G339" t="s">
        <v>437</v>
      </c>
      <c r="H339" t="s">
        <v>16</v>
      </c>
      <c r="I339">
        <v>2.9371373734230606E-2</v>
      </c>
      <c r="J339" t="s">
        <v>6</v>
      </c>
      <c r="L339" t="s">
        <v>438</v>
      </c>
      <c r="M339" t="s">
        <v>16</v>
      </c>
      <c r="N339">
        <v>2.6305802116702349E-2</v>
      </c>
      <c r="O339" t="s">
        <v>6</v>
      </c>
    </row>
    <row r="340" spans="2:15" x14ac:dyDescent="0.45">
      <c r="B340" t="s">
        <v>436</v>
      </c>
      <c r="C340" t="s">
        <v>17</v>
      </c>
      <c r="D340">
        <v>0</v>
      </c>
      <c r="E340" t="s">
        <v>6</v>
      </c>
      <c r="G340" t="s">
        <v>437</v>
      </c>
      <c r="H340" t="s">
        <v>17</v>
      </c>
      <c r="I340">
        <v>4.29322265803809E-2</v>
      </c>
      <c r="J340" t="s">
        <v>6</v>
      </c>
      <c r="L340" t="s">
        <v>438</v>
      </c>
      <c r="M340" t="s">
        <v>17</v>
      </c>
      <c r="N340">
        <v>3.8959125891933483E-2</v>
      </c>
      <c r="O340" t="s">
        <v>6</v>
      </c>
    </row>
    <row r="341" spans="2:15" x14ac:dyDescent="0.45">
      <c r="B341" t="s">
        <v>436</v>
      </c>
      <c r="C341" t="s">
        <v>18</v>
      </c>
      <c r="D341">
        <v>0</v>
      </c>
      <c r="E341" t="s">
        <v>6</v>
      </c>
      <c r="G341" t="s">
        <v>437</v>
      </c>
      <c r="H341" t="s">
        <v>18</v>
      </c>
      <c r="I341">
        <v>5.0788932238982731E-2</v>
      </c>
      <c r="J341" t="s">
        <v>6</v>
      </c>
      <c r="L341" t="s">
        <v>438</v>
      </c>
      <c r="M341" t="s">
        <v>18</v>
      </c>
      <c r="N341">
        <v>5.1947964845987661E-2</v>
      </c>
      <c r="O341" t="s">
        <v>6</v>
      </c>
    </row>
    <row r="342" spans="2:15" x14ac:dyDescent="0.45">
      <c r="B342" t="s">
        <v>436</v>
      </c>
      <c r="C342" t="s">
        <v>19</v>
      </c>
      <c r="D342">
        <v>7.0444649914429606E-4</v>
      </c>
      <c r="E342" t="s">
        <v>6</v>
      </c>
      <c r="G342" t="s">
        <v>437</v>
      </c>
      <c r="H342" t="s">
        <v>19</v>
      </c>
      <c r="I342">
        <v>2.0540233635908609E-2</v>
      </c>
      <c r="J342" t="s">
        <v>6</v>
      </c>
      <c r="L342" t="s">
        <v>438</v>
      </c>
      <c r="M342" t="s">
        <v>19</v>
      </c>
      <c r="N342">
        <v>2.0573729701924302E-2</v>
      </c>
      <c r="O342" t="s">
        <v>6</v>
      </c>
    </row>
    <row r="343" spans="2:15" x14ac:dyDescent="0.45">
      <c r="B343" t="s">
        <v>436</v>
      </c>
      <c r="C343" t="s">
        <v>20</v>
      </c>
      <c r="D343">
        <v>1.5397574374108087E-2</v>
      </c>
      <c r="E343" t="s">
        <v>6</v>
      </c>
      <c r="G343" t="s">
        <v>437</v>
      </c>
      <c r="H343" t="s">
        <v>20</v>
      </c>
      <c r="I343">
        <v>2.0522332683686809E-2</v>
      </c>
      <c r="J343" t="s">
        <v>6</v>
      </c>
      <c r="L343" t="s">
        <v>438</v>
      </c>
      <c r="M343" t="s">
        <v>20</v>
      </c>
      <c r="N343">
        <v>2.003733698597511E-2</v>
      </c>
      <c r="O343" t="s">
        <v>6</v>
      </c>
    </row>
    <row r="344" spans="2:15" x14ac:dyDescent="0.45">
      <c r="B344" t="s">
        <v>436</v>
      </c>
      <c r="C344" t="s">
        <v>21</v>
      </c>
      <c r="D344">
        <v>5.4431844721895398E-2</v>
      </c>
      <c r="E344" t="s">
        <v>6</v>
      </c>
      <c r="G344" t="s">
        <v>437</v>
      </c>
      <c r="H344" t="s">
        <v>21</v>
      </c>
      <c r="I344">
        <v>2.04070716421457E-2</v>
      </c>
      <c r="J344" t="s">
        <v>6</v>
      </c>
      <c r="L344" t="s">
        <v>438</v>
      </c>
      <c r="M344" t="s">
        <v>21</v>
      </c>
      <c r="N344">
        <v>1.9489768966109291E-2</v>
      </c>
      <c r="O344" t="s">
        <v>6</v>
      </c>
    </row>
    <row r="345" spans="2:15" x14ac:dyDescent="0.45">
      <c r="B345" t="s">
        <v>436</v>
      </c>
      <c r="C345" t="s">
        <v>22</v>
      </c>
      <c r="D345">
        <v>8.2810937405939075E-2</v>
      </c>
      <c r="E345" t="s">
        <v>6</v>
      </c>
      <c r="G345" t="s">
        <v>437</v>
      </c>
      <c r="H345" t="s">
        <v>22</v>
      </c>
      <c r="I345">
        <v>1.5457940490334523E-2</v>
      </c>
      <c r="J345" t="s">
        <v>6</v>
      </c>
      <c r="L345" t="s">
        <v>438</v>
      </c>
      <c r="M345" t="s">
        <v>22</v>
      </c>
      <c r="N345">
        <v>1.8407246444489097E-2</v>
      </c>
      <c r="O345" t="s">
        <v>6</v>
      </c>
    </row>
    <row r="346" spans="2:15" x14ac:dyDescent="0.45">
      <c r="B346" t="s">
        <v>436</v>
      </c>
      <c r="C346" t="s">
        <v>23</v>
      </c>
      <c r="D346">
        <v>8.4745160308361253E-2</v>
      </c>
      <c r="E346" t="s">
        <v>6</v>
      </c>
      <c r="G346" t="s">
        <v>437</v>
      </c>
      <c r="H346" t="s">
        <v>23</v>
      </c>
      <c r="I346">
        <v>1.7630208239022289E-2</v>
      </c>
      <c r="J346" t="s">
        <v>6</v>
      </c>
      <c r="L346" t="s">
        <v>438</v>
      </c>
      <c r="M346" t="s">
        <v>23</v>
      </c>
      <c r="N346">
        <v>1.9741978473409291E-2</v>
      </c>
      <c r="O346" t="s">
        <v>6</v>
      </c>
    </row>
    <row r="347" spans="2:15" x14ac:dyDescent="0.45">
      <c r="B347" t="s">
        <v>436</v>
      </c>
      <c r="C347" t="s">
        <v>24</v>
      </c>
      <c r="D347">
        <v>6.2716395766797883E-2</v>
      </c>
      <c r="E347" t="s">
        <v>6</v>
      </c>
      <c r="G347" t="s">
        <v>437</v>
      </c>
      <c r="H347" t="s">
        <v>24</v>
      </c>
      <c r="I347">
        <v>1.9410834689600691E-2</v>
      </c>
      <c r="J347" t="s">
        <v>6</v>
      </c>
      <c r="L347" t="s">
        <v>438</v>
      </c>
      <c r="M347" t="s">
        <v>24</v>
      </c>
      <c r="N347">
        <v>2.03585182303621E-2</v>
      </c>
      <c r="O347" t="s">
        <v>6</v>
      </c>
    </row>
    <row r="348" spans="2:15" x14ac:dyDescent="0.45">
      <c r="B348" t="s">
        <v>436</v>
      </c>
      <c r="C348" t="s">
        <v>25</v>
      </c>
      <c r="D348">
        <v>2.7307743532176049E-2</v>
      </c>
      <c r="E348" t="s">
        <v>6</v>
      </c>
      <c r="G348" t="s">
        <v>437</v>
      </c>
      <c r="H348" t="s">
        <v>25</v>
      </c>
      <c r="I348">
        <v>2.0294146855905335E-2</v>
      </c>
      <c r="J348" t="s">
        <v>6</v>
      </c>
      <c r="L348" t="s">
        <v>438</v>
      </c>
      <c r="M348" t="s">
        <v>25</v>
      </c>
      <c r="N348">
        <v>2.0347588215133605E-2</v>
      </c>
      <c r="O348" t="s">
        <v>6</v>
      </c>
    </row>
    <row r="349" spans="2:15" x14ac:dyDescent="0.45">
      <c r="B349" t="s">
        <v>436</v>
      </c>
      <c r="C349" t="s">
        <v>26</v>
      </c>
      <c r="D349">
        <v>1.9119195124422408E-3</v>
      </c>
      <c r="E349" t="s">
        <v>6</v>
      </c>
      <c r="G349" t="s">
        <v>437</v>
      </c>
      <c r="H349" t="s">
        <v>26</v>
      </c>
      <c r="I349">
        <v>2.1714801478786516E-2</v>
      </c>
      <c r="J349" t="s">
        <v>6</v>
      </c>
      <c r="L349" t="s">
        <v>438</v>
      </c>
      <c r="M349" t="s">
        <v>26</v>
      </c>
      <c r="N349">
        <v>2.1128330262813185E-2</v>
      </c>
      <c r="O349" t="s">
        <v>6</v>
      </c>
    </row>
    <row r="350" spans="2:15" x14ac:dyDescent="0.45">
      <c r="B350" t="s">
        <v>436</v>
      </c>
      <c r="C350" t="s">
        <v>27</v>
      </c>
      <c r="D350">
        <v>0</v>
      </c>
      <c r="E350" t="s">
        <v>6</v>
      </c>
      <c r="G350" t="s">
        <v>437</v>
      </c>
      <c r="H350" t="s">
        <v>27</v>
      </c>
      <c r="I350">
        <v>3.2840998017101553E-2</v>
      </c>
      <c r="J350" t="s">
        <v>6</v>
      </c>
      <c r="L350" t="s">
        <v>438</v>
      </c>
      <c r="M350" t="s">
        <v>27</v>
      </c>
      <c r="N350">
        <v>3.2113076736538841E-2</v>
      </c>
      <c r="O350" t="s">
        <v>6</v>
      </c>
    </row>
    <row r="351" spans="2:15" x14ac:dyDescent="0.45">
      <c r="B351" t="s">
        <v>436</v>
      </c>
      <c r="C351" t="s">
        <v>28</v>
      </c>
      <c r="D351">
        <v>0</v>
      </c>
      <c r="E351" t="s">
        <v>6</v>
      </c>
      <c r="G351" t="s">
        <v>437</v>
      </c>
      <c r="H351" t="s">
        <v>28</v>
      </c>
      <c r="I351">
        <v>3.4825796343548529E-2</v>
      </c>
      <c r="J351" t="s">
        <v>6</v>
      </c>
      <c r="L351" t="s">
        <v>438</v>
      </c>
      <c r="M351" t="s">
        <v>28</v>
      </c>
      <c r="N351">
        <v>3.8761704814513416E-2</v>
      </c>
      <c r="O351" t="s">
        <v>6</v>
      </c>
    </row>
    <row r="352" spans="2:15" x14ac:dyDescent="0.45">
      <c r="B352" t="s">
        <v>436</v>
      </c>
      <c r="C352" t="s">
        <v>29</v>
      </c>
      <c r="D352">
        <v>2.0075831672152311E-3</v>
      </c>
      <c r="E352" t="s">
        <v>6</v>
      </c>
      <c r="G352" t="s">
        <v>437</v>
      </c>
      <c r="H352" t="s">
        <v>29</v>
      </c>
      <c r="I352">
        <v>1.200280554140707E-2</v>
      </c>
      <c r="J352" t="s">
        <v>6</v>
      </c>
      <c r="L352" t="s">
        <v>438</v>
      </c>
      <c r="M352" t="s">
        <v>29</v>
      </c>
      <c r="N352">
        <v>1.3966467743641261E-2</v>
      </c>
      <c r="O352" t="s">
        <v>6</v>
      </c>
    </row>
    <row r="353" spans="2:15" x14ac:dyDescent="0.45">
      <c r="B353" t="s">
        <v>436</v>
      </c>
      <c r="C353" t="s">
        <v>30</v>
      </c>
      <c r="D353">
        <v>2.3728197148051598E-2</v>
      </c>
      <c r="E353" t="s">
        <v>6</v>
      </c>
      <c r="G353" t="s">
        <v>437</v>
      </c>
      <c r="H353" t="s">
        <v>30</v>
      </c>
      <c r="I353">
        <v>9.3710278448030041E-3</v>
      </c>
      <c r="J353" t="s">
        <v>6</v>
      </c>
      <c r="L353" t="s">
        <v>438</v>
      </c>
      <c r="M353" t="s">
        <v>30</v>
      </c>
      <c r="N353">
        <v>1.3550498253648333E-2</v>
      </c>
      <c r="O353" t="s">
        <v>6</v>
      </c>
    </row>
    <row r="354" spans="2:15" x14ac:dyDescent="0.45">
      <c r="B354" t="s">
        <v>436</v>
      </c>
      <c r="C354" t="s">
        <v>31</v>
      </c>
      <c r="D354">
        <v>6.4877775056492559E-2</v>
      </c>
      <c r="E354" t="s">
        <v>6</v>
      </c>
      <c r="G354" t="s">
        <v>437</v>
      </c>
      <c r="H354" t="s">
        <v>31</v>
      </c>
      <c r="I354">
        <v>9.6180941217038352E-3</v>
      </c>
      <c r="J354" t="s">
        <v>6</v>
      </c>
      <c r="L354" t="s">
        <v>438</v>
      </c>
      <c r="M354" t="s">
        <v>31</v>
      </c>
      <c r="N354">
        <v>1.3878883815440226E-2</v>
      </c>
      <c r="O354" t="s">
        <v>6</v>
      </c>
    </row>
    <row r="355" spans="2:15" x14ac:dyDescent="0.45">
      <c r="B355" t="s">
        <v>436</v>
      </c>
      <c r="C355" t="s">
        <v>32</v>
      </c>
      <c r="D355">
        <v>9.2305937809440977E-2</v>
      </c>
      <c r="E355" t="s">
        <v>6</v>
      </c>
      <c r="G355" t="s">
        <v>437</v>
      </c>
      <c r="H355" t="s">
        <v>32</v>
      </c>
      <c r="I355">
        <v>8.6819913562315443E-3</v>
      </c>
      <c r="J355" t="s">
        <v>6</v>
      </c>
      <c r="L355" t="s">
        <v>438</v>
      </c>
      <c r="M355" t="s">
        <v>32</v>
      </c>
      <c r="N355">
        <v>1.1761262601807406E-2</v>
      </c>
      <c r="O355" t="s">
        <v>6</v>
      </c>
    </row>
    <row r="356" spans="2:15" x14ac:dyDescent="0.45">
      <c r="B356" t="s">
        <v>436</v>
      </c>
      <c r="C356" t="s">
        <v>33</v>
      </c>
      <c r="D356">
        <v>9.5191386231108344E-2</v>
      </c>
      <c r="E356" t="s">
        <v>6</v>
      </c>
      <c r="G356" t="s">
        <v>437</v>
      </c>
      <c r="H356" t="s">
        <v>33</v>
      </c>
      <c r="I356">
        <v>9.935504322579454E-3</v>
      </c>
      <c r="J356" t="s">
        <v>6</v>
      </c>
      <c r="L356" t="s">
        <v>438</v>
      </c>
      <c r="M356" t="s">
        <v>33</v>
      </c>
      <c r="N356">
        <v>1.3216462764934324E-2</v>
      </c>
      <c r="O356" t="s">
        <v>6</v>
      </c>
    </row>
    <row r="357" spans="2:15" x14ac:dyDescent="0.45">
      <c r="B357" t="s">
        <v>436</v>
      </c>
      <c r="C357" t="s">
        <v>34</v>
      </c>
      <c r="D357">
        <v>7.4163516434108567E-2</v>
      </c>
      <c r="E357" t="s">
        <v>6</v>
      </c>
      <c r="G357" t="s">
        <v>437</v>
      </c>
      <c r="H357" t="s">
        <v>34</v>
      </c>
      <c r="I357">
        <v>1.0499506561767413E-2</v>
      </c>
      <c r="J357" t="s">
        <v>6</v>
      </c>
      <c r="L357" t="s">
        <v>438</v>
      </c>
      <c r="M357" t="s">
        <v>34</v>
      </c>
      <c r="N357">
        <v>1.3962718760727532E-2</v>
      </c>
      <c r="O357" t="s">
        <v>6</v>
      </c>
    </row>
    <row r="358" spans="2:15" x14ac:dyDescent="0.45">
      <c r="B358" t="s">
        <v>436</v>
      </c>
      <c r="C358" t="s">
        <v>35</v>
      </c>
      <c r="D358">
        <v>3.7802458559109804E-2</v>
      </c>
      <c r="E358" t="s">
        <v>6</v>
      </c>
      <c r="G358" t="s">
        <v>437</v>
      </c>
      <c r="H358" t="s">
        <v>35</v>
      </c>
      <c r="I358">
        <v>1.1070186301563019E-2</v>
      </c>
      <c r="J358" t="s">
        <v>6</v>
      </c>
      <c r="L358" t="s">
        <v>438</v>
      </c>
      <c r="M358" t="s">
        <v>35</v>
      </c>
      <c r="N358">
        <v>1.4024081184897712E-2</v>
      </c>
      <c r="O358" t="s">
        <v>6</v>
      </c>
    </row>
    <row r="359" spans="2:15" x14ac:dyDescent="0.45">
      <c r="B359" t="s">
        <v>436</v>
      </c>
      <c r="C359" t="s">
        <v>36</v>
      </c>
      <c r="D359">
        <v>6.0251644933787289E-3</v>
      </c>
      <c r="E359" t="s">
        <v>6</v>
      </c>
      <c r="G359" t="s">
        <v>437</v>
      </c>
      <c r="H359" t="s">
        <v>36</v>
      </c>
      <c r="I359">
        <v>1.2244104569959233E-2</v>
      </c>
      <c r="J359" t="s">
        <v>6</v>
      </c>
      <c r="L359" t="s">
        <v>438</v>
      </c>
      <c r="M359" t="s">
        <v>36</v>
      </c>
      <c r="N359">
        <v>1.4785711303311664E-2</v>
      </c>
      <c r="O359" t="s">
        <v>6</v>
      </c>
    </row>
    <row r="360" spans="2:15" x14ac:dyDescent="0.45">
      <c r="B360" t="s">
        <v>436</v>
      </c>
      <c r="C360" t="s">
        <v>37</v>
      </c>
      <c r="D360">
        <v>3.352275242586047E-5</v>
      </c>
      <c r="E360" t="s">
        <v>6</v>
      </c>
      <c r="G360" t="s">
        <v>437</v>
      </c>
      <c r="H360" t="s">
        <v>37</v>
      </c>
      <c r="I360">
        <v>2.3356615129620232E-2</v>
      </c>
      <c r="J360" t="s">
        <v>6</v>
      </c>
      <c r="L360" t="s">
        <v>438</v>
      </c>
      <c r="M360" t="s">
        <v>37</v>
      </c>
      <c r="N360">
        <v>2.4047134640704022E-2</v>
      </c>
      <c r="O360" t="s">
        <v>6</v>
      </c>
    </row>
    <row r="361" spans="2:15" x14ac:dyDescent="0.45">
      <c r="B361" t="s">
        <v>436</v>
      </c>
      <c r="C361" t="s">
        <v>38</v>
      </c>
      <c r="D361">
        <v>0</v>
      </c>
      <c r="E361" t="s">
        <v>6</v>
      </c>
      <c r="G361" t="s">
        <v>437</v>
      </c>
      <c r="H361" t="s">
        <v>38</v>
      </c>
      <c r="I361">
        <v>6.4236062481077078E-2</v>
      </c>
      <c r="J361" t="s">
        <v>6</v>
      </c>
      <c r="L361" t="s">
        <v>438</v>
      </c>
      <c r="M361" t="s">
        <v>38</v>
      </c>
      <c r="N361">
        <v>5.5965549426452106E-2</v>
      </c>
      <c r="O361" t="s">
        <v>6</v>
      </c>
    </row>
    <row r="362" spans="2:15" x14ac:dyDescent="0.45">
      <c r="B362" t="s">
        <v>436</v>
      </c>
      <c r="C362" t="s">
        <v>39</v>
      </c>
      <c r="D362">
        <v>0</v>
      </c>
      <c r="E362" t="s">
        <v>6</v>
      </c>
      <c r="G362" t="s">
        <v>437</v>
      </c>
      <c r="H362" t="s">
        <v>39</v>
      </c>
      <c r="I362">
        <v>2.712758331624323E-2</v>
      </c>
      <c r="J362" t="s">
        <v>6</v>
      </c>
      <c r="L362" t="s">
        <v>438</v>
      </c>
      <c r="M362" t="s">
        <v>39</v>
      </c>
      <c r="N362">
        <v>2.2774124649811312E-2</v>
      </c>
      <c r="O362" t="s">
        <v>6</v>
      </c>
    </row>
    <row r="363" spans="2:15" x14ac:dyDescent="0.45">
      <c r="B363" t="s">
        <v>436</v>
      </c>
      <c r="C363" t="s">
        <v>40</v>
      </c>
      <c r="D363">
        <v>3.7894877161717844E-3</v>
      </c>
      <c r="E363" t="s">
        <v>6</v>
      </c>
      <c r="G363" t="s">
        <v>437</v>
      </c>
      <c r="H363" t="s">
        <v>40</v>
      </c>
      <c r="I363">
        <v>2.6682782888578463E-2</v>
      </c>
      <c r="J363" t="s">
        <v>6</v>
      </c>
      <c r="L363" t="s">
        <v>438</v>
      </c>
      <c r="M363" t="s">
        <v>40</v>
      </c>
      <c r="N363">
        <v>2.3057114174461477E-2</v>
      </c>
      <c r="O363" t="s">
        <v>6</v>
      </c>
    </row>
    <row r="364" spans="2:15" x14ac:dyDescent="0.45">
      <c r="B364" t="s">
        <v>436</v>
      </c>
      <c r="C364" t="s">
        <v>41</v>
      </c>
      <c r="D364">
        <v>2.9404087991758338E-2</v>
      </c>
      <c r="E364" t="s">
        <v>6</v>
      </c>
      <c r="G364" t="s">
        <v>437</v>
      </c>
      <c r="H364" t="s">
        <v>41</v>
      </c>
      <c r="I364">
        <v>2.4320992272447363E-2</v>
      </c>
      <c r="J364" t="s">
        <v>6</v>
      </c>
      <c r="L364" t="s">
        <v>438</v>
      </c>
      <c r="M364" t="s">
        <v>41</v>
      </c>
      <c r="N364">
        <v>2.3031022459134989E-2</v>
      </c>
      <c r="O364" t="s">
        <v>6</v>
      </c>
    </row>
    <row r="365" spans="2:15" x14ac:dyDescent="0.45">
      <c r="B365" t="s">
        <v>436</v>
      </c>
      <c r="C365" t="s">
        <v>42</v>
      </c>
      <c r="D365">
        <v>5.4176353691758897E-2</v>
      </c>
      <c r="E365" t="s">
        <v>6</v>
      </c>
      <c r="G365" t="s">
        <v>437</v>
      </c>
      <c r="H365" t="s">
        <v>42</v>
      </c>
      <c r="I365">
        <v>1.8982078277292442E-2</v>
      </c>
      <c r="J365" t="s">
        <v>6</v>
      </c>
      <c r="L365" t="s">
        <v>438</v>
      </c>
      <c r="M365" t="s">
        <v>42</v>
      </c>
      <c r="N365">
        <v>2.1620068655837439E-2</v>
      </c>
      <c r="O365" t="s">
        <v>6</v>
      </c>
    </row>
    <row r="366" spans="2:15" x14ac:dyDescent="0.45">
      <c r="B366" t="s">
        <v>436</v>
      </c>
      <c r="C366" t="s">
        <v>43</v>
      </c>
      <c r="D366">
        <v>5.4181327758330719E-2</v>
      </c>
      <c r="E366" t="s">
        <v>6</v>
      </c>
      <c r="G366" t="s">
        <v>437</v>
      </c>
      <c r="H366" t="s">
        <v>43</v>
      </c>
      <c r="I366">
        <v>2.0885500811891777E-2</v>
      </c>
      <c r="J366" t="s">
        <v>6</v>
      </c>
      <c r="L366" t="s">
        <v>438</v>
      </c>
      <c r="M366" t="s">
        <v>43</v>
      </c>
      <c r="N366">
        <v>2.2422253277184306E-2</v>
      </c>
      <c r="O366" t="s">
        <v>6</v>
      </c>
    </row>
    <row r="367" spans="2:15" x14ac:dyDescent="0.45">
      <c r="B367" t="s">
        <v>436</v>
      </c>
      <c r="C367" t="s">
        <v>44</v>
      </c>
      <c r="D367">
        <v>3.4049908594618129E-2</v>
      </c>
      <c r="E367" t="s">
        <v>6</v>
      </c>
      <c r="G367" t="s">
        <v>437</v>
      </c>
      <c r="H367" t="s">
        <v>44</v>
      </c>
      <c r="I367">
        <v>2.0795096415714344E-2</v>
      </c>
      <c r="J367" t="s">
        <v>6</v>
      </c>
      <c r="L367" t="s">
        <v>438</v>
      </c>
      <c r="M367" t="s">
        <v>44</v>
      </c>
      <c r="N367">
        <v>2.2076404758951899E-2</v>
      </c>
      <c r="O367" t="s">
        <v>6</v>
      </c>
    </row>
    <row r="368" spans="2:15" x14ac:dyDescent="0.45">
      <c r="B368" t="s">
        <v>436</v>
      </c>
      <c r="C368" t="s">
        <v>45</v>
      </c>
      <c r="D368">
        <v>7.1190254143234299E-3</v>
      </c>
      <c r="E368" t="s">
        <v>6</v>
      </c>
      <c r="G368" t="s">
        <v>437</v>
      </c>
      <c r="H368" t="s">
        <v>45</v>
      </c>
      <c r="I368">
        <v>2.2185402290049547E-2</v>
      </c>
      <c r="J368" t="s">
        <v>6</v>
      </c>
      <c r="L368" t="s">
        <v>438</v>
      </c>
      <c r="M368" t="s">
        <v>45</v>
      </c>
      <c r="N368">
        <v>2.2216215794067004E-2</v>
      </c>
      <c r="O368" t="s">
        <v>6</v>
      </c>
    </row>
    <row r="369" spans="2:15" x14ac:dyDescent="0.45">
      <c r="B369" t="s">
        <v>436</v>
      </c>
      <c r="C369" t="s">
        <v>46</v>
      </c>
      <c r="D369">
        <v>3.5859756930034104E-5</v>
      </c>
      <c r="E369" t="s">
        <v>6</v>
      </c>
      <c r="G369" t="s">
        <v>437</v>
      </c>
      <c r="H369" t="s">
        <v>46</v>
      </c>
      <c r="I369">
        <v>2.5089363781874791E-2</v>
      </c>
      <c r="J369" t="s">
        <v>6</v>
      </c>
      <c r="L369" t="s">
        <v>438</v>
      </c>
      <c r="M369" t="s">
        <v>46</v>
      </c>
      <c r="N369">
        <v>2.2875476271946703E-2</v>
      </c>
      <c r="O369" t="s">
        <v>6</v>
      </c>
    </row>
    <row r="370" spans="2:15" x14ac:dyDescent="0.45">
      <c r="B370" t="s">
        <v>436</v>
      </c>
      <c r="C370" t="s">
        <v>47</v>
      </c>
      <c r="D370">
        <v>0</v>
      </c>
      <c r="E370" t="s">
        <v>6</v>
      </c>
      <c r="G370" t="s">
        <v>437</v>
      </c>
      <c r="H370" t="s">
        <v>47</v>
      </c>
      <c r="I370">
        <v>3.9248696671396729E-2</v>
      </c>
      <c r="J370" t="s">
        <v>6</v>
      </c>
      <c r="L370" t="s">
        <v>438</v>
      </c>
      <c r="M370" t="s">
        <v>47</v>
      </c>
      <c r="N370">
        <v>3.4557510713204738E-2</v>
      </c>
      <c r="O370" t="s">
        <v>6</v>
      </c>
    </row>
    <row r="371" spans="2:15" x14ac:dyDescent="0.45">
      <c r="B371" t="s">
        <v>439</v>
      </c>
      <c r="C371" t="s">
        <v>5</v>
      </c>
      <c r="D371">
        <v>0</v>
      </c>
      <c r="E371" t="s">
        <v>6</v>
      </c>
      <c r="G371" t="s">
        <v>440</v>
      </c>
      <c r="H371" t="s">
        <v>5</v>
      </c>
      <c r="I371">
        <v>7.5721292786727901E-2</v>
      </c>
      <c r="J371" t="s">
        <v>6</v>
      </c>
      <c r="L371" t="s">
        <v>441</v>
      </c>
      <c r="M371" t="s">
        <v>5</v>
      </c>
      <c r="N371">
        <v>6.3663038205573147E-2</v>
      </c>
      <c r="O371" t="s">
        <v>6</v>
      </c>
    </row>
    <row r="372" spans="2:15" x14ac:dyDescent="0.45">
      <c r="B372" t="s">
        <v>439</v>
      </c>
      <c r="C372" t="s">
        <v>9</v>
      </c>
      <c r="D372">
        <v>0</v>
      </c>
      <c r="E372" t="s">
        <v>6</v>
      </c>
      <c r="G372" t="s">
        <v>440</v>
      </c>
      <c r="H372" t="s">
        <v>9</v>
      </c>
      <c r="I372">
        <v>2.9158693067653955E-2</v>
      </c>
      <c r="J372" t="s">
        <v>6</v>
      </c>
      <c r="L372" t="s">
        <v>441</v>
      </c>
      <c r="M372" t="s">
        <v>9</v>
      </c>
      <c r="N372">
        <v>2.6351780516188444E-2</v>
      </c>
      <c r="O372" t="s">
        <v>6</v>
      </c>
    </row>
    <row r="373" spans="2:15" x14ac:dyDescent="0.45">
      <c r="B373" t="s">
        <v>439</v>
      </c>
      <c r="C373" t="s">
        <v>10</v>
      </c>
      <c r="D373">
        <v>3.1793417303997414E-5</v>
      </c>
      <c r="E373" t="s">
        <v>6</v>
      </c>
      <c r="G373" t="s">
        <v>440</v>
      </c>
      <c r="H373" t="s">
        <v>10</v>
      </c>
      <c r="I373">
        <v>2.8150059271048661E-2</v>
      </c>
      <c r="J373" t="s">
        <v>6</v>
      </c>
      <c r="L373" t="s">
        <v>441</v>
      </c>
      <c r="M373" t="s">
        <v>10</v>
      </c>
      <c r="N373">
        <v>2.7012736544080998E-2</v>
      </c>
      <c r="O373" t="s">
        <v>6</v>
      </c>
    </row>
    <row r="374" spans="2:15" x14ac:dyDescent="0.45">
      <c r="B374" t="s">
        <v>439</v>
      </c>
      <c r="C374" t="s">
        <v>11</v>
      </c>
      <c r="D374">
        <v>9.1660002981925857E-3</v>
      </c>
      <c r="E374" t="s">
        <v>6</v>
      </c>
      <c r="G374" t="s">
        <v>440</v>
      </c>
      <c r="H374" t="s">
        <v>11</v>
      </c>
      <c r="I374">
        <v>2.732983191325912E-2</v>
      </c>
      <c r="J374" t="s">
        <v>6</v>
      </c>
      <c r="L374" t="s">
        <v>441</v>
      </c>
      <c r="M374" t="s">
        <v>11</v>
      </c>
      <c r="N374">
        <v>2.6748362736156869E-2</v>
      </c>
      <c r="O374" t="s">
        <v>6</v>
      </c>
    </row>
    <row r="375" spans="2:15" x14ac:dyDescent="0.45">
      <c r="B375" t="s">
        <v>439</v>
      </c>
      <c r="C375" t="s">
        <v>12</v>
      </c>
      <c r="D375">
        <v>2.9007328922563799E-2</v>
      </c>
      <c r="E375" t="s">
        <v>6</v>
      </c>
      <c r="G375" t="s">
        <v>440</v>
      </c>
      <c r="H375" t="s">
        <v>12</v>
      </c>
      <c r="I375">
        <v>2.2089615399104905E-2</v>
      </c>
      <c r="J375" t="s">
        <v>6</v>
      </c>
      <c r="L375" t="s">
        <v>441</v>
      </c>
      <c r="M375" t="s">
        <v>12</v>
      </c>
      <c r="N375">
        <v>2.5986587704010543E-2</v>
      </c>
      <c r="O375" t="s">
        <v>6</v>
      </c>
    </row>
    <row r="376" spans="2:15" x14ac:dyDescent="0.45">
      <c r="B376" t="s">
        <v>439</v>
      </c>
      <c r="C376" t="s">
        <v>13</v>
      </c>
      <c r="D376">
        <v>3.3349647595588082E-2</v>
      </c>
      <c r="E376" t="s">
        <v>6</v>
      </c>
      <c r="G376" t="s">
        <v>440</v>
      </c>
      <c r="H376" t="s">
        <v>13</v>
      </c>
      <c r="I376">
        <v>2.3797915782201036E-2</v>
      </c>
      <c r="J376" t="s">
        <v>6</v>
      </c>
      <c r="L376" t="s">
        <v>441</v>
      </c>
      <c r="M376" t="s">
        <v>13</v>
      </c>
      <c r="N376">
        <v>2.5461589643264358E-2</v>
      </c>
      <c r="O376" t="s">
        <v>6</v>
      </c>
    </row>
    <row r="377" spans="2:15" x14ac:dyDescent="0.45">
      <c r="B377" t="s">
        <v>439</v>
      </c>
      <c r="C377" t="s">
        <v>14</v>
      </c>
      <c r="D377">
        <v>1.8689205324707324E-2</v>
      </c>
      <c r="E377" t="s">
        <v>6</v>
      </c>
      <c r="G377" t="s">
        <v>440</v>
      </c>
      <c r="H377" t="s">
        <v>14</v>
      </c>
      <c r="I377">
        <v>2.5992596148556923E-2</v>
      </c>
      <c r="J377" t="s">
        <v>6</v>
      </c>
      <c r="L377" t="s">
        <v>441</v>
      </c>
      <c r="M377" t="s">
        <v>14</v>
      </c>
      <c r="N377">
        <v>2.5142714115356291E-2</v>
      </c>
      <c r="O377" t="s">
        <v>6</v>
      </c>
    </row>
    <row r="378" spans="2:15" x14ac:dyDescent="0.45">
      <c r="B378" t="s">
        <v>439</v>
      </c>
      <c r="C378" t="s">
        <v>15</v>
      </c>
      <c r="D378">
        <v>2.4079724897933009E-3</v>
      </c>
      <c r="E378" t="s">
        <v>6</v>
      </c>
      <c r="G378" t="s">
        <v>440</v>
      </c>
      <c r="H378" t="s">
        <v>15</v>
      </c>
      <c r="I378">
        <v>2.8953149382318636E-2</v>
      </c>
      <c r="J378" t="s">
        <v>6</v>
      </c>
      <c r="L378" t="s">
        <v>441</v>
      </c>
      <c r="M378" t="s">
        <v>15</v>
      </c>
      <c r="N378">
        <v>2.6014857989870313E-2</v>
      </c>
      <c r="O378" t="s">
        <v>6</v>
      </c>
    </row>
    <row r="379" spans="2:15" x14ac:dyDescent="0.45">
      <c r="B379" t="s">
        <v>439</v>
      </c>
      <c r="C379" t="s">
        <v>16</v>
      </c>
      <c r="D379">
        <v>0</v>
      </c>
      <c r="E379" t="s">
        <v>6</v>
      </c>
      <c r="G379" t="s">
        <v>440</v>
      </c>
      <c r="H379" t="s">
        <v>16</v>
      </c>
      <c r="I379">
        <v>3.0360275469007172E-2</v>
      </c>
      <c r="J379" t="s">
        <v>6</v>
      </c>
      <c r="L379" t="s">
        <v>441</v>
      </c>
      <c r="M379" t="s">
        <v>16</v>
      </c>
      <c r="N379">
        <v>2.6304571046978868E-2</v>
      </c>
      <c r="O379" t="s">
        <v>6</v>
      </c>
    </row>
    <row r="380" spans="2:15" x14ac:dyDescent="0.45">
      <c r="B380" t="s">
        <v>439</v>
      </c>
      <c r="C380" t="s">
        <v>17</v>
      </c>
      <c r="D380">
        <v>0</v>
      </c>
      <c r="E380" t="s">
        <v>6</v>
      </c>
      <c r="G380" t="s">
        <v>440</v>
      </c>
      <c r="H380" t="s">
        <v>17</v>
      </c>
      <c r="I380">
        <v>4.5724773707164018E-2</v>
      </c>
      <c r="J380" t="s">
        <v>6</v>
      </c>
      <c r="L380" t="s">
        <v>441</v>
      </c>
      <c r="M380" t="s">
        <v>17</v>
      </c>
      <c r="N380">
        <v>3.835064640875719E-2</v>
      </c>
      <c r="O380" t="s">
        <v>6</v>
      </c>
    </row>
    <row r="381" spans="2:15" x14ac:dyDescent="0.45">
      <c r="B381" t="s">
        <v>439</v>
      </c>
      <c r="C381" t="s">
        <v>18</v>
      </c>
      <c r="D381">
        <v>0</v>
      </c>
      <c r="E381" t="s">
        <v>6</v>
      </c>
      <c r="G381" t="s">
        <v>440</v>
      </c>
      <c r="H381" t="s">
        <v>18</v>
      </c>
      <c r="I381">
        <v>5.2151280827000733E-2</v>
      </c>
      <c r="J381" t="s">
        <v>6</v>
      </c>
      <c r="L381" t="s">
        <v>441</v>
      </c>
      <c r="M381" t="s">
        <v>18</v>
      </c>
      <c r="N381">
        <v>5.1719049448717067E-2</v>
      </c>
      <c r="O381" t="s">
        <v>6</v>
      </c>
    </row>
    <row r="382" spans="2:15" x14ac:dyDescent="0.45">
      <c r="B382" t="s">
        <v>439</v>
      </c>
      <c r="C382" t="s">
        <v>19</v>
      </c>
      <c r="D382">
        <v>6.3478695290706383E-4</v>
      </c>
      <c r="E382" t="s">
        <v>6</v>
      </c>
      <c r="G382" t="s">
        <v>440</v>
      </c>
      <c r="H382" t="s">
        <v>19</v>
      </c>
      <c r="I382">
        <v>2.1637394222915187E-2</v>
      </c>
      <c r="J382" t="s">
        <v>6</v>
      </c>
      <c r="L382" t="s">
        <v>441</v>
      </c>
      <c r="M382" t="s">
        <v>19</v>
      </c>
      <c r="N382">
        <v>2.0005636940513379E-2</v>
      </c>
      <c r="O382" t="s">
        <v>6</v>
      </c>
    </row>
    <row r="383" spans="2:15" x14ac:dyDescent="0.45">
      <c r="B383" t="s">
        <v>439</v>
      </c>
      <c r="C383" t="s">
        <v>20</v>
      </c>
      <c r="D383">
        <v>1.4782092782458442E-2</v>
      </c>
      <c r="E383" t="s">
        <v>6</v>
      </c>
      <c r="G383" t="s">
        <v>440</v>
      </c>
      <c r="H383" t="s">
        <v>20</v>
      </c>
      <c r="I383">
        <v>2.0431262254202102E-2</v>
      </c>
      <c r="J383" t="s">
        <v>6</v>
      </c>
      <c r="L383" t="s">
        <v>441</v>
      </c>
      <c r="M383" t="s">
        <v>20</v>
      </c>
      <c r="N383">
        <v>1.942167926885302E-2</v>
      </c>
      <c r="O383" t="s">
        <v>6</v>
      </c>
    </row>
    <row r="384" spans="2:15" x14ac:dyDescent="0.45">
      <c r="B384" t="s">
        <v>439</v>
      </c>
      <c r="C384" t="s">
        <v>21</v>
      </c>
      <c r="D384">
        <v>5.2500671491281237E-2</v>
      </c>
      <c r="E384" t="s">
        <v>6</v>
      </c>
      <c r="G384" t="s">
        <v>440</v>
      </c>
      <c r="H384" t="s">
        <v>21</v>
      </c>
      <c r="I384">
        <v>1.9201274047011795E-2</v>
      </c>
      <c r="J384" t="s">
        <v>6</v>
      </c>
      <c r="L384" t="s">
        <v>441</v>
      </c>
      <c r="M384" t="s">
        <v>21</v>
      </c>
      <c r="N384">
        <v>1.8819632151664527E-2</v>
      </c>
      <c r="O384" t="s">
        <v>6</v>
      </c>
    </row>
    <row r="385" spans="2:15" x14ac:dyDescent="0.45">
      <c r="B385" t="s">
        <v>439</v>
      </c>
      <c r="C385" t="s">
        <v>22</v>
      </c>
      <c r="D385">
        <v>8.1807881088643578E-2</v>
      </c>
      <c r="E385" t="s">
        <v>6</v>
      </c>
      <c r="G385" t="s">
        <v>440</v>
      </c>
      <c r="H385" t="s">
        <v>22</v>
      </c>
      <c r="I385">
        <v>1.4739571801358835E-2</v>
      </c>
      <c r="J385" t="s">
        <v>6</v>
      </c>
      <c r="L385" t="s">
        <v>441</v>
      </c>
      <c r="M385" t="s">
        <v>22</v>
      </c>
      <c r="N385">
        <v>1.8214054270807307E-2</v>
      </c>
      <c r="O385" t="s">
        <v>6</v>
      </c>
    </row>
    <row r="386" spans="2:15" x14ac:dyDescent="0.45">
      <c r="B386" t="s">
        <v>439</v>
      </c>
      <c r="C386" t="s">
        <v>23</v>
      </c>
      <c r="D386">
        <v>8.3676651016634809E-2</v>
      </c>
      <c r="E386" t="s">
        <v>6</v>
      </c>
      <c r="G386" t="s">
        <v>440</v>
      </c>
      <c r="H386" t="s">
        <v>23</v>
      </c>
      <c r="I386">
        <v>1.6273805471289943E-2</v>
      </c>
      <c r="J386" t="s">
        <v>6</v>
      </c>
      <c r="L386" t="s">
        <v>441</v>
      </c>
      <c r="M386" t="s">
        <v>23</v>
      </c>
      <c r="N386">
        <v>1.9416000387417909E-2</v>
      </c>
      <c r="O386" t="s">
        <v>6</v>
      </c>
    </row>
    <row r="387" spans="2:15" x14ac:dyDescent="0.45">
      <c r="B387" t="s">
        <v>439</v>
      </c>
      <c r="C387" t="s">
        <v>24</v>
      </c>
      <c r="D387">
        <v>6.1276310334650357E-2</v>
      </c>
      <c r="E387" t="s">
        <v>6</v>
      </c>
      <c r="G387" t="s">
        <v>440</v>
      </c>
      <c r="H387" t="s">
        <v>24</v>
      </c>
      <c r="I387">
        <v>1.6944326486805075E-2</v>
      </c>
      <c r="J387" t="s">
        <v>6</v>
      </c>
      <c r="L387" t="s">
        <v>441</v>
      </c>
      <c r="M387" t="s">
        <v>24</v>
      </c>
      <c r="N387">
        <v>1.9994935200540603E-2</v>
      </c>
      <c r="O387" t="s">
        <v>6</v>
      </c>
    </row>
    <row r="388" spans="2:15" x14ac:dyDescent="0.45">
      <c r="B388" t="s">
        <v>439</v>
      </c>
      <c r="C388" t="s">
        <v>25</v>
      </c>
      <c r="D388">
        <v>2.6223221049277674E-2</v>
      </c>
      <c r="E388" t="s">
        <v>6</v>
      </c>
      <c r="G388" t="s">
        <v>440</v>
      </c>
      <c r="H388" t="s">
        <v>25</v>
      </c>
      <c r="I388">
        <v>1.837535175239904E-2</v>
      </c>
      <c r="J388" t="s">
        <v>6</v>
      </c>
      <c r="L388" t="s">
        <v>441</v>
      </c>
      <c r="M388" t="s">
        <v>25</v>
      </c>
      <c r="N388">
        <v>1.9878420803404864E-2</v>
      </c>
      <c r="O388" t="s">
        <v>6</v>
      </c>
    </row>
    <row r="389" spans="2:15" x14ac:dyDescent="0.45">
      <c r="B389" t="s">
        <v>439</v>
      </c>
      <c r="C389" t="s">
        <v>26</v>
      </c>
      <c r="D389">
        <v>1.9762954490977597E-3</v>
      </c>
      <c r="E389" t="s">
        <v>6</v>
      </c>
      <c r="G389" t="s">
        <v>440</v>
      </c>
      <c r="H389" t="s">
        <v>26</v>
      </c>
      <c r="I389">
        <v>2.0930895531763152E-2</v>
      </c>
      <c r="J389" t="s">
        <v>6</v>
      </c>
      <c r="L389" t="s">
        <v>441</v>
      </c>
      <c r="M389" t="s">
        <v>26</v>
      </c>
      <c r="N389">
        <v>2.1056306565320527E-2</v>
      </c>
      <c r="O389" t="s">
        <v>6</v>
      </c>
    </row>
    <row r="390" spans="2:15" x14ac:dyDescent="0.45">
      <c r="B390" t="s">
        <v>439</v>
      </c>
      <c r="C390" t="s">
        <v>27</v>
      </c>
      <c r="D390">
        <v>0</v>
      </c>
      <c r="E390" t="s">
        <v>6</v>
      </c>
      <c r="G390" t="s">
        <v>440</v>
      </c>
      <c r="H390" t="s">
        <v>27</v>
      </c>
      <c r="I390">
        <v>3.2771585469636023E-2</v>
      </c>
      <c r="J390" t="s">
        <v>6</v>
      </c>
      <c r="L390" t="s">
        <v>441</v>
      </c>
      <c r="M390" t="s">
        <v>27</v>
      </c>
      <c r="N390">
        <v>3.2492564868005981E-2</v>
      </c>
      <c r="O390" t="s">
        <v>6</v>
      </c>
    </row>
    <row r="391" spans="2:15" x14ac:dyDescent="0.45">
      <c r="B391" t="s">
        <v>439</v>
      </c>
      <c r="C391" t="s">
        <v>28</v>
      </c>
      <c r="D391">
        <v>0</v>
      </c>
      <c r="E391" t="s">
        <v>6</v>
      </c>
      <c r="G391" t="s">
        <v>440</v>
      </c>
      <c r="H391" t="s">
        <v>28</v>
      </c>
      <c r="I391">
        <v>3.5380308103962511E-2</v>
      </c>
      <c r="J391" t="s">
        <v>6</v>
      </c>
      <c r="L391" t="s">
        <v>441</v>
      </c>
      <c r="M391" t="s">
        <v>28</v>
      </c>
      <c r="N391">
        <v>3.8747768785910526E-2</v>
      </c>
      <c r="O391" t="s">
        <v>6</v>
      </c>
    </row>
    <row r="392" spans="2:15" x14ac:dyDescent="0.45">
      <c r="B392" t="s">
        <v>439</v>
      </c>
      <c r="C392" t="s">
        <v>29</v>
      </c>
      <c r="D392">
        <v>1.8300713591724814E-3</v>
      </c>
      <c r="E392" t="s">
        <v>6</v>
      </c>
      <c r="G392" t="s">
        <v>440</v>
      </c>
      <c r="H392" t="s">
        <v>29</v>
      </c>
      <c r="I392">
        <v>1.159033466054309E-2</v>
      </c>
      <c r="J392" t="s">
        <v>6</v>
      </c>
      <c r="L392" t="s">
        <v>441</v>
      </c>
      <c r="M392" t="s">
        <v>29</v>
      </c>
      <c r="N392">
        <v>1.4352163573100658E-2</v>
      </c>
      <c r="O392" t="s">
        <v>6</v>
      </c>
    </row>
    <row r="393" spans="2:15" x14ac:dyDescent="0.45">
      <c r="B393" t="s">
        <v>439</v>
      </c>
      <c r="C393" t="s">
        <v>30</v>
      </c>
      <c r="D393">
        <v>2.3517255893108546E-2</v>
      </c>
      <c r="E393" t="s">
        <v>6</v>
      </c>
      <c r="G393" t="s">
        <v>440</v>
      </c>
      <c r="H393" t="s">
        <v>30</v>
      </c>
      <c r="I393">
        <v>8.2606066004084263E-3</v>
      </c>
      <c r="J393" t="s">
        <v>6</v>
      </c>
      <c r="L393" t="s">
        <v>441</v>
      </c>
      <c r="M393" t="s">
        <v>30</v>
      </c>
      <c r="N393">
        <v>1.3829733530334638E-2</v>
      </c>
      <c r="O393" t="s">
        <v>6</v>
      </c>
    </row>
    <row r="394" spans="2:15" x14ac:dyDescent="0.45">
      <c r="B394" t="s">
        <v>439</v>
      </c>
      <c r="C394" t="s">
        <v>31</v>
      </c>
      <c r="D394">
        <v>6.5774885519608667E-2</v>
      </c>
      <c r="E394" t="s">
        <v>6</v>
      </c>
      <c r="G394" t="s">
        <v>440</v>
      </c>
      <c r="H394" t="s">
        <v>31</v>
      </c>
      <c r="I394">
        <v>8.1363175973511413E-3</v>
      </c>
      <c r="J394" t="s">
        <v>6</v>
      </c>
      <c r="L394" t="s">
        <v>441</v>
      </c>
      <c r="M394" t="s">
        <v>31</v>
      </c>
      <c r="N394">
        <v>1.410494635506449E-2</v>
      </c>
      <c r="O394" t="s">
        <v>6</v>
      </c>
    </row>
    <row r="395" spans="2:15" x14ac:dyDescent="0.45">
      <c r="B395" t="s">
        <v>439</v>
      </c>
      <c r="C395" t="s">
        <v>32</v>
      </c>
      <c r="D395">
        <v>9.5721234037641365E-2</v>
      </c>
      <c r="E395" t="s">
        <v>6</v>
      </c>
      <c r="G395" t="s">
        <v>440</v>
      </c>
      <c r="H395" t="s">
        <v>32</v>
      </c>
      <c r="I395">
        <v>8.6121249584746977E-3</v>
      </c>
      <c r="J395" t="s">
        <v>6</v>
      </c>
      <c r="L395" t="s">
        <v>441</v>
      </c>
      <c r="M395" t="s">
        <v>32</v>
      </c>
      <c r="N395">
        <v>1.2227793760587699E-2</v>
      </c>
      <c r="O395" t="s">
        <v>6</v>
      </c>
    </row>
    <row r="396" spans="2:15" x14ac:dyDescent="0.45">
      <c r="B396" t="s">
        <v>439</v>
      </c>
      <c r="C396" t="s">
        <v>33</v>
      </c>
      <c r="D396">
        <v>9.4765395620764914E-2</v>
      </c>
      <c r="E396" t="s">
        <v>6</v>
      </c>
      <c r="G396" t="s">
        <v>440</v>
      </c>
      <c r="H396" t="s">
        <v>33</v>
      </c>
      <c r="I396">
        <v>9.5263440238297966E-3</v>
      </c>
      <c r="J396" t="s">
        <v>6</v>
      </c>
      <c r="L396" t="s">
        <v>441</v>
      </c>
      <c r="M396" t="s">
        <v>33</v>
      </c>
      <c r="N396">
        <v>1.3423534737692524E-2</v>
      </c>
      <c r="O396" t="s">
        <v>6</v>
      </c>
    </row>
    <row r="397" spans="2:15" x14ac:dyDescent="0.45">
      <c r="B397" t="s">
        <v>439</v>
      </c>
      <c r="C397" t="s">
        <v>34</v>
      </c>
      <c r="D397">
        <v>7.244500649613933E-2</v>
      </c>
      <c r="E397" t="s">
        <v>6</v>
      </c>
      <c r="G397" t="s">
        <v>440</v>
      </c>
      <c r="H397" t="s">
        <v>34</v>
      </c>
      <c r="I397">
        <v>1.010443634019889E-2</v>
      </c>
      <c r="J397" t="s">
        <v>6</v>
      </c>
      <c r="L397" t="s">
        <v>441</v>
      </c>
      <c r="M397" t="s">
        <v>34</v>
      </c>
      <c r="N397">
        <v>1.4147020315551529E-2</v>
      </c>
      <c r="O397" t="s">
        <v>6</v>
      </c>
    </row>
    <row r="398" spans="2:15" x14ac:dyDescent="0.45">
      <c r="B398" t="s">
        <v>439</v>
      </c>
      <c r="C398" t="s">
        <v>35</v>
      </c>
      <c r="D398">
        <v>3.8009585542341767E-2</v>
      </c>
      <c r="E398" t="s">
        <v>6</v>
      </c>
      <c r="G398" t="s">
        <v>440</v>
      </c>
      <c r="H398" t="s">
        <v>35</v>
      </c>
      <c r="I398">
        <v>1.1313076684859336E-2</v>
      </c>
      <c r="J398" t="s">
        <v>6</v>
      </c>
      <c r="L398" t="s">
        <v>441</v>
      </c>
      <c r="M398" t="s">
        <v>35</v>
      </c>
      <c r="N398">
        <v>1.4089974353512587E-2</v>
      </c>
      <c r="O398" t="s">
        <v>6</v>
      </c>
    </row>
    <row r="399" spans="2:15" x14ac:dyDescent="0.45">
      <c r="B399" t="s">
        <v>439</v>
      </c>
      <c r="C399" t="s">
        <v>36</v>
      </c>
      <c r="D399">
        <v>6.1385714467242E-3</v>
      </c>
      <c r="E399" t="s">
        <v>6</v>
      </c>
      <c r="G399" t="s">
        <v>440</v>
      </c>
      <c r="H399" t="s">
        <v>36</v>
      </c>
      <c r="I399">
        <v>1.2483545439810265E-2</v>
      </c>
      <c r="J399" t="s">
        <v>6</v>
      </c>
      <c r="L399" t="s">
        <v>441</v>
      </c>
      <c r="M399" t="s">
        <v>36</v>
      </c>
      <c r="N399">
        <v>1.4503494051259398E-2</v>
      </c>
      <c r="O399" t="s">
        <v>6</v>
      </c>
    </row>
    <row r="400" spans="2:15" x14ac:dyDescent="0.45">
      <c r="B400" t="s">
        <v>439</v>
      </c>
      <c r="C400" t="s">
        <v>37</v>
      </c>
      <c r="D400">
        <v>2.1730438326050857E-5</v>
      </c>
      <c r="E400" t="s">
        <v>6</v>
      </c>
      <c r="G400" t="s">
        <v>440</v>
      </c>
      <c r="H400" t="s">
        <v>37</v>
      </c>
      <c r="I400">
        <v>2.3905946827147528E-2</v>
      </c>
      <c r="J400" t="s">
        <v>6</v>
      </c>
      <c r="L400" t="s">
        <v>441</v>
      </c>
      <c r="M400" t="s">
        <v>37</v>
      </c>
      <c r="N400">
        <v>2.3653348969479442E-2</v>
      </c>
      <c r="O400" t="s">
        <v>6</v>
      </c>
    </row>
    <row r="401" spans="2:15" x14ac:dyDescent="0.45">
      <c r="B401" t="s">
        <v>439</v>
      </c>
      <c r="C401" t="s">
        <v>38</v>
      </c>
      <c r="D401">
        <v>0</v>
      </c>
      <c r="E401" t="s">
        <v>6</v>
      </c>
      <c r="G401" t="s">
        <v>440</v>
      </c>
      <c r="H401" t="s">
        <v>38</v>
      </c>
      <c r="I401">
        <v>6.7236411770447008E-2</v>
      </c>
      <c r="J401" t="s">
        <v>6</v>
      </c>
      <c r="L401" t="s">
        <v>441</v>
      </c>
      <c r="M401" t="s">
        <v>38</v>
      </c>
      <c r="N401">
        <v>5.6536591249949891E-2</v>
      </c>
      <c r="O401" t="s">
        <v>6</v>
      </c>
    </row>
    <row r="402" spans="2:15" x14ac:dyDescent="0.45">
      <c r="B402" t="s">
        <v>439</v>
      </c>
      <c r="C402" t="s">
        <v>39</v>
      </c>
      <c r="D402">
        <v>0</v>
      </c>
      <c r="E402" t="s">
        <v>6</v>
      </c>
      <c r="G402" t="s">
        <v>440</v>
      </c>
      <c r="H402" t="s">
        <v>39</v>
      </c>
      <c r="I402">
        <v>2.7560634599772513E-2</v>
      </c>
      <c r="J402" t="s">
        <v>6</v>
      </c>
      <c r="L402" t="s">
        <v>441</v>
      </c>
      <c r="M402" t="s">
        <v>39</v>
      </c>
      <c r="N402">
        <v>2.2960757576951971E-2</v>
      </c>
      <c r="O402" t="s">
        <v>6</v>
      </c>
    </row>
    <row r="403" spans="2:15" x14ac:dyDescent="0.45">
      <c r="B403" t="s">
        <v>439</v>
      </c>
      <c r="C403" t="s">
        <v>40</v>
      </c>
      <c r="D403">
        <v>3.5230082058131927E-3</v>
      </c>
      <c r="E403" t="s">
        <v>6</v>
      </c>
      <c r="G403" t="s">
        <v>440</v>
      </c>
      <c r="H403" t="s">
        <v>40</v>
      </c>
      <c r="I403">
        <v>2.6720191156434793E-2</v>
      </c>
      <c r="J403" t="s">
        <v>6</v>
      </c>
      <c r="L403" t="s">
        <v>441</v>
      </c>
      <c r="M403" t="s">
        <v>40</v>
      </c>
      <c r="N403">
        <v>2.3586985781277485E-2</v>
      </c>
      <c r="O403" t="s">
        <v>6</v>
      </c>
    </row>
    <row r="404" spans="2:15" x14ac:dyDescent="0.45">
      <c r="B404" t="s">
        <v>439</v>
      </c>
      <c r="C404" t="s">
        <v>41</v>
      </c>
      <c r="D404">
        <v>2.849803565755318E-2</v>
      </c>
      <c r="E404" t="s">
        <v>6</v>
      </c>
      <c r="G404" t="s">
        <v>440</v>
      </c>
      <c r="H404" t="s">
        <v>41</v>
      </c>
      <c r="I404">
        <v>2.3993786397863846E-2</v>
      </c>
      <c r="J404" t="s">
        <v>6</v>
      </c>
      <c r="L404" t="s">
        <v>441</v>
      </c>
      <c r="M404" t="s">
        <v>41</v>
      </c>
      <c r="N404">
        <v>2.3408426213739349E-2</v>
      </c>
      <c r="O404" t="s">
        <v>6</v>
      </c>
    </row>
    <row r="405" spans="2:15" x14ac:dyDescent="0.45">
      <c r="B405" t="s">
        <v>439</v>
      </c>
      <c r="C405" t="s">
        <v>42</v>
      </c>
      <c r="D405">
        <v>5.5454588263328469E-2</v>
      </c>
      <c r="E405" t="s">
        <v>6</v>
      </c>
      <c r="G405" t="s">
        <v>440</v>
      </c>
      <c r="H405" t="s">
        <v>42</v>
      </c>
      <c r="I405">
        <v>1.7939118841319022E-2</v>
      </c>
      <c r="J405" t="s">
        <v>6</v>
      </c>
      <c r="L405" t="s">
        <v>441</v>
      </c>
      <c r="M405" t="s">
        <v>42</v>
      </c>
      <c r="N405">
        <v>2.2151241173806221E-2</v>
      </c>
      <c r="O405" t="s">
        <v>6</v>
      </c>
    </row>
    <row r="406" spans="2:15" x14ac:dyDescent="0.45">
      <c r="B406" t="s">
        <v>439</v>
      </c>
      <c r="C406" t="s">
        <v>43</v>
      </c>
      <c r="D406">
        <v>5.6114260785743719E-2</v>
      </c>
      <c r="E406" t="s">
        <v>6</v>
      </c>
      <c r="G406" t="s">
        <v>440</v>
      </c>
      <c r="H406" t="s">
        <v>43</v>
      </c>
      <c r="I406">
        <v>1.9475193024762923E-2</v>
      </c>
      <c r="J406" t="s">
        <v>6</v>
      </c>
      <c r="L406" t="s">
        <v>441</v>
      </c>
      <c r="M406" t="s">
        <v>43</v>
      </c>
      <c r="N406">
        <v>2.2800247923723271E-2</v>
      </c>
      <c r="O406" t="s">
        <v>6</v>
      </c>
    </row>
    <row r="407" spans="2:15" x14ac:dyDescent="0.45">
      <c r="B407" t="s">
        <v>439</v>
      </c>
      <c r="C407" t="s">
        <v>44</v>
      </c>
      <c r="D407">
        <v>3.5108940174408555E-2</v>
      </c>
      <c r="E407" t="s">
        <v>6</v>
      </c>
      <c r="G407" t="s">
        <v>440</v>
      </c>
      <c r="H407" t="s">
        <v>44</v>
      </c>
      <c r="I407">
        <v>2.0464873291728317E-2</v>
      </c>
      <c r="J407" t="s">
        <v>6</v>
      </c>
      <c r="L407" t="s">
        <v>441</v>
      </c>
      <c r="M407" t="s">
        <v>44</v>
      </c>
      <c r="N407">
        <v>2.2574906954196956E-2</v>
      </c>
      <c r="O407" t="s">
        <v>6</v>
      </c>
    </row>
    <row r="408" spans="2:15" x14ac:dyDescent="0.45">
      <c r="B408" t="s">
        <v>439</v>
      </c>
      <c r="C408" t="s">
        <v>45</v>
      </c>
      <c r="D408">
        <v>7.5019791074744128E-3</v>
      </c>
      <c r="E408" t="s">
        <v>6</v>
      </c>
      <c r="G408" t="s">
        <v>440</v>
      </c>
      <c r="H408" t="s">
        <v>45</v>
      </c>
      <c r="I408">
        <v>2.2126683670695344E-2</v>
      </c>
      <c r="J408" t="s">
        <v>6</v>
      </c>
      <c r="L408" t="s">
        <v>441</v>
      </c>
      <c r="M408" t="s">
        <v>45</v>
      </c>
      <c r="N408">
        <v>2.255343165236507E-2</v>
      </c>
      <c r="O408" t="s">
        <v>6</v>
      </c>
    </row>
    <row r="409" spans="2:15" x14ac:dyDescent="0.45">
      <c r="B409" t="s">
        <v>439</v>
      </c>
      <c r="C409" t="s">
        <v>46</v>
      </c>
      <c r="D409">
        <v>4.5593238750965702E-5</v>
      </c>
      <c r="E409" t="s">
        <v>6</v>
      </c>
      <c r="G409" t="s">
        <v>440</v>
      </c>
      <c r="H409" t="s">
        <v>46</v>
      </c>
      <c r="I409">
        <v>2.4938311451582876E-2</v>
      </c>
      <c r="J409" t="s">
        <v>6</v>
      </c>
      <c r="L409" t="s">
        <v>441</v>
      </c>
      <c r="M409" t="s">
        <v>46</v>
      </c>
      <c r="N409">
        <v>2.2995871409618725E-2</v>
      </c>
      <c r="O409" t="s">
        <v>6</v>
      </c>
    </row>
    <row r="410" spans="2:15" x14ac:dyDescent="0.45">
      <c r="B410" t="s">
        <v>439</v>
      </c>
      <c r="C410" t="s">
        <v>47</v>
      </c>
      <c r="D410">
        <v>0</v>
      </c>
      <c r="E410" t="s">
        <v>6</v>
      </c>
      <c r="G410" t="s">
        <v>440</v>
      </c>
      <c r="H410" t="s">
        <v>47</v>
      </c>
      <c r="I410">
        <v>3.9496803767384986E-2</v>
      </c>
      <c r="J410" t="s">
        <v>6</v>
      </c>
      <c r="L410" t="s">
        <v>441</v>
      </c>
      <c r="M410" t="s">
        <v>47</v>
      </c>
      <c r="N410">
        <v>3.5296596816394521E-2</v>
      </c>
      <c r="O410" t="s">
        <v>6</v>
      </c>
    </row>
    <row r="411" spans="2:15" x14ac:dyDescent="0.45">
      <c r="B411" t="s">
        <v>442</v>
      </c>
      <c r="C411" t="s">
        <v>5</v>
      </c>
      <c r="D411">
        <v>0</v>
      </c>
      <c r="E411" t="s">
        <v>6</v>
      </c>
      <c r="G411" t="s">
        <v>443</v>
      </c>
      <c r="H411" t="s">
        <v>5</v>
      </c>
      <c r="I411">
        <v>7.2715637679906686E-2</v>
      </c>
      <c r="J411" t="s">
        <v>6</v>
      </c>
    </row>
    <row r="412" spans="2:15" x14ac:dyDescent="0.45">
      <c r="B412" t="s">
        <v>442</v>
      </c>
      <c r="C412" t="s">
        <v>9</v>
      </c>
      <c r="D412">
        <v>0</v>
      </c>
      <c r="E412" t="s">
        <v>6</v>
      </c>
      <c r="G412" t="s">
        <v>443</v>
      </c>
      <c r="H412" t="s">
        <v>9</v>
      </c>
      <c r="I412">
        <v>2.9652379520267978E-2</v>
      </c>
      <c r="J412" t="s">
        <v>6</v>
      </c>
    </row>
    <row r="413" spans="2:15" x14ac:dyDescent="0.45">
      <c r="B413" t="s">
        <v>442</v>
      </c>
      <c r="C413" t="s">
        <v>10</v>
      </c>
      <c r="D413">
        <v>5.0564822594127016E-5</v>
      </c>
      <c r="E413" t="s">
        <v>6</v>
      </c>
      <c r="G413" t="s">
        <v>443</v>
      </c>
      <c r="H413" t="s">
        <v>10</v>
      </c>
      <c r="I413">
        <v>2.9768572945455853E-2</v>
      </c>
      <c r="J413" t="s">
        <v>6</v>
      </c>
    </row>
    <row r="414" spans="2:15" x14ac:dyDescent="0.45">
      <c r="B414" t="s">
        <v>442</v>
      </c>
      <c r="C414" t="s">
        <v>11</v>
      </c>
      <c r="D414">
        <v>8.6627137354354719E-3</v>
      </c>
      <c r="E414" t="s">
        <v>6</v>
      </c>
      <c r="G414" t="s">
        <v>443</v>
      </c>
      <c r="H414" t="s">
        <v>11</v>
      </c>
      <c r="I414">
        <v>2.9925999148428549E-2</v>
      </c>
      <c r="J414" t="s">
        <v>6</v>
      </c>
    </row>
    <row r="415" spans="2:15" x14ac:dyDescent="0.45">
      <c r="B415" t="s">
        <v>442</v>
      </c>
      <c r="C415" t="s">
        <v>12</v>
      </c>
      <c r="D415">
        <v>2.8537501691862407E-2</v>
      </c>
      <c r="E415" t="s">
        <v>6</v>
      </c>
      <c r="G415" t="s">
        <v>443</v>
      </c>
      <c r="H415" t="s">
        <v>12</v>
      </c>
      <c r="I415">
        <v>2.7408432196960524E-2</v>
      </c>
      <c r="J415" t="s">
        <v>6</v>
      </c>
    </row>
    <row r="416" spans="2:15" x14ac:dyDescent="0.45">
      <c r="B416" t="s">
        <v>442</v>
      </c>
      <c r="C416" t="s">
        <v>13</v>
      </c>
      <c r="D416">
        <v>3.340506694858953E-2</v>
      </c>
      <c r="E416" t="s">
        <v>6</v>
      </c>
      <c r="G416" t="s">
        <v>443</v>
      </c>
      <c r="H416" t="s">
        <v>13</v>
      </c>
      <c r="I416">
        <v>2.8321115429530586E-2</v>
      </c>
      <c r="J416" t="s">
        <v>6</v>
      </c>
    </row>
    <row r="417" spans="2:10" x14ac:dyDescent="0.45">
      <c r="B417" t="s">
        <v>442</v>
      </c>
      <c r="C417" t="s">
        <v>14</v>
      </c>
      <c r="D417">
        <v>1.9024734727468781E-2</v>
      </c>
      <c r="E417" t="s">
        <v>6</v>
      </c>
      <c r="G417" t="s">
        <v>443</v>
      </c>
      <c r="H417" t="s">
        <v>14</v>
      </c>
      <c r="I417">
        <v>2.8087243403302743E-2</v>
      </c>
      <c r="J417" t="s">
        <v>6</v>
      </c>
    </row>
    <row r="418" spans="2:10" x14ac:dyDescent="0.45">
      <c r="B418" t="s">
        <v>442</v>
      </c>
      <c r="C418" t="s">
        <v>15</v>
      </c>
      <c r="D418">
        <v>1.9203232699718882E-3</v>
      </c>
      <c r="E418" t="s">
        <v>6</v>
      </c>
      <c r="G418" t="s">
        <v>443</v>
      </c>
      <c r="H418" t="s">
        <v>15</v>
      </c>
      <c r="I418">
        <v>2.8073856497599491E-2</v>
      </c>
      <c r="J418" t="s">
        <v>6</v>
      </c>
    </row>
    <row r="419" spans="2:10" x14ac:dyDescent="0.45">
      <c r="B419" t="s">
        <v>442</v>
      </c>
      <c r="C419" t="s">
        <v>16</v>
      </c>
      <c r="D419">
        <v>0</v>
      </c>
      <c r="E419" t="s">
        <v>6</v>
      </c>
      <c r="G419" t="s">
        <v>443</v>
      </c>
      <c r="H419" t="s">
        <v>16</v>
      </c>
      <c r="I419">
        <v>2.884063079378419E-2</v>
      </c>
      <c r="J419" t="s">
        <v>6</v>
      </c>
    </row>
    <row r="420" spans="2:10" x14ac:dyDescent="0.45">
      <c r="B420" t="s">
        <v>442</v>
      </c>
      <c r="C420" t="s">
        <v>17</v>
      </c>
      <c r="D420">
        <v>0</v>
      </c>
      <c r="E420" t="s">
        <v>6</v>
      </c>
      <c r="G420" t="s">
        <v>443</v>
      </c>
      <c r="H420" t="s">
        <v>17</v>
      </c>
      <c r="I420">
        <v>4.2885661821870938E-2</v>
      </c>
      <c r="J420" t="s">
        <v>6</v>
      </c>
    </row>
    <row r="421" spans="2:10" x14ac:dyDescent="0.45">
      <c r="B421" t="s">
        <v>442</v>
      </c>
      <c r="C421" t="s">
        <v>18</v>
      </c>
      <c r="D421">
        <v>0</v>
      </c>
      <c r="E421" t="s">
        <v>6</v>
      </c>
      <c r="G421" t="s">
        <v>443</v>
      </c>
      <c r="H421" t="s">
        <v>18</v>
      </c>
      <c r="I421">
        <v>4.5818156246359355E-2</v>
      </c>
      <c r="J421" t="s">
        <v>6</v>
      </c>
    </row>
    <row r="422" spans="2:10" x14ac:dyDescent="0.45">
      <c r="B422" t="s">
        <v>442</v>
      </c>
      <c r="C422" t="s">
        <v>19</v>
      </c>
      <c r="D422">
        <v>7.0921795255965002E-4</v>
      </c>
      <c r="E422" t="s">
        <v>6</v>
      </c>
      <c r="G422" t="s">
        <v>443</v>
      </c>
      <c r="H422" t="s">
        <v>19</v>
      </c>
      <c r="I422">
        <v>1.8065880672605669E-2</v>
      </c>
      <c r="J422" t="s">
        <v>6</v>
      </c>
    </row>
    <row r="423" spans="2:10" x14ac:dyDescent="0.45">
      <c r="B423" t="s">
        <v>442</v>
      </c>
      <c r="C423" t="s">
        <v>20</v>
      </c>
      <c r="D423">
        <v>1.5195524990126377E-2</v>
      </c>
      <c r="E423" t="s">
        <v>6</v>
      </c>
      <c r="G423" t="s">
        <v>443</v>
      </c>
      <c r="H423" t="s">
        <v>20</v>
      </c>
      <c r="I423">
        <v>1.68179665818389E-2</v>
      </c>
      <c r="J423" t="s">
        <v>6</v>
      </c>
    </row>
    <row r="424" spans="2:10" x14ac:dyDescent="0.45">
      <c r="B424" t="s">
        <v>442</v>
      </c>
      <c r="C424" t="s">
        <v>21</v>
      </c>
      <c r="D424">
        <v>5.4536406123736121E-2</v>
      </c>
      <c r="E424" t="s">
        <v>6</v>
      </c>
      <c r="G424" t="s">
        <v>443</v>
      </c>
      <c r="H424" t="s">
        <v>21</v>
      </c>
      <c r="I424">
        <v>1.6367652163176292E-2</v>
      </c>
      <c r="J424" t="s">
        <v>6</v>
      </c>
    </row>
    <row r="425" spans="2:10" x14ac:dyDescent="0.45">
      <c r="B425" t="s">
        <v>442</v>
      </c>
      <c r="C425" t="s">
        <v>22</v>
      </c>
      <c r="D425">
        <v>8.3492312499616736E-2</v>
      </c>
      <c r="E425" t="s">
        <v>6</v>
      </c>
      <c r="G425" t="s">
        <v>443</v>
      </c>
      <c r="H425" t="s">
        <v>22</v>
      </c>
      <c r="I425">
        <v>1.480245098310262E-2</v>
      </c>
      <c r="J425" t="s">
        <v>6</v>
      </c>
    </row>
    <row r="426" spans="2:10" x14ac:dyDescent="0.45">
      <c r="B426" t="s">
        <v>442</v>
      </c>
      <c r="C426" t="s">
        <v>23</v>
      </c>
      <c r="D426">
        <v>8.7906980978654653E-2</v>
      </c>
      <c r="E426" t="s">
        <v>6</v>
      </c>
      <c r="G426" t="s">
        <v>443</v>
      </c>
      <c r="H426" t="s">
        <v>23</v>
      </c>
      <c r="I426">
        <v>1.7084818764160146E-2</v>
      </c>
      <c r="J426" t="s">
        <v>6</v>
      </c>
    </row>
    <row r="427" spans="2:10" x14ac:dyDescent="0.45">
      <c r="B427" t="s">
        <v>442</v>
      </c>
      <c r="C427" t="s">
        <v>24</v>
      </c>
      <c r="D427">
        <v>6.7064958096678687E-2</v>
      </c>
      <c r="E427" t="s">
        <v>6</v>
      </c>
      <c r="G427" t="s">
        <v>443</v>
      </c>
      <c r="H427" t="s">
        <v>24</v>
      </c>
      <c r="I427">
        <v>1.815501399294164E-2</v>
      </c>
      <c r="J427" t="s">
        <v>6</v>
      </c>
    </row>
    <row r="428" spans="2:10" x14ac:dyDescent="0.45">
      <c r="B428" t="s">
        <v>442</v>
      </c>
      <c r="C428" t="s">
        <v>25</v>
      </c>
      <c r="D428">
        <v>2.9751819018897147E-2</v>
      </c>
      <c r="E428" t="s">
        <v>6</v>
      </c>
      <c r="G428" t="s">
        <v>443</v>
      </c>
      <c r="H428" t="s">
        <v>25</v>
      </c>
      <c r="I428">
        <v>1.7112916492990956E-2</v>
      </c>
      <c r="J428" t="s">
        <v>6</v>
      </c>
    </row>
    <row r="429" spans="2:10" x14ac:dyDescent="0.45">
      <c r="B429" t="s">
        <v>442</v>
      </c>
      <c r="C429" t="s">
        <v>26</v>
      </c>
      <c r="D429">
        <v>2.2023423455010973E-3</v>
      </c>
      <c r="E429" t="s">
        <v>6</v>
      </c>
      <c r="G429" t="s">
        <v>443</v>
      </c>
      <c r="H429" t="s">
        <v>26</v>
      </c>
      <c r="I429">
        <v>1.8227617009790385E-2</v>
      </c>
      <c r="J429" t="s">
        <v>6</v>
      </c>
    </row>
    <row r="430" spans="2:10" x14ac:dyDescent="0.45">
      <c r="B430" t="s">
        <v>442</v>
      </c>
      <c r="C430" t="s">
        <v>27</v>
      </c>
      <c r="D430">
        <v>2.4247731752707E-7</v>
      </c>
      <c r="E430" t="s">
        <v>6</v>
      </c>
      <c r="G430" t="s">
        <v>443</v>
      </c>
      <c r="H430" t="s">
        <v>27</v>
      </c>
      <c r="I430">
        <v>2.8579803874480589E-2</v>
      </c>
      <c r="J430" t="s">
        <v>6</v>
      </c>
    </row>
    <row r="431" spans="2:10" x14ac:dyDescent="0.45">
      <c r="B431" t="s">
        <v>442</v>
      </c>
      <c r="C431" t="s">
        <v>28</v>
      </c>
      <c r="D431">
        <v>0</v>
      </c>
      <c r="E431" t="s">
        <v>6</v>
      </c>
      <c r="G431" t="s">
        <v>443</v>
      </c>
      <c r="H431" t="s">
        <v>28</v>
      </c>
      <c r="I431">
        <v>3.5063786815153569E-2</v>
      </c>
      <c r="J431" t="s">
        <v>6</v>
      </c>
    </row>
    <row r="432" spans="2:10" x14ac:dyDescent="0.45">
      <c r="B432" t="s">
        <v>442</v>
      </c>
      <c r="C432" t="s">
        <v>29</v>
      </c>
      <c r="D432">
        <v>1.9946188440521598E-3</v>
      </c>
      <c r="E432" t="s">
        <v>6</v>
      </c>
      <c r="G432" t="s">
        <v>443</v>
      </c>
      <c r="H432" t="s">
        <v>29</v>
      </c>
      <c r="I432">
        <v>1.3299712157876075E-2</v>
      </c>
      <c r="J432" t="s">
        <v>6</v>
      </c>
    </row>
    <row r="433" spans="2:10" x14ac:dyDescent="0.45">
      <c r="B433" t="s">
        <v>442</v>
      </c>
      <c r="C433" t="s">
        <v>30</v>
      </c>
      <c r="D433">
        <v>2.2245146367644599E-2</v>
      </c>
      <c r="E433" t="s">
        <v>6</v>
      </c>
      <c r="G433" t="s">
        <v>443</v>
      </c>
      <c r="H433" t="s">
        <v>30</v>
      </c>
      <c r="I433">
        <v>1.1898439222330942E-2</v>
      </c>
      <c r="J433" t="s">
        <v>6</v>
      </c>
    </row>
    <row r="434" spans="2:10" x14ac:dyDescent="0.45">
      <c r="B434" t="s">
        <v>442</v>
      </c>
      <c r="C434" t="s">
        <v>31</v>
      </c>
      <c r="D434">
        <v>6.0974398993123284E-2</v>
      </c>
      <c r="E434" t="s">
        <v>6</v>
      </c>
      <c r="G434" t="s">
        <v>443</v>
      </c>
      <c r="H434" t="s">
        <v>31</v>
      </c>
      <c r="I434">
        <v>1.2077725801049679E-2</v>
      </c>
      <c r="J434" t="s">
        <v>6</v>
      </c>
    </row>
    <row r="435" spans="2:10" x14ac:dyDescent="0.45">
      <c r="B435" t="s">
        <v>442</v>
      </c>
      <c r="C435" t="s">
        <v>32</v>
      </c>
      <c r="D435">
        <v>8.7353504072647775E-2</v>
      </c>
      <c r="E435" t="s">
        <v>6</v>
      </c>
      <c r="G435" t="s">
        <v>443</v>
      </c>
      <c r="H435" t="s">
        <v>32</v>
      </c>
      <c r="I435">
        <v>1.115190714406738E-2</v>
      </c>
      <c r="J435" t="s">
        <v>6</v>
      </c>
    </row>
    <row r="436" spans="2:10" x14ac:dyDescent="0.45">
      <c r="B436" t="s">
        <v>442</v>
      </c>
      <c r="C436" t="s">
        <v>33</v>
      </c>
      <c r="D436">
        <v>9.3487280013990731E-2</v>
      </c>
      <c r="E436" t="s">
        <v>6</v>
      </c>
      <c r="G436" t="s">
        <v>443</v>
      </c>
      <c r="H436" t="s">
        <v>33</v>
      </c>
      <c r="I436">
        <v>1.3661986468303501E-2</v>
      </c>
      <c r="J436" t="s">
        <v>6</v>
      </c>
    </row>
    <row r="437" spans="2:10" x14ac:dyDescent="0.45">
      <c r="B437" t="s">
        <v>442</v>
      </c>
      <c r="C437" t="s">
        <v>34</v>
      </c>
      <c r="D437">
        <v>7.7497681264905569E-2</v>
      </c>
      <c r="E437" t="s">
        <v>6</v>
      </c>
      <c r="G437" t="s">
        <v>443</v>
      </c>
      <c r="H437" t="s">
        <v>34</v>
      </c>
      <c r="I437">
        <v>1.4234657227051153E-2</v>
      </c>
      <c r="J437" t="s">
        <v>6</v>
      </c>
    </row>
    <row r="438" spans="2:10" x14ac:dyDescent="0.45">
      <c r="B438" t="s">
        <v>442</v>
      </c>
      <c r="C438" t="s">
        <v>35</v>
      </c>
      <c r="D438">
        <v>4.0308229803395129E-2</v>
      </c>
      <c r="E438" t="s">
        <v>6</v>
      </c>
      <c r="G438" t="s">
        <v>443</v>
      </c>
      <c r="H438" t="s">
        <v>35</v>
      </c>
      <c r="I438">
        <v>1.2501233444448933E-2</v>
      </c>
      <c r="J438" t="s">
        <v>6</v>
      </c>
    </row>
    <row r="439" spans="2:10" x14ac:dyDescent="0.45">
      <c r="B439" t="s">
        <v>442</v>
      </c>
      <c r="C439" t="s">
        <v>36</v>
      </c>
      <c r="D439">
        <v>6.5530073761947147E-3</v>
      </c>
      <c r="E439" t="s">
        <v>6</v>
      </c>
      <c r="G439" t="s">
        <v>443</v>
      </c>
      <c r="H439" t="s">
        <v>36</v>
      </c>
      <c r="I439">
        <v>1.2544385454371499E-2</v>
      </c>
      <c r="J439" t="s">
        <v>6</v>
      </c>
    </row>
    <row r="440" spans="2:10" x14ac:dyDescent="0.45">
      <c r="B440" t="s">
        <v>442</v>
      </c>
      <c r="C440" t="s">
        <v>37</v>
      </c>
      <c r="D440">
        <v>7.8098977792811762E-5</v>
      </c>
      <c r="E440" t="s">
        <v>6</v>
      </c>
      <c r="G440" t="s">
        <v>443</v>
      </c>
      <c r="H440" t="s">
        <v>37</v>
      </c>
      <c r="I440">
        <v>2.1753879160564531E-2</v>
      </c>
      <c r="J440" t="s">
        <v>6</v>
      </c>
    </row>
    <row r="441" spans="2:10" x14ac:dyDescent="0.45">
      <c r="B441" t="s">
        <v>442</v>
      </c>
      <c r="C441" t="s">
        <v>38</v>
      </c>
      <c r="D441">
        <v>0</v>
      </c>
      <c r="E441" t="s">
        <v>6</v>
      </c>
      <c r="G441" t="s">
        <v>443</v>
      </c>
      <c r="H441" t="s">
        <v>38</v>
      </c>
      <c r="I441">
        <v>6.2002061337854915E-2</v>
      </c>
      <c r="J441" t="s">
        <v>6</v>
      </c>
    </row>
    <row r="442" spans="2:10" x14ac:dyDescent="0.45">
      <c r="B442" t="s">
        <v>442</v>
      </c>
      <c r="C442" t="s">
        <v>39</v>
      </c>
      <c r="D442">
        <v>0</v>
      </c>
      <c r="E442" t="s">
        <v>6</v>
      </c>
      <c r="G442" t="s">
        <v>443</v>
      </c>
      <c r="H442" t="s">
        <v>39</v>
      </c>
      <c r="I442">
        <v>2.5411045889545767E-2</v>
      </c>
      <c r="J442" t="s">
        <v>6</v>
      </c>
    </row>
    <row r="443" spans="2:10" x14ac:dyDescent="0.45">
      <c r="B443" t="s">
        <v>442</v>
      </c>
      <c r="C443" t="s">
        <v>40</v>
      </c>
      <c r="D443">
        <v>3.7617841508599164E-3</v>
      </c>
      <c r="E443" t="s">
        <v>6</v>
      </c>
      <c r="G443" t="s">
        <v>443</v>
      </c>
      <c r="H443" t="s">
        <v>40</v>
      </c>
      <c r="I443">
        <v>2.5103769776571028E-2</v>
      </c>
      <c r="J443" t="s">
        <v>6</v>
      </c>
    </row>
    <row r="444" spans="2:10" x14ac:dyDescent="0.45">
      <c r="B444" t="s">
        <v>442</v>
      </c>
      <c r="C444" t="s">
        <v>41</v>
      </c>
      <c r="D444">
        <v>2.8748947271187538E-2</v>
      </c>
      <c r="E444" t="s">
        <v>6</v>
      </c>
      <c r="G444" t="s">
        <v>443</v>
      </c>
      <c r="H444" t="s">
        <v>41</v>
      </c>
      <c r="I444">
        <v>2.4462394638270029E-2</v>
      </c>
      <c r="J444" t="s">
        <v>6</v>
      </c>
    </row>
    <row r="445" spans="2:10" x14ac:dyDescent="0.45">
      <c r="B445" t="s">
        <v>442</v>
      </c>
      <c r="C445" t="s">
        <v>42</v>
      </c>
      <c r="D445">
        <v>5.3071654912142836E-2</v>
      </c>
      <c r="E445" t="s">
        <v>6</v>
      </c>
      <c r="G445" t="s">
        <v>443</v>
      </c>
      <c r="H445" t="s">
        <v>42</v>
      </c>
      <c r="I445">
        <v>2.0474128686177633E-2</v>
      </c>
      <c r="J445" t="s">
        <v>6</v>
      </c>
    </row>
    <row r="446" spans="2:10" x14ac:dyDescent="0.45">
      <c r="B446" t="s">
        <v>442</v>
      </c>
      <c r="C446" t="s">
        <v>43</v>
      </c>
      <c r="D446">
        <v>5.2669374741863763E-2</v>
      </c>
      <c r="E446" t="s">
        <v>6</v>
      </c>
      <c r="G446" t="s">
        <v>443</v>
      </c>
      <c r="H446" t="s">
        <v>43</v>
      </c>
      <c r="I446">
        <v>2.1896465756183942E-2</v>
      </c>
      <c r="J446" t="s">
        <v>6</v>
      </c>
    </row>
    <row r="447" spans="2:10" x14ac:dyDescent="0.45">
      <c r="B447" t="s">
        <v>442</v>
      </c>
      <c r="C447" t="s">
        <v>44</v>
      </c>
      <c r="D447">
        <v>3.1845946303696443E-2</v>
      </c>
      <c r="E447" t="s">
        <v>6</v>
      </c>
      <c r="G447" t="s">
        <v>443</v>
      </c>
      <c r="H447" t="s">
        <v>44</v>
      </c>
      <c r="I447">
        <v>2.2400547571874634E-2</v>
      </c>
      <c r="J447" t="s">
        <v>6</v>
      </c>
    </row>
    <row r="448" spans="2:10" x14ac:dyDescent="0.45">
      <c r="B448" t="s">
        <v>442</v>
      </c>
      <c r="C448" t="s">
        <v>45</v>
      </c>
      <c r="D448">
        <v>6.9081243871934837E-3</v>
      </c>
      <c r="E448" t="s">
        <v>6</v>
      </c>
      <c r="G448" t="s">
        <v>443</v>
      </c>
      <c r="H448" t="s">
        <v>45</v>
      </c>
      <c r="I448">
        <v>2.2473669876670817E-2</v>
      </c>
      <c r="J448" t="s">
        <v>6</v>
      </c>
    </row>
    <row r="449" spans="2:10" x14ac:dyDescent="0.45">
      <c r="B449" t="s">
        <v>442</v>
      </c>
      <c r="C449" t="s">
        <v>46</v>
      </c>
      <c r="D449">
        <v>4.1492840296461911E-5</v>
      </c>
      <c r="E449" t="s">
        <v>6</v>
      </c>
      <c r="G449" t="s">
        <v>443</v>
      </c>
      <c r="H449" t="s">
        <v>46</v>
      </c>
      <c r="I449">
        <v>2.4089084208361356E-2</v>
      </c>
      <c r="J449" t="s">
        <v>6</v>
      </c>
    </row>
    <row r="450" spans="2:10" x14ac:dyDescent="0.45">
      <c r="B450" t="s">
        <v>442</v>
      </c>
      <c r="C450" t="s">
        <v>47</v>
      </c>
      <c r="D450">
        <v>0</v>
      </c>
      <c r="E450" t="s">
        <v>6</v>
      </c>
      <c r="G450" t="s">
        <v>443</v>
      </c>
      <c r="H450" t="s">
        <v>47</v>
      </c>
      <c r="I450">
        <v>3.6787313144718357E-2</v>
      </c>
      <c r="J450" t="s">
        <v>6</v>
      </c>
    </row>
    <row r="451" spans="2:10" x14ac:dyDescent="0.45">
      <c r="B451" t="s">
        <v>444</v>
      </c>
      <c r="C451" t="s">
        <v>5</v>
      </c>
      <c r="D451">
        <v>0</v>
      </c>
      <c r="E451" t="s">
        <v>6</v>
      </c>
      <c r="G451" t="s">
        <v>445</v>
      </c>
      <c r="H451" t="s">
        <v>5</v>
      </c>
      <c r="I451">
        <v>7.0849929425433278E-2</v>
      </c>
      <c r="J451" t="s">
        <v>6</v>
      </c>
    </row>
    <row r="452" spans="2:10" x14ac:dyDescent="0.45">
      <c r="B452" t="s">
        <v>444</v>
      </c>
      <c r="C452" t="s">
        <v>9</v>
      </c>
      <c r="D452">
        <v>0</v>
      </c>
      <c r="E452" t="s">
        <v>6</v>
      </c>
      <c r="G452" t="s">
        <v>445</v>
      </c>
      <c r="H452" t="s">
        <v>9</v>
      </c>
      <c r="I452">
        <v>2.8910626349842226E-2</v>
      </c>
      <c r="J452" t="s">
        <v>6</v>
      </c>
    </row>
    <row r="453" spans="2:10" x14ac:dyDescent="0.45">
      <c r="B453" t="s">
        <v>444</v>
      </c>
      <c r="C453" t="s">
        <v>10</v>
      </c>
      <c r="D453">
        <v>1.0957691218971987E-5</v>
      </c>
      <c r="E453" t="s">
        <v>6</v>
      </c>
      <c r="G453" t="s">
        <v>445</v>
      </c>
      <c r="H453" t="s">
        <v>10</v>
      </c>
      <c r="I453">
        <v>2.8528936195680525E-2</v>
      </c>
      <c r="J453" t="s">
        <v>6</v>
      </c>
    </row>
    <row r="454" spans="2:10" x14ac:dyDescent="0.45">
      <c r="B454" t="s">
        <v>444</v>
      </c>
      <c r="C454" t="s">
        <v>11</v>
      </c>
      <c r="D454">
        <v>8.0942487255043615E-3</v>
      </c>
      <c r="E454" t="s">
        <v>6</v>
      </c>
      <c r="G454" t="s">
        <v>445</v>
      </c>
      <c r="H454" t="s">
        <v>11</v>
      </c>
      <c r="I454">
        <v>2.8589909716425669E-2</v>
      </c>
      <c r="J454" t="s">
        <v>6</v>
      </c>
    </row>
    <row r="455" spans="2:10" x14ac:dyDescent="0.45">
      <c r="B455" t="s">
        <v>444</v>
      </c>
      <c r="C455" t="s">
        <v>12</v>
      </c>
      <c r="D455">
        <v>3.0749716791517175E-2</v>
      </c>
      <c r="E455" t="s">
        <v>6</v>
      </c>
      <c r="G455" t="s">
        <v>445</v>
      </c>
      <c r="H455" t="s">
        <v>12</v>
      </c>
      <c r="I455">
        <v>2.5453156262222325E-2</v>
      </c>
      <c r="J455" t="s">
        <v>6</v>
      </c>
    </row>
    <row r="456" spans="2:10" x14ac:dyDescent="0.45">
      <c r="B456" t="s">
        <v>444</v>
      </c>
      <c r="C456" t="s">
        <v>13</v>
      </c>
      <c r="D456">
        <v>3.7125080787831478E-2</v>
      </c>
      <c r="E456" t="s">
        <v>6</v>
      </c>
      <c r="G456" t="s">
        <v>445</v>
      </c>
      <c r="H456" t="s">
        <v>13</v>
      </c>
      <c r="I456">
        <v>2.6818200456881235E-2</v>
      </c>
      <c r="J456" t="s">
        <v>6</v>
      </c>
    </row>
    <row r="457" spans="2:10" x14ac:dyDescent="0.45">
      <c r="B457" t="s">
        <v>444</v>
      </c>
      <c r="C457" t="s">
        <v>14</v>
      </c>
      <c r="D457">
        <v>2.1908430728767796E-2</v>
      </c>
      <c r="E457" t="s">
        <v>6</v>
      </c>
      <c r="G457" t="s">
        <v>445</v>
      </c>
      <c r="H457" t="s">
        <v>14</v>
      </c>
      <c r="I457">
        <v>2.7073818923670067E-2</v>
      </c>
      <c r="J457" t="s">
        <v>6</v>
      </c>
    </row>
    <row r="458" spans="2:10" x14ac:dyDescent="0.45">
      <c r="B458" t="s">
        <v>444</v>
      </c>
      <c r="C458" t="s">
        <v>15</v>
      </c>
      <c r="D458">
        <v>3.0281734915791544E-3</v>
      </c>
      <c r="E458" t="s">
        <v>6</v>
      </c>
      <c r="G458" t="s">
        <v>445</v>
      </c>
      <c r="H458" t="s">
        <v>15</v>
      </c>
      <c r="I458">
        <v>2.7756723700212628E-2</v>
      </c>
      <c r="J458" t="s">
        <v>6</v>
      </c>
    </row>
    <row r="459" spans="2:10" x14ac:dyDescent="0.45">
      <c r="B459" t="s">
        <v>444</v>
      </c>
      <c r="C459" t="s">
        <v>16</v>
      </c>
      <c r="D459">
        <v>0</v>
      </c>
      <c r="E459" t="s">
        <v>6</v>
      </c>
      <c r="G459" t="s">
        <v>445</v>
      </c>
      <c r="H459" t="s">
        <v>16</v>
      </c>
      <c r="I459">
        <v>2.893580309779634E-2</v>
      </c>
      <c r="J459" t="s">
        <v>6</v>
      </c>
    </row>
    <row r="460" spans="2:10" x14ac:dyDescent="0.45">
      <c r="B460" t="s">
        <v>444</v>
      </c>
      <c r="C460" t="s">
        <v>17</v>
      </c>
      <c r="D460">
        <v>0</v>
      </c>
      <c r="E460" t="s">
        <v>6</v>
      </c>
      <c r="G460" t="s">
        <v>445</v>
      </c>
      <c r="H460" t="s">
        <v>17</v>
      </c>
      <c r="I460">
        <v>4.169332428588695E-2</v>
      </c>
      <c r="J460" t="s">
        <v>6</v>
      </c>
    </row>
    <row r="461" spans="2:10" x14ac:dyDescent="0.45">
      <c r="B461" t="s">
        <v>444</v>
      </c>
      <c r="C461" t="s">
        <v>18</v>
      </c>
      <c r="D461">
        <v>0</v>
      </c>
      <c r="E461" t="s">
        <v>6</v>
      </c>
      <c r="G461" t="s">
        <v>445</v>
      </c>
      <c r="H461" t="s">
        <v>18</v>
      </c>
      <c r="I461">
        <v>4.8129147868991966E-2</v>
      </c>
      <c r="J461" t="s">
        <v>6</v>
      </c>
    </row>
    <row r="462" spans="2:10" x14ac:dyDescent="0.45">
      <c r="B462" t="s">
        <v>444</v>
      </c>
      <c r="C462" t="s">
        <v>19</v>
      </c>
      <c r="D462">
        <v>5.0087550775354301E-4</v>
      </c>
      <c r="E462" t="s">
        <v>6</v>
      </c>
      <c r="G462" t="s">
        <v>445</v>
      </c>
      <c r="H462" t="s">
        <v>19</v>
      </c>
      <c r="I462">
        <v>1.9306655794067356E-2</v>
      </c>
      <c r="J462" t="s">
        <v>6</v>
      </c>
    </row>
    <row r="463" spans="2:10" x14ac:dyDescent="0.45">
      <c r="B463" t="s">
        <v>444</v>
      </c>
      <c r="C463" t="s">
        <v>20</v>
      </c>
      <c r="D463">
        <v>1.2970283946813866E-2</v>
      </c>
      <c r="E463" t="s">
        <v>6</v>
      </c>
      <c r="G463" t="s">
        <v>445</v>
      </c>
      <c r="H463" t="s">
        <v>20</v>
      </c>
      <c r="I463">
        <v>1.9297168222868331E-2</v>
      </c>
      <c r="J463" t="s">
        <v>6</v>
      </c>
    </row>
    <row r="464" spans="2:10" x14ac:dyDescent="0.45">
      <c r="B464" t="s">
        <v>444</v>
      </c>
      <c r="C464" t="s">
        <v>21</v>
      </c>
      <c r="D464">
        <v>5.1499325538695996E-2</v>
      </c>
      <c r="E464" t="s">
        <v>6</v>
      </c>
      <c r="G464" t="s">
        <v>445</v>
      </c>
      <c r="H464" t="s">
        <v>21</v>
      </c>
      <c r="I464">
        <v>1.9647977449311866E-2</v>
      </c>
      <c r="J464" t="s">
        <v>6</v>
      </c>
    </row>
    <row r="465" spans="2:10" x14ac:dyDescent="0.45">
      <c r="B465" t="s">
        <v>444</v>
      </c>
      <c r="C465" t="s">
        <v>22</v>
      </c>
      <c r="D465">
        <v>8.2240107643624161E-2</v>
      </c>
      <c r="E465" t="s">
        <v>6</v>
      </c>
      <c r="G465" t="s">
        <v>445</v>
      </c>
      <c r="H465" t="s">
        <v>22</v>
      </c>
      <c r="I465">
        <v>1.6016150262769476E-2</v>
      </c>
      <c r="J465" t="s">
        <v>6</v>
      </c>
    </row>
    <row r="466" spans="2:10" x14ac:dyDescent="0.45">
      <c r="B466" t="s">
        <v>444</v>
      </c>
      <c r="C466" t="s">
        <v>23</v>
      </c>
      <c r="D466">
        <v>8.6202434374105352E-2</v>
      </c>
      <c r="E466" t="s">
        <v>6</v>
      </c>
      <c r="G466" t="s">
        <v>445</v>
      </c>
      <c r="H466" t="s">
        <v>23</v>
      </c>
      <c r="I466">
        <v>1.8329628985448067E-2</v>
      </c>
      <c r="J466" t="s">
        <v>6</v>
      </c>
    </row>
    <row r="467" spans="2:10" x14ac:dyDescent="0.45">
      <c r="B467" t="s">
        <v>444</v>
      </c>
      <c r="C467" t="s">
        <v>24</v>
      </c>
      <c r="D467">
        <v>6.4417122740727625E-2</v>
      </c>
      <c r="E467" t="s">
        <v>6</v>
      </c>
      <c r="G467" t="s">
        <v>445</v>
      </c>
      <c r="H467" t="s">
        <v>24</v>
      </c>
      <c r="I467">
        <v>1.9979369033188428E-2</v>
      </c>
      <c r="J467" t="s">
        <v>6</v>
      </c>
    </row>
    <row r="468" spans="2:10" x14ac:dyDescent="0.45">
      <c r="B468" t="s">
        <v>444</v>
      </c>
      <c r="C468" t="s">
        <v>25</v>
      </c>
      <c r="D468">
        <v>2.8983240132025467E-2</v>
      </c>
      <c r="E468" t="s">
        <v>6</v>
      </c>
      <c r="G468" t="s">
        <v>445</v>
      </c>
      <c r="H468" t="s">
        <v>25</v>
      </c>
      <c r="I468">
        <v>1.9986320621765561E-2</v>
      </c>
      <c r="J468" t="s">
        <v>6</v>
      </c>
    </row>
    <row r="469" spans="2:10" x14ac:dyDescent="0.45">
      <c r="B469" t="s">
        <v>444</v>
      </c>
      <c r="C469" t="s">
        <v>26</v>
      </c>
      <c r="D469">
        <v>2.6543139829394717E-3</v>
      </c>
      <c r="E469" t="s">
        <v>6</v>
      </c>
      <c r="G469" t="s">
        <v>445</v>
      </c>
      <c r="H469" t="s">
        <v>26</v>
      </c>
      <c r="I469">
        <v>2.0396160151289599E-2</v>
      </c>
      <c r="J469" t="s">
        <v>6</v>
      </c>
    </row>
    <row r="470" spans="2:10" x14ac:dyDescent="0.45">
      <c r="B470" t="s">
        <v>444</v>
      </c>
      <c r="C470" t="s">
        <v>27</v>
      </c>
      <c r="D470">
        <v>5.4389117075967393E-7</v>
      </c>
      <c r="E470" t="s">
        <v>6</v>
      </c>
      <c r="G470" t="s">
        <v>445</v>
      </c>
      <c r="H470" t="s">
        <v>27</v>
      </c>
      <c r="I470">
        <v>3.125787392467011E-2</v>
      </c>
      <c r="J470" t="s">
        <v>6</v>
      </c>
    </row>
    <row r="471" spans="2:10" x14ac:dyDescent="0.45">
      <c r="B471" t="s">
        <v>444</v>
      </c>
      <c r="C471" t="s">
        <v>28</v>
      </c>
      <c r="D471">
        <v>0</v>
      </c>
      <c r="E471" t="s">
        <v>6</v>
      </c>
      <c r="G471" t="s">
        <v>445</v>
      </c>
      <c r="H471" t="s">
        <v>28</v>
      </c>
      <c r="I471">
        <v>3.2881862583207418E-2</v>
      </c>
      <c r="J471" t="s">
        <v>6</v>
      </c>
    </row>
    <row r="472" spans="2:10" x14ac:dyDescent="0.45">
      <c r="B472" t="s">
        <v>444</v>
      </c>
      <c r="C472" t="s">
        <v>29</v>
      </c>
      <c r="D472">
        <v>1.4548869250674639E-3</v>
      </c>
      <c r="E472" t="s">
        <v>6</v>
      </c>
      <c r="G472" t="s">
        <v>445</v>
      </c>
      <c r="H472" t="s">
        <v>29</v>
      </c>
      <c r="I472">
        <v>1.2361661380153611E-2</v>
      </c>
      <c r="J472" t="s">
        <v>6</v>
      </c>
    </row>
    <row r="473" spans="2:10" x14ac:dyDescent="0.45">
      <c r="B473" t="s">
        <v>444</v>
      </c>
      <c r="C473" t="s">
        <v>30</v>
      </c>
      <c r="D473">
        <v>1.9666557478390249E-2</v>
      </c>
      <c r="E473" t="s">
        <v>6</v>
      </c>
      <c r="G473" t="s">
        <v>445</v>
      </c>
      <c r="H473" t="s">
        <v>30</v>
      </c>
      <c r="I473">
        <v>1.0847888377764563E-2</v>
      </c>
      <c r="J473" t="s">
        <v>6</v>
      </c>
    </row>
    <row r="474" spans="2:10" x14ac:dyDescent="0.45">
      <c r="B474" t="s">
        <v>444</v>
      </c>
      <c r="C474" t="s">
        <v>31</v>
      </c>
      <c r="D474">
        <v>5.9209580751521135E-2</v>
      </c>
      <c r="E474" t="s">
        <v>6</v>
      </c>
      <c r="G474" t="s">
        <v>445</v>
      </c>
      <c r="H474" t="s">
        <v>31</v>
      </c>
      <c r="I474">
        <v>1.1482978083207643E-2</v>
      </c>
      <c r="J474" t="s">
        <v>6</v>
      </c>
    </row>
    <row r="475" spans="2:10" x14ac:dyDescent="0.45">
      <c r="B475" t="s">
        <v>444</v>
      </c>
      <c r="C475" t="s">
        <v>32</v>
      </c>
      <c r="D475">
        <v>8.7902900317319663E-2</v>
      </c>
      <c r="E475" t="s">
        <v>6</v>
      </c>
      <c r="G475" t="s">
        <v>445</v>
      </c>
      <c r="H475" t="s">
        <v>32</v>
      </c>
      <c r="I475">
        <v>9.9446794854895076E-3</v>
      </c>
      <c r="J475" t="s">
        <v>6</v>
      </c>
    </row>
    <row r="476" spans="2:10" x14ac:dyDescent="0.45">
      <c r="B476" t="s">
        <v>444</v>
      </c>
      <c r="C476" t="s">
        <v>33</v>
      </c>
      <c r="D476">
        <v>9.1860783886807934E-2</v>
      </c>
      <c r="E476" t="s">
        <v>6</v>
      </c>
      <c r="G476" t="s">
        <v>445</v>
      </c>
      <c r="H476" t="s">
        <v>33</v>
      </c>
      <c r="I476">
        <v>1.2756811135465564E-2</v>
      </c>
      <c r="J476" t="s">
        <v>6</v>
      </c>
    </row>
    <row r="477" spans="2:10" x14ac:dyDescent="0.45">
      <c r="B477" t="s">
        <v>444</v>
      </c>
      <c r="C477" t="s">
        <v>34</v>
      </c>
      <c r="D477">
        <v>7.5494385886316726E-2</v>
      </c>
      <c r="E477" t="s">
        <v>6</v>
      </c>
      <c r="G477" t="s">
        <v>445</v>
      </c>
      <c r="H477" t="s">
        <v>34</v>
      </c>
      <c r="I477">
        <v>1.3805254971405089E-2</v>
      </c>
      <c r="J477" t="s">
        <v>6</v>
      </c>
    </row>
    <row r="478" spans="2:10" x14ac:dyDescent="0.45">
      <c r="B478" t="s">
        <v>444</v>
      </c>
      <c r="C478" t="s">
        <v>35</v>
      </c>
      <c r="D478">
        <v>4.0626492775097993E-2</v>
      </c>
      <c r="E478" t="s">
        <v>6</v>
      </c>
      <c r="G478" t="s">
        <v>445</v>
      </c>
      <c r="H478" t="s">
        <v>35</v>
      </c>
      <c r="I478">
        <v>1.2816814804048844E-2</v>
      </c>
      <c r="J478" t="s">
        <v>6</v>
      </c>
    </row>
    <row r="479" spans="2:10" x14ac:dyDescent="0.45">
      <c r="B479" t="s">
        <v>444</v>
      </c>
      <c r="C479" t="s">
        <v>36</v>
      </c>
      <c r="D479">
        <v>7.4400778918113824E-3</v>
      </c>
      <c r="E479" t="s">
        <v>6</v>
      </c>
      <c r="G479" t="s">
        <v>445</v>
      </c>
      <c r="H479" t="s">
        <v>36</v>
      </c>
      <c r="I479">
        <v>1.2768634216394176E-2</v>
      </c>
      <c r="J479" t="s">
        <v>6</v>
      </c>
    </row>
    <row r="480" spans="2:10" x14ac:dyDescent="0.45">
      <c r="B480" t="s">
        <v>444</v>
      </c>
      <c r="C480" t="s">
        <v>37</v>
      </c>
      <c r="D480">
        <v>8.6248310534646749E-5</v>
      </c>
      <c r="E480" t="s">
        <v>6</v>
      </c>
      <c r="G480" t="s">
        <v>445</v>
      </c>
      <c r="H480" t="s">
        <v>37</v>
      </c>
      <c r="I480">
        <v>2.0588849299185502E-2</v>
      </c>
      <c r="J480" t="s">
        <v>6</v>
      </c>
    </row>
    <row r="481" spans="2:10" x14ac:dyDescent="0.45">
      <c r="B481" t="s">
        <v>444</v>
      </c>
      <c r="C481" t="s">
        <v>38</v>
      </c>
      <c r="D481">
        <v>0</v>
      </c>
      <c r="E481" t="s">
        <v>6</v>
      </c>
      <c r="G481" t="s">
        <v>445</v>
      </c>
      <c r="H481" t="s">
        <v>38</v>
      </c>
      <c r="I481">
        <v>6.1753173209205425E-2</v>
      </c>
      <c r="J481" t="s">
        <v>6</v>
      </c>
    </row>
    <row r="482" spans="2:10" x14ac:dyDescent="0.45">
      <c r="B482" t="s">
        <v>444</v>
      </c>
      <c r="C482" t="s">
        <v>39</v>
      </c>
      <c r="D482">
        <v>0</v>
      </c>
      <c r="E482" t="s">
        <v>6</v>
      </c>
      <c r="G482" t="s">
        <v>445</v>
      </c>
      <c r="H482" t="s">
        <v>39</v>
      </c>
      <c r="I482">
        <v>2.4419158938705093E-2</v>
      </c>
      <c r="J482" t="s">
        <v>6</v>
      </c>
    </row>
    <row r="483" spans="2:10" x14ac:dyDescent="0.45">
      <c r="B483" t="s">
        <v>444</v>
      </c>
      <c r="C483" t="s">
        <v>40</v>
      </c>
      <c r="D483">
        <v>3.2115368992473637E-3</v>
      </c>
      <c r="E483" t="s">
        <v>6</v>
      </c>
      <c r="G483" t="s">
        <v>445</v>
      </c>
      <c r="H483" t="s">
        <v>40</v>
      </c>
      <c r="I483">
        <v>2.406096034088815E-2</v>
      </c>
      <c r="J483" t="s">
        <v>6</v>
      </c>
    </row>
    <row r="484" spans="2:10" x14ac:dyDescent="0.45">
      <c r="B484" t="s">
        <v>444</v>
      </c>
      <c r="C484" t="s">
        <v>41</v>
      </c>
      <c r="D484">
        <v>2.87642820730983E-2</v>
      </c>
      <c r="E484" t="s">
        <v>6</v>
      </c>
      <c r="G484" t="s">
        <v>445</v>
      </c>
      <c r="H484" t="s">
        <v>41</v>
      </c>
      <c r="I484">
        <v>2.3655058229251041E-2</v>
      </c>
      <c r="J484" t="s">
        <v>6</v>
      </c>
    </row>
    <row r="485" spans="2:10" x14ac:dyDescent="0.45">
      <c r="B485" t="s">
        <v>444</v>
      </c>
      <c r="C485" t="s">
        <v>42</v>
      </c>
      <c r="D485">
        <v>5.4025828811406995E-2</v>
      </c>
      <c r="E485" t="s">
        <v>6</v>
      </c>
      <c r="G485" t="s">
        <v>445</v>
      </c>
      <c r="H485" t="s">
        <v>42</v>
      </c>
      <c r="I485">
        <v>1.954270260761929E-2</v>
      </c>
      <c r="J485" t="s">
        <v>6</v>
      </c>
    </row>
    <row r="486" spans="2:10" x14ac:dyDescent="0.45">
      <c r="B486" t="s">
        <v>444</v>
      </c>
      <c r="C486" t="s">
        <v>43</v>
      </c>
      <c r="D486">
        <v>5.567643763647618E-2</v>
      </c>
      <c r="E486" t="s">
        <v>6</v>
      </c>
      <c r="G486" t="s">
        <v>445</v>
      </c>
      <c r="H486" t="s">
        <v>43</v>
      </c>
      <c r="I486">
        <v>2.2021039155721248E-2</v>
      </c>
      <c r="J486" t="s">
        <v>6</v>
      </c>
    </row>
    <row r="487" spans="2:10" x14ac:dyDescent="0.45">
      <c r="B487" t="s">
        <v>444</v>
      </c>
      <c r="C487" t="s">
        <v>44</v>
      </c>
      <c r="D487">
        <v>3.5663691103177346E-2</v>
      </c>
      <c r="E487" t="s">
        <v>6</v>
      </c>
      <c r="G487" t="s">
        <v>445</v>
      </c>
      <c r="H487" t="s">
        <v>44</v>
      </c>
      <c r="I487">
        <v>2.2600558225135101E-2</v>
      </c>
      <c r="J487" t="s">
        <v>6</v>
      </c>
    </row>
    <row r="488" spans="2:10" x14ac:dyDescent="0.45">
      <c r="B488" t="s">
        <v>444</v>
      </c>
      <c r="C488" t="s">
        <v>45</v>
      </c>
      <c r="D488">
        <v>8.4452182509620333E-3</v>
      </c>
      <c r="E488" t="s">
        <v>6</v>
      </c>
      <c r="G488" t="s">
        <v>445</v>
      </c>
      <c r="H488" t="s">
        <v>45</v>
      </c>
      <c r="I488">
        <v>2.2859871592646533E-2</v>
      </c>
      <c r="J488" t="s">
        <v>6</v>
      </c>
    </row>
    <row r="489" spans="2:10" x14ac:dyDescent="0.45">
      <c r="B489" t="s">
        <v>444</v>
      </c>
      <c r="C489" t="s">
        <v>46</v>
      </c>
      <c r="D489">
        <v>8.6235028489065074E-5</v>
      </c>
      <c r="E489" t="s">
        <v>6</v>
      </c>
      <c r="G489" t="s">
        <v>445</v>
      </c>
      <c r="H489" t="s">
        <v>46</v>
      </c>
      <c r="I489">
        <v>2.4519363697367489E-2</v>
      </c>
      <c r="J489" t="s">
        <v>6</v>
      </c>
    </row>
    <row r="490" spans="2:10" x14ac:dyDescent="0.45">
      <c r="B490" t="s">
        <v>444</v>
      </c>
      <c r="C490" t="s">
        <v>47</v>
      </c>
      <c r="D490">
        <v>0</v>
      </c>
      <c r="E490" t="s">
        <v>6</v>
      </c>
      <c r="G490" t="s">
        <v>445</v>
      </c>
      <c r="H490" t="s">
        <v>47</v>
      </c>
      <c r="I490">
        <v>3.7355798938716364E-2</v>
      </c>
      <c r="J490" t="s">
        <v>6</v>
      </c>
    </row>
    <row r="491" spans="2:10" x14ac:dyDescent="0.45">
      <c r="B491" t="s">
        <v>446</v>
      </c>
      <c r="C491" t="s">
        <v>5</v>
      </c>
      <c r="D491">
        <v>0</v>
      </c>
      <c r="E491" t="s">
        <v>6</v>
      </c>
      <c r="G491" t="s">
        <v>447</v>
      </c>
      <c r="H491" t="s">
        <v>5</v>
      </c>
      <c r="I491">
        <v>7.2069740479601074E-2</v>
      </c>
      <c r="J491" t="s">
        <v>6</v>
      </c>
    </row>
    <row r="492" spans="2:10" x14ac:dyDescent="0.45">
      <c r="B492" t="s">
        <v>446</v>
      </c>
      <c r="C492" t="s">
        <v>9</v>
      </c>
      <c r="D492">
        <v>0</v>
      </c>
      <c r="E492" t="s">
        <v>6</v>
      </c>
      <c r="G492" t="s">
        <v>447</v>
      </c>
      <c r="H492" t="s">
        <v>9</v>
      </c>
      <c r="I492">
        <v>2.9451953845987002E-2</v>
      </c>
      <c r="J492" t="s">
        <v>6</v>
      </c>
    </row>
    <row r="493" spans="2:10" x14ac:dyDescent="0.45">
      <c r="B493" t="s">
        <v>446</v>
      </c>
      <c r="C493" t="s">
        <v>10</v>
      </c>
      <c r="D493">
        <v>1.5225949384085544E-4</v>
      </c>
      <c r="E493" t="s">
        <v>6</v>
      </c>
      <c r="G493" t="s">
        <v>447</v>
      </c>
      <c r="H493" t="s">
        <v>10</v>
      </c>
      <c r="I493">
        <v>2.9344761471474669E-2</v>
      </c>
      <c r="J493" t="s">
        <v>6</v>
      </c>
    </row>
    <row r="494" spans="2:10" x14ac:dyDescent="0.45">
      <c r="B494" t="s">
        <v>446</v>
      </c>
      <c r="C494" t="s">
        <v>11</v>
      </c>
      <c r="D494">
        <v>1.7107527234497499E-2</v>
      </c>
      <c r="E494" t="s">
        <v>6</v>
      </c>
      <c r="G494" t="s">
        <v>447</v>
      </c>
      <c r="H494" t="s">
        <v>11</v>
      </c>
      <c r="I494">
        <v>2.9704725089809942E-2</v>
      </c>
      <c r="J494" t="s">
        <v>6</v>
      </c>
    </row>
    <row r="495" spans="2:10" x14ac:dyDescent="0.45">
      <c r="B495" t="s">
        <v>446</v>
      </c>
      <c r="C495" t="s">
        <v>12</v>
      </c>
      <c r="D495">
        <v>4.8844021303639996E-2</v>
      </c>
      <c r="E495" t="s">
        <v>6</v>
      </c>
      <c r="G495" t="s">
        <v>447</v>
      </c>
      <c r="H495" t="s">
        <v>12</v>
      </c>
      <c r="I495">
        <v>2.7716892690034762E-2</v>
      </c>
      <c r="J495" t="s">
        <v>6</v>
      </c>
    </row>
    <row r="496" spans="2:10" x14ac:dyDescent="0.45">
      <c r="B496" t="s">
        <v>446</v>
      </c>
      <c r="C496" t="s">
        <v>13</v>
      </c>
      <c r="D496">
        <v>5.7829080354690532E-2</v>
      </c>
      <c r="E496" t="s">
        <v>6</v>
      </c>
      <c r="G496" t="s">
        <v>447</v>
      </c>
      <c r="H496" t="s">
        <v>13</v>
      </c>
      <c r="I496">
        <v>2.8637479296334624E-2</v>
      </c>
      <c r="J496" t="s">
        <v>6</v>
      </c>
    </row>
    <row r="497" spans="2:10" x14ac:dyDescent="0.45">
      <c r="B497" t="s">
        <v>446</v>
      </c>
      <c r="C497" t="s">
        <v>14</v>
      </c>
      <c r="D497">
        <v>3.6120122215311821E-2</v>
      </c>
      <c r="E497" t="s">
        <v>6</v>
      </c>
      <c r="G497" t="s">
        <v>447</v>
      </c>
      <c r="H497" t="s">
        <v>14</v>
      </c>
      <c r="I497">
        <v>2.7983229974017726E-2</v>
      </c>
      <c r="J497" t="s">
        <v>6</v>
      </c>
    </row>
    <row r="498" spans="2:10" x14ac:dyDescent="0.45">
      <c r="B498" t="s">
        <v>446</v>
      </c>
      <c r="C498" t="s">
        <v>15</v>
      </c>
      <c r="D498">
        <v>4.5750093551630271E-3</v>
      </c>
      <c r="E498" t="s">
        <v>6</v>
      </c>
      <c r="G498" t="s">
        <v>447</v>
      </c>
      <c r="H498" t="s">
        <v>15</v>
      </c>
      <c r="I498">
        <v>2.8522089166236577E-2</v>
      </c>
      <c r="J498" t="s">
        <v>6</v>
      </c>
    </row>
    <row r="499" spans="2:10" x14ac:dyDescent="0.45">
      <c r="B499" t="s">
        <v>446</v>
      </c>
      <c r="C499" t="s">
        <v>16</v>
      </c>
      <c r="D499">
        <v>0</v>
      </c>
      <c r="E499" t="s">
        <v>6</v>
      </c>
      <c r="G499" t="s">
        <v>447</v>
      </c>
      <c r="H499" t="s">
        <v>16</v>
      </c>
      <c r="I499">
        <v>2.9495962301943929E-2</v>
      </c>
      <c r="J499" t="s">
        <v>6</v>
      </c>
    </row>
    <row r="500" spans="2:10" x14ac:dyDescent="0.45">
      <c r="B500" t="s">
        <v>446</v>
      </c>
      <c r="C500" t="s">
        <v>17</v>
      </c>
      <c r="D500">
        <v>0</v>
      </c>
      <c r="E500" t="s">
        <v>6</v>
      </c>
      <c r="G500" t="s">
        <v>447</v>
      </c>
      <c r="H500" t="s">
        <v>17</v>
      </c>
      <c r="I500">
        <v>4.2940300624593981E-2</v>
      </c>
      <c r="J500" t="s">
        <v>6</v>
      </c>
    </row>
    <row r="501" spans="2:10" x14ac:dyDescent="0.45">
      <c r="B501" t="s">
        <v>446</v>
      </c>
      <c r="C501" t="s">
        <v>18</v>
      </c>
      <c r="D501">
        <v>0</v>
      </c>
      <c r="E501" t="s">
        <v>6</v>
      </c>
      <c r="G501" t="s">
        <v>447</v>
      </c>
      <c r="H501" t="s">
        <v>18</v>
      </c>
      <c r="I501">
        <v>4.5457164845829207E-2</v>
      </c>
      <c r="J501" t="s">
        <v>6</v>
      </c>
    </row>
    <row r="502" spans="2:10" x14ac:dyDescent="0.45">
      <c r="B502" t="s">
        <v>446</v>
      </c>
      <c r="C502" t="s">
        <v>19</v>
      </c>
      <c r="D502">
        <v>3.0694452777840482E-4</v>
      </c>
      <c r="E502" t="s">
        <v>6</v>
      </c>
      <c r="G502" t="s">
        <v>447</v>
      </c>
      <c r="H502" t="s">
        <v>19</v>
      </c>
      <c r="I502">
        <v>1.884381362473158E-2</v>
      </c>
      <c r="J502" t="s">
        <v>6</v>
      </c>
    </row>
    <row r="503" spans="2:10" x14ac:dyDescent="0.45">
      <c r="B503" t="s">
        <v>446</v>
      </c>
      <c r="C503" t="s">
        <v>20</v>
      </c>
      <c r="D503">
        <v>1.1851720709820865E-2</v>
      </c>
      <c r="E503" t="s">
        <v>6</v>
      </c>
      <c r="G503" t="s">
        <v>447</v>
      </c>
      <c r="H503" t="s">
        <v>20</v>
      </c>
      <c r="I503">
        <v>1.875289232535746E-2</v>
      </c>
      <c r="J503" t="s">
        <v>6</v>
      </c>
    </row>
    <row r="504" spans="2:10" x14ac:dyDescent="0.45">
      <c r="B504" t="s">
        <v>446</v>
      </c>
      <c r="C504" t="s">
        <v>21</v>
      </c>
      <c r="D504">
        <v>4.7015154856030444E-2</v>
      </c>
      <c r="E504" t="s">
        <v>6</v>
      </c>
      <c r="G504" t="s">
        <v>447</v>
      </c>
      <c r="H504" t="s">
        <v>21</v>
      </c>
      <c r="I504">
        <v>1.8047394912685165E-2</v>
      </c>
      <c r="J504" t="s">
        <v>6</v>
      </c>
    </row>
    <row r="505" spans="2:10" x14ac:dyDescent="0.45">
      <c r="B505" t="s">
        <v>446</v>
      </c>
      <c r="C505" t="s">
        <v>22</v>
      </c>
      <c r="D505">
        <v>7.3102884358155817E-2</v>
      </c>
      <c r="E505" t="s">
        <v>6</v>
      </c>
      <c r="G505" t="s">
        <v>447</v>
      </c>
      <c r="H505" t="s">
        <v>22</v>
      </c>
      <c r="I505">
        <v>1.5290498121890565E-2</v>
      </c>
      <c r="J505" t="s">
        <v>6</v>
      </c>
    </row>
    <row r="506" spans="2:10" x14ac:dyDescent="0.45">
      <c r="B506" t="s">
        <v>446</v>
      </c>
      <c r="C506" t="s">
        <v>23</v>
      </c>
      <c r="D506">
        <v>7.6751906007034867E-2</v>
      </c>
      <c r="E506" t="s">
        <v>6</v>
      </c>
      <c r="G506" t="s">
        <v>447</v>
      </c>
      <c r="H506" t="s">
        <v>23</v>
      </c>
      <c r="I506">
        <v>1.7821542633734661E-2</v>
      </c>
      <c r="J506" t="s">
        <v>6</v>
      </c>
    </row>
    <row r="507" spans="2:10" x14ac:dyDescent="0.45">
      <c r="B507" t="s">
        <v>446</v>
      </c>
      <c r="C507" t="s">
        <v>24</v>
      </c>
      <c r="D507">
        <v>5.6537424155367361E-2</v>
      </c>
      <c r="E507" t="s">
        <v>6</v>
      </c>
      <c r="G507" t="s">
        <v>447</v>
      </c>
      <c r="H507" t="s">
        <v>24</v>
      </c>
      <c r="I507">
        <v>1.928272046802108E-2</v>
      </c>
      <c r="J507" t="s">
        <v>6</v>
      </c>
    </row>
    <row r="508" spans="2:10" x14ac:dyDescent="0.45">
      <c r="B508" t="s">
        <v>446</v>
      </c>
      <c r="C508" t="s">
        <v>25</v>
      </c>
      <c r="D508">
        <v>2.3338084980503899E-2</v>
      </c>
      <c r="E508" t="s">
        <v>6</v>
      </c>
      <c r="G508" t="s">
        <v>447</v>
      </c>
      <c r="H508" t="s">
        <v>25</v>
      </c>
      <c r="I508">
        <v>1.838908191381438E-2</v>
      </c>
      <c r="J508" t="s">
        <v>6</v>
      </c>
    </row>
    <row r="509" spans="2:10" x14ac:dyDescent="0.45">
      <c r="B509" t="s">
        <v>446</v>
      </c>
      <c r="C509" t="s">
        <v>26</v>
      </c>
      <c r="D509">
        <v>1.4517227341402873E-3</v>
      </c>
      <c r="E509" t="s">
        <v>6</v>
      </c>
      <c r="G509" t="s">
        <v>447</v>
      </c>
      <c r="H509" t="s">
        <v>26</v>
      </c>
      <c r="I509">
        <v>1.9031509111270901E-2</v>
      </c>
      <c r="J509" t="s">
        <v>6</v>
      </c>
    </row>
    <row r="510" spans="2:10" x14ac:dyDescent="0.45">
      <c r="B510" t="s">
        <v>446</v>
      </c>
      <c r="C510" t="s">
        <v>27</v>
      </c>
      <c r="D510">
        <v>0</v>
      </c>
      <c r="E510" t="s">
        <v>6</v>
      </c>
      <c r="G510" t="s">
        <v>447</v>
      </c>
      <c r="H510" t="s">
        <v>27</v>
      </c>
      <c r="I510">
        <v>2.8418329868216463E-2</v>
      </c>
      <c r="J510" t="s">
        <v>6</v>
      </c>
    </row>
    <row r="511" spans="2:10" x14ac:dyDescent="0.45">
      <c r="B511" t="s">
        <v>446</v>
      </c>
      <c r="C511" t="s">
        <v>28</v>
      </c>
      <c r="D511">
        <v>0</v>
      </c>
      <c r="E511" t="s">
        <v>6</v>
      </c>
      <c r="G511" t="s">
        <v>447</v>
      </c>
      <c r="H511" t="s">
        <v>28</v>
      </c>
      <c r="I511">
        <v>3.1467251530453509E-2</v>
      </c>
      <c r="J511" t="s">
        <v>6</v>
      </c>
    </row>
    <row r="512" spans="2:10" x14ac:dyDescent="0.45">
      <c r="B512" t="s">
        <v>446</v>
      </c>
      <c r="C512" t="s">
        <v>29</v>
      </c>
      <c r="D512">
        <v>8.9574644716058872E-4</v>
      </c>
      <c r="E512" t="s">
        <v>6</v>
      </c>
      <c r="G512" t="s">
        <v>447</v>
      </c>
      <c r="H512" t="s">
        <v>29</v>
      </c>
      <c r="I512">
        <v>1.1538436686697058E-2</v>
      </c>
      <c r="J512" t="s">
        <v>6</v>
      </c>
    </row>
    <row r="513" spans="2:10" x14ac:dyDescent="0.45">
      <c r="B513" t="s">
        <v>446</v>
      </c>
      <c r="C513" t="s">
        <v>30</v>
      </c>
      <c r="D513">
        <v>1.877673119183761E-2</v>
      </c>
      <c r="E513" t="s">
        <v>6</v>
      </c>
      <c r="G513" t="s">
        <v>447</v>
      </c>
      <c r="H513" t="s">
        <v>30</v>
      </c>
      <c r="I513">
        <v>1.008038201681085E-2</v>
      </c>
      <c r="J513" t="s">
        <v>6</v>
      </c>
    </row>
    <row r="514" spans="2:10" x14ac:dyDescent="0.45">
      <c r="B514" t="s">
        <v>446</v>
      </c>
      <c r="C514" t="s">
        <v>31</v>
      </c>
      <c r="D514">
        <v>5.8054546716996371E-2</v>
      </c>
      <c r="E514" t="s">
        <v>6</v>
      </c>
      <c r="G514" t="s">
        <v>447</v>
      </c>
      <c r="H514" t="s">
        <v>31</v>
      </c>
      <c r="I514">
        <v>1.1056042120585804E-2</v>
      </c>
      <c r="J514" t="s">
        <v>6</v>
      </c>
    </row>
    <row r="515" spans="2:10" x14ac:dyDescent="0.45">
      <c r="B515" t="s">
        <v>446</v>
      </c>
      <c r="C515" t="s">
        <v>32</v>
      </c>
      <c r="D515">
        <v>8.299995288890219E-2</v>
      </c>
      <c r="E515" t="s">
        <v>6</v>
      </c>
      <c r="G515" t="s">
        <v>447</v>
      </c>
      <c r="H515" t="s">
        <v>32</v>
      </c>
      <c r="I515">
        <v>1.0405622921371732E-2</v>
      </c>
      <c r="J515" t="s">
        <v>6</v>
      </c>
    </row>
    <row r="516" spans="2:10" x14ac:dyDescent="0.45">
      <c r="B516" t="s">
        <v>446</v>
      </c>
      <c r="C516" t="s">
        <v>33</v>
      </c>
      <c r="D516">
        <v>8.5227837260621567E-2</v>
      </c>
      <c r="E516" t="s">
        <v>6</v>
      </c>
      <c r="G516" t="s">
        <v>447</v>
      </c>
      <c r="H516" t="s">
        <v>33</v>
      </c>
      <c r="I516">
        <v>1.2020471086009114E-2</v>
      </c>
      <c r="J516" t="s">
        <v>6</v>
      </c>
    </row>
    <row r="517" spans="2:10" x14ac:dyDescent="0.45">
      <c r="B517" t="s">
        <v>446</v>
      </c>
      <c r="C517" t="s">
        <v>34</v>
      </c>
      <c r="D517">
        <v>6.7409374079218473E-2</v>
      </c>
      <c r="E517" t="s">
        <v>6</v>
      </c>
      <c r="G517" t="s">
        <v>447</v>
      </c>
      <c r="H517" t="s">
        <v>34</v>
      </c>
      <c r="I517">
        <v>1.2666049269586269E-2</v>
      </c>
      <c r="J517" t="s">
        <v>6</v>
      </c>
    </row>
    <row r="518" spans="2:10" x14ac:dyDescent="0.45">
      <c r="B518" t="s">
        <v>446</v>
      </c>
      <c r="C518" t="s">
        <v>35</v>
      </c>
      <c r="D518">
        <v>3.3690735031917177E-2</v>
      </c>
      <c r="E518" t="s">
        <v>6</v>
      </c>
      <c r="G518" t="s">
        <v>447</v>
      </c>
      <c r="H518" t="s">
        <v>35</v>
      </c>
      <c r="I518">
        <v>1.2255505620251636E-2</v>
      </c>
      <c r="J518" t="s">
        <v>6</v>
      </c>
    </row>
    <row r="519" spans="2:10" x14ac:dyDescent="0.45">
      <c r="B519" t="s">
        <v>446</v>
      </c>
      <c r="C519" t="s">
        <v>36</v>
      </c>
      <c r="D519">
        <v>4.5235639582696463E-3</v>
      </c>
      <c r="E519" t="s">
        <v>6</v>
      </c>
      <c r="G519" t="s">
        <v>447</v>
      </c>
      <c r="H519" t="s">
        <v>36</v>
      </c>
      <c r="I519">
        <v>1.2653564498953569E-2</v>
      </c>
      <c r="J519" t="s">
        <v>6</v>
      </c>
    </row>
    <row r="520" spans="2:10" x14ac:dyDescent="0.45">
      <c r="B520" t="s">
        <v>446</v>
      </c>
      <c r="C520" t="s">
        <v>37</v>
      </c>
      <c r="D520">
        <v>0</v>
      </c>
      <c r="E520" t="s">
        <v>6</v>
      </c>
      <c r="G520" t="s">
        <v>447</v>
      </c>
      <c r="H520" t="s">
        <v>37</v>
      </c>
      <c r="I520">
        <v>1.9722038523526983E-2</v>
      </c>
      <c r="J520" t="s">
        <v>6</v>
      </c>
    </row>
    <row r="521" spans="2:10" x14ac:dyDescent="0.45">
      <c r="B521" t="s">
        <v>446</v>
      </c>
      <c r="C521" t="s">
        <v>38</v>
      </c>
      <c r="D521">
        <v>0</v>
      </c>
      <c r="E521" t="s">
        <v>6</v>
      </c>
      <c r="G521" t="s">
        <v>447</v>
      </c>
      <c r="H521" t="s">
        <v>38</v>
      </c>
      <c r="I521">
        <v>6.2327251155498808E-2</v>
      </c>
      <c r="J521" t="s">
        <v>6</v>
      </c>
    </row>
    <row r="522" spans="2:10" x14ac:dyDescent="0.45">
      <c r="B522" t="s">
        <v>446</v>
      </c>
      <c r="C522" t="s">
        <v>39</v>
      </c>
      <c r="D522">
        <v>0</v>
      </c>
      <c r="E522" t="s">
        <v>6</v>
      </c>
      <c r="G522" t="s">
        <v>447</v>
      </c>
      <c r="H522" t="s">
        <v>39</v>
      </c>
      <c r="I522">
        <v>2.6349295716463425E-2</v>
      </c>
      <c r="J522" t="s">
        <v>6</v>
      </c>
    </row>
    <row r="523" spans="2:10" x14ac:dyDescent="0.45">
      <c r="B523" t="s">
        <v>446</v>
      </c>
      <c r="C523" t="s">
        <v>40</v>
      </c>
      <c r="D523">
        <v>3.8185757149886215E-3</v>
      </c>
      <c r="E523" t="s">
        <v>6</v>
      </c>
      <c r="G523" t="s">
        <v>447</v>
      </c>
      <c r="H523" t="s">
        <v>40</v>
      </c>
      <c r="I523">
        <v>2.6416816334934406E-2</v>
      </c>
      <c r="J523" t="s">
        <v>6</v>
      </c>
    </row>
    <row r="524" spans="2:10" x14ac:dyDescent="0.45">
      <c r="B524" t="s">
        <v>446</v>
      </c>
      <c r="C524" t="s">
        <v>41</v>
      </c>
      <c r="D524">
        <v>2.8634725656238098E-2</v>
      </c>
      <c r="E524" t="s">
        <v>6</v>
      </c>
      <c r="G524" t="s">
        <v>447</v>
      </c>
      <c r="H524" t="s">
        <v>41</v>
      </c>
      <c r="I524">
        <v>2.5368679014837008E-2</v>
      </c>
      <c r="J524" t="s">
        <v>6</v>
      </c>
    </row>
    <row r="525" spans="2:10" x14ac:dyDescent="0.45">
      <c r="B525" t="s">
        <v>446</v>
      </c>
      <c r="C525" t="s">
        <v>42</v>
      </c>
      <c r="D525">
        <v>5.3768987967929852E-2</v>
      </c>
      <c r="E525" t="s">
        <v>6</v>
      </c>
      <c r="G525" t="s">
        <v>447</v>
      </c>
      <c r="H525" t="s">
        <v>42</v>
      </c>
      <c r="I525">
        <v>2.056306580852706E-2</v>
      </c>
      <c r="J525" t="s">
        <v>6</v>
      </c>
    </row>
    <row r="526" spans="2:10" x14ac:dyDescent="0.45">
      <c r="B526" t="s">
        <v>446</v>
      </c>
      <c r="C526" t="s">
        <v>43</v>
      </c>
      <c r="D526">
        <v>5.8728547296497902E-2</v>
      </c>
      <c r="E526" t="s">
        <v>6</v>
      </c>
      <c r="G526" t="s">
        <v>447</v>
      </c>
      <c r="H526" t="s">
        <v>43</v>
      </c>
      <c r="I526">
        <v>2.2171739917740997E-2</v>
      </c>
      <c r="J526" t="s">
        <v>6</v>
      </c>
    </row>
    <row r="527" spans="2:10" x14ac:dyDescent="0.45">
      <c r="B527" t="s">
        <v>446</v>
      </c>
      <c r="C527" t="s">
        <v>44</v>
      </c>
      <c r="D527">
        <v>3.9036492834750795E-2</v>
      </c>
      <c r="E527" t="s">
        <v>6</v>
      </c>
      <c r="G527" t="s">
        <v>447</v>
      </c>
      <c r="H527" t="s">
        <v>44</v>
      </c>
      <c r="I527">
        <v>2.2149403710905336E-2</v>
      </c>
      <c r="J527" t="s">
        <v>6</v>
      </c>
    </row>
    <row r="528" spans="2:10" x14ac:dyDescent="0.45">
      <c r="B528" t="s">
        <v>446</v>
      </c>
      <c r="C528" t="s">
        <v>45</v>
      </c>
      <c r="D528">
        <v>9.3996936432400348E-3</v>
      </c>
      <c r="E528" t="s">
        <v>6</v>
      </c>
      <c r="G528" t="s">
        <v>447</v>
      </c>
      <c r="H528" t="s">
        <v>45</v>
      </c>
      <c r="I528">
        <v>2.2801177168506454E-2</v>
      </c>
      <c r="J528" t="s">
        <v>6</v>
      </c>
    </row>
    <row r="529" spans="2:10" x14ac:dyDescent="0.45">
      <c r="B529" t="s">
        <v>446</v>
      </c>
      <c r="C529" t="s">
        <v>46</v>
      </c>
      <c r="D529">
        <v>5.0627025456142018E-5</v>
      </c>
      <c r="E529" t="s">
        <v>6</v>
      </c>
      <c r="G529" t="s">
        <v>447</v>
      </c>
      <c r="H529" t="s">
        <v>46</v>
      </c>
      <c r="I529">
        <v>2.4705764337252294E-2</v>
      </c>
      <c r="J529" t="s">
        <v>6</v>
      </c>
    </row>
    <row r="530" spans="2:10" x14ac:dyDescent="0.45">
      <c r="B530" t="s">
        <v>446</v>
      </c>
      <c r="C530" t="s">
        <v>47</v>
      </c>
      <c r="D530">
        <v>0</v>
      </c>
      <c r="E530" t="s">
        <v>6</v>
      </c>
      <c r="G530" t="s">
        <v>447</v>
      </c>
      <c r="H530" t="s">
        <v>47</v>
      </c>
      <c r="I530">
        <v>3.8079359795503934E-2</v>
      </c>
      <c r="J530" t="s">
        <v>6</v>
      </c>
    </row>
    <row r="531" spans="2:10" x14ac:dyDescent="0.45">
      <c r="B531" t="s">
        <v>448</v>
      </c>
      <c r="C531" t="s">
        <v>5</v>
      </c>
      <c r="D531">
        <v>0</v>
      </c>
      <c r="E531" t="s">
        <v>6</v>
      </c>
      <c r="G531" t="s">
        <v>449</v>
      </c>
      <c r="H531" t="s">
        <v>5</v>
      </c>
      <c r="I531">
        <v>7.3103783959764801E-2</v>
      </c>
      <c r="J531" t="s">
        <v>6</v>
      </c>
    </row>
    <row r="532" spans="2:10" x14ac:dyDescent="0.45">
      <c r="B532" t="s">
        <v>448</v>
      </c>
      <c r="C532" t="s">
        <v>9</v>
      </c>
      <c r="D532">
        <v>0</v>
      </c>
      <c r="E532" t="s">
        <v>6</v>
      </c>
      <c r="G532" t="s">
        <v>449</v>
      </c>
      <c r="H532" t="s">
        <v>9</v>
      </c>
      <c r="I532">
        <v>2.9370741512827817E-2</v>
      </c>
      <c r="J532" t="s">
        <v>6</v>
      </c>
    </row>
    <row r="533" spans="2:10" x14ac:dyDescent="0.45">
      <c r="B533" t="s">
        <v>448</v>
      </c>
      <c r="C533" t="s">
        <v>10</v>
      </c>
      <c r="D533">
        <v>9.2320824993971152E-5</v>
      </c>
      <c r="E533" t="s">
        <v>6</v>
      </c>
      <c r="G533" t="s">
        <v>449</v>
      </c>
      <c r="H533" t="s">
        <v>10</v>
      </c>
      <c r="I533">
        <v>2.8933809007006844E-2</v>
      </c>
      <c r="J533" t="s">
        <v>6</v>
      </c>
    </row>
    <row r="534" spans="2:10" x14ac:dyDescent="0.45">
      <c r="B534" t="s">
        <v>448</v>
      </c>
      <c r="C534" t="s">
        <v>11</v>
      </c>
      <c r="D534">
        <v>1.4855226320990003E-2</v>
      </c>
      <c r="E534" t="s">
        <v>6</v>
      </c>
      <c r="G534" t="s">
        <v>449</v>
      </c>
      <c r="H534" t="s">
        <v>11</v>
      </c>
      <c r="I534">
        <v>2.852008871367755E-2</v>
      </c>
      <c r="J534" t="s">
        <v>6</v>
      </c>
    </row>
    <row r="535" spans="2:10" x14ac:dyDescent="0.45">
      <c r="B535" t="s">
        <v>448</v>
      </c>
      <c r="C535" t="s">
        <v>12</v>
      </c>
      <c r="D535">
        <v>4.0307080151245372E-2</v>
      </c>
      <c r="E535" t="s">
        <v>6</v>
      </c>
      <c r="G535" t="s">
        <v>449</v>
      </c>
      <c r="H535" t="s">
        <v>12</v>
      </c>
      <c r="I535">
        <v>2.4142255820160784E-2</v>
      </c>
      <c r="J535" t="s">
        <v>6</v>
      </c>
    </row>
    <row r="536" spans="2:10" x14ac:dyDescent="0.45">
      <c r="B536" t="s">
        <v>448</v>
      </c>
      <c r="C536" t="s">
        <v>13</v>
      </c>
      <c r="D536">
        <v>4.5970495530711759E-2</v>
      </c>
      <c r="E536" t="s">
        <v>6</v>
      </c>
      <c r="G536" t="s">
        <v>449</v>
      </c>
      <c r="H536" t="s">
        <v>13</v>
      </c>
      <c r="I536">
        <v>2.5255584888971328E-2</v>
      </c>
      <c r="J536" t="s">
        <v>6</v>
      </c>
    </row>
    <row r="537" spans="2:10" x14ac:dyDescent="0.45">
      <c r="B537" t="s">
        <v>448</v>
      </c>
      <c r="C537" t="s">
        <v>14</v>
      </c>
      <c r="D537">
        <v>2.7356210556067011E-2</v>
      </c>
      <c r="E537" t="s">
        <v>6</v>
      </c>
      <c r="G537" t="s">
        <v>449</v>
      </c>
      <c r="H537" t="s">
        <v>14</v>
      </c>
      <c r="I537">
        <v>2.576416568981368E-2</v>
      </c>
      <c r="J537" t="s">
        <v>6</v>
      </c>
    </row>
    <row r="538" spans="2:10" x14ac:dyDescent="0.45">
      <c r="B538" t="s">
        <v>448</v>
      </c>
      <c r="C538" t="s">
        <v>15</v>
      </c>
      <c r="D538">
        <v>3.0053327857547606E-3</v>
      </c>
      <c r="E538" t="s">
        <v>6</v>
      </c>
      <c r="G538" t="s">
        <v>449</v>
      </c>
      <c r="H538" t="s">
        <v>15</v>
      </c>
      <c r="I538">
        <v>2.733897687116256E-2</v>
      </c>
      <c r="J538" t="s">
        <v>6</v>
      </c>
    </row>
    <row r="539" spans="2:10" x14ac:dyDescent="0.45">
      <c r="B539" t="s">
        <v>448</v>
      </c>
      <c r="C539" t="s">
        <v>16</v>
      </c>
      <c r="D539">
        <v>0</v>
      </c>
      <c r="E539" t="s">
        <v>6</v>
      </c>
      <c r="G539" t="s">
        <v>449</v>
      </c>
      <c r="H539" t="s">
        <v>16</v>
      </c>
      <c r="I539">
        <v>2.888553923361703E-2</v>
      </c>
      <c r="J539" t="s">
        <v>6</v>
      </c>
    </row>
    <row r="540" spans="2:10" x14ac:dyDescent="0.45">
      <c r="B540" t="s">
        <v>448</v>
      </c>
      <c r="C540" t="s">
        <v>17</v>
      </c>
      <c r="D540">
        <v>0</v>
      </c>
      <c r="E540" t="s">
        <v>6</v>
      </c>
      <c r="G540" t="s">
        <v>449</v>
      </c>
      <c r="H540" t="s">
        <v>17</v>
      </c>
      <c r="I540">
        <v>4.33267787461269E-2</v>
      </c>
      <c r="J540" t="s">
        <v>6</v>
      </c>
    </row>
    <row r="541" spans="2:10" x14ac:dyDescent="0.45">
      <c r="B541" t="s">
        <v>448</v>
      </c>
      <c r="C541" t="s">
        <v>18</v>
      </c>
      <c r="D541">
        <v>0</v>
      </c>
      <c r="E541" t="s">
        <v>6</v>
      </c>
      <c r="G541" t="s">
        <v>449</v>
      </c>
      <c r="H541" t="s">
        <v>18</v>
      </c>
      <c r="I541">
        <v>4.9606827487880166E-2</v>
      </c>
      <c r="J541" t="s">
        <v>6</v>
      </c>
    </row>
    <row r="542" spans="2:10" x14ac:dyDescent="0.45">
      <c r="B542" t="s">
        <v>448</v>
      </c>
      <c r="C542" t="s">
        <v>19</v>
      </c>
      <c r="D542">
        <v>4.605719056692063E-4</v>
      </c>
      <c r="E542" t="s">
        <v>6</v>
      </c>
      <c r="G542" t="s">
        <v>449</v>
      </c>
      <c r="H542" t="s">
        <v>19</v>
      </c>
      <c r="I542">
        <v>1.9902305062559036E-2</v>
      </c>
      <c r="J542" t="s">
        <v>6</v>
      </c>
    </row>
    <row r="543" spans="2:10" x14ac:dyDescent="0.45">
      <c r="B543" t="s">
        <v>448</v>
      </c>
      <c r="C543" t="s">
        <v>20</v>
      </c>
      <c r="D543">
        <v>1.372371074716814E-2</v>
      </c>
      <c r="E543" t="s">
        <v>6</v>
      </c>
      <c r="G543" t="s">
        <v>449</v>
      </c>
      <c r="H543" t="s">
        <v>20</v>
      </c>
      <c r="I543">
        <v>1.9248106372766444E-2</v>
      </c>
      <c r="J543" t="s">
        <v>6</v>
      </c>
    </row>
    <row r="544" spans="2:10" x14ac:dyDescent="0.45">
      <c r="B544" t="s">
        <v>448</v>
      </c>
      <c r="C544" t="s">
        <v>21</v>
      </c>
      <c r="D544">
        <v>5.1143077193907101E-2</v>
      </c>
      <c r="E544" t="s">
        <v>6</v>
      </c>
      <c r="G544" t="s">
        <v>449</v>
      </c>
      <c r="H544" t="s">
        <v>21</v>
      </c>
      <c r="I544">
        <v>1.9204556339697958E-2</v>
      </c>
      <c r="J544" t="s">
        <v>6</v>
      </c>
    </row>
    <row r="545" spans="2:10" x14ac:dyDescent="0.45">
      <c r="B545" t="s">
        <v>448</v>
      </c>
      <c r="C545" t="s">
        <v>22</v>
      </c>
      <c r="D545">
        <v>7.7523946584804909E-2</v>
      </c>
      <c r="E545" t="s">
        <v>6</v>
      </c>
      <c r="G545" t="s">
        <v>449</v>
      </c>
      <c r="H545" t="s">
        <v>22</v>
      </c>
      <c r="I545">
        <v>1.5518472701020476E-2</v>
      </c>
      <c r="J545" t="s">
        <v>6</v>
      </c>
    </row>
    <row r="546" spans="2:10" x14ac:dyDescent="0.45">
      <c r="B546" t="s">
        <v>448</v>
      </c>
      <c r="C546" t="s">
        <v>23</v>
      </c>
      <c r="D546">
        <v>7.9043365010834546E-2</v>
      </c>
      <c r="E546" t="s">
        <v>6</v>
      </c>
      <c r="G546" t="s">
        <v>449</v>
      </c>
      <c r="H546" t="s">
        <v>23</v>
      </c>
      <c r="I546">
        <v>1.7718244260747609E-2</v>
      </c>
      <c r="J546" t="s">
        <v>6</v>
      </c>
    </row>
    <row r="547" spans="2:10" x14ac:dyDescent="0.45">
      <c r="B547" t="s">
        <v>448</v>
      </c>
      <c r="C547" t="s">
        <v>24</v>
      </c>
      <c r="D547">
        <v>5.8797708589935452E-2</v>
      </c>
      <c r="E547" t="s">
        <v>6</v>
      </c>
      <c r="G547" t="s">
        <v>449</v>
      </c>
      <c r="H547" t="s">
        <v>24</v>
      </c>
      <c r="I547">
        <v>1.8732116532050997E-2</v>
      </c>
      <c r="J547" t="s">
        <v>6</v>
      </c>
    </row>
    <row r="548" spans="2:10" x14ac:dyDescent="0.45">
      <c r="B548" t="s">
        <v>448</v>
      </c>
      <c r="C548" t="s">
        <v>25</v>
      </c>
      <c r="D548">
        <v>2.3824462338415193E-2</v>
      </c>
      <c r="E548" t="s">
        <v>6</v>
      </c>
      <c r="G548" t="s">
        <v>449</v>
      </c>
      <c r="H548" t="s">
        <v>25</v>
      </c>
      <c r="I548">
        <v>1.8904723826147624E-2</v>
      </c>
      <c r="J548" t="s">
        <v>6</v>
      </c>
    </row>
    <row r="549" spans="2:10" x14ac:dyDescent="0.45">
      <c r="B549" t="s">
        <v>448</v>
      </c>
      <c r="C549" t="s">
        <v>26</v>
      </c>
      <c r="D549">
        <v>1.4496272999085652E-3</v>
      </c>
      <c r="E549" t="s">
        <v>6</v>
      </c>
      <c r="G549" t="s">
        <v>449</v>
      </c>
      <c r="H549" t="s">
        <v>26</v>
      </c>
      <c r="I549">
        <v>2.0064016213509554E-2</v>
      </c>
      <c r="J549" t="s">
        <v>6</v>
      </c>
    </row>
    <row r="550" spans="2:10" x14ac:dyDescent="0.45">
      <c r="B550" t="s">
        <v>448</v>
      </c>
      <c r="C550" t="s">
        <v>27</v>
      </c>
      <c r="D550">
        <v>0</v>
      </c>
      <c r="E550" t="s">
        <v>6</v>
      </c>
      <c r="G550" t="s">
        <v>449</v>
      </c>
      <c r="H550" t="s">
        <v>27</v>
      </c>
      <c r="I550">
        <v>3.1202370941629139E-2</v>
      </c>
      <c r="J550" t="s">
        <v>6</v>
      </c>
    </row>
    <row r="551" spans="2:10" x14ac:dyDescent="0.45">
      <c r="B551" t="s">
        <v>448</v>
      </c>
      <c r="C551" t="s">
        <v>28</v>
      </c>
      <c r="D551">
        <v>0</v>
      </c>
      <c r="E551" t="s">
        <v>6</v>
      </c>
      <c r="G551" t="s">
        <v>449</v>
      </c>
      <c r="H551" t="s">
        <v>28</v>
      </c>
      <c r="I551">
        <v>3.5220809984713261E-2</v>
      </c>
      <c r="J551" t="s">
        <v>6</v>
      </c>
    </row>
    <row r="552" spans="2:10" x14ac:dyDescent="0.45">
      <c r="B552" t="s">
        <v>448</v>
      </c>
      <c r="C552" t="s">
        <v>29</v>
      </c>
      <c r="D552">
        <v>1.3663184933895985E-3</v>
      </c>
      <c r="E552" t="s">
        <v>6</v>
      </c>
      <c r="G552" t="s">
        <v>449</v>
      </c>
      <c r="H552" t="s">
        <v>29</v>
      </c>
      <c r="I552">
        <v>1.2683978574814292E-2</v>
      </c>
      <c r="J552" t="s">
        <v>6</v>
      </c>
    </row>
    <row r="553" spans="2:10" x14ac:dyDescent="0.45">
      <c r="B553" t="s">
        <v>448</v>
      </c>
      <c r="C553" t="s">
        <v>30</v>
      </c>
      <c r="D553">
        <v>2.2658826114967411E-2</v>
      </c>
      <c r="E553" t="s">
        <v>6</v>
      </c>
      <c r="G553" t="s">
        <v>449</v>
      </c>
      <c r="H553" t="s">
        <v>30</v>
      </c>
      <c r="I553">
        <v>1.1461062514228454E-2</v>
      </c>
      <c r="J553" t="s">
        <v>6</v>
      </c>
    </row>
    <row r="554" spans="2:10" x14ac:dyDescent="0.45">
      <c r="B554" t="s">
        <v>448</v>
      </c>
      <c r="C554" t="s">
        <v>31</v>
      </c>
      <c r="D554">
        <v>6.4636577530654382E-2</v>
      </c>
      <c r="E554" t="s">
        <v>6</v>
      </c>
      <c r="G554" t="s">
        <v>449</v>
      </c>
      <c r="H554" t="s">
        <v>31</v>
      </c>
      <c r="I554">
        <v>1.1759240595730932E-2</v>
      </c>
      <c r="J554" t="s">
        <v>6</v>
      </c>
    </row>
    <row r="555" spans="2:10" x14ac:dyDescent="0.45">
      <c r="B555" t="s">
        <v>448</v>
      </c>
      <c r="C555" t="s">
        <v>32</v>
      </c>
      <c r="D555">
        <v>8.9376606508479478E-2</v>
      </c>
      <c r="E555" t="s">
        <v>6</v>
      </c>
      <c r="G555" t="s">
        <v>449</v>
      </c>
      <c r="H555" t="s">
        <v>32</v>
      </c>
      <c r="I555">
        <v>9.5335142915063415E-3</v>
      </c>
      <c r="J555" t="s">
        <v>6</v>
      </c>
    </row>
    <row r="556" spans="2:10" x14ac:dyDescent="0.45">
      <c r="B556" t="s">
        <v>448</v>
      </c>
      <c r="C556" t="s">
        <v>33</v>
      </c>
      <c r="D556">
        <v>8.9490798991448503E-2</v>
      </c>
      <c r="E556" t="s">
        <v>6</v>
      </c>
      <c r="G556" t="s">
        <v>449</v>
      </c>
      <c r="H556" t="s">
        <v>33</v>
      </c>
      <c r="I556">
        <v>1.2057326853358395E-2</v>
      </c>
      <c r="J556" t="s">
        <v>6</v>
      </c>
    </row>
    <row r="557" spans="2:10" x14ac:dyDescent="0.45">
      <c r="B557" t="s">
        <v>448</v>
      </c>
      <c r="C557" t="s">
        <v>34</v>
      </c>
      <c r="D557">
        <v>6.9665421071365488E-2</v>
      </c>
      <c r="E557" t="s">
        <v>6</v>
      </c>
      <c r="G557" t="s">
        <v>449</v>
      </c>
      <c r="H557" t="s">
        <v>34</v>
      </c>
      <c r="I557">
        <v>1.2967447828236467E-2</v>
      </c>
      <c r="J557" t="s">
        <v>6</v>
      </c>
    </row>
    <row r="558" spans="2:10" x14ac:dyDescent="0.45">
      <c r="B558" t="s">
        <v>448</v>
      </c>
      <c r="C558" t="s">
        <v>35</v>
      </c>
      <c r="D558">
        <v>3.5191799477943105E-2</v>
      </c>
      <c r="E558" t="s">
        <v>6</v>
      </c>
      <c r="G558" t="s">
        <v>449</v>
      </c>
      <c r="H558" t="s">
        <v>35</v>
      </c>
      <c r="I558">
        <v>1.2201496269559917E-2</v>
      </c>
      <c r="J558" t="s">
        <v>6</v>
      </c>
    </row>
    <row r="559" spans="2:10" x14ac:dyDescent="0.45">
      <c r="B559" t="s">
        <v>448</v>
      </c>
      <c r="C559" t="s">
        <v>36</v>
      </c>
      <c r="D559">
        <v>4.7516877476714492E-3</v>
      </c>
      <c r="E559" t="s">
        <v>6</v>
      </c>
      <c r="G559" t="s">
        <v>449</v>
      </c>
      <c r="H559" t="s">
        <v>36</v>
      </c>
      <c r="I559">
        <v>1.1794161508599554E-2</v>
      </c>
      <c r="J559" t="s">
        <v>6</v>
      </c>
    </row>
    <row r="560" spans="2:10" x14ac:dyDescent="0.45">
      <c r="B560" t="s">
        <v>448</v>
      </c>
      <c r="C560" t="s">
        <v>37</v>
      </c>
      <c r="D560">
        <v>0</v>
      </c>
      <c r="E560" t="s">
        <v>6</v>
      </c>
      <c r="G560" t="s">
        <v>449</v>
      </c>
      <c r="H560" t="s">
        <v>37</v>
      </c>
      <c r="I560">
        <v>2.1338467104243138E-2</v>
      </c>
      <c r="J560" t="s">
        <v>6</v>
      </c>
    </row>
    <row r="561" spans="2:10" x14ac:dyDescent="0.45">
      <c r="B561" t="s">
        <v>448</v>
      </c>
      <c r="C561" t="s">
        <v>38</v>
      </c>
      <c r="D561">
        <v>0</v>
      </c>
      <c r="E561" t="s">
        <v>6</v>
      </c>
      <c r="G561" t="s">
        <v>449</v>
      </c>
      <c r="H561" t="s">
        <v>38</v>
      </c>
      <c r="I561">
        <v>6.3599450421543344E-2</v>
      </c>
      <c r="J561" t="s">
        <v>6</v>
      </c>
    </row>
    <row r="562" spans="2:10" x14ac:dyDescent="0.45">
      <c r="B562" t="s">
        <v>448</v>
      </c>
      <c r="C562" t="s">
        <v>39</v>
      </c>
      <c r="D562">
        <v>0</v>
      </c>
      <c r="E562" t="s">
        <v>6</v>
      </c>
      <c r="G562" t="s">
        <v>449</v>
      </c>
      <c r="H562" t="s">
        <v>39</v>
      </c>
      <c r="I562">
        <v>2.4344885341955665E-2</v>
      </c>
      <c r="J562" t="s">
        <v>6</v>
      </c>
    </row>
    <row r="563" spans="2:10" x14ac:dyDescent="0.45">
      <c r="B563" t="s">
        <v>448</v>
      </c>
      <c r="C563" t="s">
        <v>40</v>
      </c>
      <c r="D563">
        <v>4.1007498659466164E-3</v>
      </c>
      <c r="E563" t="s">
        <v>6</v>
      </c>
      <c r="G563" t="s">
        <v>449</v>
      </c>
      <c r="H563" t="s">
        <v>40</v>
      </c>
      <c r="I563">
        <v>2.4049674041323525E-2</v>
      </c>
      <c r="J563" t="s">
        <v>6</v>
      </c>
    </row>
    <row r="564" spans="2:10" x14ac:dyDescent="0.45">
      <c r="B564" t="s">
        <v>448</v>
      </c>
      <c r="C564" t="s">
        <v>41</v>
      </c>
      <c r="D564">
        <v>2.7836806526423313E-2</v>
      </c>
      <c r="E564" t="s">
        <v>6</v>
      </c>
      <c r="G564" t="s">
        <v>449</v>
      </c>
      <c r="H564" t="s">
        <v>41</v>
      </c>
      <c r="I564">
        <v>2.319072912106588E-2</v>
      </c>
      <c r="J564" t="s">
        <v>6</v>
      </c>
    </row>
    <row r="565" spans="2:10" x14ac:dyDescent="0.45">
      <c r="B565" t="s">
        <v>448</v>
      </c>
      <c r="C565" t="s">
        <v>42</v>
      </c>
      <c r="D565">
        <v>5.2642503991399275E-2</v>
      </c>
      <c r="E565" t="s">
        <v>6</v>
      </c>
      <c r="G565" t="s">
        <v>449</v>
      </c>
      <c r="H565" t="s">
        <v>42</v>
      </c>
      <c r="I565">
        <v>1.930777822035392E-2</v>
      </c>
      <c r="J565" t="s">
        <v>6</v>
      </c>
    </row>
    <row r="566" spans="2:10" x14ac:dyDescent="0.45">
      <c r="B566" t="s">
        <v>448</v>
      </c>
      <c r="C566" t="s">
        <v>43</v>
      </c>
      <c r="D566">
        <v>5.5692779315762705E-2</v>
      </c>
      <c r="E566" t="s">
        <v>6</v>
      </c>
      <c r="G566" t="s">
        <v>449</v>
      </c>
      <c r="H566" t="s">
        <v>43</v>
      </c>
      <c r="I566">
        <v>2.1644682503757125E-2</v>
      </c>
      <c r="J566" t="s">
        <v>6</v>
      </c>
    </row>
    <row r="567" spans="2:10" x14ac:dyDescent="0.45">
      <c r="B567" t="s">
        <v>448</v>
      </c>
      <c r="C567" t="s">
        <v>44</v>
      </c>
      <c r="D567">
        <v>3.6412270721676923E-2</v>
      </c>
      <c r="E567" t="s">
        <v>6</v>
      </c>
      <c r="G567" t="s">
        <v>449</v>
      </c>
      <c r="H567" t="s">
        <v>44</v>
      </c>
      <c r="I567">
        <v>2.2195709422823454E-2</v>
      </c>
      <c r="J567" t="s">
        <v>6</v>
      </c>
    </row>
    <row r="568" spans="2:10" x14ac:dyDescent="0.45">
      <c r="B568" t="s">
        <v>448</v>
      </c>
      <c r="C568" t="s">
        <v>45</v>
      </c>
      <c r="D568">
        <v>8.5788748562939995E-3</v>
      </c>
      <c r="E568" t="s">
        <v>6</v>
      </c>
      <c r="G568" t="s">
        <v>449</v>
      </c>
      <c r="H568" t="s">
        <v>45</v>
      </c>
      <c r="I568">
        <v>2.2587770484215456E-2</v>
      </c>
      <c r="J568" t="s">
        <v>6</v>
      </c>
    </row>
    <row r="569" spans="2:10" x14ac:dyDescent="0.45">
      <c r="B569" t="s">
        <v>448</v>
      </c>
      <c r="C569" t="s">
        <v>46</v>
      </c>
      <c r="D569">
        <v>4.4842946172407048E-5</v>
      </c>
      <c r="E569" t="s">
        <v>6</v>
      </c>
      <c r="G569" t="s">
        <v>449</v>
      </c>
      <c r="H569" t="s">
        <v>46</v>
      </c>
      <c r="I569">
        <v>2.4124913087932187E-2</v>
      </c>
      <c r="J569" t="s">
        <v>6</v>
      </c>
    </row>
    <row r="570" spans="2:10" x14ac:dyDescent="0.45">
      <c r="B570" t="s">
        <v>448</v>
      </c>
      <c r="C570" t="s">
        <v>47</v>
      </c>
      <c r="D570">
        <v>0</v>
      </c>
      <c r="E570" t="s">
        <v>6</v>
      </c>
      <c r="G570" t="s">
        <v>449</v>
      </c>
      <c r="H570" t="s">
        <v>47</v>
      </c>
      <c r="I570">
        <v>3.9193437648899362E-2</v>
      </c>
      <c r="J570" t="s">
        <v>6</v>
      </c>
    </row>
    <row r="571" spans="2:10" x14ac:dyDescent="0.45">
      <c r="B571" t="s">
        <v>450</v>
      </c>
      <c r="C571" t="s">
        <v>5</v>
      </c>
      <c r="D571">
        <v>0</v>
      </c>
      <c r="E571" t="s">
        <v>6</v>
      </c>
      <c r="G571" t="s">
        <v>451</v>
      </c>
      <c r="H571" t="s">
        <v>5</v>
      </c>
      <c r="I571">
        <v>7.0686987764158424E-2</v>
      </c>
      <c r="J571" t="s">
        <v>6</v>
      </c>
    </row>
    <row r="572" spans="2:10" x14ac:dyDescent="0.45">
      <c r="B572" t="s">
        <v>450</v>
      </c>
      <c r="C572" t="s">
        <v>9</v>
      </c>
      <c r="D572">
        <v>0</v>
      </c>
      <c r="E572" t="s">
        <v>6</v>
      </c>
      <c r="G572" t="s">
        <v>451</v>
      </c>
      <c r="H572" t="s">
        <v>9</v>
      </c>
      <c r="I572">
        <v>2.8690466110132463E-2</v>
      </c>
      <c r="J572" t="s">
        <v>6</v>
      </c>
    </row>
    <row r="573" spans="2:10" x14ac:dyDescent="0.45">
      <c r="B573" t="s">
        <v>450</v>
      </c>
      <c r="C573" t="s">
        <v>10</v>
      </c>
      <c r="D573">
        <v>2.7135835229626917E-4</v>
      </c>
      <c r="E573" t="s">
        <v>6</v>
      </c>
      <c r="G573" t="s">
        <v>451</v>
      </c>
      <c r="H573" t="s">
        <v>10</v>
      </c>
      <c r="I573">
        <v>2.8750466543062708E-2</v>
      </c>
      <c r="J573" t="s">
        <v>6</v>
      </c>
    </row>
    <row r="574" spans="2:10" x14ac:dyDescent="0.45">
      <c r="B574" t="s">
        <v>450</v>
      </c>
      <c r="C574" t="s">
        <v>11</v>
      </c>
      <c r="D574">
        <v>1.5964878570443927E-2</v>
      </c>
      <c r="E574" t="s">
        <v>6</v>
      </c>
      <c r="G574" t="s">
        <v>451</v>
      </c>
      <c r="H574" t="s">
        <v>11</v>
      </c>
      <c r="I574">
        <v>2.8665237285747755E-2</v>
      </c>
      <c r="J574" t="s">
        <v>6</v>
      </c>
    </row>
    <row r="575" spans="2:10" x14ac:dyDescent="0.45">
      <c r="B575" t="s">
        <v>450</v>
      </c>
      <c r="C575" t="s">
        <v>12</v>
      </c>
      <c r="D575">
        <v>4.1033133645527381E-2</v>
      </c>
      <c r="E575" t="s">
        <v>6</v>
      </c>
      <c r="G575" t="s">
        <v>451</v>
      </c>
      <c r="H575" t="s">
        <v>12</v>
      </c>
      <c r="I575">
        <v>2.5779015524440316E-2</v>
      </c>
      <c r="J575" t="s">
        <v>6</v>
      </c>
    </row>
    <row r="576" spans="2:10" x14ac:dyDescent="0.45">
      <c r="B576" t="s">
        <v>450</v>
      </c>
      <c r="C576" t="s">
        <v>13</v>
      </c>
      <c r="D576">
        <v>4.3403468542053181E-2</v>
      </c>
      <c r="E576" t="s">
        <v>6</v>
      </c>
      <c r="G576" t="s">
        <v>451</v>
      </c>
      <c r="H576" t="s">
        <v>13</v>
      </c>
      <c r="I576">
        <v>2.5892549756979331E-2</v>
      </c>
      <c r="J576" t="s">
        <v>6</v>
      </c>
    </row>
    <row r="577" spans="2:10" x14ac:dyDescent="0.45">
      <c r="B577" t="s">
        <v>450</v>
      </c>
      <c r="C577" t="s">
        <v>14</v>
      </c>
      <c r="D577">
        <v>2.3826232905532804E-2</v>
      </c>
      <c r="E577" t="s">
        <v>6</v>
      </c>
      <c r="G577" t="s">
        <v>451</v>
      </c>
      <c r="H577" t="s">
        <v>14</v>
      </c>
      <c r="I577">
        <v>2.585099644029018E-2</v>
      </c>
      <c r="J577" t="s">
        <v>6</v>
      </c>
    </row>
    <row r="578" spans="2:10" x14ac:dyDescent="0.45">
      <c r="B578" t="s">
        <v>450</v>
      </c>
      <c r="C578" t="s">
        <v>15</v>
      </c>
      <c r="D578">
        <v>2.3315141843456588E-3</v>
      </c>
      <c r="E578" t="s">
        <v>6</v>
      </c>
      <c r="G578" t="s">
        <v>451</v>
      </c>
      <c r="H578" t="s">
        <v>15</v>
      </c>
      <c r="I578">
        <v>2.6630359903700322E-2</v>
      </c>
      <c r="J578" t="s">
        <v>6</v>
      </c>
    </row>
    <row r="579" spans="2:10" x14ac:dyDescent="0.45">
      <c r="B579" t="s">
        <v>450</v>
      </c>
      <c r="C579" t="s">
        <v>16</v>
      </c>
      <c r="D579">
        <v>0</v>
      </c>
      <c r="E579" t="s">
        <v>6</v>
      </c>
      <c r="G579" t="s">
        <v>451</v>
      </c>
      <c r="H579" t="s">
        <v>16</v>
      </c>
      <c r="I579">
        <v>2.8232370895062881E-2</v>
      </c>
      <c r="J579" t="s">
        <v>6</v>
      </c>
    </row>
    <row r="580" spans="2:10" x14ac:dyDescent="0.45">
      <c r="B580" t="s">
        <v>450</v>
      </c>
      <c r="C580" t="s">
        <v>17</v>
      </c>
      <c r="D580">
        <v>0</v>
      </c>
      <c r="E580" t="s">
        <v>6</v>
      </c>
      <c r="G580" t="s">
        <v>451</v>
      </c>
      <c r="H580" t="s">
        <v>17</v>
      </c>
      <c r="I580">
        <v>4.2524232870825136E-2</v>
      </c>
      <c r="J580" t="s">
        <v>6</v>
      </c>
    </row>
    <row r="581" spans="2:10" x14ac:dyDescent="0.45">
      <c r="B581" t="s">
        <v>450</v>
      </c>
      <c r="C581" t="s">
        <v>18</v>
      </c>
      <c r="D581">
        <v>0</v>
      </c>
      <c r="E581" t="s">
        <v>6</v>
      </c>
      <c r="G581" t="s">
        <v>451</v>
      </c>
      <c r="H581" t="s">
        <v>18</v>
      </c>
      <c r="I581">
        <v>5.0588184698983116E-2</v>
      </c>
      <c r="J581" t="s">
        <v>6</v>
      </c>
    </row>
    <row r="582" spans="2:10" x14ac:dyDescent="0.45">
      <c r="B582" t="s">
        <v>450</v>
      </c>
      <c r="C582" t="s">
        <v>19</v>
      </c>
      <c r="D582">
        <v>6.4074632369709363E-4</v>
      </c>
      <c r="E582" t="s">
        <v>6</v>
      </c>
      <c r="G582" t="s">
        <v>451</v>
      </c>
      <c r="H582" t="s">
        <v>19</v>
      </c>
      <c r="I582">
        <v>2.0371334576642641E-2</v>
      </c>
      <c r="J582" t="s">
        <v>6</v>
      </c>
    </row>
    <row r="583" spans="2:10" x14ac:dyDescent="0.45">
      <c r="B583" t="s">
        <v>450</v>
      </c>
      <c r="C583" t="s">
        <v>20</v>
      </c>
      <c r="D583">
        <v>1.6601221879771939E-2</v>
      </c>
      <c r="E583" t="s">
        <v>6</v>
      </c>
      <c r="G583" t="s">
        <v>451</v>
      </c>
      <c r="H583" t="s">
        <v>20</v>
      </c>
      <c r="I583">
        <v>1.92991983059447E-2</v>
      </c>
      <c r="J583" t="s">
        <v>6</v>
      </c>
    </row>
    <row r="584" spans="2:10" x14ac:dyDescent="0.45">
      <c r="B584" t="s">
        <v>450</v>
      </c>
      <c r="C584" t="s">
        <v>21</v>
      </c>
      <c r="D584">
        <v>5.413089773789187E-2</v>
      </c>
      <c r="E584" t="s">
        <v>6</v>
      </c>
      <c r="G584" t="s">
        <v>451</v>
      </c>
      <c r="H584" t="s">
        <v>21</v>
      </c>
      <c r="I584">
        <v>1.8994098013480443E-2</v>
      </c>
      <c r="J584" t="s">
        <v>6</v>
      </c>
    </row>
    <row r="585" spans="2:10" x14ac:dyDescent="0.45">
      <c r="B585" t="s">
        <v>450</v>
      </c>
      <c r="C585" t="s">
        <v>22</v>
      </c>
      <c r="D585">
        <v>7.8884786999762327E-2</v>
      </c>
      <c r="E585" t="s">
        <v>6</v>
      </c>
      <c r="G585" t="s">
        <v>451</v>
      </c>
      <c r="H585" t="s">
        <v>22</v>
      </c>
      <c r="I585">
        <v>1.7263131705602643E-2</v>
      </c>
      <c r="J585" t="s">
        <v>6</v>
      </c>
    </row>
    <row r="586" spans="2:10" x14ac:dyDescent="0.45">
      <c r="B586" t="s">
        <v>450</v>
      </c>
      <c r="C586" t="s">
        <v>23</v>
      </c>
      <c r="D586">
        <v>7.8898149303437567E-2</v>
      </c>
      <c r="E586" t="s">
        <v>6</v>
      </c>
      <c r="G586" t="s">
        <v>451</v>
      </c>
      <c r="H586" t="s">
        <v>23</v>
      </c>
      <c r="I586">
        <v>1.8234334260355894E-2</v>
      </c>
      <c r="J586" t="s">
        <v>6</v>
      </c>
    </row>
    <row r="587" spans="2:10" x14ac:dyDescent="0.45">
      <c r="B587" t="s">
        <v>450</v>
      </c>
      <c r="C587" t="s">
        <v>24</v>
      </c>
      <c r="D587">
        <v>5.6146128516681895E-2</v>
      </c>
      <c r="E587" t="s">
        <v>6</v>
      </c>
      <c r="G587" t="s">
        <v>451</v>
      </c>
      <c r="H587" t="s">
        <v>24</v>
      </c>
      <c r="I587">
        <v>1.9059779014071396E-2</v>
      </c>
      <c r="J587" t="s">
        <v>6</v>
      </c>
    </row>
    <row r="588" spans="2:10" x14ac:dyDescent="0.45">
      <c r="B588" t="s">
        <v>450</v>
      </c>
      <c r="C588" t="s">
        <v>25</v>
      </c>
      <c r="D588">
        <v>2.1001213808377391E-2</v>
      </c>
      <c r="E588" t="s">
        <v>6</v>
      </c>
      <c r="G588" t="s">
        <v>451</v>
      </c>
      <c r="H588" t="s">
        <v>25</v>
      </c>
      <c r="I588">
        <v>1.8585752241878303E-2</v>
      </c>
      <c r="J588" t="s">
        <v>6</v>
      </c>
    </row>
    <row r="589" spans="2:10" x14ac:dyDescent="0.45">
      <c r="B589" t="s">
        <v>450</v>
      </c>
      <c r="C589" t="s">
        <v>26</v>
      </c>
      <c r="D589">
        <v>9.7115594808594972E-4</v>
      </c>
      <c r="E589" t="s">
        <v>6</v>
      </c>
      <c r="G589" t="s">
        <v>451</v>
      </c>
      <c r="H589" t="s">
        <v>26</v>
      </c>
      <c r="I589">
        <v>1.9521223384090902E-2</v>
      </c>
      <c r="J589" t="s">
        <v>6</v>
      </c>
    </row>
    <row r="590" spans="2:10" x14ac:dyDescent="0.45">
      <c r="B590" t="s">
        <v>450</v>
      </c>
      <c r="C590" t="s">
        <v>27</v>
      </c>
      <c r="D590">
        <v>0</v>
      </c>
      <c r="E590" t="s">
        <v>6</v>
      </c>
      <c r="G590" t="s">
        <v>451</v>
      </c>
      <c r="H590" t="s">
        <v>27</v>
      </c>
      <c r="I590">
        <v>3.1392416603305703E-2</v>
      </c>
      <c r="J590" t="s">
        <v>6</v>
      </c>
    </row>
    <row r="591" spans="2:10" x14ac:dyDescent="0.45">
      <c r="B591" t="s">
        <v>450</v>
      </c>
      <c r="C591" t="s">
        <v>28</v>
      </c>
      <c r="D591">
        <v>0</v>
      </c>
      <c r="E591" t="s">
        <v>6</v>
      </c>
      <c r="G591" t="s">
        <v>451</v>
      </c>
      <c r="H591" t="s">
        <v>28</v>
      </c>
      <c r="I591">
        <v>3.6700310564681787E-2</v>
      </c>
      <c r="J591" t="s">
        <v>6</v>
      </c>
    </row>
    <row r="592" spans="2:10" x14ac:dyDescent="0.45">
      <c r="B592" t="s">
        <v>450</v>
      </c>
      <c r="C592" t="s">
        <v>29</v>
      </c>
      <c r="D592">
        <v>1.6747403268120736E-3</v>
      </c>
      <c r="E592" t="s">
        <v>6</v>
      </c>
      <c r="G592" t="s">
        <v>451</v>
      </c>
      <c r="H592" t="s">
        <v>29</v>
      </c>
      <c r="I592">
        <v>1.3425003505434092E-2</v>
      </c>
      <c r="J592" t="s">
        <v>6</v>
      </c>
    </row>
    <row r="593" spans="2:10" x14ac:dyDescent="0.45">
      <c r="B593" t="s">
        <v>450</v>
      </c>
      <c r="C593" t="s">
        <v>30</v>
      </c>
      <c r="D593">
        <v>2.4995520138409028E-2</v>
      </c>
      <c r="E593" t="s">
        <v>6</v>
      </c>
      <c r="G593" t="s">
        <v>451</v>
      </c>
      <c r="H593" t="s">
        <v>30</v>
      </c>
      <c r="I593">
        <v>1.2230737757369605E-2</v>
      </c>
      <c r="J593" t="s">
        <v>6</v>
      </c>
    </row>
    <row r="594" spans="2:10" x14ac:dyDescent="0.45">
      <c r="B594" t="s">
        <v>450</v>
      </c>
      <c r="C594" t="s">
        <v>31</v>
      </c>
      <c r="D594">
        <v>6.5923254724505428E-2</v>
      </c>
      <c r="E594" t="s">
        <v>6</v>
      </c>
      <c r="G594" t="s">
        <v>451</v>
      </c>
      <c r="H594" t="s">
        <v>31</v>
      </c>
      <c r="I594">
        <v>1.2077176199848733E-2</v>
      </c>
      <c r="J594" t="s">
        <v>6</v>
      </c>
    </row>
    <row r="595" spans="2:10" x14ac:dyDescent="0.45">
      <c r="B595" t="s">
        <v>450</v>
      </c>
      <c r="C595" t="s">
        <v>32</v>
      </c>
      <c r="D595">
        <v>8.9249459832564923E-2</v>
      </c>
      <c r="E595" t="s">
        <v>6</v>
      </c>
      <c r="G595" t="s">
        <v>451</v>
      </c>
      <c r="H595" t="s">
        <v>32</v>
      </c>
      <c r="I595">
        <v>1.1189836868716831E-2</v>
      </c>
      <c r="J595" t="s">
        <v>6</v>
      </c>
    </row>
    <row r="596" spans="2:10" x14ac:dyDescent="0.45">
      <c r="B596" t="s">
        <v>450</v>
      </c>
      <c r="C596" t="s">
        <v>33</v>
      </c>
      <c r="D596">
        <v>8.8605302310691428E-2</v>
      </c>
      <c r="E596" t="s">
        <v>6</v>
      </c>
      <c r="G596" t="s">
        <v>451</v>
      </c>
      <c r="H596" t="s">
        <v>33</v>
      </c>
      <c r="I596">
        <v>1.3879444425611143E-2</v>
      </c>
      <c r="J596" t="s">
        <v>6</v>
      </c>
    </row>
    <row r="597" spans="2:10" x14ac:dyDescent="0.45">
      <c r="B597" t="s">
        <v>450</v>
      </c>
      <c r="C597" t="s">
        <v>34</v>
      </c>
      <c r="D597">
        <v>6.6502983649943323E-2</v>
      </c>
      <c r="E597" t="s">
        <v>6</v>
      </c>
      <c r="G597" t="s">
        <v>451</v>
      </c>
      <c r="H597" t="s">
        <v>34</v>
      </c>
      <c r="I597">
        <v>1.4480503478866282E-2</v>
      </c>
      <c r="J597" t="s">
        <v>6</v>
      </c>
    </row>
    <row r="598" spans="2:10" x14ac:dyDescent="0.45">
      <c r="B598" t="s">
        <v>450</v>
      </c>
      <c r="C598" t="s">
        <v>35</v>
      </c>
      <c r="D598">
        <v>3.0463775274868064E-2</v>
      </c>
      <c r="E598" t="s">
        <v>6</v>
      </c>
      <c r="G598" t="s">
        <v>451</v>
      </c>
      <c r="H598" t="s">
        <v>35</v>
      </c>
      <c r="I598">
        <v>1.3269043452863633E-2</v>
      </c>
      <c r="J598" t="s">
        <v>6</v>
      </c>
    </row>
    <row r="599" spans="2:10" x14ac:dyDescent="0.45">
      <c r="B599" t="s">
        <v>450</v>
      </c>
      <c r="C599" t="s">
        <v>36</v>
      </c>
      <c r="D599">
        <v>3.1133250457717945E-3</v>
      </c>
      <c r="E599" t="s">
        <v>6</v>
      </c>
      <c r="G599" t="s">
        <v>451</v>
      </c>
      <c r="H599" t="s">
        <v>36</v>
      </c>
      <c r="I599">
        <v>1.2896955845076103E-2</v>
      </c>
      <c r="J599" t="s">
        <v>6</v>
      </c>
    </row>
    <row r="600" spans="2:10" x14ac:dyDescent="0.45">
      <c r="B600" t="s">
        <v>450</v>
      </c>
      <c r="C600" t="s">
        <v>37</v>
      </c>
      <c r="D600">
        <v>0</v>
      </c>
      <c r="E600" t="s">
        <v>6</v>
      </c>
      <c r="G600" t="s">
        <v>451</v>
      </c>
      <c r="H600" t="s">
        <v>37</v>
      </c>
      <c r="I600">
        <v>2.2718916469620768E-2</v>
      </c>
      <c r="J600" t="s">
        <v>6</v>
      </c>
    </row>
    <row r="601" spans="2:10" x14ac:dyDescent="0.45">
      <c r="B601" t="s">
        <v>450</v>
      </c>
      <c r="C601" t="s">
        <v>38</v>
      </c>
      <c r="D601">
        <v>0</v>
      </c>
      <c r="E601" t="s">
        <v>6</v>
      </c>
      <c r="G601" t="s">
        <v>451</v>
      </c>
      <c r="H601" t="s">
        <v>38</v>
      </c>
      <c r="I601">
        <v>5.9472306582698919E-2</v>
      </c>
      <c r="J601" t="s">
        <v>6</v>
      </c>
    </row>
    <row r="602" spans="2:10" x14ac:dyDescent="0.45">
      <c r="B602" t="s">
        <v>450</v>
      </c>
      <c r="C602" t="s">
        <v>39</v>
      </c>
      <c r="D602">
        <v>0</v>
      </c>
      <c r="E602" t="s">
        <v>6</v>
      </c>
      <c r="G602" t="s">
        <v>451</v>
      </c>
      <c r="H602" t="s">
        <v>39</v>
      </c>
      <c r="I602">
        <v>2.3402334145701496E-2</v>
      </c>
      <c r="J602" t="s">
        <v>6</v>
      </c>
    </row>
    <row r="603" spans="2:10" x14ac:dyDescent="0.45">
      <c r="B603" t="s">
        <v>450</v>
      </c>
      <c r="C603" t="s">
        <v>40</v>
      </c>
      <c r="D603">
        <v>5.871043447756269E-3</v>
      </c>
      <c r="E603" t="s">
        <v>6</v>
      </c>
      <c r="G603" t="s">
        <v>451</v>
      </c>
      <c r="H603" t="s">
        <v>40</v>
      </c>
      <c r="I603">
        <v>2.3125358076821458E-2</v>
      </c>
      <c r="J603" t="s">
        <v>6</v>
      </c>
    </row>
    <row r="604" spans="2:10" x14ac:dyDescent="0.45">
      <c r="B604" t="s">
        <v>450</v>
      </c>
      <c r="C604" t="s">
        <v>41</v>
      </c>
      <c r="D604">
        <v>3.3298461377024025E-2</v>
      </c>
      <c r="E604" t="s">
        <v>6</v>
      </c>
      <c r="G604" t="s">
        <v>451</v>
      </c>
      <c r="H604" t="s">
        <v>41</v>
      </c>
      <c r="I604">
        <v>2.2103339374067041E-2</v>
      </c>
      <c r="J604" t="s">
        <v>6</v>
      </c>
    </row>
    <row r="605" spans="2:10" x14ac:dyDescent="0.45">
      <c r="B605" t="s">
        <v>450</v>
      </c>
      <c r="C605" t="s">
        <v>42</v>
      </c>
      <c r="D605">
        <v>5.8317707716307149E-2</v>
      </c>
      <c r="E605" t="s">
        <v>6</v>
      </c>
      <c r="G605" t="s">
        <v>451</v>
      </c>
      <c r="H605" t="s">
        <v>42</v>
      </c>
      <c r="I605">
        <v>2.0034760432294119E-2</v>
      </c>
      <c r="J605" t="s">
        <v>6</v>
      </c>
    </row>
    <row r="606" spans="2:10" x14ac:dyDescent="0.45">
      <c r="B606" t="s">
        <v>450</v>
      </c>
      <c r="C606" t="s">
        <v>43</v>
      </c>
      <c r="D606">
        <v>5.7064294687283169E-2</v>
      </c>
      <c r="E606" t="s">
        <v>6</v>
      </c>
      <c r="G606" t="s">
        <v>451</v>
      </c>
      <c r="H606" t="s">
        <v>43</v>
      </c>
      <c r="I606">
        <v>2.1566889108976361E-2</v>
      </c>
      <c r="J606" t="s">
        <v>6</v>
      </c>
    </row>
    <row r="607" spans="2:10" x14ac:dyDescent="0.45">
      <c r="B607" t="s">
        <v>450</v>
      </c>
      <c r="C607" t="s">
        <v>44</v>
      </c>
      <c r="D607">
        <v>3.4162079882943321E-2</v>
      </c>
      <c r="E607" t="s">
        <v>6</v>
      </c>
      <c r="G607" t="s">
        <v>451</v>
      </c>
      <c r="H607" t="s">
        <v>44</v>
      </c>
      <c r="I607">
        <v>2.1675268951254569E-2</v>
      </c>
      <c r="J607" t="s">
        <v>6</v>
      </c>
    </row>
    <row r="608" spans="2:10" x14ac:dyDescent="0.45">
      <c r="B608" t="s">
        <v>450</v>
      </c>
      <c r="C608" t="s">
        <v>45</v>
      </c>
      <c r="D608">
        <v>6.6408866417832979E-3</v>
      </c>
      <c r="E608" t="s">
        <v>6</v>
      </c>
      <c r="G608" t="s">
        <v>451</v>
      </c>
      <c r="H608" t="s">
        <v>45</v>
      </c>
      <c r="I608">
        <v>2.1681062835474003E-2</v>
      </c>
      <c r="J608" t="s">
        <v>6</v>
      </c>
    </row>
    <row r="609" spans="2:10" x14ac:dyDescent="0.45">
      <c r="B609" t="s">
        <v>450</v>
      </c>
      <c r="C609" t="s">
        <v>46</v>
      </c>
      <c r="D609">
        <v>1.2278225432349954E-5</v>
      </c>
      <c r="E609" t="s">
        <v>6</v>
      </c>
      <c r="G609" t="s">
        <v>451</v>
      </c>
      <c r="H609" t="s">
        <v>46</v>
      </c>
      <c r="I609">
        <v>2.2843154370861981E-2</v>
      </c>
      <c r="J609" t="s">
        <v>6</v>
      </c>
    </row>
    <row r="610" spans="2:10" x14ac:dyDescent="0.45">
      <c r="B610" t="s">
        <v>450</v>
      </c>
      <c r="C610" t="s">
        <v>47</v>
      </c>
      <c r="D610">
        <v>0</v>
      </c>
      <c r="E610" t="s">
        <v>6</v>
      </c>
      <c r="G610" t="s">
        <v>451</v>
      </c>
      <c r="H610" t="s">
        <v>47</v>
      </c>
      <c r="I610">
        <v>3.6215461655000246E-2</v>
      </c>
      <c r="J610" t="s">
        <v>6</v>
      </c>
    </row>
    <row r="611" spans="2:10" x14ac:dyDescent="0.45">
      <c r="B611" t="s">
        <v>452</v>
      </c>
      <c r="C611" t="s">
        <v>5</v>
      </c>
      <c r="D611">
        <v>0</v>
      </c>
      <c r="E611" t="s">
        <v>6</v>
      </c>
      <c r="G611" t="s">
        <v>453</v>
      </c>
      <c r="H611" t="s">
        <v>5</v>
      </c>
      <c r="I611">
        <v>6.7993655660094354E-2</v>
      </c>
      <c r="J611" t="s">
        <v>6</v>
      </c>
    </row>
    <row r="612" spans="2:10" x14ac:dyDescent="0.45">
      <c r="B612" t="s">
        <v>452</v>
      </c>
      <c r="C612" t="s">
        <v>9</v>
      </c>
      <c r="D612">
        <v>0</v>
      </c>
      <c r="E612" t="s">
        <v>6</v>
      </c>
      <c r="G612" t="s">
        <v>453</v>
      </c>
      <c r="H612" t="s">
        <v>9</v>
      </c>
      <c r="I612">
        <v>2.7832906362820913E-2</v>
      </c>
      <c r="J612" t="s">
        <v>6</v>
      </c>
    </row>
    <row r="613" spans="2:10" x14ac:dyDescent="0.45">
      <c r="B613" t="s">
        <v>452</v>
      </c>
      <c r="C613" t="s">
        <v>10</v>
      </c>
      <c r="D613">
        <v>2.7794507267915082E-4</v>
      </c>
      <c r="E613" t="s">
        <v>6</v>
      </c>
      <c r="G613" t="s">
        <v>453</v>
      </c>
      <c r="H613" t="s">
        <v>10</v>
      </c>
      <c r="I613">
        <v>2.7961986137561685E-2</v>
      </c>
      <c r="J613" t="s">
        <v>6</v>
      </c>
    </row>
    <row r="614" spans="2:10" x14ac:dyDescent="0.45">
      <c r="B614" t="s">
        <v>452</v>
      </c>
      <c r="C614" t="s">
        <v>11</v>
      </c>
      <c r="D614">
        <v>1.8675468532036939E-2</v>
      </c>
      <c r="E614" t="s">
        <v>6</v>
      </c>
      <c r="G614" t="s">
        <v>453</v>
      </c>
      <c r="H614" t="s">
        <v>11</v>
      </c>
      <c r="I614">
        <v>2.8107164531436513E-2</v>
      </c>
      <c r="J614" t="s">
        <v>6</v>
      </c>
    </row>
    <row r="615" spans="2:10" x14ac:dyDescent="0.45">
      <c r="B615" t="s">
        <v>452</v>
      </c>
      <c r="C615" t="s">
        <v>12</v>
      </c>
      <c r="D615">
        <v>4.848325292246683E-2</v>
      </c>
      <c r="E615" t="s">
        <v>6</v>
      </c>
      <c r="G615" t="s">
        <v>453</v>
      </c>
      <c r="H615" t="s">
        <v>12</v>
      </c>
      <c r="I615">
        <v>2.5833073148188088E-2</v>
      </c>
      <c r="J615" t="s">
        <v>6</v>
      </c>
    </row>
    <row r="616" spans="2:10" x14ac:dyDescent="0.45">
      <c r="B616" t="s">
        <v>452</v>
      </c>
      <c r="C616" t="s">
        <v>13</v>
      </c>
      <c r="D616">
        <v>5.3087821818751997E-2</v>
      </c>
      <c r="E616" t="s">
        <v>6</v>
      </c>
      <c r="G616" t="s">
        <v>453</v>
      </c>
      <c r="H616" t="s">
        <v>13</v>
      </c>
      <c r="I616">
        <v>2.6298323051833165E-2</v>
      </c>
      <c r="J616" t="s">
        <v>6</v>
      </c>
    </row>
    <row r="617" spans="2:10" x14ac:dyDescent="0.45">
      <c r="B617" t="s">
        <v>452</v>
      </c>
      <c r="C617" t="s">
        <v>14</v>
      </c>
      <c r="D617">
        <v>3.0308111694919451E-2</v>
      </c>
      <c r="E617" t="s">
        <v>6</v>
      </c>
      <c r="G617" t="s">
        <v>453</v>
      </c>
      <c r="H617" t="s">
        <v>14</v>
      </c>
      <c r="I617">
        <v>2.6064860521341923E-2</v>
      </c>
      <c r="J617" t="s">
        <v>6</v>
      </c>
    </row>
    <row r="618" spans="2:10" x14ac:dyDescent="0.45">
      <c r="B618" t="s">
        <v>452</v>
      </c>
      <c r="C618" t="s">
        <v>15</v>
      </c>
      <c r="D618">
        <v>3.2462298563305935E-3</v>
      </c>
      <c r="E618" t="s">
        <v>6</v>
      </c>
      <c r="G618" t="s">
        <v>453</v>
      </c>
      <c r="H618" t="s">
        <v>15</v>
      </c>
      <c r="I618">
        <v>2.6684293233247534E-2</v>
      </c>
      <c r="J618" t="s">
        <v>6</v>
      </c>
    </row>
    <row r="619" spans="2:10" x14ac:dyDescent="0.45">
      <c r="B619" t="s">
        <v>452</v>
      </c>
      <c r="C619" t="s">
        <v>16</v>
      </c>
      <c r="D619">
        <v>0</v>
      </c>
      <c r="E619" t="s">
        <v>6</v>
      </c>
      <c r="G619" t="s">
        <v>453</v>
      </c>
      <c r="H619" t="s">
        <v>16</v>
      </c>
      <c r="I619">
        <v>2.7157484982878888E-2</v>
      </c>
      <c r="J619" t="s">
        <v>6</v>
      </c>
    </row>
    <row r="620" spans="2:10" x14ac:dyDescent="0.45">
      <c r="B620" t="s">
        <v>452</v>
      </c>
      <c r="C620" t="s">
        <v>17</v>
      </c>
      <c r="D620">
        <v>0</v>
      </c>
      <c r="E620" t="s">
        <v>6</v>
      </c>
      <c r="G620" t="s">
        <v>453</v>
      </c>
      <c r="H620" t="s">
        <v>17</v>
      </c>
      <c r="I620">
        <v>4.0405989633122509E-2</v>
      </c>
      <c r="J620" t="s">
        <v>6</v>
      </c>
    </row>
    <row r="621" spans="2:10" x14ac:dyDescent="0.45">
      <c r="B621" t="s">
        <v>452</v>
      </c>
      <c r="C621" t="s">
        <v>18</v>
      </c>
      <c r="D621">
        <v>0</v>
      </c>
      <c r="E621" t="s">
        <v>6</v>
      </c>
      <c r="G621" t="s">
        <v>453</v>
      </c>
      <c r="H621" t="s">
        <v>18</v>
      </c>
      <c r="I621">
        <v>5.033468964319808E-2</v>
      </c>
      <c r="J621" t="s">
        <v>6</v>
      </c>
    </row>
    <row r="622" spans="2:10" x14ac:dyDescent="0.45">
      <c r="B622" t="s">
        <v>452</v>
      </c>
      <c r="C622" t="s">
        <v>19</v>
      </c>
      <c r="D622">
        <v>4.9987359612129801E-4</v>
      </c>
      <c r="E622" t="s">
        <v>6</v>
      </c>
      <c r="G622" t="s">
        <v>453</v>
      </c>
      <c r="H622" t="s">
        <v>19</v>
      </c>
      <c r="I622">
        <v>2.0242510907163676E-2</v>
      </c>
      <c r="J622" t="s">
        <v>6</v>
      </c>
    </row>
    <row r="623" spans="2:10" x14ac:dyDescent="0.45">
      <c r="B623" t="s">
        <v>452</v>
      </c>
      <c r="C623" t="s">
        <v>20</v>
      </c>
      <c r="D623">
        <v>1.5081161640763389E-2</v>
      </c>
      <c r="E623" t="s">
        <v>6</v>
      </c>
      <c r="G623" t="s">
        <v>453</v>
      </c>
      <c r="H623" t="s">
        <v>20</v>
      </c>
      <c r="I623">
        <v>1.8909835166511731E-2</v>
      </c>
      <c r="J623" t="s">
        <v>6</v>
      </c>
    </row>
    <row r="624" spans="2:10" x14ac:dyDescent="0.45">
      <c r="B624" t="s">
        <v>452</v>
      </c>
      <c r="C624" t="s">
        <v>21</v>
      </c>
      <c r="D624">
        <v>5.2151805514332746E-2</v>
      </c>
      <c r="E624" t="s">
        <v>6</v>
      </c>
      <c r="G624" t="s">
        <v>453</v>
      </c>
      <c r="H624" t="s">
        <v>21</v>
      </c>
      <c r="I624">
        <v>1.8188187472279588E-2</v>
      </c>
      <c r="J624" t="s">
        <v>6</v>
      </c>
    </row>
    <row r="625" spans="2:10" x14ac:dyDescent="0.45">
      <c r="B625" t="s">
        <v>452</v>
      </c>
      <c r="C625" t="s">
        <v>22</v>
      </c>
      <c r="D625">
        <v>7.7964892366663499E-2</v>
      </c>
      <c r="E625" t="s">
        <v>6</v>
      </c>
      <c r="G625" t="s">
        <v>453</v>
      </c>
      <c r="H625" t="s">
        <v>22</v>
      </c>
      <c r="I625">
        <v>1.7711628862077174E-2</v>
      </c>
      <c r="J625" t="s">
        <v>6</v>
      </c>
    </row>
    <row r="626" spans="2:10" x14ac:dyDescent="0.45">
      <c r="B626" t="s">
        <v>452</v>
      </c>
      <c r="C626" t="s">
        <v>23</v>
      </c>
      <c r="D626">
        <v>7.8856293797194943E-2</v>
      </c>
      <c r="E626" t="s">
        <v>6</v>
      </c>
      <c r="G626" t="s">
        <v>453</v>
      </c>
      <c r="H626" t="s">
        <v>23</v>
      </c>
      <c r="I626">
        <v>1.8686496269094948E-2</v>
      </c>
      <c r="J626" t="s">
        <v>6</v>
      </c>
    </row>
    <row r="627" spans="2:10" x14ac:dyDescent="0.45">
      <c r="B627" t="s">
        <v>452</v>
      </c>
      <c r="C627" t="s">
        <v>24</v>
      </c>
      <c r="D627">
        <v>5.6948442198860791E-2</v>
      </c>
      <c r="E627" t="s">
        <v>6</v>
      </c>
      <c r="G627" t="s">
        <v>453</v>
      </c>
      <c r="H627" t="s">
        <v>24</v>
      </c>
      <c r="I627">
        <v>1.9146865107914381E-2</v>
      </c>
      <c r="J627" t="s">
        <v>6</v>
      </c>
    </row>
    <row r="628" spans="2:10" x14ac:dyDescent="0.45">
      <c r="B628" t="s">
        <v>452</v>
      </c>
      <c r="C628" t="s">
        <v>25</v>
      </c>
      <c r="D628">
        <v>2.160701294425536E-2</v>
      </c>
      <c r="E628" t="s">
        <v>6</v>
      </c>
      <c r="G628" t="s">
        <v>453</v>
      </c>
      <c r="H628" t="s">
        <v>25</v>
      </c>
      <c r="I628">
        <v>1.8794800800556302E-2</v>
      </c>
      <c r="J628" t="s">
        <v>6</v>
      </c>
    </row>
    <row r="629" spans="2:10" x14ac:dyDescent="0.45">
      <c r="B629" t="s">
        <v>452</v>
      </c>
      <c r="C629" t="s">
        <v>26</v>
      </c>
      <c r="D629">
        <v>1.0241677930792352E-3</v>
      </c>
      <c r="E629" t="s">
        <v>6</v>
      </c>
      <c r="G629" t="s">
        <v>453</v>
      </c>
      <c r="H629" t="s">
        <v>26</v>
      </c>
      <c r="I629">
        <v>1.9713612184991451E-2</v>
      </c>
      <c r="J629" t="s">
        <v>6</v>
      </c>
    </row>
    <row r="630" spans="2:10" x14ac:dyDescent="0.45">
      <c r="B630" t="s">
        <v>452</v>
      </c>
      <c r="C630" t="s">
        <v>27</v>
      </c>
      <c r="D630">
        <v>0</v>
      </c>
      <c r="E630" t="s">
        <v>6</v>
      </c>
      <c r="G630" t="s">
        <v>453</v>
      </c>
      <c r="H630" t="s">
        <v>27</v>
      </c>
      <c r="I630">
        <v>3.0831194535820467E-2</v>
      </c>
      <c r="J630" t="s">
        <v>6</v>
      </c>
    </row>
    <row r="631" spans="2:10" x14ac:dyDescent="0.45">
      <c r="B631" t="s">
        <v>452</v>
      </c>
      <c r="C631" t="s">
        <v>28</v>
      </c>
      <c r="D631">
        <v>0</v>
      </c>
      <c r="E631" t="s">
        <v>6</v>
      </c>
      <c r="G631" t="s">
        <v>453</v>
      </c>
      <c r="H631" t="s">
        <v>28</v>
      </c>
      <c r="I631">
        <v>3.7310970367576406E-2</v>
      </c>
      <c r="J631" t="s">
        <v>6</v>
      </c>
    </row>
    <row r="632" spans="2:10" x14ac:dyDescent="0.45">
      <c r="B632" t="s">
        <v>452</v>
      </c>
      <c r="C632" t="s">
        <v>29</v>
      </c>
      <c r="D632">
        <v>1.2985879404983451E-3</v>
      </c>
      <c r="E632" t="s">
        <v>6</v>
      </c>
      <c r="G632" t="s">
        <v>453</v>
      </c>
      <c r="H632" t="s">
        <v>29</v>
      </c>
      <c r="I632">
        <v>1.4116899984867291E-2</v>
      </c>
      <c r="J632" t="s">
        <v>6</v>
      </c>
    </row>
    <row r="633" spans="2:10" x14ac:dyDescent="0.45">
      <c r="B633" t="s">
        <v>452</v>
      </c>
      <c r="C633" t="s">
        <v>30</v>
      </c>
      <c r="D633">
        <v>2.2179564176688184E-2</v>
      </c>
      <c r="E633" t="s">
        <v>6</v>
      </c>
      <c r="G633" t="s">
        <v>453</v>
      </c>
      <c r="H633" t="s">
        <v>30</v>
      </c>
      <c r="I633">
        <v>1.349756779853587E-2</v>
      </c>
      <c r="J633" t="s">
        <v>6</v>
      </c>
    </row>
    <row r="634" spans="2:10" x14ac:dyDescent="0.45">
      <c r="B634" t="s">
        <v>452</v>
      </c>
      <c r="C634" t="s">
        <v>31</v>
      </c>
      <c r="D634">
        <v>6.1856784931365226E-2</v>
      </c>
      <c r="E634" t="s">
        <v>6</v>
      </c>
      <c r="G634" t="s">
        <v>453</v>
      </c>
      <c r="H634" t="s">
        <v>31</v>
      </c>
      <c r="I634">
        <v>1.3213734684997168E-2</v>
      </c>
      <c r="J634" t="s">
        <v>6</v>
      </c>
    </row>
    <row r="635" spans="2:10" x14ac:dyDescent="0.45">
      <c r="B635" t="s">
        <v>452</v>
      </c>
      <c r="C635" t="s">
        <v>32</v>
      </c>
      <c r="D635">
        <v>8.4971719834932583E-2</v>
      </c>
      <c r="E635" t="s">
        <v>6</v>
      </c>
      <c r="G635" t="s">
        <v>453</v>
      </c>
      <c r="H635" t="s">
        <v>32</v>
      </c>
      <c r="I635">
        <v>1.2282168060115086E-2</v>
      </c>
      <c r="J635" t="s">
        <v>6</v>
      </c>
    </row>
    <row r="636" spans="2:10" x14ac:dyDescent="0.45">
      <c r="B636" t="s">
        <v>452</v>
      </c>
      <c r="C636" t="s">
        <v>33</v>
      </c>
      <c r="D636">
        <v>8.4354014280356479E-2</v>
      </c>
      <c r="E636" t="s">
        <v>6</v>
      </c>
      <c r="G636" t="s">
        <v>453</v>
      </c>
      <c r="H636" t="s">
        <v>33</v>
      </c>
      <c r="I636">
        <v>1.4764153397549292E-2</v>
      </c>
      <c r="J636" t="s">
        <v>6</v>
      </c>
    </row>
    <row r="637" spans="2:10" x14ac:dyDescent="0.45">
      <c r="B637" t="s">
        <v>452</v>
      </c>
      <c r="C637" t="s">
        <v>34</v>
      </c>
      <c r="D637">
        <v>6.3996390759394284E-2</v>
      </c>
      <c r="E637" t="s">
        <v>6</v>
      </c>
      <c r="G637" t="s">
        <v>453</v>
      </c>
      <c r="H637" t="s">
        <v>34</v>
      </c>
      <c r="I637">
        <v>1.4836985740555603E-2</v>
      </c>
      <c r="J637" t="s">
        <v>6</v>
      </c>
    </row>
    <row r="638" spans="2:10" x14ac:dyDescent="0.45">
      <c r="B638" t="s">
        <v>452</v>
      </c>
      <c r="C638" t="s">
        <v>35</v>
      </c>
      <c r="D638">
        <v>2.9948910861481978E-2</v>
      </c>
      <c r="E638" t="s">
        <v>6</v>
      </c>
      <c r="G638" t="s">
        <v>453</v>
      </c>
      <c r="H638" t="s">
        <v>35</v>
      </c>
      <c r="I638">
        <v>1.3569333144625535E-2</v>
      </c>
      <c r="J638" t="s">
        <v>6</v>
      </c>
    </row>
    <row r="639" spans="2:10" x14ac:dyDescent="0.45">
      <c r="B639" t="s">
        <v>452</v>
      </c>
      <c r="C639" t="s">
        <v>36</v>
      </c>
      <c r="D639">
        <v>3.2286256201732718E-3</v>
      </c>
      <c r="E639" t="s">
        <v>6</v>
      </c>
      <c r="G639" t="s">
        <v>453</v>
      </c>
      <c r="H639" t="s">
        <v>36</v>
      </c>
      <c r="I639">
        <v>1.3526397388469558E-2</v>
      </c>
      <c r="J639" t="s">
        <v>6</v>
      </c>
    </row>
    <row r="640" spans="2:10" x14ac:dyDescent="0.45">
      <c r="B640" t="s">
        <v>452</v>
      </c>
      <c r="C640" t="s">
        <v>37</v>
      </c>
      <c r="D640">
        <v>0</v>
      </c>
      <c r="E640" t="s">
        <v>6</v>
      </c>
      <c r="G640" t="s">
        <v>453</v>
      </c>
      <c r="H640" t="s">
        <v>37</v>
      </c>
      <c r="I640">
        <v>2.2627935380370643E-2</v>
      </c>
      <c r="J640" t="s">
        <v>6</v>
      </c>
    </row>
    <row r="641" spans="2:10" x14ac:dyDescent="0.45">
      <c r="B641" t="s">
        <v>452</v>
      </c>
      <c r="C641" t="s">
        <v>38</v>
      </c>
      <c r="D641">
        <v>0</v>
      </c>
      <c r="E641" t="s">
        <v>6</v>
      </c>
      <c r="G641" t="s">
        <v>453</v>
      </c>
      <c r="H641" t="s">
        <v>38</v>
      </c>
      <c r="I641">
        <v>5.8561068508138775E-2</v>
      </c>
      <c r="J641" t="s">
        <v>6</v>
      </c>
    </row>
    <row r="642" spans="2:10" x14ac:dyDescent="0.45">
      <c r="B642" t="s">
        <v>452</v>
      </c>
      <c r="C642" t="s">
        <v>39</v>
      </c>
      <c r="D642">
        <v>0</v>
      </c>
      <c r="E642" t="s">
        <v>6</v>
      </c>
      <c r="G642" t="s">
        <v>453</v>
      </c>
      <c r="H642" t="s">
        <v>39</v>
      </c>
      <c r="I642">
        <v>2.3782776927963829E-2</v>
      </c>
      <c r="J642" t="s">
        <v>6</v>
      </c>
    </row>
    <row r="643" spans="2:10" x14ac:dyDescent="0.45">
      <c r="B643" t="s">
        <v>452</v>
      </c>
      <c r="C643" t="s">
        <v>40</v>
      </c>
      <c r="D643">
        <v>5.0370807193634223E-3</v>
      </c>
      <c r="E643" t="s">
        <v>6</v>
      </c>
      <c r="G643" t="s">
        <v>453</v>
      </c>
      <c r="H643" t="s">
        <v>40</v>
      </c>
      <c r="I643">
        <v>2.3717700885600525E-2</v>
      </c>
      <c r="J643" t="s">
        <v>6</v>
      </c>
    </row>
    <row r="644" spans="2:10" x14ac:dyDescent="0.45">
      <c r="B644" t="s">
        <v>452</v>
      </c>
      <c r="C644" t="s">
        <v>41</v>
      </c>
      <c r="D644">
        <v>3.2106113905570347E-2</v>
      </c>
      <c r="E644" t="s">
        <v>6</v>
      </c>
      <c r="G644" t="s">
        <v>453</v>
      </c>
      <c r="H644" t="s">
        <v>41</v>
      </c>
      <c r="I644">
        <v>2.2689814645455469E-2</v>
      </c>
      <c r="J644" t="s">
        <v>6</v>
      </c>
    </row>
    <row r="645" spans="2:10" x14ac:dyDescent="0.45">
      <c r="B645" t="s">
        <v>452</v>
      </c>
      <c r="C645" t="s">
        <v>42</v>
      </c>
      <c r="D645">
        <v>5.501532252758834E-2</v>
      </c>
      <c r="E645" t="s">
        <v>6</v>
      </c>
      <c r="G645" t="s">
        <v>453</v>
      </c>
      <c r="H645" t="s">
        <v>42</v>
      </c>
      <c r="I645">
        <v>2.071024653739386E-2</v>
      </c>
      <c r="J645" t="s">
        <v>6</v>
      </c>
    </row>
    <row r="646" spans="2:10" x14ac:dyDescent="0.45">
      <c r="B646" t="s">
        <v>452</v>
      </c>
      <c r="C646" t="s">
        <v>43</v>
      </c>
      <c r="D646">
        <v>5.5692156580611614E-2</v>
      </c>
      <c r="E646" t="s">
        <v>6</v>
      </c>
      <c r="G646" t="s">
        <v>453</v>
      </c>
      <c r="H646" t="s">
        <v>43</v>
      </c>
      <c r="I646">
        <v>2.2023390707590698E-2</v>
      </c>
      <c r="J646" t="s">
        <v>6</v>
      </c>
    </row>
    <row r="647" spans="2:10" x14ac:dyDescent="0.45">
      <c r="B647" t="s">
        <v>452</v>
      </c>
      <c r="C647" t="s">
        <v>44</v>
      </c>
      <c r="D647">
        <v>3.487406877211701E-2</v>
      </c>
      <c r="E647" t="s">
        <v>6</v>
      </c>
      <c r="G647" t="s">
        <v>453</v>
      </c>
      <c r="H647" t="s">
        <v>44</v>
      </c>
      <c r="I647">
        <v>2.1920307329642383E-2</v>
      </c>
      <c r="J647" t="s">
        <v>6</v>
      </c>
    </row>
    <row r="648" spans="2:10" x14ac:dyDescent="0.45">
      <c r="B648" t="s">
        <v>452</v>
      </c>
      <c r="C648" t="s">
        <v>45</v>
      </c>
      <c r="D648">
        <v>7.2101034179096E-3</v>
      </c>
      <c r="E648" t="s">
        <v>6</v>
      </c>
      <c r="G648" t="s">
        <v>453</v>
      </c>
      <c r="H648" t="s">
        <v>45</v>
      </c>
      <c r="I648">
        <v>2.1860888524099016E-2</v>
      </c>
      <c r="J648" t="s">
        <v>6</v>
      </c>
    </row>
    <row r="649" spans="2:10" x14ac:dyDescent="0.45">
      <c r="B649" t="s">
        <v>452</v>
      </c>
      <c r="C649" t="s">
        <v>46</v>
      </c>
      <c r="D649">
        <v>1.8075923493036195E-5</v>
      </c>
      <c r="E649" t="s">
        <v>6</v>
      </c>
      <c r="G649" t="s">
        <v>453</v>
      </c>
      <c r="H649" t="s">
        <v>46</v>
      </c>
      <c r="I649">
        <v>2.2921522792258505E-2</v>
      </c>
      <c r="J649" t="s">
        <v>6</v>
      </c>
    </row>
    <row r="650" spans="2:10" x14ac:dyDescent="0.45">
      <c r="B650" t="s">
        <v>452</v>
      </c>
      <c r="C650" t="s">
        <v>47</v>
      </c>
      <c r="D650">
        <v>0</v>
      </c>
      <c r="E650" t="s">
        <v>6</v>
      </c>
      <c r="G650" t="s">
        <v>453</v>
      </c>
      <c r="H650" t="s">
        <v>47</v>
      </c>
      <c r="I650">
        <v>3.5166578982061478E-2</v>
      </c>
      <c r="J650" t="s">
        <v>6</v>
      </c>
    </row>
    <row r="651" spans="2:10" x14ac:dyDescent="0.45">
      <c r="B651" t="s">
        <v>454</v>
      </c>
      <c r="C651" t="s">
        <v>5</v>
      </c>
      <c r="D651">
        <v>0</v>
      </c>
      <c r="E651" t="s">
        <v>6</v>
      </c>
      <c r="G651" t="s">
        <v>455</v>
      </c>
      <c r="H651" t="s">
        <v>5</v>
      </c>
      <c r="I651">
        <v>6.0742828234700952E-2</v>
      </c>
      <c r="J651" t="s">
        <v>6</v>
      </c>
    </row>
    <row r="652" spans="2:10" x14ac:dyDescent="0.45">
      <c r="B652" t="s">
        <v>454</v>
      </c>
      <c r="C652" t="s">
        <v>9</v>
      </c>
      <c r="D652">
        <v>0</v>
      </c>
      <c r="E652" t="s">
        <v>6</v>
      </c>
      <c r="G652" t="s">
        <v>455</v>
      </c>
      <c r="H652" t="s">
        <v>9</v>
      </c>
      <c r="I652">
        <v>2.4911923241383093E-2</v>
      </c>
      <c r="J652" t="s">
        <v>6</v>
      </c>
    </row>
    <row r="653" spans="2:10" x14ac:dyDescent="0.45">
      <c r="B653" t="s">
        <v>454</v>
      </c>
      <c r="C653" t="s">
        <v>10</v>
      </c>
      <c r="D653">
        <v>8.1791744141103084E-6</v>
      </c>
      <c r="E653" t="s">
        <v>6</v>
      </c>
      <c r="G653" t="s">
        <v>455</v>
      </c>
      <c r="H653" t="s">
        <v>10</v>
      </c>
      <c r="I653">
        <v>2.542158435016895E-2</v>
      </c>
      <c r="J653" t="s">
        <v>6</v>
      </c>
    </row>
    <row r="654" spans="2:10" x14ac:dyDescent="0.45">
      <c r="B654" t="s">
        <v>454</v>
      </c>
      <c r="C654" t="s">
        <v>11</v>
      </c>
      <c r="D654">
        <v>9.3709758923035853E-3</v>
      </c>
      <c r="E654" t="s">
        <v>6</v>
      </c>
      <c r="G654" t="s">
        <v>455</v>
      </c>
      <c r="H654" t="s">
        <v>11</v>
      </c>
      <c r="I654">
        <v>2.5238740161999704E-2</v>
      </c>
      <c r="J654" t="s">
        <v>6</v>
      </c>
    </row>
    <row r="655" spans="2:10" x14ac:dyDescent="0.45">
      <c r="B655" t="s">
        <v>454</v>
      </c>
      <c r="C655" t="s">
        <v>12</v>
      </c>
      <c r="D655">
        <v>3.4439365472285537E-2</v>
      </c>
      <c r="E655" t="s">
        <v>6</v>
      </c>
      <c r="G655" t="s">
        <v>455</v>
      </c>
      <c r="H655" t="s">
        <v>12</v>
      </c>
      <c r="I655">
        <v>2.5229834685690199E-2</v>
      </c>
      <c r="J655" t="s">
        <v>6</v>
      </c>
    </row>
    <row r="656" spans="2:10" x14ac:dyDescent="0.45">
      <c r="B656" t="s">
        <v>454</v>
      </c>
      <c r="C656" t="s">
        <v>13</v>
      </c>
      <c r="D656">
        <v>4.1985664313679484E-2</v>
      </c>
      <c r="E656" t="s">
        <v>6</v>
      </c>
      <c r="G656" t="s">
        <v>455</v>
      </c>
      <c r="H656" t="s">
        <v>13</v>
      </c>
      <c r="I656">
        <v>2.5236033489628145E-2</v>
      </c>
      <c r="J656" t="s">
        <v>6</v>
      </c>
    </row>
    <row r="657" spans="2:10" x14ac:dyDescent="0.45">
      <c r="B657" t="s">
        <v>454</v>
      </c>
      <c r="C657" t="s">
        <v>14</v>
      </c>
      <c r="D657">
        <v>2.590882247466748E-2</v>
      </c>
      <c r="E657" t="s">
        <v>6</v>
      </c>
      <c r="G657" t="s">
        <v>455</v>
      </c>
      <c r="H657" t="s">
        <v>14</v>
      </c>
      <c r="I657">
        <v>2.5092503299723248E-2</v>
      </c>
      <c r="J657" t="s">
        <v>6</v>
      </c>
    </row>
    <row r="658" spans="2:10" x14ac:dyDescent="0.45">
      <c r="B658" t="s">
        <v>454</v>
      </c>
      <c r="C658" t="s">
        <v>15</v>
      </c>
      <c r="D658">
        <v>3.6429330004976307E-3</v>
      </c>
      <c r="E658" t="s">
        <v>6</v>
      </c>
      <c r="G658" t="s">
        <v>455</v>
      </c>
      <c r="H658" t="s">
        <v>15</v>
      </c>
      <c r="I658">
        <v>2.5727572288245577E-2</v>
      </c>
      <c r="J658" t="s">
        <v>6</v>
      </c>
    </row>
    <row r="659" spans="2:10" x14ac:dyDescent="0.45">
      <c r="B659" t="s">
        <v>454</v>
      </c>
      <c r="C659" t="s">
        <v>16</v>
      </c>
      <c r="D659">
        <v>0</v>
      </c>
      <c r="E659" t="s">
        <v>6</v>
      </c>
      <c r="G659" t="s">
        <v>455</v>
      </c>
      <c r="H659" t="s">
        <v>16</v>
      </c>
      <c r="I659">
        <v>2.6140287412031921E-2</v>
      </c>
      <c r="J659" t="s">
        <v>6</v>
      </c>
    </row>
    <row r="660" spans="2:10" x14ac:dyDescent="0.45">
      <c r="B660" t="s">
        <v>454</v>
      </c>
      <c r="C660" t="s">
        <v>17</v>
      </c>
      <c r="D660">
        <v>0</v>
      </c>
      <c r="E660" t="s">
        <v>6</v>
      </c>
      <c r="G660" t="s">
        <v>455</v>
      </c>
      <c r="H660" t="s">
        <v>17</v>
      </c>
      <c r="I660">
        <v>3.7938121915122129E-2</v>
      </c>
      <c r="J660" t="s">
        <v>6</v>
      </c>
    </row>
    <row r="661" spans="2:10" x14ac:dyDescent="0.45">
      <c r="B661" t="s">
        <v>454</v>
      </c>
      <c r="C661" t="s">
        <v>18</v>
      </c>
      <c r="D661">
        <v>0</v>
      </c>
      <c r="E661" t="s">
        <v>6</v>
      </c>
      <c r="G661" t="s">
        <v>455</v>
      </c>
      <c r="H661" t="s">
        <v>18</v>
      </c>
      <c r="I661">
        <v>5.4125254867734666E-2</v>
      </c>
      <c r="J661" t="s">
        <v>6</v>
      </c>
    </row>
    <row r="662" spans="2:10" x14ac:dyDescent="0.45">
      <c r="B662" t="s">
        <v>454</v>
      </c>
      <c r="C662" t="s">
        <v>19</v>
      </c>
      <c r="D662">
        <v>2.8869745604759463E-4</v>
      </c>
      <c r="E662" t="s">
        <v>6</v>
      </c>
      <c r="G662" t="s">
        <v>455</v>
      </c>
      <c r="H662" t="s">
        <v>19</v>
      </c>
      <c r="I662">
        <v>2.050468020835795E-2</v>
      </c>
      <c r="J662" t="s">
        <v>6</v>
      </c>
    </row>
    <row r="663" spans="2:10" x14ac:dyDescent="0.45">
      <c r="B663" t="s">
        <v>454</v>
      </c>
      <c r="C663" t="s">
        <v>20</v>
      </c>
      <c r="D663">
        <v>1.1794629222244904E-2</v>
      </c>
      <c r="E663" t="s">
        <v>6</v>
      </c>
      <c r="G663" t="s">
        <v>455</v>
      </c>
      <c r="H663" t="s">
        <v>20</v>
      </c>
      <c r="I663">
        <v>1.9667107656145627E-2</v>
      </c>
      <c r="J663" t="s">
        <v>6</v>
      </c>
    </row>
    <row r="664" spans="2:10" x14ac:dyDescent="0.45">
      <c r="B664" t="s">
        <v>454</v>
      </c>
      <c r="C664" t="s">
        <v>21</v>
      </c>
      <c r="D664">
        <v>5.0905459541484753E-2</v>
      </c>
      <c r="E664" t="s">
        <v>6</v>
      </c>
      <c r="G664" t="s">
        <v>455</v>
      </c>
      <c r="H664" t="s">
        <v>21</v>
      </c>
      <c r="I664">
        <v>1.9395287293996213E-2</v>
      </c>
      <c r="J664" t="s">
        <v>6</v>
      </c>
    </row>
    <row r="665" spans="2:10" x14ac:dyDescent="0.45">
      <c r="B665" t="s">
        <v>454</v>
      </c>
      <c r="C665" t="s">
        <v>22</v>
      </c>
      <c r="D665">
        <v>7.9414204377281167E-2</v>
      </c>
      <c r="E665" t="s">
        <v>6</v>
      </c>
      <c r="G665" t="s">
        <v>455</v>
      </c>
      <c r="H665" t="s">
        <v>22</v>
      </c>
      <c r="I665">
        <v>1.8693776902309344E-2</v>
      </c>
      <c r="J665" t="s">
        <v>6</v>
      </c>
    </row>
    <row r="666" spans="2:10" x14ac:dyDescent="0.45">
      <c r="B666" t="s">
        <v>454</v>
      </c>
      <c r="C666" t="s">
        <v>23</v>
      </c>
      <c r="D666">
        <v>8.375728306431747E-2</v>
      </c>
      <c r="E666" t="s">
        <v>6</v>
      </c>
      <c r="G666" t="s">
        <v>455</v>
      </c>
      <c r="H666" t="s">
        <v>23</v>
      </c>
      <c r="I666">
        <v>2.005798949329601E-2</v>
      </c>
      <c r="J666" t="s">
        <v>6</v>
      </c>
    </row>
    <row r="667" spans="2:10" x14ac:dyDescent="0.45">
      <c r="B667" t="s">
        <v>454</v>
      </c>
      <c r="C667" t="s">
        <v>24</v>
      </c>
      <c r="D667">
        <v>6.3769864194128389E-2</v>
      </c>
      <c r="E667" t="s">
        <v>6</v>
      </c>
      <c r="G667" t="s">
        <v>455</v>
      </c>
      <c r="H667" t="s">
        <v>24</v>
      </c>
      <c r="I667">
        <v>2.0928791521373741E-2</v>
      </c>
      <c r="J667" t="s">
        <v>6</v>
      </c>
    </row>
    <row r="668" spans="2:10" x14ac:dyDescent="0.45">
      <c r="B668" t="s">
        <v>454</v>
      </c>
      <c r="C668" t="s">
        <v>25</v>
      </c>
      <c r="D668">
        <v>2.8730322227992041E-2</v>
      </c>
      <c r="E668" t="s">
        <v>6</v>
      </c>
      <c r="G668" t="s">
        <v>455</v>
      </c>
      <c r="H668" t="s">
        <v>25</v>
      </c>
      <c r="I668">
        <v>2.1172332436811683E-2</v>
      </c>
      <c r="J668" t="s">
        <v>6</v>
      </c>
    </row>
    <row r="669" spans="2:10" x14ac:dyDescent="0.45">
      <c r="B669" t="s">
        <v>454</v>
      </c>
      <c r="C669" t="s">
        <v>26</v>
      </c>
      <c r="D669">
        <v>2.7199500649501E-3</v>
      </c>
      <c r="E669" t="s">
        <v>6</v>
      </c>
      <c r="G669" t="s">
        <v>455</v>
      </c>
      <c r="H669" t="s">
        <v>26</v>
      </c>
      <c r="I669">
        <v>2.2181302041399172E-2</v>
      </c>
      <c r="J669" t="s">
        <v>6</v>
      </c>
    </row>
    <row r="670" spans="2:10" x14ac:dyDescent="0.45">
      <c r="B670" t="s">
        <v>454</v>
      </c>
      <c r="C670" t="s">
        <v>27</v>
      </c>
      <c r="D670">
        <v>2.3354411005893644E-9</v>
      </c>
      <c r="E670" t="s">
        <v>6</v>
      </c>
      <c r="G670" t="s">
        <v>455</v>
      </c>
      <c r="H670" t="s">
        <v>27</v>
      </c>
      <c r="I670">
        <v>3.4316830952962347E-2</v>
      </c>
      <c r="J670" t="s">
        <v>6</v>
      </c>
    </row>
    <row r="671" spans="2:10" x14ac:dyDescent="0.45">
      <c r="B671" t="s">
        <v>454</v>
      </c>
      <c r="C671" t="s">
        <v>28</v>
      </c>
      <c r="D671">
        <v>0</v>
      </c>
      <c r="E671" t="s">
        <v>6</v>
      </c>
      <c r="G671" t="s">
        <v>455</v>
      </c>
      <c r="H671" t="s">
        <v>28</v>
      </c>
      <c r="I671">
        <v>3.8036903895092823E-2</v>
      </c>
      <c r="J671" t="s">
        <v>6</v>
      </c>
    </row>
    <row r="672" spans="2:10" x14ac:dyDescent="0.45">
      <c r="B672" t="s">
        <v>454</v>
      </c>
      <c r="C672" t="s">
        <v>29</v>
      </c>
      <c r="D672">
        <v>1.0962629740570765E-3</v>
      </c>
      <c r="E672" t="s">
        <v>6</v>
      </c>
      <c r="G672" t="s">
        <v>455</v>
      </c>
      <c r="H672" t="s">
        <v>29</v>
      </c>
      <c r="I672">
        <v>1.457610546081861E-2</v>
      </c>
      <c r="J672" t="s">
        <v>6</v>
      </c>
    </row>
    <row r="673" spans="2:10" x14ac:dyDescent="0.45">
      <c r="B673" t="s">
        <v>454</v>
      </c>
      <c r="C673" t="s">
        <v>30</v>
      </c>
      <c r="D673">
        <v>1.8442581230175819E-2</v>
      </c>
      <c r="E673" t="s">
        <v>6</v>
      </c>
      <c r="G673" t="s">
        <v>455</v>
      </c>
      <c r="H673" t="s">
        <v>30</v>
      </c>
      <c r="I673">
        <v>1.3988503878239279E-2</v>
      </c>
      <c r="J673" t="s">
        <v>6</v>
      </c>
    </row>
    <row r="674" spans="2:10" x14ac:dyDescent="0.45">
      <c r="B674" t="s">
        <v>454</v>
      </c>
      <c r="C674" t="s">
        <v>31</v>
      </c>
      <c r="D674">
        <v>5.9499335189525868E-2</v>
      </c>
      <c r="E674" t="s">
        <v>6</v>
      </c>
      <c r="G674" t="s">
        <v>455</v>
      </c>
      <c r="H674" t="s">
        <v>31</v>
      </c>
      <c r="I674">
        <v>1.4195989346820608E-2</v>
      </c>
      <c r="J674" t="s">
        <v>6</v>
      </c>
    </row>
    <row r="675" spans="2:10" x14ac:dyDescent="0.45">
      <c r="B675" t="s">
        <v>454</v>
      </c>
      <c r="C675" t="s">
        <v>32</v>
      </c>
      <c r="D675">
        <v>8.7246842104154343E-2</v>
      </c>
      <c r="E675" t="s">
        <v>6</v>
      </c>
      <c r="G675" t="s">
        <v>455</v>
      </c>
      <c r="H675" t="s">
        <v>32</v>
      </c>
      <c r="I675">
        <v>1.2850452850594636E-2</v>
      </c>
      <c r="J675" t="s">
        <v>6</v>
      </c>
    </row>
    <row r="676" spans="2:10" x14ac:dyDescent="0.45">
      <c r="B676" t="s">
        <v>454</v>
      </c>
      <c r="C676" t="s">
        <v>33</v>
      </c>
      <c r="D676">
        <v>9.1192181084171028E-2</v>
      </c>
      <c r="E676" t="s">
        <v>6</v>
      </c>
      <c r="G676" t="s">
        <v>455</v>
      </c>
      <c r="H676" t="s">
        <v>33</v>
      </c>
      <c r="I676">
        <v>1.3914237545877981E-2</v>
      </c>
      <c r="J676" t="s">
        <v>6</v>
      </c>
    </row>
    <row r="677" spans="2:10" x14ac:dyDescent="0.45">
      <c r="B677" t="s">
        <v>454</v>
      </c>
      <c r="C677" t="s">
        <v>34</v>
      </c>
      <c r="D677">
        <v>7.2678155709434339E-2</v>
      </c>
      <c r="E677" t="s">
        <v>6</v>
      </c>
      <c r="G677" t="s">
        <v>455</v>
      </c>
      <c r="H677" t="s">
        <v>34</v>
      </c>
      <c r="I677">
        <v>1.5047674048137713E-2</v>
      </c>
      <c r="J677" t="s">
        <v>6</v>
      </c>
    </row>
    <row r="678" spans="2:10" x14ac:dyDescent="0.45">
      <c r="B678" t="s">
        <v>454</v>
      </c>
      <c r="C678" t="s">
        <v>35</v>
      </c>
      <c r="D678">
        <v>3.9350267325923685E-2</v>
      </c>
      <c r="E678" t="s">
        <v>6</v>
      </c>
      <c r="G678" t="s">
        <v>455</v>
      </c>
      <c r="H678" t="s">
        <v>35</v>
      </c>
      <c r="I678">
        <v>1.5119019202021741E-2</v>
      </c>
      <c r="J678" t="s">
        <v>6</v>
      </c>
    </row>
    <row r="679" spans="2:10" x14ac:dyDescent="0.45">
      <c r="B679" t="s">
        <v>454</v>
      </c>
      <c r="C679" t="s">
        <v>36</v>
      </c>
      <c r="D679">
        <v>7.1510978026470906E-3</v>
      </c>
      <c r="E679" t="s">
        <v>6</v>
      </c>
      <c r="G679" t="s">
        <v>455</v>
      </c>
      <c r="H679" t="s">
        <v>36</v>
      </c>
      <c r="I679">
        <v>1.5143141285168372E-2</v>
      </c>
      <c r="J679" t="s">
        <v>6</v>
      </c>
    </row>
    <row r="680" spans="2:10" x14ac:dyDescent="0.45">
      <c r="B680" t="s">
        <v>454</v>
      </c>
      <c r="C680" t="s">
        <v>37</v>
      </c>
      <c r="D680">
        <v>2.7749499610008798E-5</v>
      </c>
      <c r="E680" t="s">
        <v>6</v>
      </c>
      <c r="G680" t="s">
        <v>455</v>
      </c>
      <c r="H680" t="s">
        <v>37</v>
      </c>
      <c r="I680">
        <v>2.3957307469133476E-2</v>
      </c>
      <c r="J680" t="s">
        <v>6</v>
      </c>
    </row>
    <row r="681" spans="2:10" x14ac:dyDescent="0.45">
      <c r="B681" t="s">
        <v>454</v>
      </c>
      <c r="C681" t="s">
        <v>38</v>
      </c>
      <c r="D681">
        <v>0</v>
      </c>
      <c r="E681" t="s">
        <v>6</v>
      </c>
      <c r="G681" t="s">
        <v>455</v>
      </c>
      <c r="H681" t="s">
        <v>38</v>
      </c>
      <c r="I681">
        <v>5.5220698901273076E-2</v>
      </c>
      <c r="J681" t="s">
        <v>6</v>
      </c>
    </row>
    <row r="682" spans="2:10" x14ac:dyDescent="0.45">
      <c r="B682" t="s">
        <v>454</v>
      </c>
      <c r="C682" t="s">
        <v>39</v>
      </c>
      <c r="D682">
        <v>0</v>
      </c>
      <c r="E682" t="s">
        <v>6</v>
      </c>
      <c r="G682" t="s">
        <v>455</v>
      </c>
      <c r="H682" t="s">
        <v>39</v>
      </c>
      <c r="I682">
        <v>2.2068078928338779E-2</v>
      </c>
      <c r="J682" t="s">
        <v>6</v>
      </c>
    </row>
    <row r="683" spans="2:10" x14ac:dyDescent="0.45">
      <c r="B683" t="s">
        <v>454</v>
      </c>
      <c r="C683" t="s">
        <v>40</v>
      </c>
      <c r="D683">
        <v>3.0923765409545151E-3</v>
      </c>
      <c r="E683" t="s">
        <v>6</v>
      </c>
      <c r="G683" t="s">
        <v>455</v>
      </c>
      <c r="H683" t="s">
        <v>40</v>
      </c>
      <c r="I683">
        <v>2.2666843144838911E-2</v>
      </c>
      <c r="J683" t="s">
        <v>6</v>
      </c>
    </row>
    <row r="684" spans="2:10" x14ac:dyDescent="0.45">
      <c r="B684" t="s">
        <v>454</v>
      </c>
      <c r="C684" t="s">
        <v>41</v>
      </c>
      <c r="D684">
        <v>2.7910444578938889E-2</v>
      </c>
      <c r="E684" t="s">
        <v>6</v>
      </c>
      <c r="G684" t="s">
        <v>455</v>
      </c>
      <c r="H684" t="s">
        <v>41</v>
      </c>
      <c r="I684">
        <v>2.2532785035219081E-2</v>
      </c>
      <c r="J684" t="s">
        <v>6</v>
      </c>
    </row>
    <row r="685" spans="2:10" x14ac:dyDescent="0.45">
      <c r="B685" t="s">
        <v>454</v>
      </c>
      <c r="C685" t="s">
        <v>42</v>
      </c>
      <c r="D685">
        <v>5.3568042118365251E-2</v>
      </c>
      <c r="E685" t="s">
        <v>6</v>
      </c>
      <c r="G685" t="s">
        <v>455</v>
      </c>
      <c r="H685" t="s">
        <v>42</v>
      </c>
      <c r="I685">
        <v>2.1535774730113533E-2</v>
      </c>
      <c r="J685" t="s">
        <v>6</v>
      </c>
    </row>
    <row r="686" spans="2:10" x14ac:dyDescent="0.45">
      <c r="B686" t="s">
        <v>454</v>
      </c>
      <c r="C686" t="s">
        <v>43</v>
      </c>
      <c r="D686">
        <v>5.6180890934402171E-2</v>
      </c>
      <c r="E686" t="s">
        <v>6</v>
      </c>
      <c r="G686" t="s">
        <v>455</v>
      </c>
      <c r="H686" t="s">
        <v>43</v>
      </c>
      <c r="I686">
        <v>2.1910427001723524E-2</v>
      </c>
      <c r="J686" t="s">
        <v>6</v>
      </c>
    </row>
    <row r="687" spans="2:10" x14ac:dyDescent="0.45">
      <c r="B687" t="s">
        <v>454</v>
      </c>
      <c r="C687" t="s">
        <v>44</v>
      </c>
      <c r="D687">
        <v>3.6649443873544948E-2</v>
      </c>
      <c r="E687" t="s">
        <v>6</v>
      </c>
      <c r="G687" t="s">
        <v>455</v>
      </c>
      <c r="H687" t="s">
        <v>44</v>
      </c>
      <c r="I687">
        <v>2.2482891389832751E-2</v>
      </c>
      <c r="J687" t="s">
        <v>6</v>
      </c>
    </row>
    <row r="688" spans="2:10" x14ac:dyDescent="0.45">
      <c r="B688" t="s">
        <v>454</v>
      </c>
      <c r="C688" t="s">
        <v>45</v>
      </c>
      <c r="D688">
        <v>9.0665700456120588E-3</v>
      </c>
      <c r="E688" t="s">
        <v>6</v>
      </c>
      <c r="G688" t="s">
        <v>455</v>
      </c>
      <c r="H688" t="s">
        <v>45</v>
      </c>
      <c r="I688">
        <v>2.2996718486358703E-2</v>
      </c>
      <c r="J688" t="s">
        <v>6</v>
      </c>
    </row>
    <row r="689" spans="2:10" x14ac:dyDescent="0.45">
      <c r="B689" t="s">
        <v>454</v>
      </c>
      <c r="C689" t="s">
        <v>46</v>
      </c>
      <c r="D689">
        <v>1.1140617674664913E-4</v>
      </c>
      <c r="E689" t="s">
        <v>6</v>
      </c>
      <c r="G689" t="s">
        <v>455</v>
      </c>
      <c r="H689" t="s">
        <v>46</v>
      </c>
      <c r="I689">
        <v>2.3682778425004179E-2</v>
      </c>
      <c r="J689" t="s">
        <v>6</v>
      </c>
    </row>
    <row r="690" spans="2:10" x14ac:dyDescent="0.45">
      <c r="B690" t="s">
        <v>454</v>
      </c>
      <c r="C690" t="s">
        <v>47</v>
      </c>
      <c r="D690">
        <v>0</v>
      </c>
      <c r="E690" t="s">
        <v>6</v>
      </c>
      <c r="G690" t="s">
        <v>455</v>
      </c>
      <c r="H690" t="s">
        <v>47</v>
      </c>
      <c r="I690">
        <v>3.535088652231571E-2</v>
      </c>
      <c r="J690" t="s">
        <v>6</v>
      </c>
    </row>
    <row r="691" spans="2:10" x14ac:dyDescent="0.45">
      <c r="B691" t="s">
        <v>456</v>
      </c>
      <c r="C691" t="s">
        <v>5</v>
      </c>
      <c r="D691">
        <v>0</v>
      </c>
      <c r="E691" t="s">
        <v>6</v>
      </c>
      <c r="G691" t="s">
        <v>457</v>
      </c>
      <c r="H691" t="s">
        <v>5</v>
      </c>
      <c r="I691">
        <v>6.1931730570548259E-2</v>
      </c>
      <c r="J691" t="s">
        <v>6</v>
      </c>
    </row>
    <row r="692" spans="2:10" x14ac:dyDescent="0.45">
      <c r="B692" t="s">
        <v>456</v>
      </c>
      <c r="C692" t="s">
        <v>9</v>
      </c>
      <c r="D692">
        <v>0</v>
      </c>
      <c r="E692" t="s">
        <v>6</v>
      </c>
      <c r="G692" t="s">
        <v>457</v>
      </c>
      <c r="H692" t="s">
        <v>9</v>
      </c>
      <c r="I692">
        <v>2.5093671436359034E-2</v>
      </c>
      <c r="J692" t="s">
        <v>6</v>
      </c>
    </row>
    <row r="693" spans="2:10" x14ac:dyDescent="0.45">
      <c r="B693" t="s">
        <v>456</v>
      </c>
      <c r="C693" t="s">
        <v>10</v>
      </c>
      <c r="D693">
        <v>0</v>
      </c>
      <c r="E693" t="s">
        <v>6</v>
      </c>
      <c r="G693" t="s">
        <v>457</v>
      </c>
      <c r="H693" t="s">
        <v>10</v>
      </c>
      <c r="I693">
        <v>2.5114774569476282E-2</v>
      </c>
      <c r="J693" t="s">
        <v>6</v>
      </c>
    </row>
    <row r="694" spans="2:10" x14ac:dyDescent="0.45">
      <c r="B694" t="s">
        <v>456</v>
      </c>
      <c r="C694" t="s">
        <v>11</v>
      </c>
      <c r="D694">
        <v>8.7988269654076714E-3</v>
      </c>
      <c r="E694" t="s">
        <v>6</v>
      </c>
      <c r="G694" t="s">
        <v>457</v>
      </c>
      <c r="H694" t="s">
        <v>11</v>
      </c>
      <c r="I694">
        <v>2.5172052665429365E-2</v>
      </c>
      <c r="J694" t="s">
        <v>6</v>
      </c>
    </row>
    <row r="695" spans="2:10" x14ac:dyDescent="0.45">
      <c r="B695" t="s">
        <v>456</v>
      </c>
      <c r="C695" t="s">
        <v>12</v>
      </c>
      <c r="D695">
        <v>3.4369229460237308E-2</v>
      </c>
      <c r="E695" t="s">
        <v>6</v>
      </c>
      <c r="G695" t="s">
        <v>457</v>
      </c>
      <c r="H695" t="s">
        <v>12</v>
      </c>
      <c r="I695">
        <v>2.4425852782857669E-2</v>
      </c>
      <c r="J695" t="s">
        <v>6</v>
      </c>
    </row>
    <row r="696" spans="2:10" x14ac:dyDescent="0.45">
      <c r="B696" t="s">
        <v>456</v>
      </c>
      <c r="C696" t="s">
        <v>13</v>
      </c>
      <c r="D696">
        <v>3.9714142122264373E-2</v>
      </c>
      <c r="E696" t="s">
        <v>6</v>
      </c>
      <c r="G696" t="s">
        <v>457</v>
      </c>
      <c r="H696" t="s">
        <v>13</v>
      </c>
      <c r="I696">
        <v>2.4524927213575513E-2</v>
      </c>
      <c r="J696" t="s">
        <v>6</v>
      </c>
    </row>
    <row r="697" spans="2:10" x14ac:dyDescent="0.45">
      <c r="B697" t="s">
        <v>456</v>
      </c>
      <c r="C697" t="s">
        <v>14</v>
      </c>
      <c r="D697">
        <v>2.4702355070453604E-2</v>
      </c>
      <c r="E697" t="s">
        <v>6</v>
      </c>
      <c r="G697" t="s">
        <v>457</v>
      </c>
      <c r="H697" t="s">
        <v>14</v>
      </c>
      <c r="I697">
        <v>2.4406770852164479E-2</v>
      </c>
      <c r="J697" t="s">
        <v>6</v>
      </c>
    </row>
    <row r="698" spans="2:10" x14ac:dyDescent="0.45">
      <c r="B698" t="s">
        <v>456</v>
      </c>
      <c r="C698" t="s">
        <v>15</v>
      </c>
      <c r="D698">
        <v>3.5380359549404884E-3</v>
      </c>
      <c r="E698" t="s">
        <v>6</v>
      </c>
      <c r="G698" t="s">
        <v>457</v>
      </c>
      <c r="H698" t="s">
        <v>15</v>
      </c>
      <c r="I698">
        <v>2.5078046255988456E-2</v>
      </c>
      <c r="J698" t="s">
        <v>6</v>
      </c>
    </row>
    <row r="699" spans="2:10" x14ac:dyDescent="0.45">
      <c r="B699" t="s">
        <v>456</v>
      </c>
      <c r="C699" t="s">
        <v>16</v>
      </c>
      <c r="D699">
        <v>0</v>
      </c>
      <c r="E699" t="s">
        <v>6</v>
      </c>
      <c r="G699" t="s">
        <v>457</v>
      </c>
      <c r="H699" t="s">
        <v>16</v>
      </c>
      <c r="I699">
        <v>2.5063019087246542E-2</v>
      </c>
      <c r="J699" t="s">
        <v>6</v>
      </c>
    </row>
    <row r="700" spans="2:10" x14ac:dyDescent="0.45">
      <c r="B700" t="s">
        <v>456</v>
      </c>
      <c r="C700" t="s">
        <v>17</v>
      </c>
      <c r="D700">
        <v>0</v>
      </c>
      <c r="E700" t="s">
        <v>6</v>
      </c>
      <c r="G700" t="s">
        <v>457</v>
      </c>
      <c r="H700" t="s">
        <v>17</v>
      </c>
      <c r="I700">
        <v>3.7425793112826004E-2</v>
      </c>
      <c r="J700" t="s">
        <v>6</v>
      </c>
    </row>
    <row r="701" spans="2:10" x14ac:dyDescent="0.45">
      <c r="B701" t="s">
        <v>456</v>
      </c>
      <c r="C701" t="s">
        <v>18</v>
      </c>
      <c r="D701">
        <v>0</v>
      </c>
      <c r="E701" t="s">
        <v>6</v>
      </c>
      <c r="G701" t="s">
        <v>457</v>
      </c>
      <c r="H701" t="s">
        <v>18</v>
      </c>
      <c r="I701">
        <v>5.2449443785359227E-2</v>
      </c>
      <c r="J701" t="s">
        <v>6</v>
      </c>
    </row>
    <row r="702" spans="2:10" x14ac:dyDescent="0.45">
      <c r="B702" t="s">
        <v>456</v>
      </c>
      <c r="C702" t="s">
        <v>19</v>
      </c>
      <c r="D702">
        <v>3.9203749694513779E-4</v>
      </c>
      <c r="E702" t="s">
        <v>6</v>
      </c>
      <c r="G702" t="s">
        <v>457</v>
      </c>
      <c r="H702" t="s">
        <v>19</v>
      </c>
      <c r="I702">
        <v>2.0883900773587528E-2</v>
      </c>
      <c r="J702" t="s">
        <v>6</v>
      </c>
    </row>
    <row r="703" spans="2:10" x14ac:dyDescent="0.45">
      <c r="B703" t="s">
        <v>456</v>
      </c>
      <c r="C703" t="s">
        <v>20</v>
      </c>
      <c r="D703">
        <v>1.2127372876072205E-2</v>
      </c>
      <c r="E703" t="s">
        <v>6</v>
      </c>
      <c r="G703" t="s">
        <v>457</v>
      </c>
      <c r="H703" t="s">
        <v>20</v>
      </c>
      <c r="I703">
        <v>1.9942926646437143E-2</v>
      </c>
      <c r="J703" t="s">
        <v>6</v>
      </c>
    </row>
    <row r="704" spans="2:10" x14ac:dyDescent="0.45">
      <c r="B704" t="s">
        <v>456</v>
      </c>
      <c r="C704" t="s">
        <v>21</v>
      </c>
      <c r="D704">
        <v>5.1059201421402939E-2</v>
      </c>
      <c r="E704" t="s">
        <v>6</v>
      </c>
      <c r="G704" t="s">
        <v>457</v>
      </c>
      <c r="H704" t="s">
        <v>21</v>
      </c>
      <c r="I704">
        <v>1.9290652400167529E-2</v>
      </c>
      <c r="J704" t="s">
        <v>6</v>
      </c>
    </row>
    <row r="705" spans="2:10" x14ac:dyDescent="0.45">
      <c r="B705" t="s">
        <v>456</v>
      </c>
      <c r="C705" t="s">
        <v>22</v>
      </c>
      <c r="D705">
        <v>8.0148458790180926E-2</v>
      </c>
      <c r="E705" t="s">
        <v>6</v>
      </c>
      <c r="G705" t="s">
        <v>457</v>
      </c>
      <c r="H705" t="s">
        <v>22</v>
      </c>
      <c r="I705">
        <v>1.8571175622165825E-2</v>
      </c>
      <c r="J705" t="s">
        <v>6</v>
      </c>
    </row>
    <row r="706" spans="2:10" x14ac:dyDescent="0.45">
      <c r="B706" t="s">
        <v>456</v>
      </c>
      <c r="C706" t="s">
        <v>23</v>
      </c>
      <c r="D706">
        <v>8.4161065220401843E-2</v>
      </c>
      <c r="E706" t="s">
        <v>6</v>
      </c>
      <c r="G706" t="s">
        <v>457</v>
      </c>
      <c r="H706" t="s">
        <v>23</v>
      </c>
      <c r="I706">
        <v>1.9233374450083808E-2</v>
      </c>
      <c r="J706" t="s">
        <v>6</v>
      </c>
    </row>
    <row r="707" spans="2:10" x14ac:dyDescent="0.45">
      <c r="B707" t="s">
        <v>456</v>
      </c>
      <c r="C707" t="s">
        <v>24</v>
      </c>
      <c r="D707">
        <v>6.4218822269853273E-2</v>
      </c>
      <c r="E707" t="s">
        <v>6</v>
      </c>
      <c r="G707" t="s">
        <v>457</v>
      </c>
      <c r="H707" t="s">
        <v>24</v>
      </c>
      <c r="I707">
        <v>1.9925114113413092E-2</v>
      </c>
      <c r="J707" t="s">
        <v>6</v>
      </c>
    </row>
    <row r="708" spans="2:10" x14ac:dyDescent="0.45">
      <c r="B708" t="s">
        <v>456</v>
      </c>
      <c r="C708" t="s">
        <v>25</v>
      </c>
      <c r="D708">
        <v>2.9107493051000355E-2</v>
      </c>
      <c r="E708" t="s">
        <v>6</v>
      </c>
      <c r="G708" t="s">
        <v>457</v>
      </c>
      <c r="H708" t="s">
        <v>25</v>
      </c>
      <c r="I708">
        <v>2.029362328963397E-2</v>
      </c>
      <c r="J708" t="s">
        <v>6</v>
      </c>
    </row>
    <row r="709" spans="2:10" x14ac:dyDescent="0.45">
      <c r="B709" t="s">
        <v>456</v>
      </c>
      <c r="C709" t="s">
        <v>26</v>
      </c>
      <c r="D709">
        <v>2.9110786801814464E-3</v>
      </c>
      <c r="E709" t="s">
        <v>6</v>
      </c>
      <c r="G709" t="s">
        <v>457</v>
      </c>
      <c r="H709" t="s">
        <v>26</v>
      </c>
      <c r="I709">
        <v>2.1003366597383791E-2</v>
      </c>
      <c r="J709" t="s">
        <v>6</v>
      </c>
    </row>
    <row r="710" spans="2:10" x14ac:dyDescent="0.45">
      <c r="B710" t="s">
        <v>456</v>
      </c>
      <c r="C710" t="s">
        <v>27</v>
      </c>
      <c r="D710">
        <v>7.2757613702476076E-8</v>
      </c>
      <c r="E710" t="s">
        <v>6</v>
      </c>
      <c r="G710" t="s">
        <v>457</v>
      </c>
      <c r="H710" t="s">
        <v>27</v>
      </c>
      <c r="I710">
        <v>3.1475941260028346E-2</v>
      </c>
      <c r="J710" t="s">
        <v>6</v>
      </c>
    </row>
    <row r="711" spans="2:10" x14ac:dyDescent="0.45">
      <c r="B711" t="s">
        <v>456</v>
      </c>
      <c r="C711" t="s">
        <v>28</v>
      </c>
      <c r="D711">
        <v>0</v>
      </c>
      <c r="E711" t="s">
        <v>6</v>
      </c>
      <c r="G711" t="s">
        <v>457</v>
      </c>
      <c r="H711" t="s">
        <v>28</v>
      </c>
      <c r="I711">
        <v>3.947367753967844E-2</v>
      </c>
      <c r="J711" t="s">
        <v>6</v>
      </c>
    </row>
    <row r="712" spans="2:10" x14ac:dyDescent="0.45">
      <c r="B712" t="s">
        <v>456</v>
      </c>
      <c r="C712" t="s">
        <v>29</v>
      </c>
      <c r="D712">
        <v>1.2330463377766587E-3</v>
      </c>
      <c r="E712" t="s">
        <v>6</v>
      </c>
      <c r="G712" t="s">
        <v>457</v>
      </c>
      <c r="H712" t="s">
        <v>29</v>
      </c>
      <c r="I712">
        <v>1.5637207378594239E-2</v>
      </c>
      <c r="J712" t="s">
        <v>6</v>
      </c>
    </row>
    <row r="713" spans="2:10" x14ac:dyDescent="0.45">
      <c r="B713" t="s">
        <v>456</v>
      </c>
      <c r="C713" t="s">
        <v>30</v>
      </c>
      <c r="D713">
        <v>1.8386537826593975E-2</v>
      </c>
      <c r="E713" t="s">
        <v>6</v>
      </c>
      <c r="G713" t="s">
        <v>457</v>
      </c>
      <c r="H713" t="s">
        <v>30</v>
      </c>
      <c r="I713">
        <v>1.5376685015827259E-2</v>
      </c>
      <c r="J713" t="s">
        <v>6</v>
      </c>
    </row>
    <row r="714" spans="2:10" x14ac:dyDescent="0.45">
      <c r="B714" t="s">
        <v>456</v>
      </c>
      <c r="C714" t="s">
        <v>31</v>
      </c>
      <c r="D714">
        <v>5.7848319315370711E-2</v>
      </c>
      <c r="E714" t="s">
        <v>6</v>
      </c>
      <c r="G714" t="s">
        <v>457</v>
      </c>
      <c r="H714" t="s">
        <v>31</v>
      </c>
      <c r="I714">
        <v>1.527744945567814E-2</v>
      </c>
      <c r="J714" t="s">
        <v>6</v>
      </c>
    </row>
    <row r="715" spans="2:10" x14ac:dyDescent="0.45">
      <c r="B715" t="s">
        <v>456</v>
      </c>
      <c r="C715" t="s">
        <v>32</v>
      </c>
      <c r="D715">
        <v>8.4551427116261429E-2</v>
      </c>
      <c r="E715" t="s">
        <v>6</v>
      </c>
      <c r="G715" t="s">
        <v>457</v>
      </c>
      <c r="H715" t="s">
        <v>32</v>
      </c>
      <c r="I715">
        <v>1.4600126369275221E-2</v>
      </c>
      <c r="J715" t="s">
        <v>6</v>
      </c>
    </row>
    <row r="716" spans="2:10" x14ac:dyDescent="0.45">
      <c r="B716" t="s">
        <v>456</v>
      </c>
      <c r="C716" t="s">
        <v>33</v>
      </c>
      <c r="D716">
        <v>9.0029336994447304E-2</v>
      </c>
      <c r="E716" t="s">
        <v>6</v>
      </c>
      <c r="G716" t="s">
        <v>457</v>
      </c>
      <c r="H716" t="s">
        <v>33</v>
      </c>
      <c r="I716">
        <v>1.5653819948896419E-2</v>
      </c>
      <c r="J716" t="s">
        <v>6</v>
      </c>
    </row>
    <row r="717" spans="2:10" x14ac:dyDescent="0.45">
      <c r="B717" t="s">
        <v>456</v>
      </c>
      <c r="C717" t="s">
        <v>34</v>
      </c>
      <c r="D717">
        <v>7.4444674666987037E-2</v>
      </c>
      <c r="E717" t="s">
        <v>6</v>
      </c>
      <c r="G717" t="s">
        <v>457</v>
      </c>
      <c r="H717" t="s">
        <v>34</v>
      </c>
      <c r="I717">
        <v>1.6202110204703538E-2</v>
      </c>
      <c r="J717" t="s">
        <v>6</v>
      </c>
    </row>
    <row r="718" spans="2:10" x14ac:dyDescent="0.45">
      <c r="B718" t="s">
        <v>456</v>
      </c>
      <c r="C718" t="s">
        <v>35</v>
      </c>
      <c r="D718">
        <v>4.1043148691166265E-2</v>
      </c>
      <c r="E718" t="s">
        <v>6</v>
      </c>
      <c r="G718" t="s">
        <v>457</v>
      </c>
      <c r="H718" t="s">
        <v>35</v>
      </c>
      <c r="I718">
        <v>1.6191020960792731E-2</v>
      </c>
      <c r="J718" t="s">
        <v>6</v>
      </c>
    </row>
    <row r="719" spans="2:10" x14ac:dyDescent="0.45">
      <c r="B719" t="s">
        <v>456</v>
      </c>
      <c r="C719" t="s">
        <v>36</v>
      </c>
      <c r="D719">
        <v>7.865924389089396E-3</v>
      </c>
      <c r="E719" t="s">
        <v>6</v>
      </c>
      <c r="G719" t="s">
        <v>457</v>
      </c>
      <c r="H719" t="s">
        <v>36</v>
      </c>
      <c r="I719">
        <v>1.6064726746344859E-2</v>
      </c>
      <c r="J719" t="s">
        <v>6</v>
      </c>
    </row>
    <row r="720" spans="2:10" x14ac:dyDescent="0.45">
      <c r="B720" t="s">
        <v>456</v>
      </c>
      <c r="C720" t="s">
        <v>37</v>
      </c>
      <c r="D720">
        <v>7.5104052371404554E-5</v>
      </c>
      <c r="E720" t="s">
        <v>6</v>
      </c>
      <c r="G720" t="s">
        <v>457</v>
      </c>
      <c r="H720" t="s">
        <v>37</v>
      </c>
      <c r="I720">
        <v>2.4426959347970338E-2</v>
      </c>
      <c r="J720" t="s">
        <v>6</v>
      </c>
    </row>
    <row r="721" spans="2:10" x14ac:dyDescent="0.45">
      <c r="B721" t="s">
        <v>456</v>
      </c>
      <c r="C721" t="s">
        <v>38</v>
      </c>
      <c r="D721">
        <v>0</v>
      </c>
      <c r="E721" t="s">
        <v>6</v>
      </c>
      <c r="G721" t="s">
        <v>457</v>
      </c>
      <c r="H721" t="s">
        <v>38</v>
      </c>
      <c r="I721">
        <v>5.7391274961178462E-2</v>
      </c>
      <c r="J721" t="s">
        <v>6</v>
      </c>
    </row>
    <row r="722" spans="2:10" x14ac:dyDescent="0.45">
      <c r="B722" t="s">
        <v>456</v>
      </c>
      <c r="C722" t="s">
        <v>39</v>
      </c>
      <c r="D722">
        <v>0</v>
      </c>
      <c r="E722" t="s">
        <v>6</v>
      </c>
      <c r="G722" t="s">
        <v>457</v>
      </c>
      <c r="H722" t="s">
        <v>39</v>
      </c>
      <c r="I722">
        <v>2.2964104629702838E-2</v>
      </c>
      <c r="J722" t="s">
        <v>6</v>
      </c>
    </row>
    <row r="723" spans="2:10" x14ac:dyDescent="0.45">
      <c r="B723" t="s">
        <v>456</v>
      </c>
      <c r="C723" t="s">
        <v>40</v>
      </c>
      <c r="D723">
        <v>3.3101865824043627E-3</v>
      </c>
      <c r="E723" t="s">
        <v>6</v>
      </c>
      <c r="G723" t="s">
        <v>457</v>
      </c>
      <c r="H723" t="s">
        <v>40</v>
      </c>
      <c r="I723">
        <v>2.2743164540677048E-2</v>
      </c>
      <c r="J723" t="s">
        <v>6</v>
      </c>
    </row>
    <row r="724" spans="2:10" x14ac:dyDescent="0.45">
      <c r="B724" t="s">
        <v>456</v>
      </c>
      <c r="C724" t="s">
        <v>41</v>
      </c>
      <c r="D724">
        <v>2.9561207622315004E-2</v>
      </c>
      <c r="E724" t="s">
        <v>6</v>
      </c>
      <c r="G724" t="s">
        <v>457</v>
      </c>
      <c r="H724" t="s">
        <v>41</v>
      </c>
      <c r="I724">
        <v>2.2299216441464233E-2</v>
      </c>
      <c r="J724" t="s">
        <v>6</v>
      </c>
    </row>
    <row r="725" spans="2:10" x14ac:dyDescent="0.45">
      <c r="B725" t="s">
        <v>456</v>
      </c>
      <c r="C725" t="s">
        <v>42</v>
      </c>
      <c r="D725">
        <v>5.4214216413220891E-2</v>
      </c>
      <c r="E725" t="s">
        <v>6</v>
      </c>
      <c r="G725" t="s">
        <v>457</v>
      </c>
      <c r="H725" t="s">
        <v>42</v>
      </c>
      <c r="I725">
        <v>2.1568333318189303E-2</v>
      </c>
      <c r="J725" t="s">
        <v>6</v>
      </c>
    </row>
    <row r="726" spans="2:10" x14ac:dyDescent="0.45">
      <c r="B726" t="s">
        <v>456</v>
      </c>
      <c r="C726" t="s">
        <v>43</v>
      </c>
      <c r="D726">
        <v>5.6226677141349997E-2</v>
      </c>
      <c r="E726" t="s">
        <v>6</v>
      </c>
      <c r="G726" t="s">
        <v>457</v>
      </c>
      <c r="H726" t="s">
        <v>43</v>
      </c>
      <c r="I726">
        <v>2.1745268781169419E-2</v>
      </c>
      <c r="J726" t="s">
        <v>6</v>
      </c>
    </row>
    <row r="727" spans="2:10" x14ac:dyDescent="0.45">
      <c r="B727" t="s">
        <v>456</v>
      </c>
      <c r="C727" t="s">
        <v>44</v>
      </c>
      <c r="D727">
        <v>3.6699290145338015E-2</v>
      </c>
      <c r="E727" t="s">
        <v>6</v>
      </c>
      <c r="G727" t="s">
        <v>457</v>
      </c>
      <c r="H727" t="s">
        <v>44</v>
      </c>
      <c r="I727">
        <v>2.2208386065976707E-2</v>
      </c>
      <c r="J727" t="s">
        <v>6</v>
      </c>
    </row>
    <row r="728" spans="2:10" x14ac:dyDescent="0.45">
      <c r="B728" t="s">
        <v>456</v>
      </c>
      <c r="C728" t="s">
        <v>45</v>
      </c>
      <c r="D728">
        <v>9.1569070679239275E-3</v>
      </c>
      <c r="E728" t="s">
        <v>6</v>
      </c>
      <c r="G728" t="s">
        <v>457</v>
      </c>
      <c r="H728" t="s">
        <v>45</v>
      </c>
      <c r="I728">
        <v>2.2403646715194982E-2</v>
      </c>
      <c r="J728" t="s">
        <v>6</v>
      </c>
    </row>
    <row r="729" spans="2:10" x14ac:dyDescent="0.45">
      <c r="B729" t="s">
        <v>456</v>
      </c>
      <c r="C729" t="s">
        <v>46</v>
      </c>
      <c r="D729">
        <v>1.0580350043145366E-4</v>
      </c>
      <c r="E729" t="s">
        <v>6</v>
      </c>
      <c r="G729" t="s">
        <v>457</v>
      </c>
      <c r="H729" t="s">
        <v>46</v>
      </c>
      <c r="I729">
        <v>2.2462752291395487E-2</v>
      </c>
      <c r="J729" t="s">
        <v>6</v>
      </c>
    </row>
    <row r="730" spans="2:10" x14ac:dyDescent="0.45">
      <c r="B730" t="s">
        <v>456</v>
      </c>
      <c r="C730" t="s">
        <v>47</v>
      </c>
      <c r="D730">
        <v>0</v>
      </c>
      <c r="E730" t="s">
        <v>6</v>
      </c>
      <c r="G730" t="s">
        <v>457</v>
      </c>
      <c r="H730" t="s">
        <v>47</v>
      </c>
      <c r="I730">
        <v>3.4003911802556255E-2</v>
      </c>
      <c r="J730" t="s">
        <v>6</v>
      </c>
    </row>
    <row r="731" spans="2:10" x14ac:dyDescent="0.45">
      <c r="B731" t="s">
        <v>458</v>
      </c>
      <c r="C731" t="s">
        <v>5</v>
      </c>
      <c r="D731">
        <v>0</v>
      </c>
      <c r="E731" t="s">
        <v>6</v>
      </c>
      <c r="G731" t="s">
        <v>459</v>
      </c>
      <c r="H731" t="s">
        <v>5</v>
      </c>
      <c r="I731">
        <v>6.4287458892652471E-2</v>
      </c>
      <c r="J731" t="s">
        <v>6</v>
      </c>
    </row>
    <row r="732" spans="2:10" x14ac:dyDescent="0.45">
      <c r="B732" t="s">
        <v>458</v>
      </c>
      <c r="C732" t="s">
        <v>9</v>
      </c>
      <c r="D732">
        <v>0</v>
      </c>
      <c r="E732" t="s">
        <v>6</v>
      </c>
      <c r="G732" t="s">
        <v>459</v>
      </c>
      <c r="H732" t="s">
        <v>9</v>
      </c>
      <c r="I732">
        <v>2.611699188903456E-2</v>
      </c>
      <c r="J732" t="s">
        <v>6</v>
      </c>
    </row>
    <row r="733" spans="2:10" x14ac:dyDescent="0.45">
      <c r="B733" t="s">
        <v>458</v>
      </c>
      <c r="C733" t="s">
        <v>10</v>
      </c>
      <c r="D733">
        <v>2.359833547640083E-5</v>
      </c>
      <c r="E733" t="s">
        <v>6</v>
      </c>
      <c r="G733" t="s">
        <v>459</v>
      </c>
      <c r="H733" t="s">
        <v>10</v>
      </c>
      <c r="I733">
        <v>2.6344167082913449E-2</v>
      </c>
      <c r="J733" t="s">
        <v>6</v>
      </c>
    </row>
    <row r="734" spans="2:10" x14ac:dyDescent="0.45">
      <c r="B734" t="s">
        <v>458</v>
      </c>
      <c r="C734" t="s">
        <v>11</v>
      </c>
      <c r="D734">
        <v>9.2110403402139579E-3</v>
      </c>
      <c r="E734" t="s">
        <v>6</v>
      </c>
      <c r="G734" t="s">
        <v>459</v>
      </c>
      <c r="H734" t="s">
        <v>11</v>
      </c>
      <c r="I734">
        <v>2.620536445938855E-2</v>
      </c>
      <c r="J734" t="s">
        <v>6</v>
      </c>
    </row>
    <row r="735" spans="2:10" x14ac:dyDescent="0.45">
      <c r="B735" t="s">
        <v>458</v>
      </c>
      <c r="C735" t="s">
        <v>12</v>
      </c>
      <c r="D735">
        <v>3.2075804294391434E-2</v>
      </c>
      <c r="E735" t="s">
        <v>6</v>
      </c>
      <c r="G735" t="s">
        <v>459</v>
      </c>
      <c r="H735" t="s">
        <v>12</v>
      </c>
      <c r="I735">
        <v>2.5302333490042819E-2</v>
      </c>
      <c r="J735" t="s">
        <v>6</v>
      </c>
    </row>
    <row r="736" spans="2:10" x14ac:dyDescent="0.45">
      <c r="B736" t="s">
        <v>458</v>
      </c>
      <c r="C736" t="s">
        <v>13</v>
      </c>
      <c r="D736">
        <v>3.7506091142389959E-2</v>
      </c>
      <c r="E736" t="s">
        <v>6</v>
      </c>
      <c r="G736" t="s">
        <v>459</v>
      </c>
      <c r="H736" t="s">
        <v>13</v>
      </c>
      <c r="I736">
        <v>2.5444804583693734E-2</v>
      </c>
      <c r="J736" t="s">
        <v>6</v>
      </c>
    </row>
    <row r="737" spans="2:10" x14ac:dyDescent="0.45">
      <c r="B737" t="s">
        <v>458</v>
      </c>
      <c r="C737" t="s">
        <v>14</v>
      </c>
      <c r="D737">
        <v>2.2470676318027735E-2</v>
      </c>
      <c r="E737" t="s">
        <v>6</v>
      </c>
      <c r="G737" t="s">
        <v>459</v>
      </c>
      <c r="H737" t="s">
        <v>14</v>
      </c>
      <c r="I737">
        <v>2.5412058711942406E-2</v>
      </c>
      <c r="J737" t="s">
        <v>6</v>
      </c>
    </row>
    <row r="738" spans="2:10" x14ac:dyDescent="0.45">
      <c r="B738" t="s">
        <v>458</v>
      </c>
      <c r="C738" t="s">
        <v>15</v>
      </c>
      <c r="D738">
        <v>2.8852089976302837E-3</v>
      </c>
      <c r="E738" t="s">
        <v>6</v>
      </c>
      <c r="G738" t="s">
        <v>459</v>
      </c>
      <c r="H738" t="s">
        <v>15</v>
      </c>
      <c r="I738">
        <v>2.5997275996400972E-2</v>
      </c>
      <c r="J738" t="s">
        <v>6</v>
      </c>
    </row>
    <row r="739" spans="2:10" x14ac:dyDescent="0.45">
      <c r="B739" t="s">
        <v>458</v>
      </c>
      <c r="C739" t="s">
        <v>16</v>
      </c>
      <c r="D739">
        <v>0</v>
      </c>
      <c r="E739" t="s">
        <v>6</v>
      </c>
      <c r="G739" t="s">
        <v>459</v>
      </c>
      <c r="H739" t="s">
        <v>16</v>
      </c>
      <c r="I739">
        <v>2.6389274416509362E-2</v>
      </c>
      <c r="J739" t="s">
        <v>6</v>
      </c>
    </row>
    <row r="740" spans="2:10" x14ac:dyDescent="0.45">
      <c r="B740" t="s">
        <v>458</v>
      </c>
      <c r="C740" t="s">
        <v>17</v>
      </c>
      <c r="D740">
        <v>0</v>
      </c>
      <c r="E740" t="s">
        <v>6</v>
      </c>
      <c r="G740" t="s">
        <v>459</v>
      </c>
      <c r="H740" t="s">
        <v>17</v>
      </c>
      <c r="I740">
        <v>3.90928316640849E-2</v>
      </c>
      <c r="J740" t="s">
        <v>6</v>
      </c>
    </row>
    <row r="741" spans="2:10" x14ac:dyDescent="0.45">
      <c r="B741" t="s">
        <v>458</v>
      </c>
      <c r="C741" t="s">
        <v>18</v>
      </c>
      <c r="D741">
        <v>0</v>
      </c>
      <c r="E741" t="s">
        <v>6</v>
      </c>
      <c r="G741" t="s">
        <v>459</v>
      </c>
      <c r="H741" t="s">
        <v>18</v>
      </c>
      <c r="I741">
        <v>5.1863114748581268E-2</v>
      </c>
      <c r="J741" t="s">
        <v>6</v>
      </c>
    </row>
    <row r="742" spans="2:10" x14ac:dyDescent="0.45">
      <c r="B742" t="s">
        <v>458</v>
      </c>
      <c r="C742" t="s">
        <v>19</v>
      </c>
      <c r="D742">
        <v>4.6402631871456188E-4</v>
      </c>
      <c r="E742" t="s">
        <v>6</v>
      </c>
      <c r="G742" t="s">
        <v>459</v>
      </c>
      <c r="H742" t="s">
        <v>19</v>
      </c>
      <c r="I742">
        <v>2.0507825434165523E-2</v>
      </c>
      <c r="J742" t="s">
        <v>6</v>
      </c>
    </row>
    <row r="743" spans="2:10" x14ac:dyDescent="0.45">
      <c r="B743" t="s">
        <v>458</v>
      </c>
      <c r="C743" t="s">
        <v>20</v>
      </c>
      <c r="D743">
        <v>1.3227995408640692E-2</v>
      </c>
      <c r="E743" t="s">
        <v>6</v>
      </c>
      <c r="G743" t="s">
        <v>459</v>
      </c>
      <c r="H743" t="s">
        <v>20</v>
      </c>
      <c r="I743">
        <v>1.9550536131467341E-2</v>
      </c>
      <c r="J743" t="s">
        <v>6</v>
      </c>
    </row>
    <row r="744" spans="2:10" x14ac:dyDescent="0.45">
      <c r="B744" t="s">
        <v>458</v>
      </c>
      <c r="C744" t="s">
        <v>21</v>
      </c>
      <c r="D744">
        <v>5.1901724948181946E-2</v>
      </c>
      <c r="E744" t="s">
        <v>6</v>
      </c>
      <c r="G744" t="s">
        <v>459</v>
      </c>
      <c r="H744" t="s">
        <v>21</v>
      </c>
      <c r="I744">
        <v>1.9354436677113764E-2</v>
      </c>
      <c r="J744" t="s">
        <v>6</v>
      </c>
    </row>
    <row r="745" spans="2:10" x14ac:dyDescent="0.45">
      <c r="B745" t="s">
        <v>458</v>
      </c>
      <c r="C745" t="s">
        <v>22</v>
      </c>
      <c r="D745">
        <v>8.1247102719516268E-2</v>
      </c>
      <c r="E745" t="s">
        <v>6</v>
      </c>
      <c r="G745" t="s">
        <v>459</v>
      </c>
      <c r="H745" t="s">
        <v>22</v>
      </c>
      <c r="I745">
        <v>1.9084271303291281E-2</v>
      </c>
      <c r="J745" t="s">
        <v>6</v>
      </c>
    </row>
    <row r="746" spans="2:10" x14ac:dyDescent="0.45">
      <c r="B746" t="s">
        <v>458</v>
      </c>
      <c r="C746" t="s">
        <v>23</v>
      </c>
      <c r="D746">
        <v>8.5316064608971051E-2</v>
      </c>
      <c r="E746" t="s">
        <v>6</v>
      </c>
      <c r="G746" t="s">
        <v>459</v>
      </c>
      <c r="H746" t="s">
        <v>23</v>
      </c>
      <c r="I746">
        <v>2.0623383273702316E-2</v>
      </c>
      <c r="J746" t="s">
        <v>6</v>
      </c>
    </row>
    <row r="747" spans="2:10" x14ac:dyDescent="0.45">
      <c r="B747" t="s">
        <v>458</v>
      </c>
      <c r="C747" t="s">
        <v>24</v>
      </c>
      <c r="D747">
        <v>6.3898352966367353E-2</v>
      </c>
      <c r="E747" t="s">
        <v>6</v>
      </c>
      <c r="G747" t="s">
        <v>459</v>
      </c>
      <c r="H747" t="s">
        <v>24</v>
      </c>
      <c r="I747">
        <v>2.0970674844540457E-2</v>
      </c>
      <c r="J747" t="s">
        <v>6</v>
      </c>
    </row>
    <row r="748" spans="2:10" x14ac:dyDescent="0.45">
      <c r="B748" t="s">
        <v>458</v>
      </c>
      <c r="C748" t="s">
        <v>25</v>
      </c>
      <c r="D748">
        <v>2.7106647651498891E-2</v>
      </c>
      <c r="E748" t="s">
        <v>6</v>
      </c>
      <c r="G748" t="s">
        <v>459</v>
      </c>
      <c r="H748" t="s">
        <v>25</v>
      </c>
      <c r="I748">
        <v>1.9958010745574472E-2</v>
      </c>
      <c r="J748" t="s">
        <v>6</v>
      </c>
    </row>
    <row r="749" spans="2:10" x14ac:dyDescent="0.45">
      <c r="B749" t="s">
        <v>458</v>
      </c>
      <c r="C749" t="s">
        <v>26</v>
      </c>
      <c r="D749">
        <v>2.3285351881627051E-3</v>
      </c>
      <c r="E749" t="s">
        <v>6</v>
      </c>
      <c r="G749" t="s">
        <v>459</v>
      </c>
      <c r="H749" t="s">
        <v>26</v>
      </c>
      <c r="I749">
        <v>2.0591618545840296E-2</v>
      </c>
      <c r="J749" t="s">
        <v>6</v>
      </c>
    </row>
    <row r="750" spans="2:10" x14ac:dyDescent="0.45">
      <c r="B750" t="s">
        <v>458</v>
      </c>
      <c r="C750" t="s">
        <v>27</v>
      </c>
      <c r="D750">
        <v>0</v>
      </c>
      <c r="E750" t="s">
        <v>6</v>
      </c>
      <c r="G750" t="s">
        <v>459</v>
      </c>
      <c r="H750" t="s">
        <v>27</v>
      </c>
      <c r="I750">
        <v>3.1855625176620703E-2</v>
      </c>
      <c r="J750" t="s">
        <v>6</v>
      </c>
    </row>
    <row r="751" spans="2:10" x14ac:dyDescent="0.45">
      <c r="B751" t="s">
        <v>458</v>
      </c>
      <c r="C751" t="s">
        <v>28</v>
      </c>
      <c r="D751">
        <v>0</v>
      </c>
      <c r="E751" t="s">
        <v>6</v>
      </c>
      <c r="G751" t="s">
        <v>459</v>
      </c>
      <c r="H751" t="s">
        <v>28</v>
      </c>
      <c r="I751">
        <v>3.730977694608812E-2</v>
      </c>
      <c r="J751" t="s">
        <v>6</v>
      </c>
    </row>
    <row r="752" spans="2:10" x14ac:dyDescent="0.45">
      <c r="B752" t="s">
        <v>458</v>
      </c>
      <c r="C752" t="s">
        <v>29</v>
      </c>
      <c r="D752">
        <v>1.484694409679924E-3</v>
      </c>
      <c r="E752" t="s">
        <v>6</v>
      </c>
      <c r="G752" t="s">
        <v>459</v>
      </c>
      <c r="H752" t="s">
        <v>29</v>
      </c>
      <c r="I752">
        <v>1.3925500858730134E-2</v>
      </c>
      <c r="J752" t="s">
        <v>6</v>
      </c>
    </row>
    <row r="753" spans="2:10" x14ac:dyDescent="0.45">
      <c r="B753" t="s">
        <v>458</v>
      </c>
      <c r="C753" t="s">
        <v>30</v>
      </c>
      <c r="D753">
        <v>2.07082123340184E-2</v>
      </c>
      <c r="E753" t="s">
        <v>6</v>
      </c>
      <c r="G753" t="s">
        <v>459</v>
      </c>
      <c r="H753" t="s">
        <v>30</v>
      </c>
      <c r="I753">
        <v>1.3424642131240857E-2</v>
      </c>
      <c r="J753" t="s">
        <v>6</v>
      </c>
    </row>
    <row r="754" spans="2:10" x14ac:dyDescent="0.45">
      <c r="B754" t="s">
        <v>458</v>
      </c>
      <c r="C754" t="s">
        <v>31</v>
      </c>
      <c r="D754">
        <v>6.2381279610316705E-2</v>
      </c>
      <c r="E754" t="s">
        <v>6</v>
      </c>
      <c r="G754" t="s">
        <v>459</v>
      </c>
      <c r="H754" t="s">
        <v>31</v>
      </c>
      <c r="I754">
        <v>1.4123866977889503E-2</v>
      </c>
      <c r="J754" t="s">
        <v>6</v>
      </c>
    </row>
    <row r="755" spans="2:10" x14ac:dyDescent="0.45">
      <c r="B755" t="s">
        <v>458</v>
      </c>
      <c r="C755" t="s">
        <v>32</v>
      </c>
      <c r="D755">
        <v>8.9165192551926592E-2</v>
      </c>
      <c r="E755" t="s">
        <v>6</v>
      </c>
      <c r="G755" t="s">
        <v>459</v>
      </c>
      <c r="H755" t="s">
        <v>32</v>
      </c>
      <c r="I755">
        <v>1.3241309646224867E-2</v>
      </c>
      <c r="J755" t="s">
        <v>6</v>
      </c>
    </row>
    <row r="756" spans="2:10" x14ac:dyDescent="0.45">
      <c r="B756" t="s">
        <v>458</v>
      </c>
      <c r="C756" t="s">
        <v>33</v>
      </c>
      <c r="D756">
        <v>9.0473659594924802E-2</v>
      </c>
      <c r="E756" t="s">
        <v>6</v>
      </c>
      <c r="G756" t="s">
        <v>459</v>
      </c>
      <c r="H756" t="s">
        <v>33</v>
      </c>
      <c r="I756">
        <v>1.4917712502891114E-2</v>
      </c>
      <c r="J756" t="s">
        <v>6</v>
      </c>
    </row>
    <row r="757" spans="2:10" x14ac:dyDescent="0.45">
      <c r="B757" t="s">
        <v>458</v>
      </c>
      <c r="C757" t="s">
        <v>34</v>
      </c>
      <c r="D757">
        <v>7.2668414502475243E-2</v>
      </c>
      <c r="E757" t="s">
        <v>6</v>
      </c>
      <c r="G757" t="s">
        <v>459</v>
      </c>
      <c r="H757" t="s">
        <v>34</v>
      </c>
      <c r="I757">
        <v>1.5711051318542436E-2</v>
      </c>
      <c r="J757" t="s">
        <v>6</v>
      </c>
    </row>
    <row r="758" spans="2:10" x14ac:dyDescent="0.45">
      <c r="B758" t="s">
        <v>458</v>
      </c>
      <c r="C758" t="s">
        <v>35</v>
      </c>
      <c r="D758">
        <v>3.7895142278638189E-2</v>
      </c>
      <c r="E758" t="s">
        <v>6</v>
      </c>
      <c r="G758" t="s">
        <v>459</v>
      </c>
      <c r="H758" t="s">
        <v>35</v>
      </c>
      <c r="I758">
        <v>1.4992651126925244E-2</v>
      </c>
      <c r="J758" t="s">
        <v>6</v>
      </c>
    </row>
    <row r="759" spans="2:10" x14ac:dyDescent="0.45">
      <c r="B759" t="s">
        <v>458</v>
      </c>
      <c r="C759" t="s">
        <v>36</v>
      </c>
      <c r="D759">
        <v>6.6661928074752347E-3</v>
      </c>
      <c r="E759" t="s">
        <v>6</v>
      </c>
      <c r="G759" t="s">
        <v>459</v>
      </c>
      <c r="H759" t="s">
        <v>36</v>
      </c>
      <c r="I759">
        <v>1.4806995270763883E-2</v>
      </c>
      <c r="J759" t="s">
        <v>6</v>
      </c>
    </row>
    <row r="760" spans="2:10" x14ac:dyDescent="0.45">
      <c r="B760" t="s">
        <v>458</v>
      </c>
      <c r="C760" t="s">
        <v>37</v>
      </c>
      <c r="D760">
        <v>2.5087838439705382E-5</v>
      </c>
      <c r="E760" t="s">
        <v>6</v>
      </c>
      <c r="G760" t="s">
        <v>459</v>
      </c>
      <c r="H760" t="s">
        <v>37</v>
      </c>
      <c r="I760">
        <v>2.3356857991026998E-2</v>
      </c>
      <c r="J760" t="s">
        <v>6</v>
      </c>
    </row>
    <row r="761" spans="2:10" x14ac:dyDescent="0.45">
      <c r="B761" t="s">
        <v>458</v>
      </c>
      <c r="C761" t="s">
        <v>38</v>
      </c>
      <c r="D761">
        <v>0</v>
      </c>
      <c r="E761" t="s">
        <v>6</v>
      </c>
      <c r="G761" t="s">
        <v>459</v>
      </c>
      <c r="H761" t="s">
        <v>38</v>
      </c>
      <c r="I761">
        <v>5.6333246815168436E-2</v>
      </c>
      <c r="J761" t="s">
        <v>6</v>
      </c>
    </row>
    <row r="762" spans="2:10" x14ac:dyDescent="0.45">
      <c r="B762" t="s">
        <v>458</v>
      </c>
      <c r="C762" t="s">
        <v>39</v>
      </c>
      <c r="D762">
        <v>0</v>
      </c>
      <c r="E762" t="s">
        <v>6</v>
      </c>
      <c r="G762" t="s">
        <v>459</v>
      </c>
      <c r="H762" t="s">
        <v>39</v>
      </c>
      <c r="I762">
        <v>2.2668154492453154E-2</v>
      </c>
      <c r="J762" t="s">
        <v>6</v>
      </c>
    </row>
    <row r="763" spans="2:10" x14ac:dyDescent="0.45">
      <c r="B763" t="s">
        <v>458</v>
      </c>
      <c r="C763" t="s">
        <v>40</v>
      </c>
      <c r="D763">
        <v>3.5073824711195616E-3</v>
      </c>
      <c r="E763" t="s">
        <v>6</v>
      </c>
      <c r="G763" t="s">
        <v>459</v>
      </c>
      <c r="H763" t="s">
        <v>40</v>
      </c>
      <c r="I763">
        <v>2.2664573213889289E-2</v>
      </c>
      <c r="J763" t="s">
        <v>6</v>
      </c>
    </row>
    <row r="764" spans="2:10" x14ac:dyDescent="0.45">
      <c r="B764" t="s">
        <v>458</v>
      </c>
      <c r="C764" t="s">
        <v>41</v>
      </c>
      <c r="D764">
        <v>3.0005781542616065E-2</v>
      </c>
      <c r="E764" t="s">
        <v>6</v>
      </c>
      <c r="G764" t="s">
        <v>459</v>
      </c>
      <c r="H764" t="s">
        <v>41</v>
      </c>
      <c r="I764">
        <v>2.2485041494677283E-2</v>
      </c>
      <c r="J764" t="s">
        <v>6</v>
      </c>
    </row>
    <row r="765" spans="2:10" x14ac:dyDescent="0.45">
      <c r="B765" t="s">
        <v>458</v>
      </c>
      <c r="C765" t="s">
        <v>42</v>
      </c>
      <c r="D765">
        <v>5.5214563304527418E-2</v>
      </c>
      <c r="E765" t="s">
        <v>6</v>
      </c>
      <c r="G765" t="s">
        <v>459</v>
      </c>
      <c r="H765" t="s">
        <v>42</v>
      </c>
      <c r="I765">
        <v>2.1279817047952322E-2</v>
      </c>
      <c r="J765" t="s">
        <v>6</v>
      </c>
    </row>
    <row r="766" spans="2:10" x14ac:dyDescent="0.45">
      <c r="B766" t="s">
        <v>458</v>
      </c>
      <c r="C766" t="s">
        <v>43</v>
      </c>
      <c r="D766">
        <v>5.6251022263363301E-2</v>
      </c>
      <c r="E766" t="s">
        <v>6</v>
      </c>
      <c r="G766" t="s">
        <v>459</v>
      </c>
      <c r="H766" t="s">
        <v>43</v>
      </c>
      <c r="I766">
        <v>2.2095536710759072E-2</v>
      </c>
      <c r="J766" t="s">
        <v>6</v>
      </c>
    </row>
    <row r="767" spans="2:10" x14ac:dyDescent="0.45">
      <c r="B767" t="s">
        <v>458</v>
      </c>
      <c r="C767" t="s">
        <v>44</v>
      </c>
      <c r="D767">
        <v>3.5472700127149197E-2</v>
      </c>
      <c r="E767" t="s">
        <v>6</v>
      </c>
      <c r="G767" t="s">
        <v>459</v>
      </c>
      <c r="H767" t="s">
        <v>44</v>
      </c>
      <c r="I767">
        <v>2.2088453213883873E-2</v>
      </c>
      <c r="J767" t="s">
        <v>6</v>
      </c>
    </row>
    <row r="768" spans="2:10" x14ac:dyDescent="0.45">
      <c r="B768" t="s">
        <v>458</v>
      </c>
      <c r="C768" t="s">
        <v>45</v>
      </c>
      <c r="D768">
        <v>8.3542272793555358E-3</v>
      </c>
      <c r="E768" t="s">
        <v>6</v>
      </c>
      <c r="G768" t="s">
        <v>459</v>
      </c>
      <c r="H768" t="s">
        <v>45</v>
      </c>
      <c r="I768">
        <v>2.2461800354949293E-2</v>
      </c>
      <c r="J768" t="s">
        <v>6</v>
      </c>
    </row>
    <row r="769" spans="2:10" x14ac:dyDescent="0.45">
      <c r="B769" t="s">
        <v>458</v>
      </c>
      <c r="C769" t="s">
        <v>46</v>
      </c>
      <c r="D769">
        <v>6.3577845791487714E-5</v>
      </c>
      <c r="E769" t="s">
        <v>6</v>
      </c>
      <c r="G769" t="s">
        <v>459</v>
      </c>
      <c r="H769" t="s">
        <v>46</v>
      </c>
      <c r="I769">
        <v>2.2864840038117465E-2</v>
      </c>
      <c r="J769" t="s">
        <v>6</v>
      </c>
    </row>
    <row r="770" spans="2:10" x14ac:dyDescent="0.45">
      <c r="B770" t="s">
        <v>458</v>
      </c>
      <c r="C770" t="s">
        <v>47</v>
      </c>
      <c r="D770">
        <v>0</v>
      </c>
      <c r="E770" t="s">
        <v>6</v>
      </c>
      <c r="G770" t="s">
        <v>459</v>
      </c>
      <c r="H770" t="s">
        <v>47</v>
      </c>
      <c r="I770">
        <v>3.429611378026421E-2</v>
      </c>
      <c r="J770" t="s">
        <v>6</v>
      </c>
    </row>
    <row r="771" spans="2:10" x14ac:dyDescent="0.45">
      <c r="B771" t="s">
        <v>460</v>
      </c>
      <c r="C771" t="s">
        <v>5</v>
      </c>
      <c r="D771">
        <v>0</v>
      </c>
      <c r="E771" t="s">
        <v>6</v>
      </c>
      <c r="G771" t="s">
        <v>461</v>
      </c>
      <c r="H771" t="s">
        <v>5</v>
      </c>
      <c r="I771">
        <v>6.9376871383473315E-2</v>
      </c>
      <c r="J771" t="s">
        <v>6</v>
      </c>
    </row>
    <row r="772" spans="2:10" x14ac:dyDescent="0.45">
      <c r="B772" t="s">
        <v>460</v>
      </c>
      <c r="C772" t="s">
        <v>9</v>
      </c>
      <c r="D772">
        <v>0</v>
      </c>
      <c r="E772" t="s">
        <v>6</v>
      </c>
      <c r="G772" t="s">
        <v>461</v>
      </c>
      <c r="H772" t="s">
        <v>9</v>
      </c>
      <c r="I772">
        <v>2.8497492423801431E-2</v>
      </c>
      <c r="J772" t="s">
        <v>6</v>
      </c>
    </row>
    <row r="773" spans="2:10" x14ac:dyDescent="0.45">
      <c r="B773" t="s">
        <v>460</v>
      </c>
      <c r="C773" t="s">
        <v>10</v>
      </c>
      <c r="D773">
        <v>2.7954761345785221E-5</v>
      </c>
      <c r="E773" t="s">
        <v>6</v>
      </c>
      <c r="G773" t="s">
        <v>461</v>
      </c>
      <c r="H773" t="s">
        <v>10</v>
      </c>
      <c r="I773">
        <v>2.9187604383691248E-2</v>
      </c>
      <c r="J773" t="s">
        <v>6</v>
      </c>
    </row>
    <row r="774" spans="2:10" x14ac:dyDescent="0.45">
      <c r="B774" t="s">
        <v>460</v>
      </c>
      <c r="C774" t="s">
        <v>11</v>
      </c>
      <c r="D774">
        <v>1.0468136415021888E-2</v>
      </c>
      <c r="E774" t="s">
        <v>6</v>
      </c>
      <c r="G774" t="s">
        <v>461</v>
      </c>
      <c r="H774" t="s">
        <v>11</v>
      </c>
      <c r="I774">
        <v>2.9419150790379375E-2</v>
      </c>
      <c r="J774" t="s">
        <v>6</v>
      </c>
    </row>
    <row r="775" spans="2:10" x14ac:dyDescent="0.45">
      <c r="B775" t="s">
        <v>460</v>
      </c>
      <c r="C775" t="s">
        <v>12</v>
      </c>
      <c r="D775">
        <v>3.3601915119884591E-2</v>
      </c>
      <c r="E775" t="s">
        <v>6</v>
      </c>
      <c r="G775" t="s">
        <v>461</v>
      </c>
      <c r="H775" t="s">
        <v>12</v>
      </c>
      <c r="I775">
        <v>2.6746577101611543E-2</v>
      </c>
      <c r="J775" t="s">
        <v>6</v>
      </c>
    </row>
    <row r="776" spans="2:10" x14ac:dyDescent="0.45">
      <c r="B776" t="s">
        <v>460</v>
      </c>
      <c r="C776" t="s">
        <v>13</v>
      </c>
      <c r="D776">
        <v>3.858597995231508E-2</v>
      </c>
      <c r="E776" t="s">
        <v>6</v>
      </c>
      <c r="G776" t="s">
        <v>461</v>
      </c>
      <c r="H776" t="s">
        <v>13</v>
      </c>
      <c r="I776">
        <v>2.7472786191315938E-2</v>
      </c>
      <c r="J776" t="s">
        <v>6</v>
      </c>
    </row>
    <row r="777" spans="2:10" x14ac:dyDescent="0.45">
      <c r="B777" t="s">
        <v>460</v>
      </c>
      <c r="C777" t="s">
        <v>14</v>
      </c>
      <c r="D777">
        <v>2.2417829237204819E-2</v>
      </c>
      <c r="E777" t="s">
        <v>6</v>
      </c>
      <c r="G777" t="s">
        <v>461</v>
      </c>
      <c r="H777" t="s">
        <v>14</v>
      </c>
      <c r="I777">
        <v>2.7896267118491171E-2</v>
      </c>
      <c r="J777" t="s">
        <v>6</v>
      </c>
    </row>
    <row r="778" spans="2:10" x14ac:dyDescent="0.45">
      <c r="B778" t="s">
        <v>460</v>
      </c>
      <c r="C778" t="s">
        <v>15</v>
      </c>
      <c r="D778">
        <v>2.6542224101572909E-3</v>
      </c>
      <c r="E778" t="s">
        <v>6</v>
      </c>
      <c r="G778" t="s">
        <v>461</v>
      </c>
      <c r="H778" t="s">
        <v>15</v>
      </c>
      <c r="I778">
        <v>2.9125989407035223E-2</v>
      </c>
      <c r="J778" t="s">
        <v>6</v>
      </c>
    </row>
    <row r="779" spans="2:10" x14ac:dyDescent="0.45">
      <c r="B779" t="s">
        <v>460</v>
      </c>
      <c r="C779" t="s">
        <v>16</v>
      </c>
      <c r="D779">
        <v>0</v>
      </c>
      <c r="E779" t="s">
        <v>6</v>
      </c>
      <c r="G779" t="s">
        <v>461</v>
      </c>
      <c r="H779" t="s">
        <v>16</v>
      </c>
      <c r="I779">
        <v>2.9372630289351765E-2</v>
      </c>
      <c r="J779" t="s">
        <v>6</v>
      </c>
    </row>
    <row r="780" spans="2:10" x14ac:dyDescent="0.45">
      <c r="B780" t="s">
        <v>460</v>
      </c>
      <c r="C780" t="s">
        <v>17</v>
      </c>
      <c r="D780">
        <v>0</v>
      </c>
      <c r="E780" t="s">
        <v>6</v>
      </c>
      <c r="G780" t="s">
        <v>461</v>
      </c>
      <c r="H780" t="s">
        <v>17</v>
      </c>
      <c r="I780">
        <v>4.2417614771507482E-2</v>
      </c>
      <c r="J780" t="s">
        <v>6</v>
      </c>
    </row>
    <row r="781" spans="2:10" x14ac:dyDescent="0.45">
      <c r="B781" t="s">
        <v>460</v>
      </c>
      <c r="C781" t="s">
        <v>18</v>
      </c>
      <c r="D781">
        <v>0</v>
      </c>
      <c r="E781" t="s">
        <v>6</v>
      </c>
      <c r="G781" t="s">
        <v>461</v>
      </c>
      <c r="H781" t="s">
        <v>18</v>
      </c>
      <c r="I781">
        <v>4.7350341520940642E-2</v>
      </c>
      <c r="J781" t="s">
        <v>6</v>
      </c>
    </row>
    <row r="782" spans="2:10" x14ac:dyDescent="0.45">
      <c r="B782" t="s">
        <v>460</v>
      </c>
      <c r="C782" t="s">
        <v>19</v>
      </c>
      <c r="D782">
        <v>4.772293770884686E-4</v>
      </c>
      <c r="E782" t="s">
        <v>6</v>
      </c>
      <c r="G782" t="s">
        <v>461</v>
      </c>
      <c r="H782" t="s">
        <v>19</v>
      </c>
      <c r="I782">
        <v>1.8542916318978142E-2</v>
      </c>
      <c r="J782" t="s">
        <v>6</v>
      </c>
    </row>
    <row r="783" spans="2:10" x14ac:dyDescent="0.45">
      <c r="B783" t="s">
        <v>460</v>
      </c>
      <c r="C783" t="s">
        <v>20</v>
      </c>
      <c r="D783">
        <v>1.3043951477123245E-2</v>
      </c>
      <c r="E783" t="s">
        <v>6</v>
      </c>
      <c r="G783" t="s">
        <v>461</v>
      </c>
      <c r="H783" t="s">
        <v>20</v>
      </c>
      <c r="I783">
        <v>1.6964229494720554E-2</v>
      </c>
      <c r="J783" t="s">
        <v>6</v>
      </c>
    </row>
    <row r="784" spans="2:10" x14ac:dyDescent="0.45">
      <c r="B784" t="s">
        <v>460</v>
      </c>
      <c r="C784" t="s">
        <v>21</v>
      </c>
      <c r="D784">
        <v>4.9534741627089512E-2</v>
      </c>
      <c r="E784" t="s">
        <v>6</v>
      </c>
      <c r="G784" t="s">
        <v>461</v>
      </c>
      <c r="H784" t="s">
        <v>21</v>
      </c>
      <c r="I784">
        <v>1.6661599246077331E-2</v>
      </c>
      <c r="J784" t="s">
        <v>6</v>
      </c>
    </row>
    <row r="785" spans="2:10" x14ac:dyDescent="0.45">
      <c r="B785" t="s">
        <v>460</v>
      </c>
      <c r="C785" t="s">
        <v>22</v>
      </c>
      <c r="D785">
        <v>7.8533640943673835E-2</v>
      </c>
      <c r="E785" t="s">
        <v>6</v>
      </c>
      <c r="G785" t="s">
        <v>461</v>
      </c>
      <c r="H785" t="s">
        <v>22</v>
      </c>
      <c r="I785">
        <v>1.5121474336483637E-2</v>
      </c>
      <c r="J785" t="s">
        <v>6</v>
      </c>
    </row>
    <row r="786" spans="2:10" x14ac:dyDescent="0.45">
      <c r="B786" t="s">
        <v>460</v>
      </c>
      <c r="C786" t="s">
        <v>23</v>
      </c>
      <c r="D786">
        <v>8.2819914826302465E-2</v>
      </c>
      <c r="E786" t="s">
        <v>6</v>
      </c>
      <c r="G786" t="s">
        <v>461</v>
      </c>
      <c r="H786" t="s">
        <v>23</v>
      </c>
      <c r="I786">
        <v>1.7587958579006736E-2</v>
      </c>
      <c r="J786" t="s">
        <v>6</v>
      </c>
    </row>
    <row r="787" spans="2:10" x14ac:dyDescent="0.45">
      <c r="B787" t="s">
        <v>460</v>
      </c>
      <c r="C787" t="s">
        <v>24</v>
      </c>
      <c r="D787">
        <v>6.1767645312979312E-2</v>
      </c>
      <c r="E787" t="s">
        <v>6</v>
      </c>
      <c r="G787" t="s">
        <v>461</v>
      </c>
      <c r="H787" t="s">
        <v>24</v>
      </c>
      <c r="I787">
        <v>1.8460175586916181E-2</v>
      </c>
      <c r="J787" t="s">
        <v>6</v>
      </c>
    </row>
    <row r="788" spans="2:10" x14ac:dyDescent="0.45">
      <c r="B788" t="s">
        <v>460</v>
      </c>
      <c r="C788" t="s">
        <v>25</v>
      </c>
      <c r="D788">
        <v>2.4878884629285027E-2</v>
      </c>
      <c r="E788" t="s">
        <v>6</v>
      </c>
      <c r="G788" t="s">
        <v>461</v>
      </c>
      <c r="H788" t="s">
        <v>25</v>
      </c>
      <c r="I788">
        <v>1.7630176442753158E-2</v>
      </c>
      <c r="J788" t="s">
        <v>6</v>
      </c>
    </row>
    <row r="789" spans="2:10" x14ac:dyDescent="0.45">
      <c r="B789" t="s">
        <v>460</v>
      </c>
      <c r="C789" t="s">
        <v>26</v>
      </c>
      <c r="D789">
        <v>1.7395214048099461E-3</v>
      </c>
      <c r="E789" t="s">
        <v>6</v>
      </c>
      <c r="G789" t="s">
        <v>461</v>
      </c>
      <c r="H789" t="s">
        <v>26</v>
      </c>
      <c r="I789">
        <v>1.9822693207850003E-2</v>
      </c>
      <c r="J789" t="s">
        <v>6</v>
      </c>
    </row>
    <row r="790" spans="2:10" x14ac:dyDescent="0.45">
      <c r="B790" t="s">
        <v>460</v>
      </c>
      <c r="C790" t="s">
        <v>27</v>
      </c>
      <c r="D790">
        <v>0</v>
      </c>
      <c r="E790" t="s">
        <v>6</v>
      </c>
      <c r="G790" t="s">
        <v>461</v>
      </c>
      <c r="H790" t="s">
        <v>27</v>
      </c>
      <c r="I790">
        <v>3.0647860885998281E-2</v>
      </c>
      <c r="J790" t="s">
        <v>6</v>
      </c>
    </row>
    <row r="791" spans="2:10" x14ac:dyDescent="0.45">
      <c r="B791" t="s">
        <v>460</v>
      </c>
      <c r="C791" t="s">
        <v>28</v>
      </c>
      <c r="D791">
        <v>0</v>
      </c>
      <c r="E791" t="s">
        <v>6</v>
      </c>
      <c r="G791" t="s">
        <v>461</v>
      </c>
      <c r="H791" t="s">
        <v>28</v>
      </c>
      <c r="I791">
        <v>3.5648146817600909E-2</v>
      </c>
      <c r="J791" t="s">
        <v>6</v>
      </c>
    </row>
    <row r="792" spans="2:10" x14ac:dyDescent="0.45">
      <c r="B792" t="s">
        <v>460</v>
      </c>
      <c r="C792" t="s">
        <v>29</v>
      </c>
      <c r="D792">
        <v>1.6407231188735043E-3</v>
      </c>
      <c r="E792" t="s">
        <v>6</v>
      </c>
      <c r="G792" t="s">
        <v>461</v>
      </c>
      <c r="H792" t="s">
        <v>29</v>
      </c>
      <c r="I792">
        <v>1.3697942289563683E-2</v>
      </c>
      <c r="J792" t="s">
        <v>6</v>
      </c>
    </row>
    <row r="793" spans="2:10" x14ac:dyDescent="0.45">
      <c r="B793" t="s">
        <v>460</v>
      </c>
      <c r="C793" t="s">
        <v>30</v>
      </c>
      <c r="D793">
        <v>2.3577908293990753E-2</v>
      </c>
      <c r="E793" t="s">
        <v>6</v>
      </c>
      <c r="G793" t="s">
        <v>461</v>
      </c>
      <c r="H793" t="s">
        <v>30</v>
      </c>
      <c r="I793">
        <v>1.1467901865297253E-2</v>
      </c>
      <c r="J793" t="s">
        <v>6</v>
      </c>
    </row>
    <row r="794" spans="2:10" x14ac:dyDescent="0.45">
      <c r="B794" t="s">
        <v>460</v>
      </c>
      <c r="C794" t="s">
        <v>31</v>
      </c>
      <c r="D794">
        <v>6.7583441265313446E-2</v>
      </c>
      <c r="E794" t="s">
        <v>6</v>
      </c>
      <c r="G794" t="s">
        <v>461</v>
      </c>
      <c r="H794" t="s">
        <v>31</v>
      </c>
      <c r="I794">
        <v>1.190974086075481E-2</v>
      </c>
      <c r="J794" t="s">
        <v>6</v>
      </c>
    </row>
    <row r="795" spans="2:10" x14ac:dyDescent="0.45">
      <c r="B795" t="s">
        <v>460</v>
      </c>
      <c r="C795" t="s">
        <v>32</v>
      </c>
      <c r="D795">
        <v>9.6235093730333968E-2</v>
      </c>
      <c r="E795" t="s">
        <v>6</v>
      </c>
      <c r="G795" t="s">
        <v>461</v>
      </c>
      <c r="H795" t="s">
        <v>32</v>
      </c>
      <c r="I795">
        <v>1.0312221931043886E-2</v>
      </c>
      <c r="J795" t="s">
        <v>6</v>
      </c>
    </row>
    <row r="796" spans="2:10" x14ac:dyDescent="0.45">
      <c r="B796" t="s">
        <v>460</v>
      </c>
      <c r="C796" t="s">
        <v>33</v>
      </c>
      <c r="D796">
        <v>9.4357086991898168E-2</v>
      </c>
      <c r="E796" t="s">
        <v>6</v>
      </c>
      <c r="G796" t="s">
        <v>461</v>
      </c>
      <c r="H796" t="s">
        <v>33</v>
      </c>
      <c r="I796">
        <v>1.1932454564896793E-2</v>
      </c>
      <c r="J796" t="s">
        <v>6</v>
      </c>
    </row>
    <row r="797" spans="2:10" x14ac:dyDescent="0.45">
      <c r="B797" t="s">
        <v>460</v>
      </c>
      <c r="C797" t="s">
        <v>34</v>
      </c>
      <c r="D797">
        <v>7.2268834406171906E-2</v>
      </c>
      <c r="E797" t="s">
        <v>6</v>
      </c>
      <c r="G797" t="s">
        <v>461</v>
      </c>
      <c r="H797" t="s">
        <v>34</v>
      </c>
      <c r="I797">
        <v>1.1967491099986247E-2</v>
      </c>
      <c r="J797" t="s">
        <v>6</v>
      </c>
    </row>
    <row r="798" spans="2:10" x14ac:dyDescent="0.45">
      <c r="B798" t="s">
        <v>460</v>
      </c>
      <c r="C798" t="s">
        <v>35</v>
      </c>
      <c r="D798">
        <v>3.6624035287114692E-2</v>
      </c>
      <c r="E798" t="s">
        <v>6</v>
      </c>
      <c r="G798" t="s">
        <v>461</v>
      </c>
      <c r="H798" t="s">
        <v>35</v>
      </c>
      <c r="I798">
        <v>1.0981846520393322E-2</v>
      </c>
      <c r="J798" t="s">
        <v>6</v>
      </c>
    </row>
    <row r="799" spans="2:10" x14ac:dyDescent="0.45">
      <c r="B799" t="s">
        <v>460</v>
      </c>
      <c r="C799" t="s">
        <v>36</v>
      </c>
      <c r="D799">
        <v>5.5280281626304403E-3</v>
      </c>
      <c r="E799" t="s">
        <v>6</v>
      </c>
      <c r="G799" t="s">
        <v>461</v>
      </c>
      <c r="H799" t="s">
        <v>36</v>
      </c>
      <c r="I799">
        <v>1.2157217705138366E-2</v>
      </c>
      <c r="J799" t="s">
        <v>6</v>
      </c>
    </row>
    <row r="800" spans="2:10" x14ac:dyDescent="0.45">
      <c r="B800" t="s">
        <v>460</v>
      </c>
      <c r="C800" t="s">
        <v>37</v>
      </c>
      <c r="D800">
        <v>7.3428157175176367E-8</v>
      </c>
      <c r="E800" t="s">
        <v>6</v>
      </c>
      <c r="G800" t="s">
        <v>461</v>
      </c>
      <c r="H800" t="s">
        <v>37</v>
      </c>
      <c r="I800">
        <v>2.1890172704548114E-2</v>
      </c>
      <c r="J800" t="s">
        <v>6</v>
      </c>
    </row>
    <row r="801" spans="2:10" x14ac:dyDescent="0.45">
      <c r="B801" t="s">
        <v>460</v>
      </c>
      <c r="C801" t="s">
        <v>38</v>
      </c>
      <c r="D801">
        <v>0</v>
      </c>
      <c r="E801" t="s">
        <v>6</v>
      </c>
      <c r="G801" t="s">
        <v>461</v>
      </c>
      <c r="H801" t="s">
        <v>38</v>
      </c>
      <c r="I801">
        <v>6.1394464517970634E-2</v>
      </c>
      <c r="J801" t="s">
        <v>6</v>
      </c>
    </row>
    <row r="802" spans="2:10" x14ac:dyDescent="0.45">
      <c r="B802" t="s">
        <v>460</v>
      </c>
      <c r="C802" t="s">
        <v>39</v>
      </c>
      <c r="D802">
        <v>0</v>
      </c>
      <c r="E802" t="s">
        <v>6</v>
      </c>
      <c r="G802" t="s">
        <v>461</v>
      </c>
      <c r="H802" t="s">
        <v>39</v>
      </c>
      <c r="I802">
        <v>2.5333516266582454E-2</v>
      </c>
      <c r="J802" t="s">
        <v>6</v>
      </c>
    </row>
    <row r="803" spans="2:10" x14ac:dyDescent="0.45">
      <c r="B803" t="s">
        <v>460</v>
      </c>
      <c r="C803" t="s">
        <v>40</v>
      </c>
      <c r="D803">
        <v>3.7442115754870537E-3</v>
      </c>
      <c r="E803" t="s">
        <v>6</v>
      </c>
      <c r="G803" t="s">
        <v>461</v>
      </c>
      <c r="H803" t="s">
        <v>40</v>
      </c>
      <c r="I803">
        <v>2.5900774639924771E-2</v>
      </c>
      <c r="J803" t="s">
        <v>6</v>
      </c>
    </row>
    <row r="804" spans="2:10" x14ac:dyDescent="0.45">
      <c r="B804" t="s">
        <v>460</v>
      </c>
      <c r="C804" t="s">
        <v>41</v>
      </c>
      <c r="D804">
        <v>2.811731806053833E-2</v>
      </c>
      <c r="E804" t="s">
        <v>6</v>
      </c>
      <c r="G804" t="s">
        <v>461</v>
      </c>
      <c r="H804" t="s">
        <v>41</v>
      </c>
      <c r="I804">
        <v>2.5157277214952048E-2</v>
      </c>
      <c r="J804" t="s">
        <v>6</v>
      </c>
    </row>
    <row r="805" spans="2:10" x14ac:dyDescent="0.45">
      <c r="B805" t="s">
        <v>460</v>
      </c>
      <c r="C805" t="s">
        <v>42</v>
      </c>
      <c r="D805">
        <v>5.3425238476207143E-2</v>
      </c>
      <c r="E805" t="s">
        <v>6</v>
      </c>
      <c r="G805" t="s">
        <v>461</v>
      </c>
      <c r="H805" t="s">
        <v>42</v>
      </c>
      <c r="I805">
        <v>2.1381410579392551E-2</v>
      </c>
      <c r="J805" t="s">
        <v>6</v>
      </c>
    </row>
    <row r="806" spans="2:10" x14ac:dyDescent="0.45">
      <c r="B806" t="s">
        <v>460</v>
      </c>
      <c r="C806" t="s">
        <v>43</v>
      </c>
      <c r="D806">
        <v>5.4093832467826827E-2</v>
      </c>
      <c r="E806" t="s">
        <v>6</v>
      </c>
      <c r="G806" t="s">
        <v>461</v>
      </c>
      <c r="H806" t="s">
        <v>43</v>
      </c>
      <c r="I806">
        <v>2.1971211300080208E-2</v>
      </c>
      <c r="J806" t="s">
        <v>6</v>
      </c>
    </row>
    <row r="807" spans="2:10" x14ac:dyDescent="0.45">
      <c r="B807" t="s">
        <v>460</v>
      </c>
      <c r="C807" t="s">
        <v>44</v>
      </c>
      <c r="D807">
        <v>3.4054723892021514E-2</v>
      </c>
      <c r="E807" t="s">
        <v>6</v>
      </c>
      <c r="G807" t="s">
        <v>461</v>
      </c>
      <c r="H807" t="s">
        <v>44</v>
      </c>
      <c r="I807">
        <v>2.1989259470742449E-2</v>
      </c>
      <c r="J807" t="s">
        <v>6</v>
      </c>
    </row>
    <row r="808" spans="2:10" x14ac:dyDescent="0.45">
      <c r="B808" t="s">
        <v>460</v>
      </c>
      <c r="C808" t="s">
        <v>45</v>
      </c>
      <c r="D808">
        <v>8.1537047326421148E-3</v>
      </c>
      <c r="E808" t="s">
        <v>6</v>
      </c>
      <c r="G808" t="s">
        <v>461</v>
      </c>
      <c r="H808" t="s">
        <v>45</v>
      </c>
      <c r="I808">
        <v>2.331316291576473E-2</v>
      </c>
      <c r="J808" t="s">
        <v>6</v>
      </c>
    </row>
    <row r="809" spans="2:10" x14ac:dyDescent="0.45">
      <c r="B809" t="s">
        <v>460</v>
      </c>
      <c r="C809" t="s">
        <v>46</v>
      </c>
      <c r="D809">
        <v>4.4178616509545803E-5</v>
      </c>
      <c r="E809" t="s">
        <v>6</v>
      </c>
      <c r="G809" t="s">
        <v>461</v>
      </c>
      <c r="H809" t="s">
        <v>46</v>
      </c>
      <c r="I809">
        <v>2.5125202425272213E-2</v>
      </c>
      <c r="J809" t="s">
        <v>6</v>
      </c>
    </row>
    <row r="810" spans="2:10" x14ac:dyDescent="0.45">
      <c r="B810" t="s">
        <v>460</v>
      </c>
      <c r="C810" t="s">
        <v>47</v>
      </c>
      <c r="D810">
        <v>0</v>
      </c>
      <c r="E810" t="s">
        <v>6</v>
      </c>
      <c r="G810" t="s">
        <v>461</v>
      </c>
      <c r="H810" t="s">
        <v>47</v>
      </c>
      <c r="I810">
        <v>3.8166174829710499E-2</v>
      </c>
      <c r="J810" t="s">
        <v>6</v>
      </c>
    </row>
    <row r="811" spans="2:10" x14ac:dyDescent="0.45">
      <c r="B811" t="s">
        <v>462</v>
      </c>
      <c r="C811" t="s">
        <v>5</v>
      </c>
      <c r="D811">
        <v>0</v>
      </c>
      <c r="E811" t="s">
        <v>6</v>
      </c>
      <c r="G811" t="s">
        <v>463</v>
      </c>
      <c r="H811" t="s">
        <v>5</v>
      </c>
      <c r="I811">
        <v>6.4596115023388329E-2</v>
      </c>
      <c r="J811" t="s">
        <v>6</v>
      </c>
    </row>
    <row r="812" spans="2:10" x14ac:dyDescent="0.45">
      <c r="B812" t="s">
        <v>462</v>
      </c>
      <c r="C812" t="s">
        <v>9</v>
      </c>
      <c r="D812">
        <v>0</v>
      </c>
      <c r="E812" t="s">
        <v>6</v>
      </c>
      <c r="G812" t="s">
        <v>463</v>
      </c>
      <c r="H812" t="s">
        <v>9</v>
      </c>
      <c r="I812">
        <v>2.6907557772180783E-2</v>
      </c>
      <c r="J812" t="s">
        <v>6</v>
      </c>
    </row>
    <row r="813" spans="2:10" x14ac:dyDescent="0.45">
      <c r="B813" t="s">
        <v>462</v>
      </c>
      <c r="C813" t="s">
        <v>10</v>
      </c>
      <c r="D813">
        <v>6.7789649971111436E-5</v>
      </c>
      <c r="E813" t="s">
        <v>6</v>
      </c>
      <c r="G813" t="s">
        <v>463</v>
      </c>
      <c r="H813" t="s">
        <v>10</v>
      </c>
      <c r="I813">
        <v>2.7447640718199866E-2</v>
      </c>
      <c r="J813" t="s">
        <v>6</v>
      </c>
    </row>
    <row r="814" spans="2:10" x14ac:dyDescent="0.45">
      <c r="B814" t="s">
        <v>462</v>
      </c>
      <c r="C814" t="s">
        <v>11</v>
      </c>
      <c r="D814">
        <v>1.2803595315571615E-2</v>
      </c>
      <c r="E814" t="s">
        <v>6</v>
      </c>
      <c r="G814" t="s">
        <v>463</v>
      </c>
      <c r="H814" t="s">
        <v>11</v>
      </c>
      <c r="I814">
        <v>2.7588491621392198E-2</v>
      </c>
      <c r="J814" t="s">
        <v>6</v>
      </c>
    </row>
    <row r="815" spans="2:10" x14ac:dyDescent="0.45">
      <c r="B815" t="s">
        <v>462</v>
      </c>
      <c r="C815" t="s">
        <v>12</v>
      </c>
      <c r="D815">
        <v>3.5781241560694919E-2</v>
      </c>
      <c r="E815" t="s">
        <v>6</v>
      </c>
      <c r="G815" t="s">
        <v>463</v>
      </c>
      <c r="H815" t="s">
        <v>12</v>
      </c>
      <c r="I815">
        <v>2.5375508765842648E-2</v>
      </c>
      <c r="J815" t="s">
        <v>6</v>
      </c>
    </row>
    <row r="816" spans="2:10" x14ac:dyDescent="0.45">
      <c r="B816" t="s">
        <v>462</v>
      </c>
      <c r="C816" t="s">
        <v>13</v>
      </c>
      <c r="D816">
        <v>4.0374804387635334E-2</v>
      </c>
      <c r="E816" t="s">
        <v>6</v>
      </c>
      <c r="G816" t="s">
        <v>463</v>
      </c>
      <c r="H816" t="s">
        <v>13</v>
      </c>
      <c r="I816">
        <v>2.5589451626180426E-2</v>
      </c>
      <c r="J816" t="s">
        <v>6</v>
      </c>
    </row>
    <row r="817" spans="2:10" x14ac:dyDescent="0.45">
      <c r="B817" t="s">
        <v>462</v>
      </c>
      <c r="C817" t="s">
        <v>14</v>
      </c>
      <c r="D817">
        <v>2.3188998368162381E-2</v>
      </c>
      <c r="E817" t="s">
        <v>6</v>
      </c>
      <c r="G817" t="s">
        <v>463</v>
      </c>
      <c r="H817" t="s">
        <v>14</v>
      </c>
      <c r="I817">
        <v>2.5748161530671592E-2</v>
      </c>
      <c r="J817" t="s">
        <v>6</v>
      </c>
    </row>
    <row r="818" spans="2:10" x14ac:dyDescent="0.45">
      <c r="B818" t="s">
        <v>462</v>
      </c>
      <c r="C818" t="s">
        <v>15</v>
      </c>
      <c r="D818">
        <v>2.7037787425229515E-3</v>
      </c>
      <c r="E818" t="s">
        <v>6</v>
      </c>
      <c r="G818" t="s">
        <v>463</v>
      </c>
      <c r="H818" t="s">
        <v>15</v>
      </c>
      <c r="I818">
        <v>2.7032007369563234E-2</v>
      </c>
      <c r="J818" t="s">
        <v>6</v>
      </c>
    </row>
    <row r="819" spans="2:10" x14ac:dyDescent="0.45">
      <c r="B819" t="s">
        <v>462</v>
      </c>
      <c r="C819" t="s">
        <v>16</v>
      </c>
      <c r="D819">
        <v>0</v>
      </c>
      <c r="E819" t="s">
        <v>6</v>
      </c>
      <c r="G819" t="s">
        <v>463</v>
      </c>
      <c r="H819" t="s">
        <v>16</v>
      </c>
      <c r="I819">
        <v>2.7565024211135665E-2</v>
      </c>
      <c r="J819" t="s">
        <v>6</v>
      </c>
    </row>
    <row r="820" spans="2:10" x14ac:dyDescent="0.45">
      <c r="B820" t="s">
        <v>462</v>
      </c>
      <c r="C820" t="s">
        <v>17</v>
      </c>
      <c r="D820">
        <v>0</v>
      </c>
      <c r="E820" t="s">
        <v>6</v>
      </c>
      <c r="G820" t="s">
        <v>463</v>
      </c>
      <c r="H820" t="s">
        <v>17</v>
      </c>
      <c r="I820">
        <v>3.9569049142557447E-2</v>
      </c>
      <c r="J820" t="s">
        <v>6</v>
      </c>
    </row>
    <row r="821" spans="2:10" x14ac:dyDescent="0.45">
      <c r="B821" t="s">
        <v>462</v>
      </c>
      <c r="C821" t="s">
        <v>18</v>
      </c>
      <c r="D821">
        <v>0</v>
      </c>
      <c r="E821" t="s">
        <v>6</v>
      </c>
      <c r="G821" t="s">
        <v>463</v>
      </c>
      <c r="H821" t="s">
        <v>18</v>
      </c>
      <c r="I821">
        <v>5.369437475306358E-2</v>
      </c>
      <c r="J821" t="s">
        <v>6</v>
      </c>
    </row>
    <row r="822" spans="2:10" x14ac:dyDescent="0.45">
      <c r="B822" t="s">
        <v>462</v>
      </c>
      <c r="C822" t="s">
        <v>19</v>
      </c>
      <c r="D822">
        <v>4.9750829909381083E-4</v>
      </c>
      <c r="E822" t="s">
        <v>6</v>
      </c>
      <c r="G822" t="s">
        <v>463</v>
      </c>
      <c r="H822" t="s">
        <v>19</v>
      </c>
      <c r="I822">
        <v>1.9843144426289528E-2</v>
      </c>
      <c r="J822" t="s">
        <v>6</v>
      </c>
    </row>
    <row r="823" spans="2:10" x14ac:dyDescent="0.45">
      <c r="B823" t="s">
        <v>462</v>
      </c>
      <c r="C823" t="s">
        <v>20</v>
      </c>
      <c r="D823">
        <v>1.388240462517688E-2</v>
      </c>
      <c r="E823" t="s">
        <v>6</v>
      </c>
      <c r="G823" t="s">
        <v>463</v>
      </c>
      <c r="H823" t="s">
        <v>20</v>
      </c>
      <c r="I823">
        <v>1.7056830813980201E-2</v>
      </c>
      <c r="J823" t="s">
        <v>6</v>
      </c>
    </row>
    <row r="824" spans="2:10" x14ac:dyDescent="0.45">
      <c r="B824" t="s">
        <v>462</v>
      </c>
      <c r="C824" t="s">
        <v>21</v>
      </c>
      <c r="D824">
        <v>5.1408883182457642E-2</v>
      </c>
      <c r="E824" t="s">
        <v>6</v>
      </c>
      <c r="G824" t="s">
        <v>463</v>
      </c>
      <c r="H824" t="s">
        <v>21</v>
      </c>
      <c r="I824">
        <v>1.5854331088751117E-2</v>
      </c>
      <c r="J824" t="s">
        <v>6</v>
      </c>
    </row>
    <row r="825" spans="2:10" x14ac:dyDescent="0.45">
      <c r="B825" t="s">
        <v>462</v>
      </c>
      <c r="C825" t="s">
        <v>22</v>
      </c>
      <c r="D825">
        <v>7.8206572169852176E-2</v>
      </c>
      <c r="E825" t="s">
        <v>6</v>
      </c>
      <c r="G825" t="s">
        <v>463</v>
      </c>
      <c r="H825" t="s">
        <v>22</v>
      </c>
      <c r="I825">
        <v>1.4807372117882084E-2</v>
      </c>
      <c r="J825" t="s">
        <v>6</v>
      </c>
    </row>
    <row r="826" spans="2:10" x14ac:dyDescent="0.45">
      <c r="B826" t="s">
        <v>462</v>
      </c>
      <c r="C826" t="s">
        <v>23</v>
      </c>
      <c r="D826">
        <v>7.9907532913659249E-2</v>
      </c>
      <c r="E826" t="s">
        <v>6</v>
      </c>
      <c r="G826" t="s">
        <v>463</v>
      </c>
      <c r="H826" t="s">
        <v>23</v>
      </c>
      <c r="I826">
        <v>1.7333550414180568E-2</v>
      </c>
      <c r="J826" t="s">
        <v>6</v>
      </c>
    </row>
    <row r="827" spans="2:10" x14ac:dyDescent="0.45">
      <c r="B827" t="s">
        <v>462</v>
      </c>
      <c r="C827" t="s">
        <v>24</v>
      </c>
      <c r="D827">
        <v>5.9423766284447947E-2</v>
      </c>
      <c r="E827" t="s">
        <v>6</v>
      </c>
      <c r="G827" t="s">
        <v>463</v>
      </c>
      <c r="H827" t="s">
        <v>24</v>
      </c>
      <c r="I827">
        <v>1.8440129784778485E-2</v>
      </c>
      <c r="J827" t="s">
        <v>6</v>
      </c>
    </row>
    <row r="828" spans="2:10" x14ac:dyDescent="0.45">
      <c r="B828" t="s">
        <v>462</v>
      </c>
      <c r="C828" t="s">
        <v>25</v>
      </c>
      <c r="D828">
        <v>2.3829055255135751E-2</v>
      </c>
      <c r="E828" t="s">
        <v>6</v>
      </c>
      <c r="G828" t="s">
        <v>463</v>
      </c>
      <c r="H828" t="s">
        <v>25</v>
      </c>
      <c r="I828">
        <v>1.8430192498318423E-2</v>
      </c>
      <c r="J828" t="s">
        <v>6</v>
      </c>
    </row>
    <row r="829" spans="2:10" x14ac:dyDescent="0.45">
      <c r="B829" t="s">
        <v>462</v>
      </c>
      <c r="C829" t="s">
        <v>26</v>
      </c>
      <c r="D829">
        <v>1.4289628948935167E-3</v>
      </c>
      <c r="E829" t="s">
        <v>6</v>
      </c>
      <c r="G829" t="s">
        <v>463</v>
      </c>
      <c r="H829" t="s">
        <v>26</v>
      </c>
      <c r="I829">
        <v>2.1200511542609712E-2</v>
      </c>
      <c r="J829" t="s">
        <v>6</v>
      </c>
    </row>
    <row r="830" spans="2:10" x14ac:dyDescent="0.45">
      <c r="B830" t="s">
        <v>462</v>
      </c>
      <c r="C830" t="s">
        <v>27</v>
      </c>
      <c r="D830">
        <v>0</v>
      </c>
      <c r="E830" t="s">
        <v>6</v>
      </c>
      <c r="G830" t="s">
        <v>463</v>
      </c>
      <c r="H830" t="s">
        <v>27</v>
      </c>
      <c r="I830">
        <v>3.4320405394353236E-2</v>
      </c>
      <c r="J830" t="s">
        <v>6</v>
      </c>
    </row>
    <row r="831" spans="2:10" x14ac:dyDescent="0.45">
      <c r="B831" t="s">
        <v>462</v>
      </c>
      <c r="C831" t="s">
        <v>28</v>
      </c>
      <c r="D831">
        <v>0</v>
      </c>
      <c r="E831" t="s">
        <v>6</v>
      </c>
      <c r="G831" t="s">
        <v>463</v>
      </c>
      <c r="H831" t="s">
        <v>28</v>
      </c>
      <c r="I831">
        <v>3.7592987551519012E-2</v>
      </c>
      <c r="J831" t="s">
        <v>6</v>
      </c>
    </row>
    <row r="832" spans="2:10" x14ac:dyDescent="0.45">
      <c r="B832" t="s">
        <v>462</v>
      </c>
      <c r="C832" t="s">
        <v>29</v>
      </c>
      <c r="D832">
        <v>1.633406437073301E-3</v>
      </c>
      <c r="E832" t="s">
        <v>6</v>
      </c>
      <c r="G832" t="s">
        <v>463</v>
      </c>
      <c r="H832" t="s">
        <v>29</v>
      </c>
      <c r="I832">
        <v>1.4348285617005008E-2</v>
      </c>
      <c r="J832" t="s">
        <v>6</v>
      </c>
    </row>
    <row r="833" spans="2:10" x14ac:dyDescent="0.45">
      <c r="B833" t="s">
        <v>462</v>
      </c>
      <c r="C833" t="s">
        <v>30</v>
      </c>
      <c r="D833">
        <v>2.4272059490282299E-2</v>
      </c>
      <c r="E833" t="s">
        <v>6</v>
      </c>
      <c r="G833" t="s">
        <v>463</v>
      </c>
      <c r="H833" t="s">
        <v>30</v>
      </c>
      <c r="I833">
        <v>1.2759362340790285E-2</v>
      </c>
      <c r="J833" t="s">
        <v>6</v>
      </c>
    </row>
    <row r="834" spans="2:10" x14ac:dyDescent="0.45">
      <c r="B834" t="s">
        <v>462</v>
      </c>
      <c r="C834" t="s">
        <v>31</v>
      </c>
      <c r="D834">
        <v>6.7713021863703746E-2</v>
      </c>
      <c r="E834" t="s">
        <v>6</v>
      </c>
      <c r="G834" t="s">
        <v>463</v>
      </c>
      <c r="H834" t="s">
        <v>31</v>
      </c>
      <c r="I834">
        <v>1.3301900519189138E-2</v>
      </c>
      <c r="J834" t="s">
        <v>6</v>
      </c>
    </row>
    <row r="835" spans="2:10" x14ac:dyDescent="0.45">
      <c r="B835" t="s">
        <v>462</v>
      </c>
      <c r="C835" t="s">
        <v>32</v>
      </c>
      <c r="D835">
        <v>9.361901409932083E-2</v>
      </c>
      <c r="E835" t="s">
        <v>6</v>
      </c>
      <c r="G835" t="s">
        <v>463</v>
      </c>
      <c r="H835" t="s">
        <v>32</v>
      </c>
      <c r="I835">
        <v>1.1864449664016081E-2</v>
      </c>
      <c r="J835" t="s">
        <v>6</v>
      </c>
    </row>
    <row r="836" spans="2:10" x14ac:dyDescent="0.45">
      <c r="B836" t="s">
        <v>462</v>
      </c>
      <c r="C836" t="s">
        <v>33</v>
      </c>
      <c r="D836">
        <v>9.2296727643175841E-2</v>
      </c>
      <c r="E836" t="s">
        <v>6</v>
      </c>
      <c r="G836" t="s">
        <v>463</v>
      </c>
      <c r="H836" t="s">
        <v>33</v>
      </c>
      <c r="I836">
        <v>1.3735014385176237E-2</v>
      </c>
      <c r="J836" t="s">
        <v>6</v>
      </c>
    </row>
    <row r="837" spans="2:10" x14ac:dyDescent="0.45">
      <c r="B837" t="s">
        <v>462</v>
      </c>
      <c r="C837" t="s">
        <v>34</v>
      </c>
      <c r="D837">
        <v>7.1241805054352667E-2</v>
      </c>
      <c r="E837" t="s">
        <v>6</v>
      </c>
      <c r="G837" t="s">
        <v>463</v>
      </c>
      <c r="H837" t="s">
        <v>34</v>
      </c>
      <c r="I837">
        <v>1.3885577238459451E-2</v>
      </c>
      <c r="J837" t="s">
        <v>6</v>
      </c>
    </row>
    <row r="838" spans="2:10" x14ac:dyDescent="0.45">
      <c r="B838" t="s">
        <v>462</v>
      </c>
      <c r="C838" t="s">
        <v>35</v>
      </c>
      <c r="D838">
        <v>3.5252282975780806E-2</v>
      </c>
      <c r="E838" t="s">
        <v>6</v>
      </c>
      <c r="G838" t="s">
        <v>463</v>
      </c>
      <c r="H838" t="s">
        <v>35</v>
      </c>
      <c r="I838">
        <v>1.2473749911746379E-2</v>
      </c>
      <c r="J838" t="s">
        <v>6</v>
      </c>
    </row>
    <row r="839" spans="2:10" x14ac:dyDescent="0.45">
      <c r="B839" t="s">
        <v>462</v>
      </c>
      <c r="C839" t="s">
        <v>36</v>
      </c>
      <c r="D839">
        <v>4.7882108003237016E-3</v>
      </c>
      <c r="E839" t="s">
        <v>6</v>
      </c>
      <c r="G839" t="s">
        <v>463</v>
      </c>
      <c r="H839" t="s">
        <v>36</v>
      </c>
      <c r="I839">
        <v>1.3486557961275221E-2</v>
      </c>
      <c r="J839" t="s">
        <v>6</v>
      </c>
    </row>
    <row r="840" spans="2:10" x14ac:dyDescent="0.45">
      <c r="B840" t="s">
        <v>462</v>
      </c>
      <c r="C840" t="s">
        <v>37</v>
      </c>
      <c r="D840">
        <v>0</v>
      </c>
      <c r="E840" t="s">
        <v>6</v>
      </c>
      <c r="G840" t="s">
        <v>463</v>
      </c>
      <c r="H840" t="s">
        <v>37</v>
      </c>
      <c r="I840">
        <v>2.3811020814694495E-2</v>
      </c>
      <c r="J840" t="s">
        <v>6</v>
      </c>
    </row>
    <row r="841" spans="2:10" x14ac:dyDescent="0.45">
      <c r="B841" t="s">
        <v>462</v>
      </c>
      <c r="C841" t="s">
        <v>38</v>
      </c>
      <c r="D841">
        <v>0</v>
      </c>
      <c r="E841" t="s">
        <v>6</v>
      </c>
      <c r="G841" t="s">
        <v>463</v>
      </c>
      <c r="H841" t="s">
        <v>38</v>
      </c>
      <c r="I841">
        <v>5.8862861690000934E-2</v>
      </c>
      <c r="J841" t="s">
        <v>6</v>
      </c>
    </row>
    <row r="842" spans="2:10" x14ac:dyDescent="0.45">
      <c r="B842" t="s">
        <v>462</v>
      </c>
      <c r="C842" t="s">
        <v>39</v>
      </c>
      <c r="D842">
        <v>0</v>
      </c>
      <c r="E842" t="s">
        <v>6</v>
      </c>
      <c r="G842" t="s">
        <v>463</v>
      </c>
      <c r="H842" t="s">
        <v>39</v>
      </c>
      <c r="I842">
        <v>2.3785648026858348E-2</v>
      </c>
      <c r="J842" t="s">
        <v>6</v>
      </c>
    </row>
    <row r="843" spans="2:10" x14ac:dyDescent="0.45">
      <c r="B843" t="s">
        <v>462</v>
      </c>
      <c r="C843" t="s">
        <v>40</v>
      </c>
      <c r="D843">
        <v>4.400658570109588E-3</v>
      </c>
      <c r="E843" t="s">
        <v>6</v>
      </c>
      <c r="G843" t="s">
        <v>463</v>
      </c>
      <c r="H843" t="s">
        <v>40</v>
      </c>
      <c r="I843">
        <v>2.3963947665234971E-2</v>
      </c>
      <c r="J843" t="s">
        <v>6</v>
      </c>
    </row>
    <row r="844" spans="2:10" x14ac:dyDescent="0.45">
      <c r="B844" t="s">
        <v>462</v>
      </c>
      <c r="C844" t="s">
        <v>41</v>
      </c>
      <c r="D844">
        <v>2.9271369825498834E-2</v>
      </c>
      <c r="E844" t="s">
        <v>6</v>
      </c>
      <c r="G844" t="s">
        <v>463</v>
      </c>
      <c r="H844" t="s">
        <v>41</v>
      </c>
      <c r="I844">
        <v>2.3398413714018341E-2</v>
      </c>
      <c r="J844" t="s">
        <v>6</v>
      </c>
    </row>
    <row r="845" spans="2:10" x14ac:dyDescent="0.45">
      <c r="B845" t="s">
        <v>462</v>
      </c>
      <c r="C845" t="s">
        <v>42</v>
      </c>
      <c r="D845">
        <v>5.4479499790211813E-2</v>
      </c>
      <c r="E845" t="s">
        <v>6</v>
      </c>
      <c r="G845" t="s">
        <v>463</v>
      </c>
      <c r="H845" t="s">
        <v>42</v>
      </c>
      <c r="I845">
        <v>2.1037703930843744E-2</v>
      </c>
      <c r="J845" t="s">
        <v>6</v>
      </c>
    </row>
    <row r="846" spans="2:10" x14ac:dyDescent="0.45">
      <c r="B846" t="s">
        <v>462</v>
      </c>
      <c r="C846" t="s">
        <v>43</v>
      </c>
      <c r="D846">
        <v>5.4823987258381349E-2</v>
      </c>
      <c r="E846" t="s">
        <v>6</v>
      </c>
      <c r="G846" t="s">
        <v>463</v>
      </c>
      <c r="H846" t="s">
        <v>43</v>
      </c>
      <c r="I846">
        <v>2.2625608333403009E-2</v>
      </c>
      <c r="J846" t="s">
        <v>6</v>
      </c>
    </row>
    <row r="847" spans="2:10" x14ac:dyDescent="0.45">
      <c r="B847" t="s">
        <v>462</v>
      </c>
      <c r="C847" t="s">
        <v>44</v>
      </c>
      <c r="D847">
        <v>3.4679511759789367E-2</v>
      </c>
      <c r="E847" t="s">
        <v>6</v>
      </c>
      <c r="G847" t="s">
        <v>463</v>
      </c>
      <c r="H847" t="s">
        <v>44</v>
      </c>
      <c r="I847">
        <v>2.3118954304412943E-2</v>
      </c>
      <c r="J847" t="s">
        <v>6</v>
      </c>
    </row>
    <row r="848" spans="2:10" x14ac:dyDescent="0.45">
      <c r="B848" t="s">
        <v>462</v>
      </c>
      <c r="C848" t="s">
        <v>45</v>
      </c>
      <c r="D848">
        <v>7.9876731823757697E-3</v>
      </c>
      <c r="E848" t="s">
        <v>6</v>
      </c>
      <c r="G848" t="s">
        <v>463</v>
      </c>
      <c r="H848" t="s">
        <v>45</v>
      </c>
      <c r="I848">
        <v>2.4145174125946356E-2</v>
      </c>
      <c r="J848" t="s">
        <v>6</v>
      </c>
    </row>
    <row r="849" spans="2:10" x14ac:dyDescent="0.45">
      <c r="B849" t="s">
        <v>462</v>
      </c>
      <c r="C849" t="s">
        <v>46</v>
      </c>
      <c r="D849">
        <v>3.5877600345363038E-5</v>
      </c>
      <c r="E849" t="s">
        <v>6</v>
      </c>
      <c r="G849" t="s">
        <v>463</v>
      </c>
      <c r="H849" t="s">
        <v>46</v>
      </c>
      <c r="I849">
        <v>2.568427829508086E-2</v>
      </c>
      <c r="J849" t="s">
        <v>6</v>
      </c>
    </row>
    <row r="850" spans="2:10" x14ac:dyDescent="0.45">
      <c r="B850" t="s">
        <v>462</v>
      </c>
      <c r="C850" t="s">
        <v>47</v>
      </c>
      <c r="D850">
        <v>0</v>
      </c>
      <c r="E850" t="s">
        <v>6</v>
      </c>
      <c r="G850" t="s">
        <v>463</v>
      </c>
      <c r="H850" t="s">
        <v>47</v>
      </c>
      <c r="I850">
        <v>3.7718653295006462E-2</v>
      </c>
      <c r="J850" t="s">
        <v>6</v>
      </c>
    </row>
    <row r="851" spans="2:10" x14ac:dyDescent="0.45">
      <c r="B851" t="s">
        <v>464</v>
      </c>
      <c r="C851" t="s">
        <v>5</v>
      </c>
      <c r="D851">
        <v>0</v>
      </c>
      <c r="E851" t="s">
        <v>6</v>
      </c>
      <c r="G851" t="s">
        <v>465</v>
      </c>
      <c r="H851" t="s">
        <v>5</v>
      </c>
      <c r="I851">
        <v>6.5878944376677559E-2</v>
      </c>
      <c r="J851" t="s">
        <v>6</v>
      </c>
    </row>
    <row r="852" spans="2:10" x14ac:dyDescent="0.45">
      <c r="B852" t="s">
        <v>464</v>
      </c>
      <c r="C852" t="s">
        <v>9</v>
      </c>
      <c r="D852">
        <v>0</v>
      </c>
      <c r="E852" t="s">
        <v>6</v>
      </c>
      <c r="G852" t="s">
        <v>465</v>
      </c>
      <c r="H852" t="s">
        <v>9</v>
      </c>
      <c r="I852">
        <v>2.7516226538268119E-2</v>
      </c>
      <c r="J852" t="s">
        <v>6</v>
      </c>
    </row>
    <row r="853" spans="2:10" x14ac:dyDescent="0.45">
      <c r="B853" t="s">
        <v>464</v>
      </c>
      <c r="C853" t="s">
        <v>10</v>
      </c>
      <c r="D853">
        <v>3.7571789213207363E-5</v>
      </c>
      <c r="E853" t="s">
        <v>6</v>
      </c>
      <c r="G853" t="s">
        <v>465</v>
      </c>
      <c r="H853" t="s">
        <v>10</v>
      </c>
      <c r="I853">
        <v>2.7737703966008311E-2</v>
      </c>
      <c r="J853" t="s">
        <v>6</v>
      </c>
    </row>
    <row r="854" spans="2:10" x14ac:dyDescent="0.45">
      <c r="B854" t="s">
        <v>464</v>
      </c>
      <c r="C854" t="s">
        <v>11</v>
      </c>
      <c r="D854">
        <v>1.3740732856437572E-2</v>
      </c>
      <c r="E854" t="s">
        <v>6</v>
      </c>
      <c r="G854" t="s">
        <v>465</v>
      </c>
      <c r="H854" t="s">
        <v>11</v>
      </c>
      <c r="I854">
        <v>2.7505625704987925E-2</v>
      </c>
      <c r="J854" t="s">
        <v>6</v>
      </c>
    </row>
    <row r="855" spans="2:10" x14ac:dyDescent="0.45">
      <c r="B855" t="s">
        <v>464</v>
      </c>
      <c r="C855" t="s">
        <v>12</v>
      </c>
      <c r="D855">
        <v>3.93010977630803E-2</v>
      </c>
      <c r="E855" t="s">
        <v>6</v>
      </c>
      <c r="G855" t="s">
        <v>465</v>
      </c>
      <c r="H855" t="s">
        <v>12</v>
      </c>
      <c r="I855">
        <v>2.5488429568711692E-2</v>
      </c>
      <c r="J855" t="s">
        <v>6</v>
      </c>
    </row>
    <row r="856" spans="2:10" x14ac:dyDescent="0.45">
      <c r="B856" t="s">
        <v>464</v>
      </c>
      <c r="C856" t="s">
        <v>13</v>
      </c>
      <c r="D856">
        <v>4.5368119767964753E-2</v>
      </c>
      <c r="E856" t="s">
        <v>6</v>
      </c>
      <c r="G856" t="s">
        <v>465</v>
      </c>
      <c r="H856" t="s">
        <v>13</v>
      </c>
      <c r="I856">
        <v>2.5653070217082255E-2</v>
      </c>
      <c r="J856" t="s">
        <v>6</v>
      </c>
    </row>
    <row r="857" spans="2:10" x14ac:dyDescent="0.45">
      <c r="B857" t="s">
        <v>464</v>
      </c>
      <c r="C857" t="s">
        <v>14</v>
      </c>
      <c r="D857">
        <v>2.7024546648172769E-2</v>
      </c>
      <c r="E857" t="s">
        <v>6</v>
      </c>
      <c r="G857" t="s">
        <v>465</v>
      </c>
      <c r="H857" t="s">
        <v>14</v>
      </c>
      <c r="I857">
        <v>2.5487135054675637E-2</v>
      </c>
      <c r="J857" t="s">
        <v>6</v>
      </c>
    </row>
    <row r="858" spans="2:10" x14ac:dyDescent="0.45">
      <c r="B858" t="s">
        <v>464</v>
      </c>
      <c r="C858" t="s">
        <v>15</v>
      </c>
      <c r="D858">
        <v>3.4236161899826784E-3</v>
      </c>
      <c r="E858" t="s">
        <v>6</v>
      </c>
      <c r="G858" t="s">
        <v>465</v>
      </c>
      <c r="H858" t="s">
        <v>15</v>
      </c>
      <c r="I858">
        <v>2.6240169716236508E-2</v>
      </c>
      <c r="J858" t="s">
        <v>6</v>
      </c>
    </row>
    <row r="859" spans="2:10" x14ac:dyDescent="0.45">
      <c r="B859" t="s">
        <v>464</v>
      </c>
      <c r="C859" t="s">
        <v>16</v>
      </c>
      <c r="D859">
        <v>0</v>
      </c>
      <c r="E859" t="s">
        <v>6</v>
      </c>
      <c r="G859" t="s">
        <v>465</v>
      </c>
      <c r="H859" t="s">
        <v>16</v>
      </c>
      <c r="I859">
        <v>2.6592776255983504E-2</v>
      </c>
      <c r="J859" t="s">
        <v>6</v>
      </c>
    </row>
    <row r="860" spans="2:10" x14ac:dyDescent="0.45">
      <c r="B860" t="s">
        <v>464</v>
      </c>
      <c r="C860" t="s">
        <v>17</v>
      </c>
      <c r="D860">
        <v>0</v>
      </c>
      <c r="E860" t="s">
        <v>6</v>
      </c>
      <c r="G860" t="s">
        <v>465</v>
      </c>
      <c r="H860" t="s">
        <v>17</v>
      </c>
      <c r="I860">
        <v>3.8962330781541585E-2</v>
      </c>
      <c r="J860" t="s">
        <v>6</v>
      </c>
    </row>
    <row r="861" spans="2:10" x14ac:dyDescent="0.45">
      <c r="B861" t="s">
        <v>464</v>
      </c>
      <c r="C861" t="s">
        <v>18</v>
      </c>
      <c r="D861">
        <v>0</v>
      </c>
      <c r="E861" t="s">
        <v>6</v>
      </c>
      <c r="G861" t="s">
        <v>465</v>
      </c>
      <c r="H861" t="s">
        <v>18</v>
      </c>
      <c r="I861">
        <v>5.1463371054090754E-2</v>
      </c>
      <c r="J861" t="s">
        <v>6</v>
      </c>
    </row>
    <row r="862" spans="2:10" x14ac:dyDescent="0.45">
      <c r="B862" t="s">
        <v>464</v>
      </c>
      <c r="C862" t="s">
        <v>19</v>
      </c>
      <c r="D862">
        <v>2.7296785480816088E-4</v>
      </c>
      <c r="E862" t="s">
        <v>6</v>
      </c>
      <c r="G862" t="s">
        <v>465</v>
      </c>
      <c r="H862" t="s">
        <v>19</v>
      </c>
      <c r="I862">
        <v>1.9812701872864151E-2</v>
      </c>
      <c r="J862" t="s">
        <v>6</v>
      </c>
    </row>
    <row r="863" spans="2:10" x14ac:dyDescent="0.45">
      <c r="B863" t="s">
        <v>464</v>
      </c>
      <c r="C863" t="s">
        <v>20</v>
      </c>
      <c r="D863">
        <v>1.123560145406995E-2</v>
      </c>
      <c r="E863" t="s">
        <v>6</v>
      </c>
      <c r="G863" t="s">
        <v>465</v>
      </c>
      <c r="H863" t="s">
        <v>20</v>
      </c>
      <c r="I863">
        <v>1.7875964276187976E-2</v>
      </c>
      <c r="J863" t="s">
        <v>6</v>
      </c>
    </row>
    <row r="864" spans="2:10" x14ac:dyDescent="0.45">
      <c r="B864" t="s">
        <v>464</v>
      </c>
      <c r="C864" t="s">
        <v>21</v>
      </c>
      <c r="D864">
        <v>4.8200223474389514E-2</v>
      </c>
      <c r="E864" t="s">
        <v>6</v>
      </c>
      <c r="G864" t="s">
        <v>465</v>
      </c>
      <c r="H864" t="s">
        <v>21</v>
      </c>
      <c r="I864">
        <v>1.7159546148791237E-2</v>
      </c>
      <c r="J864" t="s">
        <v>6</v>
      </c>
    </row>
    <row r="865" spans="2:10" x14ac:dyDescent="0.45">
      <c r="B865" t="s">
        <v>464</v>
      </c>
      <c r="C865" t="s">
        <v>22</v>
      </c>
      <c r="D865">
        <v>7.6223445371264478E-2</v>
      </c>
      <c r="E865" t="s">
        <v>6</v>
      </c>
      <c r="G865" t="s">
        <v>465</v>
      </c>
      <c r="H865" t="s">
        <v>22</v>
      </c>
      <c r="I865">
        <v>1.667135431412068E-2</v>
      </c>
      <c r="J865" t="s">
        <v>6</v>
      </c>
    </row>
    <row r="866" spans="2:10" x14ac:dyDescent="0.45">
      <c r="B866" t="s">
        <v>464</v>
      </c>
      <c r="C866" t="s">
        <v>23</v>
      </c>
      <c r="D866">
        <v>7.836368497888288E-2</v>
      </c>
      <c r="E866" t="s">
        <v>6</v>
      </c>
      <c r="G866" t="s">
        <v>465</v>
      </c>
      <c r="H866" t="s">
        <v>23</v>
      </c>
      <c r="I866">
        <v>1.8719764779688682E-2</v>
      </c>
      <c r="J866" t="s">
        <v>6</v>
      </c>
    </row>
    <row r="867" spans="2:10" x14ac:dyDescent="0.45">
      <c r="B867" t="s">
        <v>464</v>
      </c>
      <c r="C867" t="s">
        <v>24</v>
      </c>
      <c r="D867">
        <v>5.939228760713039E-2</v>
      </c>
      <c r="E867" t="s">
        <v>6</v>
      </c>
      <c r="G867" t="s">
        <v>465</v>
      </c>
      <c r="H867" t="s">
        <v>24</v>
      </c>
      <c r="I867">
        <v>1.9927639329968595E-2</v>
      </c>
      <c r="J867" t="s">
        <v>6</v>
      </c>
    </row>
    <row r="868" spans="2:10" x14ac:dyDescent="0.45">
      <c r="B868" t="s">
        <v>464</v>
      </c>
      <c r="C868" t="s">
        <v>25</v>
      </c>
      <c r="D868">
        <v>2.5688728552103499E-2</v>
      </c>
      <c r="E868" t="s">
        <v>6</v>
      </c>
      <c r="G868" t="s">
        <v>465</v>
      </c>
      <c r="H868" t="s">
        <v>25</v>
      </c>
      <c r="I868">
        <v>1.8761624713427003E-2</v>
      </c>
      <c r="J868" t="s">
        <v>6</v>
      </c>
    </row>
    <row r="869" spans="2:10" x14ac:dyDescent="0.45">
      <c r="B869" t="s">
        <v>464</v>
      </c>
      <c r="C869" t="s">
        <v>26</v>
      </c>
      <c r="D869">
        <v>1.9433612588346857E-3</v>
      </c>
      <c r="E869" t="s">
        <v>6</v>
      </c>
      <c r="G869" t="s">
        <v>465</v>
      </c>
      <c r="H869" t="s">
        <v>26</v>
      </c>
      <c r="I869">
        <v>2.0540074004120279E-2</v>
      </c>
      <c r="J869" t="s">
        <v>6</v>
      </c>
    </row>
    <row r="870" spans="2:10" x14ac:dyDescent="0.45">
      <c r="B870" t="s">
        <v>464</v>
      </c>
      <c r="C870" t="s">
        <v>27</v>
      </c>
      <c r="D870">
        <v>0</v>
      </c>
      <c r="E870" t="s">
        <v>6</v>
      </c>
      <c r="G870" t="s">
        <v>465</v>
      </c>
      <c r="H870" t="s">
        <v>27</v>
      </c>
      <c r="I870">
        <v>3.2954165690080806E-2</v>
      </c>
      <c r="J870" t="s">
        <v>6</v>
      </c>
    </row>
    <row r="871" spans="2:10" x14ac:dyDescent="0.45">
      <c r="B871" t="s">
        <v>464</v>
      </c>
      <c r="C871" t="s">
        <v>28</v>
      </c>
      <c r="D871">
        <v>0</v>
      </c>
      <c r="E871" t="s">
        <v>6</v>
      </c>
      <c r="G871" t="s">
        <v>465</v>
      </c>
      <c r="H871" t="s">
        <v>28</v>
      </c>
      <c r="I871">
        <v>3.6532576719737767E-2</v>
      </c>
      <c r="J871" t="s">
        <v>6</v>
      </c>
    </row>
    <row r="872" spans="2:10" x14ac:dyDescent="0.45">
      <c r="B872" t="s">
        <v>464</v>
      </c>
      <c r="C872" t="s">
        <v>29</v>
      </c>
      <c r="D872">
        <v>9.4489285122347768E-4</v>
      </c>
      <c r="E872" t="s">
        <v>6</v>
      </c>
      <c r="G872" t="s">
        <v>465</v>
      </c>
      <c r="H872" t="s">
        <v>29</v>
      </c>
      <c r="I872">
        <v>1.3854634038659388E-2</v>
      </c>
      <c r="J872" t="s">
        <v>6</v>
      </c>
    </row>
    <row r="873" spans="2:10" x14ac:dyDescent="0.45">
      <c r="B873" t="s">
        <v>464</v>
      </c>
      <c r="C873" t="s">
        <v>30</v>
      </c>
      <c r="D873">
        <v>1.931749426768117E-2</v>
      </c>
      <c r="E873" t="s">
        <v>6</v>
      </c>
      <c r="G873" t="s">
        <v>465</v>
      </c>
      <c r="H873" t="s">
        <v>30</v>
      </c>
      <c r="I873">
        <v>1.2848512318030796E-2</v>
      </c>
      <c r="J873" t="s">
        <v>6</v>
      </c>
    </row>
    <row r="874" spans="2:10" x14ac:dyDescent="0.45">
      <c r="B874" t="s">
        <v>464</v>
      </c>
      <c r="C874" t="s">
        <v>31</v>
      </c>
      <c r="D874">
        <v>6.2018639971402299E-2</v>
      </c>
      <c r="E874" t="s">
        <v>6</v>
      </c>
      <c r="G874" t="s">
        <v>465</v>
      </c>
      <c r="H874" t="s">
        <v>31</v>
      </c>
      <c r="I874">
        <v>1.3576532421734755E-2</v>
      </c>
      <c r="J874" t="s">
        <v>6</v>
      </c>
    </row>
    <row r="875" spans="2:10" x14ac:dyDescent="0.45">
      <c r="B875" t="s">
        <v>464</v>
      </c>
      <c r="C875" t="s">
        <v>32</v>
      </c>
      <c r="D875">
        <v>8.8623033068184073E-2</v>
      </c>
      <c r="E875" t="s">
        <v>6</v>
      </c>
      <c r="G875" t="s">
        <v>465</v>
      </c>
      <c r="H875" t="s">
        <v>32</v>
      </c>
      <c r="I875">
        <v>1.1842076351896935E-2</v>
      </c>
      <c r="J875" t="s">
        <v>6</v>
      </c>
    </row>
    <row r="876" spans="2:10" x14ac:dyDescent="0.45">
      <c r="B876" t="s">
        <v>464</v>
      </c>
      <c r="C876" t="s">
        <v>33</v>
      </c>
      <c r="D876">
        <v>9.1203357578436103E-2</v>
      </c>
      <c r="E876" t="s">
        <v>6</v>
      </c>
      <c r="G876" t="s">
        <v>465</v>
      </c>
      <c r="H876" t="s">
        <v>33</v>
      </c>
      <c r="I876">
        <v>1.3938433794232093E-2</v>
      </c>
      <c r="J876" t="s">
        <v>6</v>
      </c>
    </row>
    <row r="877" spans="2:10" x14ac:dyDescent="0.45">
      <c r="B877" t="s">
        <v>464</v>
      </c>
      <c r="C877" t="s">
        <v>34</v>
      </c>
      <c r="D877">
        <v>7.3215683725433786E-2</v>
      </c>
      <c r="E877" t="s">
        <v>6</v>
      </c>
      <c r="G877" t="s">
        <v>465</v>
      </c>
      <c r="H877" t="s">
        <v>34</v>
      </c>
      <c r="I877">
        <v>1.4438438020392777E-2</v>
      </c>
      <c r="J877" t="s">
        <v>6</v>
      </c>
    </row>
    <row r="878" spans="2:10" x14ac:dyDescent="0.45">
      <c r="B878" t="s">
        <v>464</v>
      </c>
      <c r="C878" t="s">
        <v>35</v>
      </c>
      <c r="D878">
        <v>3.9494013905601651E-2</v>
      </c>
      <c r="E878" t="s">
        <v>6</v>
      </c>
      <c r="G878" t="s">
        <v>465</v>
      </c>
      <c r="H878" t="s">
        <v>35</v>
      </c>
      <c r="I878">
        <v>1.3187481063019179E-2</v>
      </c>
      <c r="J878" t="s">
        <v>6</v>
      </c>
    </row>
    <row r="879" spans="2:10" x14ac:dyDescent="0.45">
      <c r="B879" t="s">
        <v>464</v>
      </c>
      <c r="C879" t="s">
        <v>36</v>
      </c>
      <c r="D879">
        <v>6.0109586696108219E-3</v>
      </c>
      <c r="E879" t="s">
        <v>6</v>
      </c>
      <c r="G879" t="s">
        <v>465</v>
      </c>
      <c r="H879" t="s">
        <v>36</v>
      </c>
      <c r="I879">
        <v>1.3778343692423811E-2</v>
      </c>
      <c r="J879" t="s">
        <v>6</v>
      </c>
    </row>
    <row r="880" spans="2:10" x14ac:dyDescent="0.45">
      <c r="B880" t="s">
        <v>464</v>
      </c>
      <c r="C880" t="s">
        <v>37</v>
      </c>
      <c r="D880">
        <v>0</v>
      </c>
      <c r="E880" t="s">
        <v>6</v>
      </c>
      <c r="G880" t="s">
        <v>465</v>
      </c>
      <c r="H880" t="s">
        <v>37</v>
      </c>
      <c r="I880">
        <v>2.3901154387118356E-2</v>
      </c>
      <c r="J880" t="s">
        <v>6</v>
      </c>
    </row>
    <row r="881" spans="2:10" x14ac:dyDescent="0.45">
      <c r="B881" t="s">
        <v>464</v>
      </c>
      <c r="C881" t="s">
        <v>38</v>
      </c>
      <c r="D881">
        <v>0</v>
      </c>
      <c r="E881" t="s">
        <v>6</v>
      </c>
      <c r="G881" t="s">
        <v>465</v>
      </c>
      <c r="H881" t="s">
        <v>38</v>
      </c>
      <c r="I881">
        <v>5.8265666948850207E-2</v>
      </c>
      <c r="J881" t="s">
        <v>6</v>
      </c>
    </row>
    <row r="882" spans="2:10" x14ac:dyDescent="0.45">
      <c r="B882" t="s">
        <v>464</v>
      </c>
      <c r="C882" t="s">
        <v>39</v>
      </c>
      <c r="D882">
        <v>0</v>
      </c>
      <c r="E882" t="s">
        <v>6</v>
      </c>
      <c r="G882" t="s">
        <v>465</v>
      </c>
      <c r="H882" t="s">
        <v>39</v>
      </c>
      <c r="I882">
        <v>2.3952908961055692E-2</v>
      </c>
      <c r="J882" t="s">
        <v>6</v>
      </c>
    </row>
    <row r="883" spans="2:10" x14ac:dyDescent="0.45">
      <c r="B883" t="s">
        <v>464</v>
      </c>
      <c r="C883" t="s">
        <v>40</v>
      </c>
      <c r="D883">
        <v>3.3012586611020716E-3</v>
      </c>
      <c r="E883" t="s">
        <v>6</v>
      </c>
      <c r="G883" t="s">
        <v>465</v>
      </c>
      <c r="H883" t="s">
        <v>40</v>
      </c>
      <c r="I883">
        <v>2.4446089408022571E-2</v>
      </c>
      <c r="J883" t="s">
        <v>6</v>
      </c>
    </row>
    <row r="884" spans="2:10" x14ac:dyDescent="0.45">
      <c r="B884" t="s">
        <v>464</v>
      </c>
      <c r="C884" t="s">
        <v>41</v>
      </c>
      <c r="D884">
        <v>2.7527809877946341E-2</v>
      </c>
      <c r="E884" t="s">
        <v>6</v>
      </c>
      <c r="G884" t="s">
        <v>465</v>
      </c>
      <c r="H884" t="s">
        <v>41</v>
      </c>
      <c r="I884">
        <v>2.3942989524944992E-2</v>
      </c>
      <c r="J884" t="s">
        <v>6</v>
      </c>
    </row>
    <row r="885" spans="2:10" x14ac:dyDescent="0.45">
      <c r="B885" t="s">
        <v>464</v>
      </c>
      <c r="C885" t="s">
        <v>42</v>
      </c>
      <c r="D885">
        <v>5.3575362636776099E-2</v>
      </c>
      <c r="E885" t="s">
        <v>6</v>
      </c>
      <c r="G885" t="s">
        <v>465</v>
      </c>
      <c r="H885" t="s">
        <v>42</v>
      </c>
      <c r="I885">
        <v>2.1348537346574246E-2</v>
      </c>
      <c r="J885" t="s">
        <v>6</v>
      </c>
    </row>
    <row r="886" spans="2:10" x14ac:dyDescent="0.45">
      <c r="B886" t="s">
        <v>464</v>
      </c>
      <c r="C886" t="s">
        <v>43</v>
      </c>
      <c r="D886">
        <v>5.6487925146880794E-2</v>
      </c>
      <c r="E886" t="s">
        <v>6</v>
      </c>
      <c r="G886" t="s">
        <v>465</v>
      </c>
      <c r="H886" t="s">
        <v>43</v>
      </c>
      <c r="I886">
        <v>2.2764677876839941E-2</v>
      </c>
      <c r="J886" t="s">
        <v>6</v>
      </c>
    </row>
    <row r="887" spans="2:10" x14ac:dyDescent="0.45">
      <c r="B887" t="s">
        <v>464</v>
      </c>
      <c r="C887" t="s">
        <v>44</v>
      </c>
      <c r="D887">
        <v>3.8075069409515799E-2</v>
      </c>
      <c r="E887" t="s">
        <v>6</v>
      </c>
      <c r="G887" t="s">
        <v>465</v>
      </c>
      <c r="H887" t="s">
        <v>44</v>
      </c>
      <c r="I887">
        <v>2.2924482985582147E-2</v>
      </c>
      <c r="J887" t="s">
        <v>6</v>
      </c>
    </row>
    <row r="888" spans="2:10" x14ac:dyDescent="0.45">
      <c r="B888" t="s">
        <v>464</v>
      </c>
      <c r="C888" t="s">
        <v>45</v>
      </c>
      <c r="D888">
        <v>9.8976322603788434E-3</v>
      </c>
      <c r="E888" t="s">
        <v>6</v>
      </c>
      <c r="G888" t="s">
        <v>465</v>
      </c>
      <c r="H888" t="s">
        <v>45</v>
      </c>
      <c r="I888">
        <v>2.3037576958330613E-2</v>
      </c>
      <c r="J888" t="s">
        <v>6</v>
      </c>
    </row>
    <row r="889" spans="2:10" x14ac:dyDescent="0.45">
      <c r="B889" t="s">
        <v>464</v>
      </c>
      <c r="C889" t="s">
        <v>46</v>
      </c>
      <c r="D889">
        <v>9.0882403490236382E-5</v>
      </c>
      <c r="E889" t="s">
        <v>6</v>
      </c>
      <c r="G889" t="s">
        <v>465</v>
      </c>
      <c r="H889" t="s">
        <v>46</v>
      </c>
      <c r="I889">
        <v>2.4141807845410181E-2</v>
      </c>
      <c r="J889" t="s">
        <v>6</v>
      </c>
    </row>
    <row r="890" spans="2:10" x14ac:dyDescent="0.45">
      <c r="B890" t="s">
        <v>464</v>
      </c>
      <c r="C890" t="s">
        <v>47</v>
      </c>
      <c r="D890">
        <v>0</v>
      </c>
      <c r="E890" t="s">
        <v>6</v>
      </c>
      <c r="G890" t="s">
        <v>465</v>
      </c>
      <c r="H890" t="s">
        <v>47</v>
      </c>
      <c r="I890">
        <v>3.6328460973628351E-2</v>
      </c>
      <c r="J890" t="s">
        <v>6</v>
      </c>
    </row>
    <row r="891" spans="2:10" x14ac:dyDescent="0.45">
      <c r="B891" t="s">
        <v>466</v>
      </c>
      <c r="C891" t="s">
        <v>5</v>
      </c>
      <c r="D891">
        <v>0</v>
      </c>
      <c r="E891" t="s">
        <v>6</v>
      </c>
    </row>
    <row r="892" spans="2:10" x14ac:dyDescent="0.45">
      <c r="B892" t="s">
        <v>466</v>
      </c>
      <c r="C892" t="s">
        <v>9</v>
      </c>
      <c r="D892">
        <v>0</v>
      </c>
      <c r="E892" t="s">
        <v>6</v>
      </c>
    </row>
    <row r="893" spans="2:10" x14ac:dyDescent="0.45">
      <c r="B893" t="s">
        <v>466</v>
      </c>
      <c r="C893" t="s">
        <v>10</v>
      </c>
      <c r="D893">
        <v>1.650042358490172E-5</v>
      </c>
      <c r="E893" t="s">
        <v>6</v>
      </c>
    </row>
    <row r="894" spans="2:10" x14ac:dyDescent="0.45">
      <c r="B894" t="s">
        <v>466</v>
      </c>
      <c r="C894" t="s">
        <v>11</v>
      </c>
      <c r="D894">
        <v>1.0403319233008477E-2</v>
      </c>
      <c r="E894" t="s">
        <v>6</v>
      </c>
    </row>
    <row r="895" spans="2:10" x14ac:dyDescent="0.45">
      <c r="B895" t="s">
        <v>466</v>
      </c>
      <c r="C895" t="s">
        <v>12</v>
      </c>
      <c r="D895">
        <v>3.3729485411540604E-2</v>
      </c>
      <c r="E895" t="s">
        <v>6</v>
      </c>
    </row>
    <row r="896" spans="2:10" x14ac:dyDescent="0.45">
      <c r="B896" t="s">
        <v>466</v>
      </c>
      <c r="C896" t="s">
        <v>13</v>
      </c>
      <c r="D896">
        <v>4.1065974445857176E-2</v>
      </c>
      <c r="E896" t="s">
        <v>6</v>
      </c>
    </row>
    <row r="897" spans="2:5" x14ac:dyDescent="0.45">
      <c r="B897" t="s">
        <v>466</v>
      </c>
      <c r="C897" t="s">
        <v>14</v>
      </c>
      <c r="D897">
        <v>2.4881866791495656E-2</v>
      </c>
      <c r="E897" t="s">
        <v>6</v>
      </c>
    </row>
    <row r="898" spans="2:5" x14ac:dyDescent="0.45">
      <c r="B898" t="s">
        <v>466</v>
      </c>
      <c r="C898" t="s">
        <v>15</v>
      </c>
      <c r="D898">
        <v>3.4548112675429794E-3</v>
      </c>
      <c r="E898" t="s">
        <v>6</v>
      </c>
    </row>
    <row r="899" spans="2:5" x14ac:dyDescent="0.45">
      <c r="B899" t="s">
        <v>466</v>
      </c>
      <c r="C899" t="s">
        <v>16</v>
      </c>
      <c r="D899">
        <v>0</v>
      </c>
      <c r="E899" t="s">
        <v>6</v>
      </c>
    </row>
    <row r="900" spans="2:5" x14ac:dyDescent="0.45">
      <c r="B900" t="s">
        <v>466</v>
      </c>
      <c r="C900" t="s">
        <v>17</v>
      </c>
      <c r="D900">
        <v>0</v>
      </c>
      <c r="E900" t="s">
        <v>6</v>
      </c>
    </row>
    <row r="901" spans="2:5" x14ac:dyDescent="0.45">
      <c r="B901" t="s">
        <v>466</v>
      </c>
      <c r="C901" t="s">
        <v>18</v>
      </c>
      <c r="D901">
        <v>0</v>
      </c>
      <c r="E901" t="s">
        <v>6</v>
      </c>
    </row>
    <row r="902" spans="2:5" x14ac:dyDescent="0.45">
      <c r="B902" t="s">
        <v>466</v>
      </c>
      <c r="C902" t="s">
        <v>19</v>
      </c>
      <c r="D902">
        <v>2.6621589305768286E-4</v>
      </c>
      <c r="E902" t="s">
        <v>6</v>
      </c>
    </row>
    <row r="903" spans="2:5" x14ac:dyDescent="0.45">
      <c r="B903" t="s">
        <v>466</v>
      </c>
      <c r="C903" t="s">
        <v>20</v>
      </c>
      <c r="D903">
        <v>1.1213668697331343E-2</v>
      </c>
      <c r="E903" t="s">
        <v>6</v>
      </c>
    </row>
    <row r="904" spans="2:5" x14ac:dyDescent="0.45">
      <c r="B904" t="s">
        <v>466</v>
      </c>
      <c r="C904" t="s">
        <v>21</v>
      </c>
      <c r="D904">
        <v>4.9160153365077369E-2</v>
      </c>
      <c r="E904" t="s">
        <v>6</v>
      </c>
    </row>
    <row r="905" spans="2:5" x14ac:dyDescent="0.45">
      <c r="B905" t="s">
        <v>466</v>
      </c>
      <c r="C905" t="s">
        <v>22</v>
      </c>
      <c r="D905">
        <v>7.7995670697361644E-2</v>
      </c>
      <c r="E905" t="s">
        <v>6</v>
      </c>
    </row>
    <row r="906" spans="2:5" x14ac:dyDescent="0.45">
      <c r="B906" t="s">
        <v>466</v>
      </c>
      <c r="C906" t="s">
        <v>23</v>
      </c>
      <c r="D906">
        <v>8.1231422921119692E-2</v>
      </c>
      <c r="E906" t="s">
        <v>6</v>
      </c>
    </row>
    <row r="907" spans="2:5" x14ac:dyDescent="0.45">
      <c r="B907" t="s">
        <v>466</v>
      </c>
      <c r="C907" t="s">
        <v>24</v>
      </c>
      <c r="D907">
        <v>6.1908850857375956E-2</v>
      </c>
      <c r="E907" t="s">
        <v>6</v>
      </c>
    </row>
    <row r="908" spans="2:5" x14ac:dyDescent="0.45">
      <c r="B908" t="s">
        <v>466</v>
      </c>
      <c r="C908" t="s">
        <v>25</v>
      </c>
      <c r="D908">
        <v>2.7617170398919862E-2</v>
      </c>
      <c r="E908" t="s">
        <v>6</v>
      </c>
    </row>
    <row r="909" spans="2:5" x14ac:dyDescent="0.45">
      <c r="B909" t="s">
        <v>466</v>
      </c>
      <c r="C909" t="s">
        <v>26</v>
      </c>
      <c r="D909">
        <v>2.4100237363682908E-3</v>
      </c>
      <c r="E909" t="s">
        <v>6</v>
      </c>
    </row>
    <row r="910" spans="2:5" x14ac:dyDescent="0.45">
      <c r="B910" t="s">
        <v>466</v>
      </c>
      <c r="C910" t="s">
        <v>27</v>
      </c>
      <c r="D910">
        <v>0</v>
      </c>
      <c r="E910" t="s">
        <v>6</v>
      </c>
    </row>
    <row r="911" spans="2:5" x14ac:dyDescent="0.45">
      <c r="B911" t="s">
        <v>466</v>
      </c>
      <c r="C911" t="s">
        <v>28</v>
      </c>
      <c r="D911">
        <v>0</v>
      </c>
      <c r="E911" t="s">
        <v>6</v>
      </c>
    </row>
    <row r="912" spans="2:5" x14ac:dyDescent="0.45">
      <c r="B912" t="s">
        <v>466</v>
      </c>
      <c r="C912" t="s">
        <v>29</v>
      </c>
      <c r="D912">
        <v>1.0500366396193101E-3</v>
      </c>
      <c r="E912" t="s">
        <v>6</v>
      </c>
    </row>
    <row r="913" spans="2:5" x14ac:dyDescent="0.45">
      <c r="B913" t="s">
        <v>466</v>
      </c>
      <c r="C913" t="s">
        <v>30</v>
      </c>
      <c r="D913">
        <v>1.9554159012342687E-2</v>
      </c>
      <c r="E913" t="s">
        <v>6</v>
      </c>
    </row>
    <row r="914" spans="2:5" x14ac:dyDescent="0.45">
      <c r="B914" t="s">
        <v>466</v>
      </c>
      <c r="C914" t="s">
        <v>31</v>
      </c>
      <c r="D914">
        <v>6.2877188138407383E-2</v>
      </c>
      <c r="E914" t="s">
        <v>6</v>
      </c>
    </row>
    <row r="915" spans="2:5" x14ac:dyDescent="0.45">
      <c r="B915" t="s">
        <v>466</v>
      </c>
      <c r="C915" t="s">
        <v>32</v>
      </c>
      <c r="D915">
        <v>9.0134204189486269E-2</v>
      </c>
      <c r="E915" t="s">
        <v>6</v>
      </c>
    </row>
    <row r="916" spans="2:5" x14ac:dyDescent="0.45">
      <c r="B916" t="s">
        <v>466</v>
      </c>
      <c r="C916" t="s">
        <v>33</v>
      </c>
      <c r="D916">
        <v>9.3870353541326237E-2</v>
      </c>
      <c r="E916" t="s">
        <v>6</v>
      </c>
    </row>
    <row r="917" spans="2:5" x14ac:dyDescent="0.45">
      <c r="B917" t="s">
        <v>466</v>
      </c>
      <c r="C917" t="s">
        <v>34</v>
      </c>
      <c r="D917">
        <v>7.4945023256887927E-2</v>
      </c>
      <c r="E917" t="s">
        <v>6</v>
      </c>
    </row>
    <row r="918" spans="2:5" x14ac:dyDescent="0.45">
      <c r="B918" t="s">
        <v>466</v>
      </c>
      <c r="C918" t="s">
        <v>35</v>
      </c>
      <c r="D918">
        <v>4.0030485882744694E-2</v>
      </c>
      <c r="E918" t="s">
        <v>6</v>
      </c>
    </row>
    <row r="919" spans="2:5" x14ac:dyDescent="0.45">
      <c r="B919" t="s">
        <v>466</v>
      </c>
      <c r="C919" t="s">
        <v>36</v>
      </c>
      <c r="D919">
        <v>6.7045431928264045E-3</v>
      </c>
      <c r="E919" t="s">
        <v>6</v>
      </c>
    </row>
    <row r="920" spans="2:5" x14ac:dyDescent="0.45">
      <c r="B920" t="s">
        <v>466</v>
      </c>
      <c r="C920" t="s">
        <v>37</v>
      </c>
      <c r="D920">
        <v>2.6821094632688078E-6</v>
      </c>
      <c r="E920" t="s">
        <v>6</v>
      </c>
    </row>
    <row r="921" spans="2:5" x14ac:dyDescent="0.45">
      <c r="B921" t="s">
        <v>466</v>
      </c>
      <c r="C921" t="s">
        <v>38</v>
      </c>
      <c r="D921">
        <v>0</v>
      </c>
      <c r="E921" t="s">
        <v>6</v>
      </c>
    </row>
    <row r="922" spans="2:5" x14ac:dyDescent="0.45">
      <c r="B922" t="s">
        <v>466</v>
      </c>
      <c r="C922" t="s">
        <v>39</v>
      </c>
      <c r="D922">
        <v>0</v>
      </c>
      <c r="E922" t="s">
        <v>6</v>
      </c>
    </row>
    <row r="923" spans="2:5" x14ac:dyDescent="0.45">
      <c r="B923" t="s">
        <v>466</v>
      </c>
      <c r="C923" t="s">
        <v>40</v>
      </c>
      <c r="D923">
        <v>3.0889901562017254E-3</v>
      </c>
      <c r="E923" t="s">
        <v>6</v>
      </c>
    </row>
    <row r="924" spans="2:5" x14ac:dyDescent="0.45">
      <c r="B924" t="s">
        <v>466</v>
      </c>
      <c r="C924" t="s">
        <v>41</v>
      </c>
      <c r="D924">
        <v>2.6741151656006861E-2</v>
      </c>
      <c r="E924" t="s">
        <v>6</v>
      </c>
    </row>
    <row r="925" spans="2:5" x14ac:dyDescent="0.45">
      <c r="B925" t="s">
        <v>466</v>
      </c>
      <c r="C925" t="s">
        <v>42</v>
      </c>
      <c r="D925">
        <v>5.3007942968388948E-2</v>
      </c>
      <c r="E925" t="s">
        <v>6</v>
      </c>
    </row>
    <row r="926" spans="2:5" x14ac:dyDescent="0.45">
      <c r="B926" t="s">
        <v>466</v>
      </c>
      <c r="C926" t="s">
        <v>43</v>
      </c>
      <c r="D926">
        <v>5.5383357735849369E-2</v>
      </c>
      <c r="E926" t="s">
        <v>6</v>
      </c>
    </row>
    <row r="927" spans="2:5" x14ac:dyDescent="0.45">
      <c r="B927" t="s">
        <v>466</v>
      </c>
      <c r="C927" t="s">
        <v>44</v>
      </c>
      <c r="D927">
        <v>3.7224046432117783E-2</v>
      </c>
      <c r="E927" t="s">
        <v>6</v>
      </c>
    </row>
    <row r="928" spans="2:5" x14ac:dyDescent="0.45">
      <c r="B928" t="s">
        <v>466</v>
      </c>
      <c r="C928" t="s">
        <v>45</v>
      </c>
      <c r="D928">
        <v>9.9180167492204131E-3</v>
      </c>
      <c r="E928" t="s">
        <v>6</v>
      </c>
    </row>
    <row r="929" spans="2:5" x14ac:dyDescent="0.45">
      <c r="B929" t="s">
        <v>466</v>
      </c>
      <c r="C929" t="s">
        <v>46</v>
      </c>
      <c r="D929">
        <v>1.1268419946765591E-4</v>
      </c>
      <c r="E929" t="s">
        <v>6</v>
      </c>
    </row>
    <row r="930" spans="2:5" x14ac:dyDescent="0.45">
      <c r="B930" t="s">
        <v>466</v>
      </c>
      <c r="C930" t="s">
        <v>47</v>
      </c>
      <c r="D930">
        <v>0</v>
      </c>
      <c r="E930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C46C-9AB8-4B1F-8167-D76D5B4FAB27}">
  <dimension ref="B9:FT6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region=DEU")</f>
        <v>~TFM_DINS-TSL: attribute=FLO_EMIS; other_indexes=ACT; region=DEU</v>
      </c>
      <c r="AS9" t="str">
        <f>IF(A11="x","DeActivated","~TFM_INS-TSL: attribute=FLO_SHAR; limtype=FX; region=DEU")</f>
        <v>~TFM_INS-TSL: attribute=FLO_SHAR; limtype=FX; region=DEU</v>
      </c>
      <c r="CJ9" t="str">
        <f>IF(A11="x","DeActivated","~TFM_INS-TSL: attribute=FLO_SHAR; limtype=FX; region=DEU")</f>
        <v>~TFM_INS-TSL: attribute=FLO_SHAR; limtype=FX; region=DEU</v>
      </c>
      <c r="EA9" t="str">
        <f>IF(A11="x","DeActivated","~TFM_DINS-TSL: attribute=NCAP_PKCNT; region=DEU")</f>
        <v>~TFM_DINS-TSL: attribute=NCAP_PKCNT; region=DEU</v>
      </c>
      <c r="FQ9" t="str">
        <f>IF(A11="x","DeActivated","~TFM_DINS-AT: region=DEU")</f>
        <v>~TFM_DINS-AT: region=DEU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467</v>
      </c>
      <c r="C11" t="s">
        <v>123</v>
      </c>
      <c r="D11">
        <v>0</v>
      </c>
      <c r="E11">
        <v>0</v>
      </c>
      <c r="F11">
        <v>0.95818647406128132</v>
      </c>
      <c r="G11">
        <v>0.48673414814889865</v>
      </c>
      <c r="H11">
        <v>0.33689412022582449</v>
      </c>
      <c r="I11">
        <v>0.32239103243763761</v>
      </c>
      <c r="J11">
        <v>0.38982924716895817</v>
      </c>
      <c r="K11">
        <v>0.77931965762736777</v>
      </c>
      <c r="L11">
        <v>0</v>
      </c>
      <c r="M11">
        <v>0</v>
      </c>
      <c r="N11">
        <v>0</v>
      </c>
      <c r="O11">
        <v>0.76618919312463152</v>
      </c>
      <c r="P11">
        <v>0.37538501009907604</v>
      </c>
      <c r="Q11">
        <v>0.2304098742679582</v>
      </c>
      <c r="R11">
        <v>0.20935680653624864</v>
      </c>
      <c r="S11">
        <v>0.19335580646268039</v>
      </c>
      <c r="T11">
        <v>0.19095941757778123</v>
      </c>
      <c r="U11">
        <v>0.25352284157695737</v>
      </c>
      <c r="V11">
        <v>0.59473364418789598</v>
      </c>
      <c r="W11">
        <v>0</v>
      </c>
      <c r="X11">
        <v>0</v>
      </c>
      <c r="Y11">
        <v>0.53091345148473024</v>
      </c>
      <c r="Z11">
        <v>0.23646046211218608</v>
      </c>
      <c r="AA11">
        <v>0.13414286258626817</v>
      </c>
      <c r="AB11">
        <v>0.11107778265265127</v>
      </c>
      <c r="AC11">
        <v>0.11869720574208267</v>
      </c>
      <c r="AD11">
        <v>0.14246214456997641</v>
      </c>
      <c r="AE11">
        <v>0.19050167036218354</v>
      </c>
      <c r="AF11">
        <v>0.34092822703275288</v>
      </c>
      <c r="AG11">
        <v>0.94927536231884047</v>
      </c>
      <c r="AH11">
        <v>0</v>
      </c>
      <c r="AI11">
        <v>0</v>
      </c>
      <c r="AJ11">
        <v>0.63753395524551759</v>
      </c>
      <c r="AK11">
        <v>0.35277848532496231</v>
      </c>
      <c r="AL11">
        <v>0.27443546661539175</v>
      </c>
      <c r="AM11">
        <v>0.25260686398321741</v>
      </c>
      <c r="AN11">
        <v>0.30307484033683002</v>
      </c>
      <c r="AO11">
        <v>0.54790295975876779</v>
      </c>
      <c r="AP11">
        <v>0.93774085621966397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0.8418818348236089</v>
      </c>
      <c r="AX11">
        <v>0.23328630901683783</v>
      </c>
      <c r="AY11">
        <v>0.12935204832643668</v>
      </c>
      <c r="AZ11">
        <v>7.7037706867182115E-2</v>
      </c>
      <c r="BA11">
        <v>2.005020039387781E-2</v>
      </c>
      <c r="BB11">
        <v>8.7025640175489152E-2</v>
      </c>
      <c r="BC11">
        <v>0</v>
      </c>
      <c r="BD11">
        <v>0</v>
      </c>
      <c r="BE11">
        <v>0</v>
      </c>
      <c r="BF11">
        <v>0.58763894578475195</v>
      </c>
      <c r="BG11">
        <v>0.21028183582012291</v>
      </c>
      <c r="BH11">
        <v>9.157269554694461E-2</v>
      </c>
      <c r="BI11">
        <v>5.8390185410625059E-2</v>
      </c>
      <c r="BJ11">
        <v>2.7634565380263855E-2</v>
      </c>
      <c r="BK11">
        <v>1.1055916906219505E-2</v>
      </c>
      <c r="BL11">
        <v>4.1475235582356502E-2</v>
      </c>
      <c r="BM11">
        <v>0.37839159018885443</v>
      </c>
      <c r="BN11">
        <v>0.90725341615566579</v>
      </c>
      <c r="BO11">
        <v>0</v>
      </c>
      <c r="BP11">
        <v>0.35173617941001251</v>
      </c>
      <c r="BQ11">
        <v>0.13835512765782029</v>
      </c>
      <c r="BR11">
        <v>6.4892892390248605E-2</v>
      </c>
      <c r="BS11">
        <v>4.6136251607860897E-2</v>
      </c>
      <c r="BT11">
        <v>1.3739153045032107E-2</v>
      </c>
      <c r="BU11">
        <v>3.9416049911796015E-3</v>
      </c>
      <c r="BV11">
        <v>2.5979161034107769E-2</v>
      </c>
      <c r="BW11">
        <v>0.18145332642785256</v>
      </c>
      <c r="BX11">
        <v>0.70479714374151425</v>
      </c>
      <c r="BY11">
        <v>0</v>
      </c>
      <c r="BZ11">
        <v>0.96617692642445974</v>
      </c>
      <c r="CA11">
        <v>0.41058054724374882</v>
      </c>
      <c r="CB11">
        <v>0.1649839632410573</v>
      </c>
      <c r="CC11">
        <v>9.7453718618066426E-2</v>
      </c>
      <c r="CD11">
        <v>9.2624504310654856E-3</v>
      </c>
      <c r="CE11">
        <v>1.1171938663619223E-2</v>
      </c>
      <c r="CF11">
        <v>6.4456431311837661E-2</v>
      </c>
      <c r="CG11">
        <v>0.1171049292781982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3.9423833564234921E-2</v>
      </c>
      <c r="CR11">
        <v>0.14992480798944663</v>
      </c>
      <c r="CS11">
        <v>0.4498837548904519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8.5786996218337914E-3</v>
      </c>
      <c r="DA11">
        <v>3.77933484085691E-2</v>
      </c>
      <c r="DB11">
        <v>6.1463714165688105E-2</v>
      </c>
      <c r="DC11">
        <v>7.3671033356847992E-2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3.5314661401559297E-2</v>
      </c>
      <c r="DL11">
        <v>5.4084775213285134E-2</v>
      </c>
      <c r="DM11">
        <v>7.0783849612069266E-2</v>
      </c>
      <c r="DN11">
        <v>4.3266474791544976E-3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1.6855898705005517E-2</v>
      </c>
      <c r="DU11">
        <v>0.10028341227112343</v>
      </c>
      <c r="DV11">
        <v>0.13415448882302031</v>
      </c>
      <c r="DW11">
        <v>0.1894896043485714</v>
      </c>
      <c r="DX11">
        <v>5.9306834618142484E-2</v>
      </c>
      <c r="DY11">
        <v>0</v>
      </c>
      <c r="EA11" t="s">
        <v>467</v>
      </c>
      <c r="EB11">
        <v>0</v>
      </c>
      <c r="EC11">
        <v>0</v>
      </c>
      <c r="ED11">
        <v>1.1579113228466496E-4</v>
      </c>
      <c r="EE11">
        <v>5.3598183720207519E-2</v>
      </c>
      <c r="EF11">
        <v>0.16294512478616174</v>
      </c>
      <c r="EG11">
        <v>0.18884140591234994</v>
      </c>
      <c r="EH11">
        <v>0.10697676690833412</v>
      </c>
      <c r="EI11">
        <v>1.2230082671222201E-2</v>
      </c>
      <c r="EJ11">
        <v>0</v>
      </c>
      <c r="EK11">
        <v>0</v>
      </c>
      <c r="EL11">
        <v>0</v>
      </c>
      <c r="EM11">
        <v>3.2562953807876464E-3</v>
      </c>
      <c r="EN11">
        <v>8.0592004127792535E-2</v>
      </c>
      <c r="EO11">
        <v>0.28101387799720556</v>
      </c>
      <c r="EP11">
        <v>0.42631990292185684</v>
      </c>
      <c r="EQ11">
        <v>0.43094421038477754</v>
      </c>
      <c r="ER11">
        <v>0.31130287012155483</v>
      </c>
      <c r="ES11">
        <v>0.12716306821635923</v>
      </c>
      <c r="ET11">
        <v>8.843073545041151E-3</v>
      </c>
      <c r="EU11">
        <v>0</v>
      </c>
      <c r="EV11">
        <v>0</v>
      </c>
      <c r="EW11">
        <v>1.0139588498564771E-2</v>
      </c>
      <c r="EX11">
        <v>0.13366334949615552</v>
      </c>
      <c r="EY11">
        <v>0.36327223131517783</v>
      </c>
      <c r="EZ11">
        <v>0.51101332494655938</v>
      </c>
      <c r="FA11">
        <v>0.50672949409073598</v>
      </c>
      <c r="FB11">
        <v>0.3836453467392712</v>
      </c>
      <c r="FC11">
        <v>0.19001462890405602</v>
      </c>
      <c r="FD11">
        <v>2.7848012388907127E-2</v>
      </c>
      <c r="FE11">
        <v>1.5709440527026159E-6</v>
      </c>
      <c r="FF11">
        <v>0</v>
      </c>
      <c r="FG11">
        <v>0</v>
      </c>
      <c r="FH11">
        <v>2.0703442850779716E-2</v>
      </c>
      <c r="FI11">
        <v>0.15467364940200062</v>
      </c>
      <c r="FJ11">
        <v>0.29178181058697655</v>
      </c>
      <c r="FK11">
        <v>0.29620853099615091</v>
      </c>
      <c r="FL11">
        <v>0.181739735630113</v>
      </c>
      <c r="FM11">
        <v>3.8005398171052286E-2</v>
      </c>
      <c r="FN11">
        <v>1.8132293563285882E-4</v>
      </c>
      <c r="FO11">
        <v>0</v>
      </c>
      <c r="FQ11" t="s">
        <v>467</v>
      </c>
      <c r="FR11" t="s">
        <v>127</v>
      </c>
      <c r="FS11" t="s">
        <v>128</v>
      </c>
      <c r="FT11">
        <v>0.44724375459788929</v>
      </c>
    </row>
    <row r="12" spans="2:176" x14ac:dyDescent="0.45">
      <c r="B12" t="s">
        <v>468</v>
      </c>
      <c r="C12" t="s">
        <v>123</v>
      </c>
      <c r="D12">
        <v>0</v>
      </c>
      <c r="E12">
        <v>0</v>
      </c>
      <c r="F12">
        <v>0.94196567301971557</v>
      </c>
      <c r="G12">
        <v>0.438472462158636</v>
      </c>
      <c r="H12">
        <v>0.31775462893716849</v>
      </c>
      <c r="I12">
        <v>0.32076506620098694</v>
      </c>
      <c r="J12">
        <v>0.38141577738734622</v>
      </c>
      <c r="K12">
        <v>0.80457457513258501</v>
      </c>
      <c r="L12">
        <v>0</v>
      </c>
      <c r="M12">
        <v>0</v>
      </c>
      <c r="N12">
        <v>0</v>
      </c>
      <c r="O12">
        <v>0.71689778676418026</v>
      </c>
      <c r="P12">
        <v>0.32869487026649968</v>
      </c>
      <c r="Q12">
        <v>0.19915296356650478</v>
      </c>
      <c r="R12">
        <v>0.18425349541489924</v>
      </c>
      <c r="S12">
        <v>0.19784958558810742</v>
      </c>
      <c r="T12">
        <v>0.20373609906134141</v>
      </c>
      <c r="U12">
        <v>0.25757227590500603</v>
      </c>
      <c r="V12">
        <v>0.61677748263351939</v>
      </c>
      <c r="W12">
        <v>0</v>
      </c>
      <c r="X12">
        <v>0</v>
      </c>
      <c r="Y12">
        <v>0.46883865531444624</v>
      </c>
      <c r="Z12">
        <v>0.22641262111129049</v>
      </c>
      <c r="AA12">
        <v>0.13505901918873217</v>
      </c>
      <c r="AB12">
        <v>0.10956663207357169</v>
      </c>
      <c r="AC12">
        <v>0.11611472414877178</v>
      </c>
      <c r="AD12">
        <v>0.13987412663248233</v>
      </c>
      <c r="AE12">
        <v>0.19433976188623295</v>
      </c>
      <c r="AF12">
        <v>0.3503150495264537</v>
      </c>
      <c r="AG12">
        <v>0</v>
      </c>
      <c r="AH12">
        <v>0</v>
      </c>
      <c r="AI12">
        <v>0.99450549450549441</v>
      </c>
      <c r="AJ12">
        <v>0.6123645757129178</v>
      </c>
      <c r="AK12">
        <v>0.37042221988259316</v>
      </c>
      <c r="AL12">
        <v>0.30051751222869116</v>
      </c>
      <c r="AM12">
        <v>0.26769390564268891</v>
      </c>
      <c r="AN12">
        <v>0.29478933968431126</v>
      </c>
      <c r="AO12">
        <v>0.57388220822278968</v>
      </c>
      <c r="AP12">
        <v>0.95479846682473302</v>
      </c>
      <c r="AQ12">
        <v>0</v>
      </c>
      <c r="AS12" t="s">
        <v>130</v>
      </c>
      <c r="AT12" t="s">
        <v>125</v>
      </c>
      <c r="AU12">
        <v>7.1553392397801629E-3</v>
      </c>
      <c r="AV12">
        <v>0</v>
      </c>
      <c r="AW12">
        <v>1.9585690441013123E-3</v>
      </c>
      <c r="AX12">
        <v>0</v>
      </c>
      <c r="AY12">
        <v>5.8292374364813711E-3</v>
      </c>
      <c r="AZ12">
        <v>5.1459459735980042E-3</v>
      </c>
      <c r="BA12">
        <v>0</v>
      </c>
      <c r="BB12">
        <v>4.6502428157827895E-4</v>
      </c>
      <c r="BC12">
        <v>6.9227590566542591E-4</v>
      </c>
      <c r="BD12">
        <v>1.1445224540596382E-3</v>
      </c>
      <c r="BE12">
        <v>9.0077904074105444E-3</v>
      </c>
      <c r="BF12">
        <v>1.1179362315839837E-2</v>
      </c>
      <c r="BG12">
        <v>0</v>
      </c>
      <c r="BH12">
        <v>1.3592571624251376E-3</v>
      </c>
      <c r="BI12">
        <v>3.3802030480711881E-3</v>
      </c>
      <c r="BJ12">
        <v>4.4740897650345085E-3</v>
      </c>
      <c r="BK12">
        <v>1.4788821855334863E-3</v>
      </c>
      <c r="BL12">
        <v>6.2549689084628679E-3</v>
      </c>
      <c r="BM12">
        <v>8.1059817833104338E-3</v>
      </c>
      <c r="BN12">
        <v>1.4323878992703354E-2</v>
      </c>
      <c r="BO12">
        <v>1.5271032854947034E-2</v>
      </c>
      <c r="BP12">
        <v>1.2989476877451423E-3</v>
      </c>
      <c r="BQ12">
        <v>4.1897199222623626E-3</v>
      </c>
      <c r="BR12">
        <v>5.2389832938328764E-3</v>
      </c>
      <c r="BS12">
        <v>4.2013327938659811E-4</v>
      </c>
      <c r="BT12">
        <v>1.2533670695400174E-3</v>
      </c>
      <c r="BU12">
        <v>1.3075365620505563E-4</v>
      </c>
      <c r="BV12">
        <v>9.4249184783416827E-4</v>
      </c>
      <c r="BW12">
        <v>7.5083015502507289E-3</v>
      </c>
      <c r="BX12">
        <v>2.229930037424287E-2</v>
      </c>
      <c r="BY12">
        <v>6.7674818385474612E-3</v>
      </c>
      <c r="BZ12">
        <v>5.3098055164196066E-3</v>
      </c>
      <c r="CA12">
        <v>1.9567196782152574E-3</v>
      </c>
      <c r="CB12">
        <v>4.7589262714768066E-5</v>
      </c>
      <c r="CC12">
        <v>1.3028223012441652E-3</v>
      </c>
      <c r="CD12">
        <v>6.0634230385406664E-3</v>
      </c>
      <c r="CE12">
        <v>2.6381053043473784E-3</v>
      </c>
      <c r="CF12">
        <v>2.07304391606997E-3</v>
      </c>
      <c r="CG12">
        <v>3.0110335601194046E-3</v>
      </c>
      <c r="CH12">
        <v>3.9624750332006671E-3</v>
      </c>
      <c r="CJ12" t="s">
        <v>130</v>
      </c>
      <c r="CK12" t="s">
        <v>126</v>
      </c>
      <c r="CL12">
        <v>6.7762982584710675E-3</v>
      </c>
      <c r="CM12">
        <v>1.2558630719234439E-2</v>
      </c>
      <c r="CN12">
        <v>7.6551839208839787E-3</v>
      </c>
      <c r="CO12">
        <v>1.1123803888674084E-2</v>
      </c>
      <c r="CP12">
        <v>8.1216056997497395E-3</v>
      </c>
      <c r="CQ12">
        <v>1.1759136209820531E-2</v>
      </c>
      <c r="CR12">
        <v>1.5798884609159607E-2</v>
      </c>
      <c r="CS12">
        <v>1.3305421531029373E-2</v>
      </c>
      <c r="CT12">
        <v>7.4565060575060059E-3</v>
      </c>
      <c r="CU12">
        <v>4.3242216038907062E-3</v>
      </c>
      <c r="CV12">
        <v>2.4429205762600683E-2</v>
      </c>
      <c r="CW12">
        <v>2.1531556867372407E-2</v>
      </c>
      <c r="CX12">
        <v>4.1258641912160166E-2</v>
      </c>
      <c r="CY12">
        <v>4.4263727387873056E-2</v>
      </c>
      <c r="CZ12">
        <v>1.7411301327034046E-2</v>
      </c>
      <c r="DA12">
        <v>3.3140923756625916E-3</v>
      </c>
      <c r="DB12">
        <v>8.1645295285441913E-3</v>
      </c>
      <c r="DC12">
        <v>9.9748353837256134E-3</v>
      </c>
      <c r="DD12">
        <v>1.2357566536985084E-2</v>
      </c>
      <c r="DE12">
        <v>9.7371796250017486E-3</v>
      </c>
      <c r="DF12">
        <v>2.6293051765671108E-2</v>
      </c>
      <c r="DG12">
        <v>4.5311340843284052E-2</v>
      </c>
      <c r="DH12">
        <v>4.1894818338044225E-2</v>
      </c>
      <c r="DI12">
        <v>1.7247428172721516E-2</v>
      </c>
      <c r="DJ12">
        <v>2.3178495926647259E-2</v>
      </c>
      <c r="DK12">
        <v>2.7374884094079798E-2</v>
      </c>
      <c r="DL12">
        <v>9.3754685674271622E-3</v>
      </c>
      <c r="DM12">
        <v>1.6497585200647289E-2</v>
      </c>
      <c r="DN12">
        <v>4.1104834960849507E-3</v>
      </c>
      <c r="DO12">
        <v>4.362432363176229E-3</v>
      </c>
      <c r="DP12">
        <v>1.7486476628507969E-2</v>
      </c>
      <c r="DQ12">
        <v>2.4755801522870369E-2</v>
      </c>
      <c r="DR12">
        <v>1.8416546595413533E-2</v>
      </c>
      <c r="DS12">
        <v>2.4051185617160492E-2</v>
      </c>
      <c r="DT12">
        <v>1.2948171060221964E-2</v>
      </c>
      <c r="DU12">
        <v>5.8942776115552815E-4</v>
      </c>
      <c r="DV12">
        <v>1.4746441244787979E-2</v>
      </c>
      <c r="DW12">
        <v>2.6430528483976881E-2</v>
      </c>
      <c r="DX12">
        <v>1.8813595837539228E-2</v>
      </c>
      <c r="DY12">
        <v>6.9607404632049813E-3</v>
      </c>
      <c r="EA12" t="s">
        <v>468</v>
      </c>
      <c r="EB12">
        <v>0</v>
      </c>
      <c r="EC12">
        <v>0</v>
      </c>
      <c r="ED12">
        <v>4.4165685607355516E-4</v>
      </c>
      <c r="EE12">
        <v>6.0493249032033979E-2</v>
      </c>
      <c r="EF12">
        <v>0.17421275772080178</v>
      </c>
      <c r="EG12">
        <v>0.17810769669242646</v>
      </c>
      <c r="EH12">
        <v>9.0042099435021894E-2</v>
      </c>
      <c r="EI12">
        <v>8.6371875318559926E-3</v>
      </c>
      <c r="EJ12">
        <v>0</v>
      </c>
      <c r="EK12">
        <v>0</v>
      </c>
      <c r="EL12">
        <v>0</v>
      </c>
      <c r="EM12">
        <v>4.9882146349681097E-3</v>
      </c>
      <c r="EN12">
        <v>0.1004184920169084</v>
      </c>
      <c r="EO12">
        <v>0.31677816493540434</v>
      </c>
      <c r="EP12">
        <v>0.44838963592751396</v>
      </c>
      <c r="EQ12">
        <v>0.43004873535921362</v>
      </c>
      <c r="ER12">
        <v>0.2986377954671402</v>
      </c>
      <c r="ES12">
        <v>0.11890339405070519</v>
      </c>
      <c r="ET12">
        <v>7.4112179736613984E-3</v>
      </c>
      <c r="EU12">
        <v>0</v>
      </c>
      <c r="EV12">
        <v>0</v>
      </c>
      <c r="EW12">
        <v>1.2317455174363336E-2</v>
      </c>
      <c r="EX12">
        <v>0.14606113182074013</v>
      </c>
      <c r="EY12">
        <v>0.37646022925234451</v>
      </c>
      <c r="EZ12">
        <v>0.5163206072733143</v>
      </c>
      <c r="FA12">
        <v>0.50530437492243307</v>
      </c>
      <c r="FB12">
        <v>0.37520667342790281</v>
      </c>
      <c r="FC12">
        <v>0.17631372932867648</v>
      </c>
      <c r="FD12">
        <v>2.3261951650304515E-2</v>
      </c>
      <c r="FE12">
        <v>0</v>
      </c>
      <c r="FF12">
        <v>0</v>
      </c>
      <c r="FG12">
        <v>1.4564864064841002E-7</v>
      </c>
      <c r="FH12">
        <v>2.610755271160219E-2</v>
      </c>
      <c r="FI12">
        <v>0.15897636145757993</v>
      </c>
      <c r="FJ12">
        <v>0.27750434566131837</v>
      </c>
      <c r="FK12">
        <v>0.29107279416197146</v>
      </c>
      <c r="FL12">
        <v>0.17132278850888519</v>
      </c>
      <c r="FM12">
        <v>3.2541644815465502E-2</v>
      </c>
      <c r="FN12">
        <v>8.0213001015309038E-5</v>
      </c>
      <c r="FO12">
        <v>0</v>
      </c>
      <c r="FQ12" t="s">
        <v>468</v>
      </c>
      <c r="FR12" t="s">
        <v>127</v>
      </c>
      <c r="FS12" t="s">
        <v>128</v>
      </c>
      <c r="FT12">
        <v>0.43193297935208064</v>
      </c>
    </row>
    <row r="13" spans="2:176" x14ac:dyDescent="0.45">
      <c r="B13" t="s">
        <v>469</v>
      </c>
      <c r="C13" t="s">
        <v>123</v>
      </c>
      <c r="D13">
        <v>0</v>
      </c>
      <c r="E13">
        <v>0</v>
      </c>
      <c r="F13">
        <v>0.91821117847605993</v>
      </c>
      <c r="G13">
        <v>0.36598137917901391</v>
      </c>
      <c r="H13">
        <v>0.26078257676691446</v>
      </c>
      <c r="I13">
        <v>0.26729808825149559</v>
      </c>
      <c r="J13">
        <v>0.35794565700593356</v>
      </c>
      <c r="K13">
        <v>0.81599873011399215</v>
      </c>
      <c r="L13">
        <v>0</v>
      </c>
      <c r="M13">
        <v>0</v>
      </c>
      <c r="N13">
        <v>0</v>
      </c>
      <c r="O13">
        <v>0.69418711625132612</v>
      </c>
      <c r="P13">
        <v>0.34584505483462241</v>
      </c>
      <c r="Q13">
        <v>0.22432572874396783</v>
      </c>
      <c r="R13">
        <v>0.19998331873493905</v>
      </c>
      <c r="S13">
        <v>0.19433027413550463</v>
      </c>
      <c r="T13">
        <v>0.20727080090829475</v>
      </c>
      <c r="U13">
        <v>0.27949985089838258</v>
      </c>
      <c r="V13">
        <v>0.66336123589350504</v>
      </c>
      <c r="W13">
        <v>0</v>
      </c>
      <c r="X13">
        <v>0</v>
      </c>
      <c r="Y13">
        <v>0.46596382424442662</v>
      </c>
      <c r="Z13">
        <v>0.23028455532984321</v>
      </c>
      <c r="AA13">
        <v>0.14219861396206548</v>
      </c>
      <c r="AB13">
        <v>0.12391854870109843</v>
      </c>
      <c r="AC13">
        <v>0.13211080164738676</v>
      </c>
      <c r="AD13">
        <v>0.13952492496467425</v>
      </c>
      <c r="AE13">
        <v>0.19628552364502255</v>
      </c>
      <c r="AF13">
        <v>0.39152485967464651</v>
      </c>
      <c r="AG13">
        <v>0</v>
      </c>
      <c r="AH13">
        <v>0</v>
      </c>
      <c r="AI13">
        <v>0.98895187594057987</v>
      </c>
      <c r="AJ13">
        <v>0.56392718541586384</v>
      </c>
      <c r="AK13">
        <v>0.34834034176369527</v>
      </c>
      <c r="AL13">
        <v>0.28505936922178143</v>
      </c>
      <c r="AM13">
        <v>0.28614684670387885</v>
      </c>
      <c r="AN13">
        <v>0.32735034350074343</v>
      </c>
      <c r="AO13">
        <v>0.60483383114567313</v>
      </c>
      <c r="AP13">
        <v>0.98151708891484435</v>
      </c>
      <c r="AQ13">
        <v>0</v>
      </c>
      <c r="AS13" t="s">
        <v>132</v>
      </c>
      <c r="AT13" t="s">
        <v>125</v>
      </c>
      <c r="AU13">
        <v>2.6668998151210713E-3</v>
      </c>
      <c r="AV13">
        <v>2.8277183968886646E-3</v>
      </c>
      <c r="AW13">
        <v>2.8692810094866818E-3</v>
      </c>
      <c r="AX13">
        <v>5.7435453305403961E-4</v>
      </c>
      <c r="AY13">
        <v>3.6888914584579983E-3</v>
      </c>
      <c r="AZ13">
        <v>4.1783343000039233E-3</v>
      </c>
      <c r="BA13">
        <v>1.9803899626796682E-5</v>
      </c>
      <c r="BB13">
        <v>0</v>
      </c>
      <c r="BC13">
        <v>1.300149045507478E-3</v>
      </c>
      <c r="BD13">
        <v>3.8485776360796625E-4</v>
      </c>
      <c r="BE13">
        <v>6.2459683098167462E-3</v>
      </c>
      <c r="BF13">
        <v>2.6321119852487309E-4</v>
      </c>
      <c r="BG13">
        <v>3.1574973757096046E-4</v>
      </c>
      <c r="BH13">
        <v>1.5118215551796663E-3</v>
      </c>
      <c r="BI13">
        <v>2.8807392677792491E-3</v>
      </c>
      <c r="BJ13">
        <v>3.6318728149239599E-3</v>
      </c>
      <c r="BK13">
        <v>5.6910930250669402E-3</v>
      </c>
      <c r="BL13">
        <v>7.1160614281650684E-3</v>
      </c>
      <c r="BM13">
        <v>4.0599562417992126E-3</v>
      </c>
      <c r="BN13">
        <v>5.3788876037773334E-3</v>
      </c>
      <c r="BO13">
        <v>7.7687514009769972E-3</v>
      </c>
      <c r="BP13">
        <v>1.5065776424934932E-2</v>
      </c>
      <c r="BQ13">
        <v>1.5925208263654296E-2</v>
      </c>
      <c r="BR13">
        <v>7.0522902204544647E-3</v>
      </c>
      <c r="BS13">
        <v>1.6088185308687911E-3</v>
      </c>
      <c r="BT13">
        <v>5.2302764490184403E-3</v>
      </c>
      <c r="BU13">
        <v>3.1810500956554522E-3</v>
      </c>
      <c r="BV13">
        <v>2.5163238554743125E-5</v>
      </c>
      <c r="BW13">
        <v>2.294736279619655E-3</v>
      </c>
      <c r="BX13">
        <v>9.9772818980770669E-3</v>
      </c>
      <c r="BY13">
        <v>3.9170971442789087E-3</v>
      </c>
      <c r="BZ13">
        <v>4.7427820036318562E-3</v>
      </c>
      <c r="CA13">
        <v>5.1118203530260541E-3</v>
      </c>
      <c r="CB13">
        <v>6.6827999363520338E-3</v>
      </c>
      <c r="CC13">
        <v>3.1603280033045415E-3</v>
      </c>
      <c r="CD13">
        <v>6.5358179651030931E-3</v>
      </c>
      <c r="CE13">
        <v>3.0925418380815979E-3</v>
      </c>
      <c r="CF13">
        <v>4.4493853125791684E-3</v>
      </c>
      <c r="CG13">
        <v>3.8991248612962634E-3</v>
      </c>
      <c r="CH13">
        <v>1.2972747575829878E-3</v>
      </c>
      <c r="CJ13" t="s">
        <v>132</v>
      </c>
      <c r="CK13" t="s">
        <v>126</v>
      </c>
      <c r="CL13">
        <v>4.8158664605895511E-3</v>
      </c>
      <c r="CM13">
        <v>3.7860352287263843E-3</v>
      </c>
      <c r="CN13">
        <v>5.2226858606770994E-3</v>
      </c>
      <c r="CO13">
        <v>1.1077695800022262E-2</v>
      </c>
      <c r="CP13">
        <v>1.3170376458455929E-2</v>
      </c>
      <c r="CQ13">
        <v>4.9625099655609692E-3</v>
      </c>
      <c r="CR13">
        <v>9.611229728781227E-3</v>
      </c>
      <c r="CS13">
        <v>5.7255498223653216E-3</v>
      </c>
      <c r="CT13">
        <v>3.071113176581024E-3</v>
      </c>
      <c r="CU13">
        <v>3.0129371087253749E-3</v>
      </c>
      <c r="CV13">
        <v>1.821820752939728E-2</v>
      </c>
      <c r="CW13">
        <v>2.3672220404130081E-2</v>
      </c>
      <c r="CX13">
        <v>1.7591638305467325E-2</v>
      </c>
      <c r="CY13">
        <v>8.0881570174873071E-3</v>
      </c>
      <c r="CZ13">
        <v>3.0395915829688888E-3</v>
      </c>
      <c r="DA13">
        <v>6.4218368655087803E-3</v>
      </c>
      <c r="DB13">
        <v>9.3397044785576994E-3</v>
      </c>
      <c r="DC13">
        <v>7.6913362282493448E-3</v>
      </c>
      <c r="DD13">
        <v>1.5080578881270847E-2</v>
      </c>
      <c r="DE13">
        <v>1.1806877096123047E-2</v>
      </c>
      <c r="DF13">
        <v>1.2929890980008648E-2</v>
      </c>
      <c r="DG13">
        <v>1.9212935676946673E-2</v>
      </c>
      <c r="DH13">
        <v>1.4418044660105902E-2</v>
      </c>
      <c r="DI13">
        <v>2.5097632618553162E-2</v>
      </c>
      <c r="DJ13">
        <v>2.5725269648133341E-2</v>
      </c>
      <c r="DK13">
        <v>1.148459227504771E-2</v>
      </c>
      <c r="DL13">
        <v>6.0678942622351675E-3</v>
      </c>
      <c r="DM13">
        <v>1.0678091711505302E-2</v>
      </c>
      <c r="DN13">
        <v>1.4651785484947118E-2</v>
      </c>
      <c r="DO13">
        <v>8.0271345451798648E-3</v>
      </c>
      <c r="DP13">
        <v>1.1060055033800475E-2</v>
      </c>
      <c r="DQ13">
        <v>1.210462862727559E-2</v>
      </c>
      <c r="DR13">
        <v>1.2158515468618456E-2</v>
      </c>
      <c r="DS13">
        <v>1.167780216019695E-2</v>
      </c>
      <c r="DT13">
        <v>1.237146901096685E-2</v>
      </c>
      <c r="DU13">
        <v>9.9412508085844949E-3</v>
      </c>
      <c r="DV13">
        <v>1.456955718472213E-2</v>
      </c>
      <c r="DW13">
        <v>1.1334334718267789E-2</v>
      </c>
      <c r="DX13">
        <v>7.8618525807974942E-3</v>
      </c>
      <c r="DY13">
        <v>1.3330563952515473E-2</v>
      </c>
      <c r="EA13" t="s">
        <v>469</v>
      </c>
      <c r="EB13">
        <v>0</v>
      </c>
      <c r="EC13">
        <v>0</v>
      </c>
      <c r="ED13">
        <v>6.6716363573608966E-4</v>
      </c>
      <c r="EE13">
        <v>7.4382104782818079E-2</v>
      </c>
      <c r="EF13">
        <v>0.18992607777413428</v>
      </c>
      <c r="EG13">
        <v>0.19378929820314711</v>
      </c>
      <c r="EH13">
        <v>8.9068415328154904E-2</v>
      </c>
      <c r="EI13">
        <v>6.0531852088721869E-3</v>
      </c>
      <c r="EJ13">
        <v>0</v>
      </c>
      <c r="EK13">
        <v>0</v>
      </c>
      <c r="EL13">
        <v>0</v>
      </c>
      <c r="EM13">
        <v>5.4539904505931623E-3</v>
      </c>
      <c r="EN13">
        <v>0.10603588335901677</v>
      </c>
      <c r="EO13">
        <v>0.3174966384794396</v>
      </c>
      <c r="EP13">
        <v>0.43327584445347755</v>
      </c>
      <c r="EQ13">
        <v>0.41368861334594031</v>
      </c>
      <c r="ER13">
        <v>0.28287497531571831</v>
      </c>
      <c r="ES13">
        <v>0.10383502606681046</v>
      </c>
      <c r="ET13">
        <v>5.4635853000167111E-3</v>
      </c>
      <c r="EU13">
        <v>0</v>
      </c>
      <c r="EV13">
        <v>0</v>
      </c>
      <c r="EW13">
        <v>1.3075444124674708E-2</v>
      </c>
      <c r="EX13">
        <v>0.15328473097376202</v>
      </c>
      <c r="EY13">
        <v>0.38391099072798662</v>
      </c>
      <c r="EZ13">
        <v>0.50431143655765998</v>
      </c>
      <c r="FA13">
        <v>0.47623189456722576</v>
      </c>
      <c r="FB13">
        <v>0.35198788520213925</v>
      </c>
      <c r="FC13">
        <v>0.16182690101712185</v>
      </c>
      <c r="FD13">
        <v>1.7778945359493842E-2</v>
      </c>
      <c r="FE13">
        <v>0</v>
      </c>
      <c r="FF13">
        <v>0</v>
      </c>
      <c r="FG13">
        <v>7.993619488407679E-6</v>
      </c>
      <c r="FH13">
        <v>3.5019726859232714E-2</v>
      </c>
      <c r="FI13">
        <v>0.1781259614668694</v>
      </c>
      <c r="FJ13">
        <v>0.29245231182798154</v>
      </c>
      <c r="FK13">
        <v>0.29031357757212783</v>
      </c>
      <c r="FL13">
        <v>0.1618451786121029</v>
      </c>
      <c r="FM13">
        <v>2.6697498438578372E-2</v>
      </c>
      <c r="FN13">
        <v>1.9324806213651326E-5</v>
      </c>
      <c r="FO13">
        <v>0</v>
      </c>
      <c r="FQ13" t="s">
        <v>469</v>
      </c>
      <c r="FR13" t="s">
        <v>127</v>
      </c>
      <c r="FS13" t="s">
        <v>128</v>
      </c>
      <c r="FT13">
        <v>0.46830310857452684</v>
      </c>
    </row>
    <row r="14" spans="2:176" x14ac:dyDescent="0.45">
      <c r="B14" t="s">
        <v>470</v>
      </c>
      <c r="C14" t="s">
        <v>123</v>
      </c>
      <c r="D14">
        <v>0</v>
      </c>
      <c r="E14">
        <v>0</v>
      </c>
      <c r="F14">
        <v>0.94978364638348212</v>
      </c>
      <c r="G14">
        <v>0.40605665957607606</v>
      </c>
      <c r="H14">
        <v>0.28715515550738274</v>
      </c>
      <c r="I14">
        <v>0.28836244893673674</v>
      </c>
      <c r="J14">
        <v>0.35291502846124967</v>
      </c>
      <c r="K14">
        <v>0.78421579089751281</v>
      </c>
      <c r="L14">
        <v>0</v>
      </c>
      <c r="M14">
        <v>0</v>
      </c>
      <c r="N14">
        <v>0</v>
      </c>
      <c r="O14">
        <v>0.75196368285172877</v>
      </c>
      <c r="P14">
        <v>0.37270520314322408</v>
      </c>
      <c r="Q14">
        <v>0.22836863524731826</v>
      </c>
      <c r="R14">
        <v>0.19573888390138136</v>
      </c>
      <c r="S14">
        <v>0.18950832523221495</v>
      </c>
      <c r="T14">
        <v>0.19875523513331081</v>
      </c>
      <c r="U14">
        <v>0.26660630947528063</v>
      </c>
      <c r="V14">
        <v>0.62287250081749546</v>
      </c>
      <c r="W14">
        <v>0</v>
      </c>
      <c r="X14">
        <v>0</v>
      </c>
      <c r="Y14">
        <v>0.5188924758508332</v>
      </c>
      <c r="Z14">
        <v>0.23363747652043462</v>
      </c>
      <c r="AA14">
        <v>0.13293956293218906</v>
      </c>
      <c r="AB14">
        <v>0.10772373037778464</v>
      </c>
      <c r="AC14">
        <v>0.11339129463132104</v>
      </c>
      <c r="AD14">
        <v>0.13392280566329157</v>
      </c>
      <c r="AE14">
        <v>0.18352650657141892</v>
      </c>
      <c r="AF14">
        <v>0.35326578565591238</v>
      </c>
      <c r="AG14">
        <v>0</v>
      </c>
      <c r="AH14">
        <v>0</v>
      </c>
      <c r="AI14">
        <v>0</v>
      </c>
      <c r="AJ14">
        <v>0.60804815233818843</v>
      </c>
      <c r="AK14">
        <v>0.34841542976436352</v>
      </c>
      <c r="AL14">
        <v>0.28550134770020003</v>
      </c>
      <c r="AM14">
        <v>0.2749500606371405</v>
      </c>
      <c r="AN14">
        <v>0.31043390997555881</v>
      </c>
      <c r="AO14">
        <v>0.56025791883855514</v>
      </c>
      <c r="AP14">
        <v>0.94955267728577331</v>
      </c>
      <c r="AQ14">
        <v>0</v>
      </c>
      <c r="EA14" t="s">
        <v>470</v>
      </c>
      <c r="EB14">
        <v>0</v>
      </c>
      <c r="EC14">
        <v>0</v>
      </c>
      <c r="ED14">
        <v>2.4726232804180958E-4</v>
      </c>
      <c r="EE14">
        <v>6.4067350990250349E-2</v>
      </c>
      <c r="EF14">
        <v>0.1875170895453227</v>
      </c>
      <c r="EG14">
        <v>0.20333123835940678</v>
      </c>
      <c r="EH14">
        <v>0.1141256459939011</v>
      </c>
      <c r="EI14">
        <v>1.1455879060088285E-2</v>
      </c>
      <c r="EJ14">
        <v>0</v>
      </c>
      <c r="EK14">
        <v>0</v>
      </c>
      <c r="EL14">
        <v>0</v>
      </c>
      <c r="EM14">
        <v>3.4949421446796884E-3</v>
      </c>
      <c r="EN14">
        <v>8.3441949231850263E-2</v>
      </c>
      <c r="EO14">
        <v>0.27951583921375578</v>
      </c>
      <c r="EP14">
        <v>0.41919053813199658</v>
      </c>
      <c r="EQ14">
        <v>0.42682062832053247</v>
      </c>
      <c r="ER14">
        <v>0.3051707930369767</v>
      </c>
      <c r="ES14">
        <v>0.11713795148937547</v>
      </c>
      <c r="ET14">
        <v>7.4351858839341008E-3</v>
      </c>
      <c r="EU14">
        <v>0</v>
      </c>
      <c r="EV14">
        <v>0</v>
      </c>
      <c r="EW14">
        <v>1.0900887297700156E-2</v>
      </c>
      <c r="EX14">
        <v>0.14263166293081522</v>
      </c>
      <c r="EY14">
        <v>0.37741916005660769</v>
      </c>
      <c r="EZ14">
        <v>0.51458057012351721</v>
      </c>
      <c r="FA14">
        <v>0.50009294635432777</v>
      </c>
      <c r="FB14">
        <v>0.37748881963453668</v>
      </c>
      <c r="FC14">
        <v>0.18237710451978104</v>
      </c>
      <c r="FD14">
        <v>2.3424139042218982E-2</v>
      </c>
      <c r="FE14">
        <v>0</v>
      </c>
      <c r="FF14">
        <v>0</v>
      </c>
      <c r="FG14">
        <v>0</v>
      </c>
      <c r="FH14">
        <v>2.7294405901608192E-2</v>
      </c>
      <c r="FI14">
        <v>0.1668833718875504</v>
      </c>
      <c r="FJ14">
        <v>0.2951740944620404</v>
      </c>
      <c r="FK14">
        <v>0.2896637043074915</v>
      </c>
      <c r="FL14">
        <v>0.17480637919605019</v>
      </c>
      <c r="FM14">
        <v>3.6306989634866137E-2</v>
      </c>
      <c r="FN14">
        <v>1.1663426304809014E-4</v>
      </c>
      <c r="FO14">
        <v>0</v>
      </c>
      <c r="FQ14" t="s">
        <v>470</v>
      </c>
      <c r="FR14" t="s">
        <v>127</v>
      </c>
      <c r="FS14" t="s">
        <v>128</v>
      </c>
      <c r="FT14">
        <v>0.41847206125971953</v>
      </c>
    </row>
    <row r="15" spans="2:176" x14ac:dyDescent="0.45">
      <c r="B15" t="s">
        <v>471</v>
      </c>
      <c r="C15" t="s">
        <v>123</v>
      </c>
      <c r="D15">
        <v>0</v>
      </c>
      <c r="E15">
        <v>0</v>
      </c>
      <c r="F15">
        <v>0.92451480063134517</v>
      </c>
      <c r="G15">
        <v>0.35701693631155507</v>
      </c>
      <c r="H15">
        <v>0.2478546788720199</v>
      </c>
      <c r="I15">
        <v>0.24676491616509968</v>
      </c>
      <c r="J15">
        <v>0.33279921880819929</v>
      </c>
      <c r="K15">
        <v>0.79430640394337793</v>
      </c>
      <c r="L15">
        <v>0</v>
      </c>
      <c r="M15">
        <v>0</v>
      </c>
      <c r="N15">
        <v>0</v>
      </c>
      <c r="O15">
        <v>0.73160750392817642</v>
      </c>
      <c r="P15">
        <v>0.35548686482743003</v>
      </c>
      <c r="Q15">
        <v>0.2231545747274758</v>
      </c>
      <c r="R15">
        <v>0.19155021857000551</v>
      </c>
      <c r="S15">
        <v>0.18319756987899061</v>
      </c>
      <c r="T15">
        <v>0.18734394478980129</v>
      </c>
      <c r="U15">
        <v>0.26649514068353786</v>
      </c>
      <c r="V15">
        <v>0.65059843491532887</v>
      </c>
      <c r="W15">
        <v>0</v>
      </c>
      <c r="X15">
        <v>0</v>
      </c>
      <c r="Y15">
        <v>0.50065518465541281</v>
      </c>
      <c r="Z15">
        <v>0.23012021013136039</v>
      </c>
      <c r="AA15">
        <v>0.13377774851106675</v>
      </c>
      <c r="AB15">
        <v>0.11246347612807525</v>
      </c>
      <c r="AC15">
        <v>0.11627344643853432</v>
      </c>
      <c r="AD15">
        <v>0.13654033830955023</v>
      </c>
      <c r="AE15">
        <v>0.18942244889365606</v>
      </c>
      <c r="AF15">
        <v>0.37915780056118653</v>
      </c>
      <c r="AG15">
        <v>0</v>
      </c>
      <c r="AH15">
        <v>0</v>
      </c>
      <c r="AI15">
        <v>0</v>
      </c>
      <c r="AJ15">
        <v>0.56891404261850886</v>
      </c>
      <c r="AK15">
        <v>0.3303380040113999</v>
      </c>
      <c r="AL15">
        <v>0.2766903325536248</v>
      </c>
      <c r="AM15">
        <v>0.25919730726524765</v>
      </c>
      <c r="AN15">
        <v>0.30591382080896579</v>
      </c>
      <c r="AO15">
        <v>0.57106542451861109</v>
      </c>
      <c r="AP15">
        <v>0.96153846153846145</v>
      </c>
      <c r="AQ15">
        <v>0</v>
      </c>
      <c r="EA15" t="s">
        <v>471</v>
      </c>
      <c r="EB15">
        <v>0</v>
      </c>
      <c r="EC15">
        <v>0</v>
      </c>
      <c r="ED15">
        <v>4.4507457686081476E-4</v>
      </c>
      <c r="EE15">
        <v>7.5945381261765102E-2</v>
      </c>
      <c r="EF15">
        <v>0.2051781027670726</v>
      </c>
      <c r="EG15">
        <v>0.21745092505111205</v>
      </c>
      <c r="EH15">
        <v>0.11317282257687537</v>
      </c>
      <c r="EI15">
        <v>9.8952835364377462E-3</v>
      </c>
      <c r="EJ15">
        <v>0</v>
      </c>
      <c r="EK15">
        <v>0</v>
      </c>
      <c r="EL15">
        <v>0</v>
      </c>
      <c r="EM15">
        <v>4.0220464869220526E-3</v>
      </c>
      <c r="EN15">
        <v>9.2269852558596946E-2</v>
      </c>
      <c r="EO15">
        <v>0.2915454515268659</v>
      </c>
      <c r="EP15">
        <v>0.42370671604570331</v>
      </c>
      <c r="EQ15">
        <v>0.41907185853352585</v>
      </c>
      <c r="ER15">
        <v>0.29674317174320164</v>
      </c>
      <c r="ES15">
        <v>0.11152082827024314</v>
      </c>
      <c r="ET15">
        <v>6.1961068215021136E-3</v>
      </c>
      <c r="EU15">
        <v>0</v>
      </c>
      <c r="EV15">
        <v>0</v>
      </c>
      <c r="EW15">
        <v>1.1369800675442576E-2</v>
      </c>
      <c r="EX15">
        <v>0.14925134659151459</v>
      </c>
      <c r="EY15">
        <v>0.38776752350009702</v>
      </c>
      <c r="EZ15">
        <v>0.51539608551660987</v>
      </c>
      <c r="FA15">
        <v>0.49363008327034308</v>
      </c>
      <c r="FB15">
        <v>0.36556854080685913</v>
      </c>
      <c r="FC15">
        <v>0.1729230176163398</v>
      </c>
      <c r="FD15">
        <v>1.9725073802118055E-2</v>
      </c>
      <c r="FE15">
        <v>0</v>
      </c>
      <c r="FF15">
        <v>0</v>
      </c>
      <c r="FG15">
        <v>0</v>
      </c>
      <c r="FH15">
        <v>3.1944922309034243E-2</v>
      </c>
      <c r="FI15">
        <v>0.17648336839391426</v>
      </c>
      <c r="FJ15">
        <v>0.30768421152970654</v>
      </c>
      <c r="FK15">
        <v>0.30527952979978185</v>
      </c>
      <c r="FL15">
        <v>0.17821619241998343</v>
      </c>
      <c r="FM15">
        <v>3.3681221784314382E-2</v>
      </c>
      <c r="FN15">
        <v>6.3681708100482535E-5</v>
      </c>
      <c r="FO15">
        <v>0</v>
      </c>
      <c r="FQ15" t="s">
        <v>471</v>
      </c>
      <c r="FR15" t="s">
        <v>127</v>
      </c>
      <c r="FS15" t="s">
        <v>128</v>
      </c>
      <c r="FT15">
        <v>0.45102952122909135</v>
      </c>
    </row>
    <row r="16" spans="2:176" x14ac:dyDescent="0.45">
      <c r="B16" t="s">
        <v>472</v>
      </c>
      <c r="C16" t="s">
        <v>123</v>
      </c>
      <c r="D16">
        <v>0</v>
      </c>
      <c r="E16">
        <v>0</v>
      </c>
      <c r="F16">
        <v>0.9362287391609273</v>
      </c>
      <c r="G16">
        <v>0.41677797872261707</v>
      </c>
      <c r="H16">
        <v>0.27592754572771933</v>
      </c>
      <c r="I16">
        <v>0.28513102584738226</v>
      </c>
      <c r="J16">
        <v>0.3816153668414306</v>
      </c>
      <c r="K16">
        <v>0.82776860091165483</v>
      </c>
      <c r="L16">
        <v>0</v>
      </c>
      <c r="M16">
        <v>0</v>
      </c>
      <c r="N16">
        <v>0</v>
      </c>
      <c r="O16">
        <v>0.67425913315746955</v>
      </c>
      <c r="P16">
        <v>0.31531155853712195</v>
      </c>
      <c r="Q16">
        <v>0.16540675252793446</v>
      </c>
      <c r="R16">
        <v>0.15470099897285086</v>
      </c>
      <c r="S16">
        <v>0.1615320902519044</v>
      </c>
      <c r="T16">
        <v>0.17095441845983955</v>
      </c>
      <c r="U16">
        <v>0.27007328078817711</v>
      </c>
      <c r="V16">
        <v>0.64971775277246335</v>
      </c>
      <c r="W16">
        <v>0</v>
      </c>
      <c r="X16">
        <v>0</v>
      </c>
      <c r="Y16">
        <v>0.42954250590293147</v>
      </c>
      <c r="Z16">
        <v>0.21623208450082618</v>
      </c>
      <c r="AA16">
        <v>0.14449683819891818</v>
      </c>
      <c r="AB16">
        <v>0.11457612933698712</v>
      </c>
      <c r="AC16">
        <v>0.1134903962221608</v>
      </c>
      <c r="AD16">
        <v>0.14329861371136288</v>
      </c>
      <c r="AE16">
        <v>0.19115757157129273</v>
      </c>
      <c r="AF16">
        <v>0.35817464019851381</v>
      </c>
      <c r="AG16">
        <v>0</v>
      </c>
      <c r="AH16">
        <v>0</v>
      </c>
      <c r="AI16">
        <v>0.98528395020044013</v>
      </c>
      <c r="AJ16">
        <v>0.56535604734084532</v>
      </c>
      <c r="AK16">
        <v>0.34660116157774773</v>
      </c>
      <c r="AL16">
        <v>0.2754733012226086</v>
      </c>
      <c r="AM16">
        <v>0.26492931982887891</v>
      </c>
      <c r="AN16">
        <v>0.3101744835636211</v>
      </c>
      <c r="AO16">
        <v>0.61471277795904378</v>
      </c>
      <c r="AP16">
        <v>0.97252747252747251</v>
      </c>
      <c r="AQ16">
        <v>0</v>
      </c>
      <c r="EA16" t="s">
        <v>472</v>
      </c>
      <c r="EB16">
        <v>0</v>
      </c>
      <c r="EC16">
        <v>0</v>
      </c>
      <c r="ED16">
        <v>8.8809541719416115E-4</v>
      </c>
      <c r="EE16">
        <v>6.5139607333764574E-2</v>
      </c>
      <c r="EF16">
        <v>0.17536724475657389</v>
      </c>
      <c r="EG16">
        <v>0.17306771259301224</v>
      </c>
      <c r="EH16">
        <v>7.8327467541709772E-2</v>
      </c>
      <c r="EI16">
        <v>5.5896646202261667E-3</v>
      </c>
      <c r="EJ16">
        <v>0</v>
      </c>
      <c r="EK16">
        <v>0</v>
      </c>
      <c r="EL16">
        <v>0</v>
      </c>
      <c r="EM16">
        <v>6.4963549368312759E-3</v>
      </c>
      <c r="EN16">
        <v>0.12090704966976162</v>
      </c>
      <c r="EO16">
        <v>0.35795635841375467</v>
      </c>
      <c r="EP16">
        <v>0.49219214546269435</v>
      </c>
      <c r="EQ16">
        <v>0.46713095171597413</v>
      </c>
      <c r="ER16">
        <v>0.32454657010705223</v>
      </c>
      <c r="ES16">
        <v>0.1171747153621472</v>
      </c>
      <c r="ET16">
        <v>6.4853310530932759E-3</v>
      </c>
      <c r="EU16">
        <v>0</v>
      </c>
      <c r="EV16">
        <v>0</v>
      </c>
      <c r="EW16">
        <v>1.4817347796871112E-2</v>
      </c>
      <c r="EX16">
        <v>0.15734052922975528</v>
      </c>
      <c r="EY16">
        <v>0.38020867717952078</v>
      </c>
      <c r="EZ16">
        <v>0.51081325630826879</v>
      </c>
      <c r="FA16">
        <v>0.50344591220200186</v>
      </c>
      <c r="FB16">
        <v>0.36728134118685651</v>
      </c>
      <c r="FC16">
        <v>0.17037757753470514</v>
      </c>
      <c r="FD16">
        <v>1.9746180125087772E-2</v>
      </c>
      <c r="FE16">
        <v>0</v>
      </c>
      <c r="FF16">
        <v>0</v>
      </c>
      <c r="FG16">
        <v>5.0217250338837673E-6</v>
      </c>
      <c r="FH16">
        <v>3.3084420273866662E-2</v>
      </c>
      <c r="FI16">
        <v>0.17201424272249743</v>
      </c>
      <c r="FJ16">
        <v>0.28815675732954732</v>
      </c>
      <c r="FK16">
        <v>0.27498709469470473</v>
      </c>
      <c r="FL16">
        <v>0.15756693887933343</v>
      </c>
      <c r="FM16">
        <v>2.6617968768758271E-2</v>
      </c>
      <c r="FN16">
        <v>2.5663243278294758E-5</v>
      </c>
      <c r="FO16">
        <v>0</v>
      </c>
      <c r="FQ16" t="s">
        <v>472</v>
      </c>
      <c r="FR16" t="s">
        <v>127</v>
      </c>
      <c r="FS16" t="s">
        <v>128</v>
      </c>
      <c r="FT16">
        <v>0.47798408211840049</v>
      </c>
    </row>
    <row r="17" spans="2:176" x14ac:dyDescent="0.45">
      <c r="B17" t="s">
        <v>473</v>
      </c>
      <c r="C17" t="s">
        <v>123</v>
      </c>
      <c r="D17">
        <v>0</v>
      </c>
      <c r="E17">
        <v>0</v>
      </c>
      <c r="F17">
        <v>0.94984053655526213</v>
      </c>
      <c r="G17">
        <v>0.46775262499828318</v>
      </c>
      <c r="H17">
        <v>0.31812351021247487</v>
      </c>
      <c r="I17">
        <v>0.3319898076108041</v>
      </c>
      <c r="J17">
        <v>0.39774599158779728</v>
      </c>
      <c r="K17">
        <v>0.81636290333162309</v>
      </c>
      <c r="L17">
        <v>0</v>
      </c>
      <c r="M17">
        <v>0</v>
      </c>
      <c r="N17">
        <v>0</v>
      </c>
      <c r="O17">
        <v>0.70130774376642691</v>
      </c>
      <c r="P17">
        <v>0.32051419857436625</v>
      </c>
      <c r="Q17">
        <v>0.18342138244378686</v>
      </c>
      <c r="R17">
        <v>0.15928804125246798</v>
      </c>
      <c r="S17">
        <v>0.15487814510523193</v>
      </c>
      <c r="T17">
        <v>0.17166562136722752</v>
      </c>
      <c r="U17">
        <v>0.24573810877093141</v>
      </c>
      <c r="V17">
        <v>0.60874847301090018</v>
      </c>
      <c r="W17">
        <v>0</v>
      </c>
      <c r="X17">
        <v>0</v>
      </c>
      <c r="Y17">
        <v>0.44745608476891907</v>
      </c>
      <c r="Z17">
        <v>0.21853476766308574</v>
      </c>
      <c r="AA17">
        <v>0.13506494689307419</v>
      </c>
      <c r="AB17">
        <v>0.10763251688371202</v>
      </c>
      <c r="AC17">
        <v>0.11028006895278701</v>
      </c>
      <c r="AD17">
        <v>0.12996013835963036</v>
      </c>
      <c r="AE17">
        <v>0.18281536938723447</v>
      </c>
      <c r="AF17">
        <v>0.33419798330418971</v>
      </c>
      <c r="AG17">
        <v>0.92189648024760429</v>
      </c>
      <c r="AH17">
        <v>0</v>
      </c>
      <c r="AI17">
        <v>0.99450549450549419</v>
      </c>
      <c r="AJ17">
        <v>0.60113988614450609</v>
      </c>
      <c r="AK17">
        <v>0.33347301876660229</v>
      </c>
      <c r="AL17">
        <v>0.25482526851306631</v>
      </c>
      <c r="AM17">
        <v>0.24042050522369116</v>
      </c>
      <c r="AN17">
        <v>0.29562395987153656</v>
      </c>
      <c r="AO17">
        <v>0.58355009467003238</v>
      </c>
      <c r="AP17">
        <v>0.94773986844795177</v>
      </c>
      <c r="AQ17">
        <v>0</v>
      </c>
      <c r="EA17" t="s">
        <v>473</v>
      </c>
      <c r="EB17">
        <v>0</v>
      </c>
      <c r="EC17">
        <v>0</v>
      </c>
      <c r="ED17">
        <v>4.5559884260408322E-4</v>
      </c>
      <c r="EE17">
        <v>5.4406571068106202E-2</v>
      </c>
      <c r="EF17">
        <v>0.16948978118816632</v>
      </c>
      <c r="EG17">
        <v>0.18082886990793356</v>
      </c>
      <c r="EH17">
        <v>9.3845443797199932E-2</v>
      </c>
      <c r="EI17">
        <v>9.2629788664974552E-3</v>
      </c>
      <c r="EJ17">
        <v>0</v>
      </c>
      <c r="EK17">
        <v>0</v>
      </c>
      <c r="EL17">
        <v>0</v>
      </c>
      <c r="EM17">
        <v>5.2205314609887589E-3</v>
      </c>
      <c r="EN17">
        <v>0.10607789498699999</v>
      </c>
      <c r="EO17">
        <v>0.34048615716946551</v>
      </c>
      <c r="EP17">
        <v>0.48209898505367865</v>
      </c>
      <c r="EQ17">
        <v>0.47543191743076318</v>
      </c>
      <c r="ER17">
        <v>0.33881213808422822</v>
      </c>
      <c r="ES17">
        <v>0.13397715830315687</v>
      </c>
      <c r="ET17">
        <v>8.458635311474328E-3</v>
      </c>
      <c r="EU17">
        <v>0</v>
      </c>
      <c r="EV17">
        <v>0</v>
      </c>
      <c r="EW17">
        <v>1.3748594821585709E-2</v>
      </c>
      <c r="EX17">
        <v>0.14693244021917434</v>
      </c>
      <c r="EY17">
        <v>0.37290583558819657</v>
      </c>
      <c r="EZ17">
        <v>0.51878547915722673</v>
      </c>
      <c r="FA17">
        <v>0.51323396423698908</v>
      </c>
      <c r="FB17">
        <v>0.39137100019618465</v>
      </c>
      <c r="FC17">
        <v>0.18739838249014462</v>
      </c>
      <c r="FD17">
        <v>2.5907564050860168E-2</v>
      </c>
      <c r="FE17">
        <v>1.2620115564427183E-5</v>
      </c>
      <c r="FF17">
        <v>0</v>
      </c>
      <c r="FG17">
        <v>1.4124154329415655E-6</v>
      </c>
      <c r="FH17">
        <v>2.6539058751086295E-2</v>
      </c>
      <c r="FI17">
        <v>0.16622528675192494</v>
      </c>
      <c r="FJ17">
        <v>0.2906403400112692</v>
      </c>
      <c r="FK17">
        <v>0.29642544052564668</v>
      </c>
      <c r="FL17">
        <v>0.17513097672246317</v>
      </c>
      <c r="FM17">
        <v>3.331069853612819E-2</v>
      </c>
      <c r="FN17">
        <v>9.7942809500908368E-5</v>
      </c>
      <c r="FO17">
        <v>0</v>
      </c>
      <c r="FQ17" t="s">
        <v>473</v>
      </c>
      <c r="FR17" t="s">
        <v>127</v>
      </c>
      <c r="FS17" t="s">
        <v>128</v>
      </c>
      <c r="FT17">
        <v>0.4416343050642933</v>
      </c>
    </row>
    <row r="18" spans="2:176" x14ac:dyDescent="0.45">
      <c r="B18" t="s">
        <v>474</v>
      </c>
      <c r="C18" t="s">
        <v>123</v>
      </c>
      <c r="D18">
        <v>0</v>
      </c>
      <c r="E18">
        <v>0</v>
      </c>
      <c r="F18">
        <v>0.95137428878513719</v>
      </c>
      <c r="G18">
        <v>0.48686041174993722</v>
      </c>
      <c r="H18">
        <v>0.32779408782687181</v>
      </c>
      <c r="I18">
        <v>0.32378167595185076</v>
      </c>
      <c r="J18">
        <v>0.40482172844480524</v>
      </c>
      <c r="K18">
        <v>0.82254869889893523</v>
      </c>
      <c r="L18">
        <v>0</v>
      </c>
      <c r="M18">
        <v>0</v>
      </c>
      <c r="N18">
        <v>0</v>
      </c>
      <c r="O18">
        <v>0.6840718549901379</v>
      </c>
      <c r="P18">
        <v>0.31958338586276613</v>
      </c>
      <c r="Q18">
        <v>0.17364901232814925</v>
      </c>
      <c r="R18">
        <v>0.14268421562102901</v>
      </c>
      <c r="S18">
        <v>0.13233119980409191</v>
      </c>
      <c r="T18">
        <v>0.155485271810826</v>
      </c>
      <c r="U18">
        <v>0.25941441118019198</v>
      </c>
      <c r="V18">
        <v>0.60721735043598535</v>
      </c>
      <c r="W18">
        <v>0</v>
      </c>
      <c r="X18">
        <v>0</v>
      </c>
      <c r="Y18">
        <v>0.41737300304632818</v>
      </c>
      <c r="Z18">
        <v>0.20900356783787907</v>
      </c>
      <c r="AA18">
        <v>0.11882821504013374</v>
      </c>
      <c r="AB18">
        <v>9.5218972073635999E-2</v>
      </c>
      <c r="AC18">
        <v>0.10184941734333681</v>
      </c>
      <c r="AD18">
        <v>0.11365790958725262</v>
      </c>
      <c r="AE18">
        <v>0.17169446072063585</v>
      </c>
      <c r="AF18">
        <v>0.32709467600635345</v>
      </c>
      <c r="AG18">
        <v>0.87577937743254897</v>
      </c>
      <c r="AH18">
        <v>0</v>
      </c>
      <c r="AI18">
        <v>0.98600555099391041</v>
      </c>
      <c r="AJ18">
        <v>0.58096929113353513</v>
      </c>
      <c r="AK18">
        <v>0.30067993017022437</v>
      </c>
      <c r="AL18">
        <v>0.22535178753661075</v>
      </c>
      <c r="AM18">
        <v>0.2259088398269275</v>
      </c>
      <c r="AN18">
        <v>0.30288951793057262</v>
      </c>
      <c r="AO18">
        <v>0.59538675625904858</v>
      </c>
      <c r="AP18">
        <v>0.94923074965273679</v>
      </c>
      <c r="AQ18">
        <v>0</v>
      </c>
      <c r="EA18" t="s">
        <v>474</v>
      </c>
      <c r="EB18">
        <v>0</v>
      </c>
      <c r="EC18">
        <v>0</v>
      </c>
      <c r="ED18">
        <v>6.2299011013250243E-4</v>
      </c>
      <c r="EE18">
        <v>5.3722357812213163E-2</v>
      </c>
      <c r="EF18">
        <v>0.16872866479464102</v>
      </c>
      <c r="EG18">
        <v>0.19282785089964444</v>
      </c>
      <c r="EH18">
        <v>0.1054994634954025</v>
      </c>
      <c r="EI18">
        <v>9.0874223046021902E-3</v>
      </c>
      <c r="EJ18">
        <v>0</v>
      </c>
      <c r="EK18">
        <v>0</v>
      </c>
      <c r="EL18">
        <v>0</v>
      </c>
      <c r="EM18">
        <v>5.7712028626311978E-3</v>
      </c>
      <c r="EN18">
        <v>0.11251463981473685</v>
      </c>
      <c r="EO18">
        <v>0.35548523659695042</v>
      </c>
      <c r="EP18">
        <v>0.51570652681790785</v>
      </c>
      <c r="EQ18">
        <v>0.53390700215167752</v>
      </c>
      <c r="ER18">
        <v>0.39157108130908069</v>
      </c>
      <c r="ES18">
        <v>0.15069895510631806</v>
      </c>
      <c r="ET18">
        <v>8.8913679765056635E-3</v>
      </c>
      <c r="EU18">
        <v>0</v>
      </c>
      <c r="EV18">
        <v>0</v>
      </c>
      <c r="EW18">
        <v>1.4716282716432849E-2</v>
      </c>
      <c r="EX18">
        <v>0.15375492256667281</v>
      </c>
      <c r="EY18">
        <v>0.38707804869479229</v>
      </c>
      <c r="EZ18">
        <v>0.54172127097243705</v>
      </c>
      <c r="FA18">
        <v>0.55072200998508736</v>
      </c>
      <c r="FB18">
        <v>0.42740688066421262</v>
      </c>
      <c r="FC18">
        <v>0.20657330226815218</v>
      </c>
      <c r="FD18">
        <v>2.7241211186954505E-2</v>
      </c>
      <c r="FE18">
        <v>4.1517793321084662E-5</v>
      </c>
      <c r="FF18">
        <v>0</v>
      </c>
      <c r="FG18">
        <v>5.2257635417801671E-6</v>
      </c>
      <c r="FH18">
        <v>3.0693338430933758E-2</v>
      </c>
      <c r="FI18">
        <v>0.18359681173254244</v>
      </c>
      <c r="FJ18">
        <v>0.32095131247759368</v>
      </c>
      <c r="FK18">
        <v>0.31986978634551921</v>
      </c>
      <c r="FL18">
        <v>0.18622353671147679</v>
      </c>
      <c r="FM18">
        <v>3.4873396553694799E-2</v>
      </c>
      <c r="FN18">
        <v>1.0564199605102771E-4</v>
      </c>
      <c r="FO18">
        <v>0</v>
      </c>
      <c r="FQ18" t="s">
        <v>474</v>
      </c>
      <c r="FR18" t="s">
        <v>127</v>
      </c>
      <c r="FS18" t="s">
        <v>128</v>
      </c>
      <c r="FT18">
        <v>0.45421299843590507</v>
      </c>
    </row>
    <row r="19" spans="2:176" x14ac:dyDescent="0.45">
      <c r="B19" t="s">
        <v>475</v>
      </c>
      <c r="C19" t="s">
        <v>123</v>
      </c>
      <c r="D19">
        <v>0</v>
      </c>
      <c r="E19">
        <v>0</v>
      </c>
      <c r="F19">
        <v>0.98305491987788107</v>
      </c>
      <c r="G19">
        <v>0.5340850691156358</v>
      </c>
      <c r="H19">
        <v>0.36409225556003344</v>
      </c>
      <c r="I19">
        <v>0.33597964999553581</v>
      </c>
      <c r="J19">
        <v>0.39815367425108666</v>
      </c>
      <c r="K19">
        <v>0.78201744828260888</v>
      </c>
      <c r="L19">
        <v>0</v>
      </c>
      <c r="M19">
        <v>0</v>
      </c>
      <c r="N19">
        <v>0</v>
      </c>
      <c r="O19">
        <v>0.74221222190779168</v>
      </c>
      <c r="P19">
        <v>0.35950690188242207</v>
      </c>
      <c r="Q19">
        <v>0.23197558042787622</v>
      </c>
      <c r="R19">
        <v>0.1912314403433121</v>
      </c>
      <c r="S19">
        <v>0.17884993187769829</v>
      </c>
      <c r="T19">
        <v>0.18769780467523442</v>
      </c>
      <c r="U19">
        <v>0.24269129702763104</v>
      </c>
      <c r="V19">
        <v>0.58376930312616682</v>
      </c>
      <c r="W19">
        <v>0</v>
      </c>
      <c r="X19">
        <v>0</v>
      </c>
      <c r="Y19">
        <v>0.50809050404319223</v>
      </c>
      <c r="Z19">
        <v>0.23952071077483669</v>
      </c>
      <c r="AA19">
        <v>0.14783646055791091</v>
      </c>
      <c r="AB19">
        <v>0.11708267809215761</v>
      </c>
      <c r="AC19">
        <v>0.10925563805709497</v>
      </c>
      <c r="AD19">
        <v>0.12349164796704321</v>
      </c>
      <c r="AE19">
        <v>0.17261169703474696</v>
      </c>
      <c r="AF19">
        <v>0.33734089615887525</v>
      </c>
      <c r="AG19">
        <v>0.86493162120256406</v>
      </c>
      <c r="AH19">
        <v>0</v>
      </c>
      <c r="AI19">
        <v>0</v>
      </c>
      <c r="AJ19">
        <v>0.63795663723934293</v>
      </c>
      <c r="AK19">
        <v>0.32506254392176831</v>
      </c>
      <c r="AL19">
        <v>0.26041120162561171</v>
      </c>
      <c r="AM19">
        <v>0.24846022991213634</v>
      </c>
      <c r="AN19">
        <v>0.28398535558052429</v>
      </c>
      <c r="AO19">
        <v>0.54847912596478754</v>
      </c>
      <c r="AP19">
        <v>0.93136020709034606</v>
      </c>
      <c r="AQ19">
        <v>0</v>
      </c>
      <c r="EA19" t="s">
        <v>475</v>
      </c>
      <c r="EB19">
        <v>0</v>
      </c>
      <c r="EC19">
        <v>0</v>
      </c>
      <c r="ED19">
        <v>2.4802391379318348E-4</v>
      </c>
      <c r="EE19">
        <v>5.2497178764918197E-2</v>
      </c>
      <c r="EF19">
        <v>0.15966163615541415</v>
      </c>
      <c r="EG19">
        <v>0.17968458777407703</v>
      </c>
      <c r="EH19">
        <v>9.941295146098604E-2</v>
      </c>
      <c r="EI19">
        <v>1.0866896774952402E-2</v>
      </c>
      <c r="EJ19">
        <v>0</v>
      </c>
      <c r="EK19">
        <v>0</v>
      </c>
      <c r="EL19">
        <v>0</v>
      </c>
      <c r="EM19">
        <v>3.800958260843177E-3</v>
      </c>
      <c r="EN19">
        <v>8.3080173704185314E-2</v>
      </c>
      <c r="EO19">
        <v>0.29369607216437055</v>
      </c>
      <c r="EP19">
        <v>0.44682018720174949</v>
      </c>
      <c r="EQ19">
        <v>0.45725660860238687</v>
      </c>
      <c r="ER19">
        <v>0.33839674534501618</v>
      </c>
      <c r="ES19">
        <v>0.14734347248470081</v>
      </c>
      <c r="ET19">
        <v>1.031607975014725E-2</v>
      </c>
      <c r="EU19">
        <v>0</v>
      </c>
      <c r="EV19">
        <v>0</v>
      </c>
      <c r="EW19">
        <v>1.0832248911770646E-2</v>
      </c>
      <c r="EX19">
        <v>0.12802943456225213</v>
      </c>
      <c r="EY19">
        <v>0.35005882681743411</v>
      </c>
      <c r="EZ19">
        <v>0.49805204123784608</v>
      </c>
      <c r="FA19">
        <v>0.51362095815048014</v>
      </c>
      <c r="FB19">
        <v>0.40016158897208454</v>
      </c>
      <c r="FC19">
        <v>0.20396945305990979</v>
      </c>
      <c r="FD19">
        <v>3.2509777224907242E-2</v>
      </c>
      <c r="FE19">
        <v>1.2058505783292527E-4</v>
      </c>
      <c r="FF19">
        <v>0</v>
      </c>
      <c r="FG19">
        <v>0</v>
      </c>
      <c r="FH19">
        <v>2.0671501534349889E-2</v>
      </c>
      <c r="FI19">
        <v>0.16039810538080596</v>
      </c>
      <c r="FJ19">
        <v>0.29552980833937842</v>
      </c>
      <c r="FK19">
        <v>0.29555694167044388</v>
      </c>
      <c r="FL19">
        <v>0.18574086802138476</v>
      </c>
      <c r="FM19">
        <v>3.8833994407013815E-2</v>
      </c>
      <c r="FN19">
        <v>1.9561351716148716E-4</v>
      </c>
      <c r="FO19">
        <v>0</v>
      </c>
      <c r="FQ19" t="s">
        <v>475</v>
      </c>
      <c r="FR19" t="s">
        <v>127</v>
      </c>
      <c r="FS19" t="s">
        <v>128</v>
      </c>
      <c r="FT19">
        <v>0.43065301633439373</v>
      </c>
    </row>
    <row r="20" spans="2:176" x14ac:dyDescent="0.45">
      <c r="B20" t="s">
        <v>476</v>
      </c>
      <c r="C20" t="s">
        <v>123</v>
      </c>
      <c r="D20">
        <v>0</v>
      </c>
      <c r="E20">
        <v>0</v>
      </c>
      <c r="F20">
        <v>0.98289450791628741</v>
      </c>
      <c r="G20">
        <v>0.53937032014783592</v>
      </c>
      <c r="H20">
        <v>0.35790767951405827</v>
      </c>
      <c r="I20">
        <v>0.34139917401112224</v>
      </c>
      <c r="J20">
        <v>0.39731202500193558</v>
      </c>
      <c r="K20">
        <v>0.77534257870191792</v>
      </c>
      <c r="L20">
        <v>0</v>
      </c>
      <c r="M20">
        <v>0</v>
      </c>
      <c r="N20">
        <v>0</v>
      </c>
      <c r="O20">
        <v>0.76439581869494955</v>
      </c>
      <c r="P20">
        <v>0.36674074557787029</v>
      </c>
      <c r="Q20">
        <v>0.23189289050572234</v>
      </c>
      <c r="R20">
        <v>0.18690663573713243</v>
      </c>
      <c r="S20">
        <v>0.19030024187651789</v>
      </c>
      <c r="T20">
        <v>0.19288930681870459</v>
      </c>
      <c r="U20">
        <v>0.24748657615710237</v>
      </c>
      <c r="V20">
        <v>0.58222389721021006</v>
      </c>
      <c r="W20">
        <v>0</v>
      </c>
      <c r="X20">
        <v>0</v>
      </c>
      <c r="Y20">
        <v>0.53749403781891059</v>
      </c>
      <c r="Z20">
        <v>0.24172196642984531</v>
      </c>
      <c r="AA20">
        <v>0.14529241939167931</v>
      </c>
      <c r="AB20">
        <v>0.11155456539418102</v>
      </c>
      <c r="AC20">
        <v>0.12869130392909017</v>
      </c>
      <c r="AD20">
        <v>0.1445611060874441</v>
      </c>
      <c r="AE20">
        <v>0.1827172130679651</v>
      </c>
      <c r="AF20">
        <v>0.34384239903797631</v>
      </c>
      <c r="AG20">
        <v>0.86773867168941399</v>
      </c>
      <c r="AH20">
        <v>0</v>
      </c>
      <c r="AI20">
        <v>0</v>
      </c>
      <c r="AJ20">
        <v>0.6476321866547603</v>
      </c>
      <c r="AK20">
        <v>0.33749782210762863</v>
      </c>
      <c r="AL20">
        <v>0.26493754952190546</v>
      </c>
      <c r="AM20">
        <v>0.25220755518391974</v>
      </c>
      <c r="AN20">
        <v>0.28622230393224996</v>
      </c>
      <c r="AO20">
        <v>0.5486469757039002</v>
      </c>
      <c r="AP20">
        <v>0.9285708720868372</v>
      </c>
      <c r="AQ20">
        <v>0</v>
      </c>
      <c r="EA20" t="s">
        <v>476</v>
      </c>
      <c r="EB20">
        <v>0</v>
      </c>
      <c r="EC20">
        <v>0</v>
      </c>
      <c r="ED20">
        <v>1.702073253600978E-4</v>
      </c>
      <c r="EE20">
        <v>4.9070547531518849E-2</v>
      </c>
      <c r="EF20">
        <v>0.15529189028476736</v>
      </c>
      <c r="EG20">
        <v>0.17853866618588274</v>
      </c>
      <c r="EH20">
        <v>0.10005340479785974</v>
      </c>
      <c r="EI20">
        <v>1.28911765951275E-2</v>
      </c>
      <c r="EJ20">
        <v>0</v>
      </c>
      <c r="EK20">
        <v>0</v>
      </c>
      <c r="EL20">
        <v>0</v>
      </c>
      <c r="EM20">
        <v>3.3244798948007573E-3</v>
      </c>
      <c r="EN20">
        <v>7.7416163065905416E-2</v>
      </c>
      <c r="EO20">
        <v>0.27495433867535235</v>
      </c>
      <c r="EP20">
        <v>0.42844084093086943</v>
      </c>
      <c r="EQ20">
        <v>0.43822788526938888</v>
      </c>
      <c r="ER20">
        <v>0.32091375035702957</v>
      </c>
      <c r="ES20">
        <v>0.13733516537477267</v>
      </c>
      <c r="ET20">
        <v>1.0350172536822194E-2</v>
      </c>
      <c r="EU20">
        <v>0</v>
      </c>
      <c r="EV20">
        <v>0</v>
      </c>
      <c r="EW20">
        <v>9.5843737993624861E-3</v>
      </c>
      <c r="EX20">
        <v>0.12316359691937517</v>
      </c>
      <c r="EY20">
        <v>0.34447350168643825</v>
      </c>
      <c r="EZ20">
        <v>0.50130727578177903</v>
      </c>
      <c r="FA20">
        <v>0.49630139847911631</v>
      </c>
      <c r="FB20">
        <v>0.37940598254606211</v>
      </c>
      <c r="FC20">
        <v>0.19906222452515465</v>
      </c>
      <c r="FD20">
        <v>3.2148671714146551E-2</v>
      </c>
      <c r="FE20">
        <v>7.5870500057090886E-5</v>
      </c>
      <c r="FF20">
        <v>0</v>
      </c>
      <c r="FG20">
        <v>0</v>
      </c>
      <c r="FH20">
        <v>1.8653305742182165E-2</v>
      </c>
      <c r="FI20">
        <v>0.15088882600239276</v>
      </c>
      <c r="FJ20">
        <v>0.29361594672866398</v>
      </c>
      <c r="FK20">
        <v>0.29710872123597964</v>
      </c>
      <c r="FL20">
        <v>0.18589164631424965</v>
      </c>
      <c r="FM20">
        <v>3.9720801595715387E-2</v>
      </c>
      <c r="FN20">
        <v>2.4140296374977182E-4</v>
      </c>
      <c r="FO20">
        <v>0</v>
      </c>
      <c r="FQ20" t="s">
        <v>476</v>
      </c>
      <c r="FR20" t="s">
        <v>127</v>
      </c>
      <c r="FS20" t="s">
        <v>128</v>
      </c>
      <c r="FT20">
        <v>0.42483614442109896</v>
      </c>
    </row>
    <row r="21" spans="2:176" x14ac:dyDescent="0.45">
      <c r="B21" t="s">
        <v>477</v>
      </c>
      <c r="C21" t="s">
        <v>123</v>
      </c>
      <c r="D21">
        <v>0</v>
      </c>
      <c r="E21">
        <v>0</v>
      </c>
      <c r="F21">
        <v>0.98248953668956984</v>
      </c>
      <c r="G21">
        <v>0.55698256261156276</v>
      </c>
      <c r="H21">
        <v>0.3444027746343461</v>
      </c>
      <c r="I21">
        <v>0.29102316537317052</v>
      </c>
      <c r="J21">
        <v>0.36322003081634741</v>
      </c>
      <c r="K21">
        <v>0.79040064810730504</v>
      </c>
      <c r="L21">
        <v>0</v>
      </c>
      <c r="M21">
        <v>0</v>
      </c>
      <c r="N21">
        <v>0</v>
      </c>
      <c r="O21">
        <v>0.74042853358694516</v>
      </c>
      <c r="P21">
        <v>0.3608401660787226</v>
      </c>
      <c r="Q21">
        <v>0.20904354385516016</v>
      </c>
      <c r="R21">
        <v>0.17589355782332308</v>
      </c>
      <c r="S21">
        <v>0.16753861893611741</v>
      </c>
      <c r="T21">
        <v>0.17505012807562342</v>
      </c>
      <c r="U21">
        <v>0.2404010671513806</v>
      </c>
      <c r="V21">
        <v>0.56092822612428672</v>
      </c>
      <c r="W21">
        <v>0.98550724637681164</v>
      </c>
      <c r="X21">
        <v>0</v>
      </c>
      <c r="Y21">
        <v>0.50146169008834507</v>
      </c>
      <c r="Z21">
        <v>0.24161280708777885</v>
      </c>
      <c r="AA21">
        <v>0.14943543245935878</v>
      </c>
      <c r="AB21">
        <v>0.13211328467538763</v>
      </c>
      <c r="AC21">
        <v>0.10767806061766252</v>
      </c>
      <c r="AD21">
        <v>0.10443981704575843</v>
      </c>
      <c r="AE21">
        <v>0.16046433063987892</v>
      </c>
      <c r="AF21">
        <v>0.33154017699902727</v>
      </c>
      <c r="AG21">
        <v>0.83953269994305868</v>
      </c>
      <c r="AH21">
        <v>0</v>
      </c>
      <c r="AI21">
        <v>0</v>
      </c>
      <c r="AJ21">
        <v>0.63756909720259702</v>
      </c>
      <c r="AK21">
        <v>0.31623337799533285</v>
      </c>
      <c r="AL21">
        <v>0.24250734141099142</v>
      </c>
      <c r="AM21">
        <v>0.24484611269676093</v>
      </c>
      <c r="AN21">
        <v>0.30278054587440373</v>
      </c>
      <c r="AO21">
        <v>0.55760002200841341</v>
      </c>
      <c r="AP21">
        <v>0.9295939901248973</v>
      </c>
      <c r="AQ21">
        <v>0</v>
      </c>
      <c r="EA21" t="s">
        <v>477</v>
      </c>
      <c r="EB21">
        <v>0</v>
      </c>
      <c r="EC21">
        <v>0</v>
      </c>
      <c r="ED21">
        <v>2.8953706935676624E-4</v>
      </c>
      <c r="EE21">
        <v>4.9603194848861401E-2</v>
      </c>
      <c r="EF21">
        <v>0.16340736865524552</v>
      </c>
      <c r="EG21">
        <v>0.19127932601675077</v>
      </c>
      <c r="EH21">
        <v>0.10893672034599387</v>
      </c>
      <c r="EI21">
        <v>1.0995880995533076E-2</v>
      </c>
      <c r="EJ21">
        <v>0</v>
      </c>
      <c r="EK21">
        <v>0</v>
      </c>
      <c r="EL21">
        <v>0</v>
      </c>
      <c r="EM21">
        <v>3.9727395038613375E-3</v>
      </c>
      <c r="EN21">
        <v>8.5118914703600751E-2</v>
      </c>
      <c r="EO21">
        <v>0.30548991917709439</v>
      </c>
      <c r="EP21">
        <v>0.46768868010016362</v>
      </c>
      <c r="EQ21">
        <v>0.49241778883158738</v>
      </c>
      <c r="ER21">
        <v>0.37566957716439359</v>
      </c>
      <c r="ES21">
        <v>0.16665712747614728</v>
      </c>
      <c r="ET21">
        <v>1.2336591883244758E-2</v>
      </c>
      <c r="EU21">
        <v>9.0550369803195307E-7</v>
      </c>
      <c r="EV21">
        <v>0</v>
      </c>
      <c r="EW21">
        <v>1.1173012539111921E-2</v>
      </c>
      <c r="EX21">
        <v>0.1246079169668035</v>
      </c>
      <c r="EY21">
        <v>0.34155283679710602</v>
      </c>
      <c r="EZ21">
        <v>0.4893174449090561</v>
      </c>
      <c r="FA21">
        <v>0.52367626775337472</v>
      </c>
      <c r="FB21">
        <v>0.43410928714872082</v>
      </c>
      <c r="FC21">
        <v>0.22578968325988671</v>
      </c>
      <c r="FD21">
        <v>3.6707180322418438E-2</v>
      </c>
      <c r="FE21">
        <v>2.9165166426757186E-4</v>
      </c>
      <c r="FF21">
        <v>0</v>
      </c>
      <c r="FG21">
        <v>0</v>
      </c>
      <c r="FH21">
        <v>2.1303486035366508E-2</v>
      </c>
      <c r="FI21">
        <v>0.16280912783983884</v>
      </c>
      <c r="FJ21">
        <v>0.30055186952610657</v>
      </c>
      <c r="FK21">
        <v>0.29827370319700286</v>
      </c>
      <c r="FL21">
        <v>0.18034784696744091</v>
      </c>
      <c r="FM21">
        <v>3.9121630989781768E-2</v>
      </c>
      <c r="FN21">
        <v>2.3497949599827681E-4</v>
      </c>
      <c r="FO21">
        <v>0</v>
      </c>
      <c r="FQ21" t="s">
        <v>477</v>
      </c>
      <c r="FR21" t="s">
        <v>127</v>
      </c>
      <c r="FS21" t="s">
        <v>128</v>
      </c>
      <c r="FT21">
        <v>0.43080050381154195</v>
      </c>
    </row>
    <row r="22" spans="2:176" x14ac:dyDescent="0.45">
      <c r="B22" t="s">
        <v>478</v>
      </c>
      <c r="C22" t="s">
        <v>123</v>
      </c>
      <c r="D22">
        <v>0</v>
      </c>
      <c r="E22">
        <v>0</v>
      </c>
      <c r="F22">
        <v>0.99413438938384668</v>
      </c>
      <c r="G22">
        <v>0.56738604327928022</v>
      </c>
      <c r="H22">
        <v>0.35255103716968789</v>
      </c>
      <c r="I22">
        <v>0.3082727316896221</v>
      </c>
      <c r="J22">
        <v>0.36942898249609424</v>
      </c>
      <c r="K22">
        <v>0.74622759581991294</v>
      </c>
      <c r="L22">
        <v>0</v>
      </c>
      <c r="M22">
        <v>0</v>
      </c>
      <c r="N22">
        <v>0</v>
      </c>
      <c r="O22">
        <v>0.78197504465258327</v>
      </c>
      <c r="P22">
        <v>0.38945615718998239</v>
      </c>
      <c r="Q22">
        <v>0.20842688224670278</v>
      </c>
      <c r="R22">
        <v>0.17691564355246039</v>
      </c>
      <c r="S22">
        <v>0.1653160438955063</v>
      </c>
      <c r="T22">
        <v>0.18378511223149849</v>
      </c>
      <c r="U22">
        <v>0.2450692636957281</v>
      </c>
      <c r="V22">
        <v>0.53503578441488642</v>
      </c>
      <c r="W22">
        <v>0.97826086956521741</v>
      </c>
      <c r="X22">
        <v>0</v>
      </c>
      <c r="Y22">
        <v>0.58064999233073356</v>
      </c>
      <c r="Z22">
        <v>0.26364321425015774</v>
      </c>
      <c r="AA22">
        <v>0.1508876128472009</v>
      </c>
      <c r="AB22">
        <v>0.11992865105628567</v>
      </c>
      <c r="AC22">
        <v>0.11275281849930825</v>
      </c>
      <c r="AD22">
        <v>0.1385558383713949</v>
      </c>
      <c r="AE22">
        <v>0.18093189177935209</v>
      </c>
      <c r="AF22">
        <v>0.32644576160394689</v>
      </c>
      <c r="AG22">
        <v>0.82849508021573759</v>
      </c>
      <c r="AH22">
        <v>0</v>
      </c>
      <c r="AI22">
        <v>0</v>
      </c>
      <c r="AJ22">
        <v>0.67251134958575498</v>
      </c>
      <c r="AK22">
        <v>0.33183423616441554</v>
      </c>
      <c r="AL22">
        <v>0.25185827578614239</v>
      </c>
      <c r="AM22">
        <v>0.23556791840743355</v>
      </c>
      <c r="AN22">
        <v>0.27563174054520473</v>
      </c>
      <c r="AO22">
        <v>0.51676435702346624</v>
      </c>
      <c r="AP22">
        <v>0.91982779723751817</v>
      </c>
      <c r="AQ22">
        <v>0</v>
      </c>
      <c r="EA22" t="s">
        <v>478</v>
      </c>
      <c r="EB22">
        <v>0</v>
      </c>
      <c r="EC22">
        <v>0</v>
      </c>
      <c r="ED22">
        <v>6.1529115169554801E-5</v>
      </c>
      <c r="EE22">
        <v>4.545044682225529E-2</v>
      </c>
      <c r="EF22">
        <v>0.17266437136142943</v>
      </c>
      <c r="EG22">
        <v>0.20846301705586956</v>
      </c>
      <c r="EH22">
        <v>0.12301919542692062</v>
      </c>
      <c r="EI22">
        <v>1.7003658142344211E-2</v>
      </c>
      <c r="EJ22">
        <v>0</v>
      </c>
      <c r="EK22">
        <v>0</v>
      </c>
      <c r="EL22">
        <v>0</v>
      </c>
      <c r="EM22">
        <v>2.7513515757709118E-3</v>
      </c>
      <c r="EN22">
        <v>7.1246867979860934E-2</v>
      </c>
      <c r="EO22">
        <v>0.2828901558942879</v>
      </c>
      <c r="EP22">
        <v>0.45175187497527264</v>
      </c>
      <c r="EQ22">
        <v>0.47351727121619408</v>
      </c>
      <c r="ER22">
        <v>0.3538487097407399</v>
      </c>
      <c r="ES22">
        <v>0.15920739220379843</v>
      </c>
      <c r="ET22">
        <v>1.4580371462572524E-2</v>
      </c>
      <c r="EU22">
        <v>1.9917601700125982E-6</v>
      </c>
      <c r="EV22">
        <v>0</v>
      </c>
      <c r="EW22">
        <v>7.9918170720827165E-3</v>
      </c>
      <c r="EX22">
        <v>0.10803006549640073</v>
      </c>
      <c r="EY22">
        <v>0.32524324064492127</v>
      </c>
      <c r="EZ22">
        <v>0.48285807462938396</v>
      </c>
      <c r="FA22">
        <v>0.50459906421074618</v>
      </c>
      <c r="FB22">
        <v>0.41469705416775898</v>
      </c>
      <c r="FC22">
        <v>0.22316476486570783</v>
      </c>
      <c r="FD22">
        <v>4.0868977849014762E-2</v>
      </c>
      <c r="FE22">
        <v>3.1584618190041091E-4</v>
      </c>
      <c r="FF22">
        <v>0</v>
      </c>
      <c r="FG22">
        <v>0</v>
      </c>
      <c r="FH22">
        <v>1.7835103950301343E-2</v>
      </c>
      <c r="FI22">
        <v>0.15974095173862846</v>
      </c>
      <c r="FJ22">
        <v>0.3000296440867431</v>
      </c>
      <c r="FK22">
        <v>0.30919621476612491</v>
      </c>
      <c r="FL22">
        <v>0.1980564626941293</v>
      </c>
      <c r="FM22">
        <v>4.6900082457152735E-2</v>
      </c>
      <c r="FN22">
        <v>4.7890176744352903E-4</v>
      </c>
      <c r="FO22">
        <v>0</v>
      </c>
      <c r="FQ22" t="s">
        <v>478</v>
      </c>
      <c r="FR22" t="s">
        <v>127</v>
      </c>
      <c r="FS22" t="s">
        <v>128</v>
      </c>
      <c r="FT22">
        <v>0.44966514143847108</v>
      </c>
    </row>
    <row r="23" spans="2:176" x14ac:dyDescent="0.45">
      <c r="B23" t="s">
        <v>479</v>
      </c>
      <c r="C23" t="s">
        <v>123</v>
      </c>
      <c r="D23">
        <v>0</v>
      </c>
      <c r="E23">
        <v>0</v>
      </c>
      <c r="F23">
        <v>0.942835513757173</v>
      </c>
      <c r="G23">
        <v>0.32626809679862584</v>
      </c>
      <c r="H23">
        <v>0.19995784425048774</v>
      </c>
      <c r="I23">
        <v>0.19919025245676525</v>
      </c>
      <c r="J23">
        <v>0.25140236157397539</v>
      </c>
      <c r="K23">
        <v>0.63833458025700263</v>
      </c>
      <c r="L23">
        <v>0</v>
      </c>
      <c r="M23">
        <v>0</v>
      </c>
      <c r="N23">
        <v>0</v>
      </c>
      <c r="O23">
        <v>0.80692633883514975</v>
      </c>
      <c r="P23">
        <v>0.38950694034794342</v>
      </c>
      <c r="Q23">
        <v>0.21340003049068182</v>
      </c>
      <c r="R23">
        <v>0.18069572869723896</v>
      </c>
      <c r="S23">
        <v>0.17468527010599849</v>
      </c>
      <c r="T23">
        <v>0.18813999694420949</v>
      </c>
      <c r="U23">
        <v>0.25025053016008797</v>
      </c>
      <c r="V23">
        <v>0.60989869800888019</v>
      </c>
      <c r="W23">
        <v>0</v>
      </c>
      <c r="X23">
        <v>0</v>
      </c>
      <c r="Y23">
        <v>0.63003014462492513</v>
      </c>
      <c r="Z23">
        <v>0.28839927703149904</v>
      </c>
      <c r="AA23">
        <v>0.15983027920558698</v>
      </c>
      <c r="AB23">
        <v>0.13546132014187329</v>
      </c>
      <c r="AC23">
        <v>0.1264283911375933</v>
      </c>
      <c r="AD23">
        <v>0.13096192087144359</v>
      </c>
      <c r="AE23">
        <v>0.17710350498327584</v>
      </c>
      <c r="AF23">
        <v>0.38287536562159186</v>
      </c>
      <c r="AG23">
        <v>0</v>
      </c>
      <c r="AH23">
        <v>0</v>
      </c>
      <c r="AI23">
        <v>0</v>
      </c>
      <c r="AJ23">
        <v>0.60428937601578203</v>
      </c>
      <c r="AK23">
        <v>0.29702305534388085</v>
      </c>
      <c r="AL23">
        <v>0.23751571984623873</v>
      </c>
      <c r="AM23">
        <v>0.21349364528646891</v>
      </c>
      <c r="AN23">
        <v>0.24949111997310108</v>
      </c>
      <c r="AO23">
        <v>0.49714271341006899</v>
      </c>
      <c r="AP23">
        <v>0.92917313541231616</v>
      </c>
      <c r="AQ23">
        <v>0</v>
      </c>
      <c r="EA23" t="s">
        <v>479</v>
      </c>
      <c r="EB23">
        <v>0</v>
      </c>
      <c r="EC23">
        <v>0</v>
      </c>
      <c r="ED23">
        <v>9.7091185417954857E-4</v>
      </c>
      <c r="EE23">
        <v>0.10908942732355381</v>
      </c>
      <c r="EF23">
        <v>0.31146326638304839</v>
      </c>
      <c r="EG23">
        <v>0.36875821806787662</v>
      </c>
      <c r="EH23">
        <v>0.23032688437750604</v>
      </c>
      <c r="EI23">
        <v>2.9173424289410201E-2</v>
      </c>
      <c r="EJ23">
        <v>0</v>
      </c>
      <c r="EK23">
        <v>0</v>
      </c>
      <c r="EL23">
        <v>0</v>
      </c>
      <c r="EM23">
        <v>1.9147408335179882E-3</v>
      </c>
      <c r="EN23">
        <v>7.3931839589359769E-2</v>
      </c>
      <c r="EO23">
        <v>0.2932837325642218</v>
      </c>
      <c r="EP23">
        <v>0.45602076290982574</v>
      </c>
      <c r="EQ23">
        <v>0.47878360805344078</v>
      </c>
      <c r="ER23">
        <v>0.35268429587499045</v>
      </c>
      <c r="ES23">
        <v>0.14558456087070076</v>
      </c>
      <c r="ET23">
        <v>9.0559451185640311E-3</v>
      </c>
      <c r="EU23">
        <v>0</v>
      </c>
      <c r="EV23">
        <v>0</v>
      </c>
      <c r="EW23">
        <v>5.5877272394158992E-3</v>
      </c>
      <c r="EX23">
        <v>0.11713052580939939</v>
      </c>
      <c r="EY23">
        <v>0.36214820956398003</v>
      </c>
      <c r="EZ23">
        <v>0.51775934930882139</v>
      </c>
      <c r="FA23">
        <v>0.53165704349403042</v>
      </c>
      <c r="FB23">
        <v>0.42050425868660662</v>
      </c>
      <c r="FC23">
        <v>0.21016509577071971</v>
      </c>
      <c r="FD23">
        <v>2.8218299529946967E-2</v>
      </c>
      <c r="FE23">
        <v>0</v>
      </c>
      <c r="FF23">
        <v>0</v>
      </c>
      <c r="FG23">
        <v>0</v>
      </c>
      <c r="FH23">
        <v>2.408229905620661E-2</v>
      </c>
      <c r="FI23">
        <v>0.18058828163055371</v>
      </c>
      <c r="FJ23">
        <v>0.33910047746614347</v>
      </c>
      <c r="FK23">
        <v>0.37037852453190157</v>
      </c>
      <c r="FL23">
        <v>0.24618825570537012</v>
      </c>
      <c r="FM23">
        <v>5.9280278891603783E-2</v>
      </c>
      <c r="FN23">
        <v>3.192853195434492E-4</v>
      </c>
      <c r="FO23">
        <v>0</v>
      </c>
      <c r="FQ23" t="s">
        <v>479</v>
      </c>
      <c r="FR23" t="s">
        <v>127</v>
      </c>
      <c r="FS23" t="s">
        <v>128</v>
      </c>
      <c r="FT23">
        <v>0.48132892368280422</v>
      </c>
    </row>
    <row r="24" spans="2:176" x14ac:dyDescent="0.45">
      <c r="B24" t="s">
        <v>480</v>
      </c>
      <c r="C24" t="s">
        <v>123</v>
      </c>
      <c r="D24">
        <v>0</v>
      </c>
      <c r="E24">
        <v>0</v>
      </c>
      <c r="F24">
        <v>0.937913294016265</v>
      </c>
      <c r="G24">
        <v>0.36281132736172406</v>
      </c>
      <c r="H24">
        <v>0.23532722358929847</v>
      </c>
      <c r="I24">
        <v>0.22858591875956541</v>
      </c>
      <c r="J24">
        <v>0.2917087296301617</v>
      </c>
      <c r="K24">
        <v>0.69478030709786376</v>
      </c>
      <c r="L24">
        <v>0</v>
      </c>
      <c r="M24">
        <v>0</v>
      </c>
      <c r="N24">
        <v>0</v>
      </c>
      <c r="O24">
        <v>0.8041709278494229</v>
      </c>
      <c r="P24">
        <v>0.36951536023511972</v>
      </c>
      <c r="Q24">
        <v>0.21417305456086008</v>
      </c>
      <c r="R24">
        <v>0.17035900741714949</v>
      </c>
      <c r="S24">
        <v>0.17183298266751912</v>
      </c>
      <c r="T24">
        <v>0.18980394648444043</v>
      </c>
      <c r="U24">
        <v>0.26043653516837273</v>
      </c>
      <c r="V24">
        <v>0.61405578468588085</v>
      </c>
      <c r="W24">
        <v>0</v>
      </c>
      <c r="X24">
        <v>0</v>
      </c>
      <c r="Y24">
        <v>0.6004364429055653</v>
      </c>
      <c r="Z24">
        <v>0.26902875628416567</v>
      </c>
      <c r="AA24">
        <v>0.14856954027727418</v>
      </c>
      <c r="AB24">
        <v>0.12463956207730979</v>
      </c>
      <c r="AC24">
        <v>0.12216387116517287</v>
      </c>
      <c r="AD24">
        <v>0.13743349167429936</v>
      </c>
      <c r="AE24">
        <v>0.17559714422763359</v>
      </c>
      <c r="AF24">
        <v>0.3718234042859187</v>
      </c>
      <c r="AG24">
        <v>0</v>
      </c>
      <c r="AH24">
        <v>0</v>
      </c>
      <c r="AI24">
        <v>0</v>
      </c>
      <c r="AJ24">
        <v>0.60783789848584113</v>
      </c>
      <c r="AK24">
        <v>0.33569511126191715</v>
      </c>
      <c r="AL24">
        <v>0.27337236909907392</v>
      </c>
      <c r="AM24">
        <v>0.25139672175031547</v>
      </c>
      <c r="AN24">
        <v>0.29996634384153581</v>
      </c>
      <c r="AO24">
        <v>0.52715156682063358</v>
      </c>
      <c r="AP24">
        <v>0.93800221236421732</v>
      </c>
      <c r="AQ24">
        <v>0</v>
      </c>
      <c r="EA24" t="s">
        <v>480</v>
      </c>
      <c r="EB24">
        <v>0</v>
      </c>
      <c r="EC24">
        <v>0</v>
      </c>
      <c r="ED24">
        <v>5.3800895413052673E-4</v>
      </c>
      <c r="EE24">
        <v>8.6570335315461308E-2</v>
      </c>
      <c r="EF24">
        <v>0.23489359023430495</v>
      </c>
      <c r="EG24">
        <v>0.26789771671727808</v>
      </c>
      <c r="EH24">
        <v>0.15942108653389109</v>
      </c>
      <c r="EI24">
        <v>1.7513881066202455E-2</v>
      </c>
      <c r="EJ24">
        <v>0</v>
      </c>
      <c r="EK24">
        <v>0</v>
      </c>
      <c r="EL24">
        <v>0</v>
      </c>
      <c r="EM24">
        <v>2.6256809427819806E-3</v>
      </c>
      <c r="EN24">
        <v>7.823769823896333E-2</v>
      </c>
      <c r="EO24">
        <v>0.29156229785261067</v>
      </c>
      <c r="EP24">
        <v>0.44195737223965026</v>
      </c>
      <c r="EQ24">
        <v>0.45061944640490148</v>
      </c>
      <c r="ER24">
        <v>0.33520069509998329</v>
      </c>
      <c r="ES24">
        <v>0.13582121697829438</v>
      </c>
      <c r="ET24">
        <v>8.2642009394297798E-3</v>
      </c>
      <c r="EU24">
        <v>0</v>
      </c>
      <c r="EV24">
        <v>0</v>
      </c>
      <c r="EW24">
        <v>7.789264576724522E-3</v>
      </c>
      <c r="EX24">
        <v>0.1291760248151376</v>
      </c>
      <c r="EY24">
        <v>0.36848758628100636</v>
      </c>
      <c r="EZ24">
        <v>0.50952837016591135</v>
      </c>
      <c r="FA24">
        <v>0.51017937171995764</v>
      </c>
      <c r="FB24">
        <v>0.3971565921116853</v>
      </c>
      <c r="FC24">
        <v>0.20062543132582147</v>
      </c>
      <c r="FD24">
        <v>2.7088964419102926E-2</v>
      </c>
      <c r="FE24">
        <v>0</v>
      </c>
      <c r="FF24">
        <v>0</v>
      </c>
      <c r="FG24">
        <v>0</v>
      </c>
      <c r="FH24">
        <v>2.3634924725344755E-2</v>
      </c>
      <c r="FI24">
        <v>0.16043915097321501</v>
      </c>
      <c r="FJ24">
        <v>0.30340831795727469</v>
      </c>
      <c r="FK24">
        <v>0.32098876788463548</v>
      </c>
      <c r="FL24">
        <v>0.20986436766902086</v>
      </c>
      <c r="FM24">
        <v>4.9444874251030703E-2</v>
      </c>
      <c r="FN24">
        <v>2.5845508550735986E-4</v>
      </c>
      <c r="FO24">
        <v>0</v>
      </c>
      <c r="FQ24" t="s">
        <v>480</v>
      </c>
      <c r="FR24" t="s">
        <v>127</v>
      </c>
      <c r="FS24" t="s">
        <v>128</v>
      </c>
      <c r="FT24">
        <v>0.45508213177628093</v>
      </c>
    </row>
    <row r="25" spans="2:176" x14ac:dyDescent="0.45">
      <c r="B25" t="s">
        <v>481</v>
      </c>
      <c r="C25" t="s">
        <v>123</v>
      </c>
      <c r="D25">
        <v>0</v>
      </c>
      <c r="E25">
        <v>0</v>
      </c>
      <c r="F25">
        <v>0.90740622049343667</v>
      </c>
      <c r="G25">
        <v>0.3532856916539967</v>
      </c>
      <c r="H25">
        <v>0.23696413107458181</v>
      </c>
      <c r="I25">
        <v>0.23361894032681338</v>
      </c>
      <c r="J25">
        <v>0.3102199930404283</v>
      </c>
      <c r="K25">
        <v>0.76375135625378465</v>
      </c>
      <c r="L25">
        <v>0</v>
      </c>
      <c r="M25">
        <v>0</v>
      </c>
      <c r="N25">
        <v>0</v>
      </c>
      <c r="O25">
        <v>0.76711077007510542</v>
      </c>
      <c r="P25">
        <v>0.33950332925674864</v>
      </c>
      <c r="Q25">
        <v>0.19716054099510932</v>
      </c>
      <c r="R25">
        <v>0.16480418206940203</v>
      </c>
      <c r="S25">
        <v>0.15719091165007618</v>
      </c>
      <c r="T25">
        <v>0.17382314887692948</v>
      </c>
      <c r="U25">
        <v>0.2634108995594035</v>
      </c>
      <c r="V25">
        <v>0.66669451277245406</v>
      </c>
      <c r="W25">
        <v>0</v>
      </c>
      <c r="X25">
        <v>0</v>
      </c>
      <c r="Y25">
        <v>0.55203730441612942</v>
      </c>
      <c r="Z25">
        <v>0.24163890243531941</v>
      </c>
      <c r="AA25">
        <v>0.13607197964824594</v>
      </c>
      <c r="AB25">
        <v>0.11326085302102853</v>
      </c>
      <c r="AC25">
        <v>0.11306339543771707</v>
      </c>
      <c r="AD25">
        <v>0.13662600012236789</v>
      </c>
      <c r="AE25">
        <v>0.2044619692199883</v>
      </c>
      <c r="AF25">
        <v>0.41547458705302337</v>
      </c>
      <c r="AG25">
        <v>0</v>
      </c>
      <c r="AH25">
        <v>0</v>
      </c>
      <c r="AI25">
        <v>0</v>
      </c>
      <c r="AJ25">
        <v>0.54312072370534803</v>
      </c>
      <c r="AK25">
        <v>0.28710272964814415</v>
      </c>
      <c r="AL25">
        <v>0.2210046580524021</v>
      </c>
      <c r="AM25">
        <v>0.22773682934319961</v>
      </c>
      <c r="AN25">
        <v>0.28646249212367325</v>
      </c>
      <c r="AO25">
        <v>0.54979482423587345</v>
      </c>
      <c r="AP25">
        <v>0.96090052988279095</v>
      </c>
      <c r="AQ25">
        <v>0</v>
      </c>
      <c r="EA25" t="s">
        <v>481</v>
      </c>
      <c r="EB25">
        <v>0</v>
      </c>
      <c r="EC25">
        <v>0</v>
      </c>
      <c r="ED25">
        <v>1.6296365579897591E-3</v>
      </c>
      <c r="EE25">
        <v>9.5876723683291643E-2</v>
      </c>
      <c r="EF25">
        <v>0.24642357278401847</v>
      </c>
      <c r="EG25">
        <v>0.26065856636121981</v>
      </c>
      <c r="EH25">
        <v>0.14308791254614592</v>
      </c>
      <c r="EI25">
        <v>1.4001856652390938E-2</v>
      </c>
      <c r="EJ25">
        <v>0</v>
      </c>
      <c r="EK25">
        <v>0</v>
      </c>
      <c r="EL25">
        <v>0</v>
      </c>
      <c r="EM25">
        <v>3.7643359072753678E-3</v>
      </c>
      <c r="EN25">
        <v>9.7530915614295E-2</v>
      </c>
      <c r="EO25">
        <v>0.31801490623007633</v>
      </c>
      <c r="EP25">
        <v>0.46344212250424716</v>
      </c>
      <c r="EQ25">
        <v>0.46352062502180896</v>
      </c>
      <c r="ER25">
        <v>0.32985423374782891</v>
      </c>
      <c r="ES25">
        <v>0.12338053346774261</v>
      </c>
      <c r="ET25">
        <v>5.7054673148186743E-3</v>
      </c>
      <c r="EU25">
        <v>0</v>
      </c>
      <c r="EV25">
        <v>0</v>
      </c>
      <c r="EW25">
        <v>9.8389720150170706E-3</v>
      </c>
      <c r="EX25">
        <v>0.14684677929189102</v>
      </c>
      <c r="EY25">
        <v>0.38729410642897455</v>
      </c>
      <c r="EZ25">
        <v>0.52433378690983934</v>
      </c>
      <c r="FA25">
        <v>0.52054941047278269</v>
      </c>
      <c r="FB25">
        <v>0.39069996976334409</v>
      </c>
      <c r="FC25">
        <v>0.17897236222390764</v>
      </c>
      <c r="FD25">
        <v>1.8290547799317249E-2</v>
      </c>
      <c r="FE25">
        <v>0</v>
      </c>
      <c r="FF25">
        <v>0</v>
      </c>
      <c r="FG25">
        <v>0</v>
      </c>
      <c r="FH25">
        <v>3.487096585654658E-2</v>
      </c>
      <c r="FI25">
        <v>0.19777566289302384</v>
      </c>
      <c r="FJ25">
        <v>0.34637706443555405</v>
      </c>
      <c r="FK25">
        <v>0.33893243839451365</v>
      </c>
      <c r="FL25">
        <v>0.20290511078435269</v>
      </c>
      <c r="FM25">
        <v>3.9443436827455637E-2</v>
      </c>
      <c r="FN25">
        <v>7.2926317721951843E-5</v>
      </c>
      <c r="FO25">
        <v>0</v>
      </c>
      <c r="FQ25" t="s">
        <v>481</v>
      </c>
      <c r="FR25" t="s">
        <v>127</v>
      </c>
      <c r="FS25" t="s">
        <v>128</v>
      </c>
      <c r="FT25">
        <v>0.47175331814177768</v>
      </c>
    </row>
    <row r="26" spans="2:176" x14ac:dyDescent="0.45">
      <c r="B26" t="s">
        <v>482</v>
      </c>
      <c r="C26" t="s">
        <v>123</v>
      </c>
      <c r="D26">
        <v>0</v>
      </c>
      <c r="E26">
        <v>0</v>
      </c>
      <c r="F26">
        <v>0.9118398865556786</v>
      </c>
      <c r="G26">
        <v>0.32701360910173394</v>
      </c>
      <c r="H26">
        <v>0.21603195881011378</v>
      </c>
      <c r="I26">
        <v>0.21181013228086212</v>
      </c>
      <c r="J26">
        <v>0.2783606747052062</v>
      </c>
      <c r="K26">
        <v>0.71114651295092601</v>
      </c>
      <c r="L26">
        <v>0</v>
      </c>
      <c r="M26">
        <v>0</v>
      </c>
      <c r="N26">
        <v>0</v>
      </c>
      <c r="O26">
        <v>0.79166195545756013</v>
      </c>
      <c r="P26">
        <v>0.34797599251494976</v>
      </c>
      <c r="Q26">
        <v>0.19187206946793889</v>
      </c>
      <c r="R26">
        <v>0.15612151954580103</v>
      </c>
      <c r="S26">
        <v>0.15802618946582755</v>
      </c>
      <c r="T26">
        <v>0.17548592813038882</v>
      </c>
      <c r="U26">
        <v>0.26353383668246794</v>
      </c>
      <c r="V26">
        <v>0.65141077548415904</v>
      </c>
      <c r="W26">
        <v>0</v>
      </c>
      <c r="X26">
        <v>0</v>
      </c>
      <c r="Y26">
        <v>0.58977402189241435</v>
      </c>
      <c r="Z26">
        <v>0.25337564451481837</v>
      </c>
      <c r="AA26">
        <v>0.14965525226411835</v>
      </c>
      <c r="AB26">
        <v>0.12628420582096989</v>
      </c>
      <c r="AC26">
        <v>0.12553039719884998</v>
      </c>
      <c r="AD26">
        <v>0.14278475443934538</v>
      </c>
      <c r="AE26">
        <v>0.19936350826119709</v>
      </c>
      <c r="AF26">
        <v>0.41924896705977971</v>
      </c>
      <c r="AG26">
        <v>0</v>
      </c>
      <c r="AH26">
        <v>0</v>
      </c>
      <c r="AI26">
        <v>0</v>
      </c>
      <c r="AJ26">
        <v>0.5581538702435811</v>
      </c>
      <c r="AK26">
        <v>0.2772172380576578</v>
      </c>
      <c r="AL26">
        <v>0.23187672001734366</v>
      </c>
      <c r="AM26">
        <v>0.22679920253904789</v>
      </c>
      <c r="AN26">
        <v>0.27084219558433281</v>
      </c>
      <c r="AO26">
        <v>0.53405680471081407</v>
      </c>
      <c r="AP26">
        <v>0.95273680327461452</v>
      </c>
      <c r="AQ26">
        <v>0</v>
      </c>
      <c r="EA26" t="s">
        <v>482</v>
      </c>
      <c r="EB26">
        <v>0</v>
      </c>
      <c r="EC26">
        <v>0</v>
      </c>
      <c r="ED26">
        <v>1.7389238996072627E-3</v>
      </c>
      <c r="EE26">
        <v>0.11684041833765678</v>
      </c>
      <c r="EF26">
        <v>0.30332859087919134</v>
      </c>
      <c r="EG26">
        <v>0.33213642267112764</v>
      </c>
      <c r="EH26">
        <v>0.18961839931266103</v>
      </c>
      <c r="EI26">
        <v>2.0309576371977028E-2</v>
      </c>
      <c r="EJ26">
        <v>0</v>
      </c>
      <c r="EK26">
        <v>0</v>
      </c>
      <c r="EL26">
        <v>0</v>
      </c>
      <c r="EM26">
        <v>3.0594015089153185E-3</v>
      </c>
      <c r="EN26">
        <v>9.2301992019501025E-2</v>
      </c>
      <c r="EO26">
        <v>0.31918731799647004</v>
      </c>
      <c r="EP26">
        <v>0.47717245159536409</v>
      </c>
      <c r="EQ26">
        <v>0.48262814059910064</v>
      </c>
      <c r="ER26">
        <v>0.34854441471898373</v>
      </c>
      <c r="ES26">
        <v>0.13224248793642404</v>
      </c>
      <c r="ET26">
        <v>6.2682656492397647E-3</v>
      </c>
      <c r="EU26">
        <v>0</v>
      </c>
      <c r="EV26">
        <v>0</v>
      </c>
      <c r="EW26">
        <v>7.9478130780402702E-3</v>
      </c>
      <c r="EX26">
        <v>0.13574670203780509</v>
      </c>
      <c r="EY26">
        <v>0.37858519158460902</v>
      </c>
      <c r="EZ26">
        <v>0.52005669012179756</v>
      </c>
      <c r="FA26">
        <v>0.51627611575179821</v>
      </c>
      <c r="FB26">
        <v>0.39168032873437708</v>
      </c>
      <c r="FC26">
        <v>0.18329782527212068</v>
      </c>
      <c r="FD26">
        <v>1.9760319750283181E-2</v>
      </c>
      <c r="FE26">
        <v>0</v>
      </c>
      <c r="FF26">
        <v>0</v>
      </c>
      <c r="FG26">
        <v>0</v>
      </c>
      <c r="FH26">
        <v>3.1167475346756939E-2</v>
      </c>
      <c r="FI26">
        <v>0.19866001149937823</v>
      </c>
      <c r="FJ26">
        <v>0.34041318853218427</v>
      </c>
      <c r="FK26">
        <v>0.34460117157965758</v>
      </c>
      <c r="FL26">
        <v>0.21578702809301578</v>
      </c>
      <c r="FM26">
        <v>4.4613285560701758E-2</v>
      </c>
      <c r="FN26">
        <v>1.1184670868452336E-4</v>
      </c>
      <c r="FO26">
        <v>0</v>
      </c>
      <c r="FQ26" t="s">
        <v>482</v>
      </c>
      <c r="FR26" t="s">
        <v>127</v>
      </c>
      <c r="FS26" t="s">
        <v>128</v>
      </c>
      <c r="FT26">
        <v>0.47093574096907775</v>
      </c>
    </row>
    <row r="27" spans="2:176" x14ac:dyDescent="0.45">
      <c r="B27" t="s">
        <v>483</v>
      </c>
      <c r="C27" t="s">
        <v>123</v>
      </c>
      <c r="D27">
        <v>0</v>
      </c>
      <c r="E27">
        <v>0</v>
      </c>
      <c r="F27">
        <v>0.97694454204522352</v>
      </c>
      <c r="G27">
        <v>0.52282843763199249</v>
      </c>
      <c r="H27">
        <v>0.30132347580287044</v>
      </c>
      <c r="I27">
        <v>0.2734471206462134</v>
      </c>
      <c r="J27">
        <v>0.32686371045032325</v>
      </c>
      <c r="K27">
        <v>0.68304141810904162</v>
      </c>
      <c r="L27">
        <v>0</v>
      </c>
      <c r="M27">
        <v>0</v>
      </c>
      <c r="N27">
        <v>0</v>
      </c>
      <c r="O27">
        <v>0.80835236431026092</v>
      </c>
      <c r="P27">
        <v>0.41075191911295289</v>
      </c>
      <c r="Q27">
        <v>0.22616413642706262</v>
      </c>
      <c r="R27">
        <v>0.19301663630482124</v>
      </c>
      <c r="S27">
        <v>0.18591481374545735</v>
      </c>
      <c r="T27">
        <v>0.19348253767724649</v>
      </c>
      <c r="U27">
        <v>0.23614419883591645</v>
      </c>
      <c r="V27">
        <v>0.52959425445638997</v>
      </c>
      <c r="W27">
        <v>0.99637681159420299</v>
      </c>
      <c r="X27">
        <v>0</v>
      </c>
      <c r="Y27">
        <v>0.63176411047264158</v>
      </c>
      <c r="Z27">
        <v>0.27849963781052495</v>
      </c>
      <c r="AA27">
        <v>0.14489380362548784</v>
      </c>
      <c r="AB27">
        <v>0.13298263002813829</v>
      </c>
      <c r="AC27">
        <v>0.12272376996620801</v>
      </c>
      <c r="AD27">
        <v>0.14024426293498959</v>
      </c>
      <c r="AE27">
        <v>0.1688885219028661</v>
      </c>
      <c r="AF27">
        <v>0.33131491981164712</v>
      </c>
      <c r="AG27">
        <v>0.85810045771179821</v>
      </c>
      <c r="AH27">
        <v>0</v>
      </c>
      <c r="AI27">
        <v>0</v>
      </c>
      <c r="AJ27">
        <v>0.67321126289774991</v>
      </c>
      <c r="AK27">
        <v>0.32952830691375345</v>
      </c>
      <c r="AL27">
        <v>0.24950309543811816</v>
      </c>
      <c r="AM27">
        <v>0.23741387823857243</v>
      </c>
      <c r="AN27">
        <v>0.2826233461887302</v>
      </c>
      <c r="AO27">
        <v>0.49798059327562244</v>
      </c>
      <c r="AP27">
        <v>0.91469000127679123</v>
      </c>
      <c r="AQ27">
        <v>0</v>
      </c>
      <c r="EA27" t="s">
        <v>483</v>
      </c>
      <c r="EB27">
        <v>0</v>
      </c>
      <c r="EC27">
        <v>0</v>
      </c>
      <c r="ED27">
        <v>4.4622181200205984E-5</v>
      </c>
      <c r="EE27">
        <v>5.1124155460941748E-2</v>
      </c>
      <c r="EF27">
        <v>0.18788688548728111</v>
      </c>
      <c r="EG27">
        <v>0.22905636020965298</v>
      </c>
      <c r="EH27">
        <v>0.1413477831153864</v>
      </c>
      <c r="EI27">
        <v>1.9874330613121841E-2</v>
      </c>
      <c r="EJ27">
        <v>0</v>
      </c>
      <c r="EK27">
        <v>0</v>
      </c>
      <c r="EL27">
        <v>0</v>
      </c>
      <c r="EM27">
        <v>1.5407740850232725E-3</v>
      </c>
      <c r="EN27">
        <v>6.2947763021150988E-2</v>
      </c>
      <c r="EO27">
        <v>0.27168169031177675</v>
      </c>
      <c r="EP27">
        <v>0.42383244300941947</v>
      </c>
      <c r="EQ27">
        <v>0.44701139020838349</v>
      </c>
      <c r="ER27">
        <v>0.3403388291013143</v>
      </c>
      <c r="ES27">
        <v>0.15333330798716971</v>
      </c>
      <c r="ET27">
        <v>1.45163335694291E-2</v>
      </c>
      <c r="EU27">
        <v>8.3094765806621037E-9</v>
      </c>
      <c r="EV27">
        <v>0</v>
      </c>
      <c r="EW27">
        <v>5.850739400070153E-3</v>
      </c>
      <c r="EX27">
        <v>9.8427785299593659E-2</v>
      </c>
      <c r="EY27">
        <v>0.31754707849251423</v>
      </c>
      <c r="EZ27">
        <v>0.46563511557939252</v>
      </c>
      <c r="FA27">
        <v>0.48669133180056945</v>
      </c>
      <c r="FB27">
        <v>0.38788225015021083</v>
      </c>
      <c r="FC27">
        <v>0.21001179908050799</v>
      </c>
      <c r="FD27">
        <v>3.8165303998969217E-2</v>
      </c>
      <c r="FE27">
        <v>9.8732448048581014E-5</v>
      </c>
      <c r="FF27">
        <v>0</v>
      </c>
      <c r="FG27">
        <v>0</v>
      </c>
      <c r="FH27">
        <v>1.6685330492836544E-2</v>
      </c>
      <c r="FI27">
        <v>0.15059453007551554</v>
      </c>
      <c r="FJ27">
        <v>0.28903352316960251</v>
      </c>
      <c r="FK27">
        <v>0.30313149780044607</v>
      </c>
      <c r="FL27">
        <v>0.19774696752162291</v>
      </c>
      <c r="FM27">
        <v>4.8919889167440958E-2</v>
      </c>
      <c r="FN27">
        <v>6.0110690058056023E-4</v>
      </c>
      <c r="FO27">
        <v>0</v>
      </c>
      <c r="FQ27" t="s">
        <v>483</v>
      </c>
      <c r="FR27" t="s">
        <v>127</v>
      </c>
      <c r="FS27" t="s">
        <v>128</v>
      </c>
      <c r="FT27">
        <v>0.3762259024955793</v>
      </c>
    </row>
    <row r="28" spans="2:176" x14ac:dyDescent="0.45">
      <c r="B28" t="s">
        <v>484</v>
      </c>
      <c r="C28" t="s">
        <v>123</v>
      </c>
      <c r="D28">
        <v>0</v>
      </c>
      <c r="E28">
        <v>0</v>
      </c>
      <c r="F28">
        <v>0</v>
      </c>
      <c r="G28">
        <v>0.55177092735129263</v>
      </c>
      <c r="H28">
        <v>0.32707001077322362</v>
      </c>
      <c r="I28">
        <v>0.31430588475954185</v>
      </c>
      <c r="J28">
        <v>0.36070473626167104</v>
      </c>
      <c r="K28">
        <v>0.71634169590326902</v>
      </c>
      <c r="L28">
        <v>0</v>
      </c>
      <c r="M28">
        <v>0</v>
      </c>
      <c r="N28">
        <v>0</v>
      </c>
      <c r="O28">
        <v>0.80519276202316148</v>
      </c>
      <c r="P28">
        <v>0.40352067272392095</v>
      </c>
      <c r="Q28">
        <v>0.22204882497709758</v>
      </c>
      <c r="R28">
        <v>0.19288299939586295</v>
      </c>
      <c r="S28">
        <v>0.18805284384428364</v>
      </c>
      <c r="T28">
        <v>0.19577038281522272</v>
      </c>
      <c r="U28">
        <v>0.24985217027363615</v>
      </c>
      <c r="V28">
        <v>0.5215970885746416</v>
      </c>
      <c r="W28">
        <v>0.99275362318840565</v>
      </c>
      <c r="X28">
        <v>0</v>
      </c>
      <c r="Y28">
        <v>0.62221846614865017</v>
      </c>
      <c r="Z28">
        <v>0.26934379241003209</v>
      </c>
      <c r="AA28">
        <v>0.15905103868084464</v>
      </c>
      <c r="AB28">
        <v>0.13841085630718641</v>
      </c>
      <c r="AC28">
        <v>0.13074094208211412</v>
      </c>
      <c r="AD28">
        <v>0.1429088456813</v>
      </c>
      <c r="AE28">
        <v>0.16864760719092456</v>
      </c>
      <c r="AF28">
        <v>0.33054939733583982</v>
      </c>
      <c r="AG28">
        <v>0.83838341421721019</v>
      </c>
      <c r="AH28">
        <v>0</v>
      </c>
      <c r="AI28">
        <v>0</v>
      </c>
      <c r="AJ28">
        <v>0.68151989034108207</v>
      </c>
      <c r="AK28">
        <v>0.33493682304343286</v>
      </c>
      <c r="AL28">
        <v>0.27111750266378903</v>
      </c>
      <c r="AM28">
        <v>0.26170127288677641</v>
      </c>
      <c r="AN28">
        <v>0.3021268827819224</v>
      </c>
      <c r="AO28">
        <v>0.5206780570383639</v>
      </c>
      <c r="AP28">
        <v>0.91668258476731312</v>
      </c>
      <c r="AQ28">
        <v>0</v>
      </c>
      <c r="EA28" t="s">
        <v>484</v>
      </c>
      <c r="EB28">
        <v>0</v>
      </c>
      <c r="EC28">
        <v>0</v>
      </c>
      <c r="ED28">
        <v>0</v>
      </c>
      <c r="EE28">
        <v>4.7600266052259942E-2</v>
      </c>
      <c r="EF28">
        <v>0.18593211035406093</v>
      </c>
      <c r="EG28">
        <v>0.21484724480764467</v>
      </c>
      <c r="EH28">
        <v>0.13363584465222</v>
      </c>
      <c r="EI28">
        <v>1.9140216465187175E-2</v>
      </c>
      <c r="EJ28">
        <v>0</v>
      </c>
      <c r="EK28">
        <v>0</v>
      </c>
      <c r="EL28">
        <v>0</v>
      </c>
      <c r="EM28">
        <v>2.0747553483641619E-3</v>
      </c>
      <c r="EN28">
        <v>6.4180931498392838E-2</v>
      </c>
      <c r="EO28">
        <v>0.27021739516687981</v>
      </c>
      <c r="EP28">
        <v>0.42416463943841343</v>
      </c>
      <c r="EQ28">
        <v>0.44540030367169026</v>
      </c>
      <c r="ER28">
        <v>0.33986122758219511</v>
      </c>
      <c r="ES28">
        <v>0.15404375182378752</v>
      </c>
      <c r="ET28">
        <v>1.5406118313372852E-2</v>
      </c>
      <c r="EU28">
        <v>2.5670035704867039E-7</v>
      </c>
      <c r="EV28">
        <v>0</v>
      </c>
      <c r="EW28">
        <v>6.5255734566659895E-3</v>
      </c>
      <c r="EX28">
        <v>9.730591586489043E-2</v>
      </c>
      <c r="EY28">
        <v>0.30614701611116329</v>
      </c>
      <c r="EZ28">
        <v>0.44746619134198534</v>
      </c>
      <c r="FA28">
        <v>0.47645658870495355</v>
      </c>
      <c r="FB28">
        <v>0.39397886203771959</v>
      </c>
      <c r="FC28">
        <v>0.21721007027197548</v>
      </c>
      <c r="FD28">
        <v>4.1628336124121174E-2</v>
      </c>
      <c r="FE28">
        <v>2.6497896341651841E-4</v>
      </c>
      <c r="FF28">
        <v>0</v>
      </c>
      <c r="FG28">
        <v>0</v>
      </c>
      <c r="FH28">
        <v>1.7710800624624285E-2</v>
      </c>
      <c r="FI28">
        <v>0.15816409177807156</v>
      </c>
      <c r="FJ28">
        <v>0.2900673886537723</v>
      </c>
      <c r="FK28">
        <v>0.30083484536157273</v>
      </c>
      <c r="FL28">
        <v>0.19635564178899248</v>
      </c>
      <c r="FM28">
        <v>4.8993055642324708E-2</v>
      </c>
      <c r="FN28">
        <v>5.6609035620213831E-4</v>
      </c>
      <c r="FO28">
        <v>0</v>
      </c>
      <c r="FQ28" t="s">
        <v>484</v>
      </c>
      <c r="FR28" t="s">
        <v>127</v>
      </c>
      <c r="FS28" t="s">
        <v>128</v>
      </c>
      <c r="FT28">
        <v>0.42732613807498832</v>
      </c>
    </row>
    <row r="29" spans="2:176" x14ac:dyDescent="0.45">
      <c r="B29" t="s">
        <v>485</v>
      </c>
      <c r="C29" t="s">
        <v>123</v>
      </c>
      <c r="D29">
        <v>0</v>
      </c>
      <c r="E29">
        <v>0</v>
      </c>
      <c r="F29">
        <v>0.98318534603133634</v>
      </c>
      <c r="G29">
        <v>0.52557342805285978</v>
      </c>
      <c r="H29">
        <v>0.33243177515781774</v>
      </c>
      <c r="I29">
        <v>0.30988646029072231</v>
      </c>
      <c r="J29">
        <v>0.36491568489278364</v>
      </c>
      <c r="K29">
        <v>0.74040910640287205</v>
      </c>
      <c r="L29">
        <v>0</v>
      </c>
      <c r="M29">
        <v>0</v>
      </c>
      <c r="N29">
        <v>0</v>
      </c>
      <c r="O29">
        <v>0.79260125394273651</v>
      </c>
      <c r="P29">
        <v>0.39222848665746773</v>
      </c>
      <c r="Q29">
        <v>0.22271592192126868</v>
      </c>
      <c r="R29">
        <v>0.18138047414290576</v>
      </c>
      <c r="S29">
        <v>0.18834895032927479</v>
      </c>
      <c r="T29">
        <v>0.20611290414208444</v>
      </c>
      <c r="U29">
        <v>0.25080388912439683</v>
      </c>
      <c r="V29">
        <v>0.5544562617853791</v>
      </c>
      <c r="W29">
        <v>0</v>
      </c>
      <c r="X29">
        <v>0</v>
      </c>
      <c r="Y29">
        <v>0.58869690962328858</v>
      </c>
      <c r="Z29">
        <v>0.25855860335958603</v>
      </c>
      <c r="AA29">
        <v>0.14801198411088487</v>
      </c>
      <c r="AB29">
        <v>0.13078068729828057</v>
      </c>
      <c r="AC29">
        <v>0.12978651687940179</v>
      </c>
      <c r="AD29">
        <v>0.13955298042010147</v>
      </c>
      <c r="AE29">
        <v>0.18577505891846477</v>
      </c>
      <c r="AF29">
        <v>0.34270496516416354</v>
      </c>
      <c r="AG29">
        <v>0.87455091190795498</v>
      </c>
      <c r="AH29">
        <v>0</v>
      </c>
      <c r="AI29">
        <v>0</v>
      </c>
      <c r="AJ29">
        <v>0.65734057985462269</v>
      </c>
      <c r="AK29">
        <v>0.33956015052603383</v>
      </c>
      <c r="AL29">
        <v>0.26723724940522919</v>
      </c>
      <c r="AM29">
        <v>0.2618563958356277</v>
      </c>
      <c r="AN29">
        <v>0.30491459749692329</v>
      </c>
      <c r="AO29">
        <v>0.52785107255866903</v>
      </c>
      <c r="AP29">
        <v>0.92491573635575886</v>
      </c>
      <c r="AQ29">
        <v>0</v>
      </c>
      <c r="EA29" t="s">
        <v>485</v>
      </c>
      <c r="EB29">
        <v>0</v>
      </c>
      <c r="EC29">
        <v>0</v>
      </c>
      <c r="ED29">
        <v>1.2625402165220649E-4</v>
      </c>
      <c r="EE29">
        <v>4.928020824670843E-2</v>
      </c>
      <c r="EF29">
        <v>0.17160953127163892</v>
      </c>
      <c r="EG29">
        <v>0.20066223941584324</v>
      </c>
      <c r="EH29">
        <v>0.12022090529364286</v>
      </c>
      <c r="EI29">
        <v>1.5436225983914708E-2</v>
      </c>
      <c r="EJ29">
        <v>0</v>
      </c>
      <c r="EK29">
        <v>0</v>
      </c>
      <c r="EL29">
        <v>0</v>
      </c>
      <c r="EM29">
        <v>2.4286288278537924E-3</v>
      </c>
      <c r="EN29">
        <v>6.9232907032379137E-2</v>
      </c>
      <c r="EO29">
        <v>0.27164412952626216</v>
      </c>
      <c r="EP29">
        <v>0.42523246610413284</v>
      </c>
      <c r="EQ29">
        <v>0.44652866794790602</v>
      </c>
      <c r="ER29">
        <v>0.33443228499708522</v>
      </c>
      <c r="ES29">
        <v>0.14187123285436096</v>
      </c>
      <c r="ET29">
        <v>1.2187127015359166E-2</v>
      </c>
      <c r="EU29">
        <v>0</v>
      </c>
      <c r="EV29">
        <v>0</v>
      </c>
      <c r="EW29">
        <v>7.7706188172487322E-3</v>
      </c>
      <c r="EX29">
        <v>0.10838299341949868</v>
      </c>
      <c r="EY29">
        <v>0.32649220070040136</v>
      </c>
      <c r="EZ29">
        <v>0.46667429914885877</v>
      </c>
      <c r="FA29">
        <v>0.47352257618134497</v>
      </c>
      <c r="FB29">
        <v>0.38033318201440552</v>
      </c>
      <c r="FC29">
        <v>0.19833623926433894</v>
      </c>
      <c r="FD29">
        <v>3.4889633133556787E-2</v>
      </c>
      <c r="FE29">
        <v>8.7536769942980327E-5</v>
      </c>
      <c r="FF29">
        <v>0</v>
      </c>
      <c r="FG29">
        <v>0</v>
      </c>
      <c r="FH29">
        <v>1.8558723198452084E-2</v>
      </c>
      <c r="FI29">
        <v>0.15877053574510244</v>
      </c>
      <c r="FJ29">
        <v>0.29215855565505083</v>
      </c>
      <c r="FK29">
        <v>0.29764280354702677</v>
      </c>
      <c r="FL29">
        <v>0.18769781402007141</v>
      </c>
      <c r="FM29">
        <v>4.4204985595718789E-2</v>
      </c>
      <c r="FN29">
        <v>3.3641145535561135E-4</v>
      </c>
      <c r="FO29">
        <v>0</v>
      </c>
      <c r="FQ29" t="s">
        <v>485</v>
      </c>
      <c r="FR29" t="s">
        <v>127</v>
      </c>
      <c r="FS29" t="s">
        <v>128</v>
      </c>
      <c r="FT29">
        <v>0.41679556574616383</v>
      </c>
    </row>
    <row r="30" spans="2:176" x14ac:dyDescent="0.45">
      <c r="B30" t="s">
        <v>486</v>
      </c>
      <c r="C30" t="s">
        <v>123</v>
      </c>
      <c r="D30">
        <v>0</v>
      </c>
      <c r="E30">
        <v>0</v>
      </c>
      <c r="F30">
        <v>0.95555555555555538</v>
      </c>
      <c r="G30">
        <v>0.47776287595814065</v>
      </c>
      <c r="H30">
        <v>0.31620603087821214</v>
      </c>
      <c r="I30">
        <v>0.29583098992552859</v>
      </c>
      <c r="J30">
        <v>0.35315976372579755</v>
      </c>
      <c r="K30">
        <v>0.74369389840892752</v>
      </c>
      <c r="L30">
        <v>0</v>
      </c>
      <c r="M30">
        <v>0</v>
      </c>
      <c r="N30">
        <v>0</v>
      </c>
      <c r="O30">
        <v>0.79563548963364183</v>
      </c>
      <c r="P30">
        <v>0.39329286811483127</v>
      </c>
      <c r="Q30">
        <v>0.23065433977498456</v>
      </c>
      <c r="R30">
        <v>0.18220065681406772</v>
      </c>
      <c r="S30">
        <v>0.1730049971137807</v>
      </c>
      <c r="T30">
        <v>0.19358168145864882</v>
      </c>
      <c r="U30">
        <v>0.24952447707379125</v>
      </c>
      <c r="V30">
        <v>0.58855021338437141</v>
      </c>
      <c r="W30">
        <v>0</v>
      </c>
      <c r="X30">
        <v>0</v>
      </c>
      <c r="Y30">
        <v>0.57081048981357474</v>
      </c>
      <c r="Z30">
        <v>0.25165877866044639</v>
      </c>
      <c r="AA30">
        <v>0.12715641453309723</v>
      </c>
      <c r="AB30">
        <v>0.10214633865547816</v>
      </c>
      <c r="AC30">
        <v>0.11118563624284591</v>
      </c>
      <c r="AD30">
        <v>0.1415968704175688</v>
      </c>
      <c r="AE30">
        <v>0.17905263727316997</v>
      </c>
      <c r="AF30">
        <v>0.34334513235021341</v>
      </c>
      <c r="AG30">
        <v>0.98550724637681175</v>
      </c>
      <c r="AH30">
        <v>0</v>
      </c>
      <c r="AI30">
        <v>0</v>
      </c>
      <c r="AJ30">
        <v>0.65142588598943885</v>
      </c>
      <c r="AK30">
        <v>0.35869274887657443</v>
      </c>
      <c r="AL30">
        <v>0.27473749921740792</v>
      </c>
      <c r="AM30">
        <v>0.26883470471808896</v>
      </c>
      <c r="AN30">
        <v>0.32162058353005679</v>
      </c>
      <c r="AO30">
        <v>0.53002414996933556</v>
      </c>
      <c r="AP30">
        <v>0.93237282616277739</v>
      </c>
      <c r="AQ30">
        <v>0</v>
      </c>
      <c r="EA30" t="s">
        <v>486</v>
      </c>
      <c r="EB30">
        <v>0</v>
      </c>
      <c r="EC30">
        <v>0</v>
      </c>
      <c r="ED30">
        <v>1.5113540024373615E-4</v>
      </c>
      <c r="EE30">
        <v>5.6595224238210097E-2</v>
      </c>
      <c r="EF30">
        <v>0.18166632967394269</v>
      </c>
      <c r="EG30">
        <v>0.20861231658374271</v>
      </c>
      <c r="EH30">
        <v>0.12120037629552197</v>
      </c>
      <c r="EI30">
        <v>1.4349861954929466E-2</v>
      </c>
      <c r="EJ30">
        <v>0</v>
      </c>
      <c r="EK30">
        <v>0</v>
      </c>
      <c r="EL30">
        <v>0</v>
      </c>
      <c r="EM30">
        <v>2.5240169294128462E-3</v>
      </c>
      <c r="EN30">
        <v>6.8988113337782847E-2</v>
      </c>
      <c r="EO30">
        <v>0.26198413690213335</v>
      </c>
      <c r="EP30">
        <v>0.41535632294806663</v>
      </c>
      <c r="EQ30">
        <v>0.43802598320632274</v>
      </c>
      <c r="ER30">
        <v>0.32668270216530843</v>
      </c>
      <c r="ES30">
        <v>0.13158185351524074</v>
      </c>
      <c r="ET30">
        <v>9.2001492062430135E-3</v>
      </c>
      <c r="EU30">
        <v>0</v>
      </c>
      <c r="EV30">
        <v>0</v>
      </c>
      <c r="EW30">
        <v>8.6776152670670036E-3</v>
      </c>
      <c r="EX30">
        <v>0.12470112392754922</v>
      </c>
      <c r="EY30">
        <v>0.35744184681658348</v>
      </c>
      <c r="EZ30">
        <v>0.50897748009751387</v>
      </c>
      <c r="FA30">
        <v>0.49904489625223108</v>
      </c>
      <c r="FB30">
        <v>0.3822224076459082</v>
      </c>
      <c r="FC30">
        <v>0.19370074334496498</v>
      </c>
      <c r="FD30">
        <v>2.9237170506717678E-2</v>
      </c>
      <c r="FE30">
        <v>2.5890263075928984E-7</v>
      </c>
      <c r="FF30">
        <v>0</v>
      </c>
      <c r="FG30">
        <v>0</v>
      </c>
      <c r="FH30">
        <v>2.0020361274548176E-2</v>
      </c>
      <c r="FI30">
        <v>0.15034376511432321</v>
      </c>
      <c r="FJ30">
        <v>0.28566563451570554</v>
      </c>
      <c r="FK30">
        <v>0.28924061765657599</v>
      </c>
      <c r="FL30">
        <v>0.18209117238108266</v>
      </c>
      <c r="FM30">
        <v>4.3597994179122697E-2</v>
      </c>
      <c r="FN30">
        <v>2.3622379379449778E-4</v>
      </c>
      <c r="FO30">
        <v>0</v>
      </c>
      <c r="FQ30" t="s">
        <v>486</v>
      </c>
      <c r="FR30" t="s">
        <v>127</v>
      </c>
      <c r="FS30" t="s">
        <v>128</v>
      </c>
      <c r="FT30">
        <v>0.4621595338527727</v>
      </c>
    </row>
    <row r="31" spans="2:176" x14ac:dyDescent="0.45">
      <c r="B31" t="s">
        <v>487</v>
      </c>
      <c r="C31" t="s">
        <v>123</v>
      </c>
      <c r="D31">
        <v>0</v>
      </c>
      <c r="E31">
        <v>0</v>
      </c>
      <c r="F31">
        <v>0.93474535401393932</v>
      </c>
      <c r="G31">
        <v>0.42218152491432193</v>
      </c>
      <c r="H31">
        <v>0.29988610519478687</v>
      </c>
      <c r="I31">
        <v>0.29405556218048851</v>
      </c>
      <c r="J31">
        <v>0.34838218103613988</v>
      </c>
      <c r="K31">
        <v>0.73313016560198441</v>
      </c>
      <c r="L31">
        <v>0</v>
      </c>
      <c r="M31">
        <v>0</v>
      </c>
      <c r="N31">
        <v>0</v>
      </c>
      <c r="O31">
        <v>0.78025723854565199</v>
      </c>
      <c r="P31">
        <v>0.37077142948515929</v>
      </c>
      <c r="Q31">
        <v>0.2046219553514706</v>
      </c>
      <c r="R31">
        <v>0.16183332813910528</v>
      </c>
      <c r="S31">
        <v>0.15920300523892822</v>
      </c>
      <c r="T31">
        <v>0.16897988191539362</v>
      </c>
      <c r="U31">
        <v>0.24673007277833761</v>
      </c>
      <c r="V31">
        <v>0.6129456871579817</v>
      </c>
      <c r="W31">
        <v>0</v>
      </c>
      <c r="X31">
        <v>0</v>
      </c>
      <c r="Y31">
        <v>0.56682033901498452</v>
      </c>
      <c r="Z31">
        <v>0.2583564866973706</v>
      </c>
      <c r="AA31">
        <v>0.13316263147893317</v>
      </c>
      <c r="AB31">
        <v>0.11658691348153018</v>
      </c>
      <c r="AC31">
        <v>0.1159097817125965</v>
      </c>
      <c r="AD31">
        <v>0.13012993263096503</v>
      </c>
      <c r="AE31">
        <v>0.17664862219659438</v>
      </c>
      <c r="AF31">
        <v>0.35770490859890408</v>
      </c>
      <c r="AG31">
        <v>0</v>
      </c>
      <c r="AH31">
        <v>0</v>
      </c>
      <c r="AI31">
        <v>0</v>
      </c>
      <c r="AJ31">
        <v>0.61623722509226486</v>
      </c>
      <c r="AK31">
        <v>0.34449004261087451</v>
      </c>
      <c r="AL31">
        <v>0.26229088443562876</v>
      </c>
      <c r="AM31">
        <v>0.26376488195937775</v>
      </c>
      <c r="AN31">
        <v>0.31004602034023726</v>
      </c>
      <c r="AO31">
        <v>0.53519583732741993</v>
      </c>
      <c r="AP31">
        <v>0.93614921682418739</v>
      </c>
      <c r="AQ31">
        <v>0</v>
      </c>
      <c r="EA31" t="s">
        <v>487</v>
      </c>
      <c r="EB31">
        <v>0</v>
      </c>
      <c r="EC31">
        <v>0</v>
      </c>
      <c r="ED31">
        <v>3.802450937429061E-4</v>
      </c>
      <c r="EE31">
        <v>7.1817811466654211E-2</v>
      </c>
      <c r="EF31">
        <v>0.20070381772559753</v>
      </c>
      <c r="EG31">
        <v>0.22646998894035134</v>
      </c>
      <c r="EH31">
        <v>0.13007152068292993</v>
      </c>
      <c r="EI31">
        <v>1.5166011357911433E-2</v>
      </c>
      <c r="EJ31">
        <v>0</v>
      </c>
      <c r="EK31">
        <v>0</v>
      </c>
      <c r="EL31">
        <v>0</v>
      </c>
      <c r="EM31">
        <v>2.7299534361500291E-3</v>
      </c>
      <c r="EN31">
        <v>7.6176253295787782E-2</v>
      </c>
      <c r="EO31">
        <v>0.28209349984355186</v>
      </c>
      <c r="EP31">
        <v>0.429139173785612</v>
      </c>
      <c r="EQ31">
        <v>0.43847277412106461</v>
      </c>
      <c r="ER31">
        <v>0.32607318360857274</v>
      </c>
      <c r="ES31">
        <v>0.1307560323967589</v>
      </c>
      <c r="ET31">
        <v>7.8410795802822779E-3</v>
      </c>
      <c r="EU31">
        <v>0</v>
      </c>
      <c r="EV31">
        <v>0</v>
      </c>
      <c r="EW31">
        <v>8.9629128270622381E-3</v>
      </c>
      <c r="EX31">
        <v>0.13318690829605578</v>
      </c>
      <c r="EY31">
        <v>0.37155841831306585</v>
      </c>
      <c r="EZ31">
        <v>0.51371112742227287</v>
      </c>
      <c r="FA31">
        <v>0.50645540834964098</v>
      </c>
      <c r="FB31">
        <v>0.39092174112453926</v>
      </c>
      <c r="FC31">
        <v>0.19343816217168139</v>
      </c>
      <c r="FD31">
        <v>2.6274119549691312E-2</v>
      </c>
      <c r="FE31">
        <v>0</v>
      </c>
      <c r="FF31">
        <v>0</v>
      </c>
      <c r="FG31">
        <v>0</v>
      </c>
      <c r="FH31">
        <v>2.4412880171534493E-2</v>
      </c>
      <c r="FI31">
        <v>0.16238443238026032</v>
      </c>
      <c r="FJ31">
        <v>0.3022278322652191</v>
      </c>
      <c r="FK31">
        <v>0.30413889424538282</v>
      </c>
      <c r="FL31">
        <v>0.19238637842743975</v>
      </c>
      <c r="FM31">
        <v>4.4312028562093875E-2</v>
      </c>
      <c r="FN31">
        <v>1.9903283659012441E-4</v>
      </c>
      <c r="FO31">
        <v>0</v>
      </c>
      <c r="FQ31" t="s">
        <v>487</v>
      </c>
      <c r="FR31" t="s">
        <v>127</v>
      </c>
      <c r="FS31" t="s">
        <v>128</v>
      </c>
      <c r="FT31">
        <v>0.44921597223022219</v>
      </c>
    </row>
    <row r="32" spans="2:176" x14ac:dyDescent="0.45">
      <c r="B32" t="s">
        <v>488</v>
      </c>
      <c r="C32" t="s">
        <v>123</v>
      </c>
      <c r="D32">
        <v>0</v>
      </c>
      <c r="E32">
        <v>0</v>
      </c>
      <c r="F32">
        <v>0.96660210375807265</v>
      </c>
      <c r="G32">
        <v>0.44076654696374146</v>
      </c>
      <c r="H32">
        <v>0.28820312817622412</v>
      </c>
      <c r="I32">
        <v>0.26534193716099214</v>
      </c>
      <c r="J32">
        <v>0.30485650436226425</v>
      </c>
      <c r="K32">
        <v>0.66750434234354616</v>
      </c>
      <c r="L32">
        <v>0</v>
      </c>
      <c r="M32">
        <v>0</v>
      </c>
      <c r="N32">
        <v>0</v>
      </c>
      <c r="O32">
        <v>0.81923941228203856</v>
      </c>
      <c r="P32">
        <v>0.39780152922387446</v>
      </c>
      <c r="Q32">
        <v>0.21319653191301025</v>
      </c>
      <c r="R32">
        <v>0.18885386410291702</v>
      </c>
      <c r="S32">
        <v>0.20359983275308313</v>
      </c>
      <c r="T32">
        <v>0.2034358447178051</v>
      </c>
      <c r="U32">
        <v>0.25299830006319118</v>
      </c>
      <c r="V32">
        <v>0.57773195700889612</v>
      </c>
      <c r="W32">
        <v>0</v>
      </c>
      <c r="X32">
        <v>0</v>
      </c>
      <c r="Y32">
        <v>0.64611502613184724</v>
      </c>
      <c r="Z32">
        <v>0.2966176776458585</v>
      </c>
      <c r="AA32">
        <v>0.1440302795338802</v>
      </c>
      <c r="AB32">
        <v>0.11946157799575932</v>
      </c>
      <c r="AC32">
        <v>0.11421913391754984</v>
      </c>
      <c r="AD32">
        <v>0.11968297092230187</v>
      </c>
      <c r="AE32">
        <v>0.15952613911800237</v>
      </c>
      <c r="AF32">
        <v>0.35260714399974374</v>
      </c>
      <c r="AG32">
        <v>0</v>
      </c>
      <c r="AH32">
        <v>0</v>
      </c>
      <c r="AI32">
        <v>0</v>
      </c>
      <c r="AJ32">
        <v>0.65434247530162448</v>
      </c>
      <c r="AK32">
        <v>0.33756156966144613</v>
      </c>
      <c r="AL32">
        <v>0.25938566012178621</v>
      </c>
      <c r="AM32">
        <v>0.25146136747261588</v>
      </c>
      <c r="AN32">
        <v>0.28549188105542717</v>
      </c>
      <c r="AO32">
        <v>0.497076722508698</v>
      </c>
      <c r="AP32">
        <v>0.92709113034326929</v>
      </c>
      <c r="AQ32">
        <v>0</v>
      </c>
      <c r="EA32" t="s">
        <v>488</v>
      </c>
      <c r="EB32">
        <v>0</v>
      </c>
      <c r="EC32">
        <v>0</v>
      </c>
      <c r="ED32">
        <v>2.2209958480472015E-4</v>
      </c>
      <c r="EE32">
        <v>8.1226130728279999E-2</v>
      </c>
      <c r="EF32">
        <v>0.23232211396739891</v>
      </c>
      <c r="EG32">
        <v>0.26818633807020709</v>
      </c>
      <c r="EH32">
        <v>0.15975125794608344</v>
      </c>
      <c r="EI32">
        <v>2.0238156080641969E-2</v>
      </c>
      <c r="EJ32">
        <v>0</v>
      </c>
      <c r="EK32">
        <v>0</v>
      </c>
      <c r="EL32">
        <v>0</v>
      </c>
      <c r="EM32">
        <v>1.5785271585858805E-3</v>
      </c>
      <c r="EN32">
        <v>6.497359203984257E-2</v>
      </c>
      <c r="EO32">
        <v>0.27873377932249416</v>
      </c>
      <c r="EP32">
        <v>0.44078735470185099</v>
      </c>
      <c r="EQ32">
        <v>0.45316400010898583</v>
      </c>
      <c r="ER32">
        <v>0.34345560236126399</v>
      </c>
      <c r="ES32">
        <v>0.14855359330692733</v>
      </c>
      <c r="ET32">
        <v>1.1238131054552594E-2</v>
      </c>
      <c r="EU32">
        <v>0</v>
      </c>
      <c r="EV32">
        <v>0</v>
      </c>
      <c r="EW32">
        <v>5.464156314882374E-3</v>
      </c>
      <c r="EX32">
        <v>0.11170981784207562</v>
      </c>
      <c r="EY32">
        <v>0.35864335601794656</v>
      </c>
      <c r="EZ32">
        <v>0.51249208326269458</v>
      </c>
      <c r="FA32">
        <v>0.52741366558695835</v>
      </c>
      <c r="FB32">
        <v>0.4233939753684734</v>
      </c>
      <c r="FC32">
        <v>0.22838723480966</v>
      </c>
      <c r="FD32">
        <v>3.4760362225751205E-2</v>
      </c>
      <c r="FE32">
        <v>0</v>
      </c>
      <c r="FF32">
        <v>0</v>
      </c>
      <c r="FG32">
        <v>0</v>
      </c>
      <c r="FH32">
        <v>1.9300410239285932E-2</v>
      </c>
      <c r="FI32">
        <v>0.16093801733671687</v>
      </c>
      <c r="FJ32">
        <v>0.31322189012087209</v>
      </c>
      <c r="FK32">
        <v>0.33024983523615092</v>
      </c>
      <c r="FL32">
        <v>0.22260129693915551</v>
      </c>
      <c r="FM32">
        <v>5.786531218342366E-2</v>
      </c>
      <c r="FN32">
        <v>5.3133300082227025E-4</v>
      </c>
      <c r="FO32">
        <v>0</v>
      </c>
      <c r="FQ32" t="s">
        <v>488</v>
      </c>
      <c r="FR32" t="s">
        <v>127</v>
      </c>
      <c r="FS32" t="s">
        <v>128</v>
      </c>
      <c r="FT32">
        <v>0.47661010310681379</v>
      </c>
    </row>
    <row r="33" spans="2:176" x14ac:dyDescent="0.45">
      <c r="B33" t="s">
        <v>489</v>
      </c>
      <c r="C33" t="s">
        <v>123</v>
      </c>
      <c r="D33">
        <v>0</v>
      </c>
      <c r="E33">
        <v>0</v>
      </c>
      <c r="F33">
        <v>0.97379870917305156</v>
      </c>
      <c r="G33">
        <v>0.49380091943249538</v>
      </c>
      <c r="H33">
        <v>0.30347029556302596</v>
      </c>
      <c r="I33">
        <v>0.26819542164005072</v>
      </c>
      <c r="J33">
        <v>0.31755641050066669</v>
      </c>
      <c r="K33">
        <v>0.65547871538510771</v>
      </c>
      <c r="L33">
        <v>0</v>
      </c>
      <c r="M33">
        <v>0</v>
      </c>
      <c r="N33">
        <v>0</v>
      </c>
      <c r="O33">
        <v>0.80866105932612886</v>
      </c>
      <c r="P33">
        <v>0.4072912337173395</v>
      </c>
      <c r="Q33">
        <v>0.22208565927936444</v>
      </c>
      <c r="R33">
        <v>0.17733162705284203</v>
      </c>
      <c r="S33">
        <v>0.1727160522590111</v>
      </c>
      <c r="T33">
        <v>0.1820602160955917</v>
      </c>
      <c r="U33">
        <v>0.23676870146893805</v>
      </c>
      <c r="V33">
        <v>0.5521423614328187</v>
      </c>
      <c r="W33">
        <v>0</v>
      </c>
      <c r="X33">
        <v>0</v>
      </c>
      <c r="Y33">
        <v>0.63706120010032219</v>
      </c>
      <c r="Z33">
        <v>0.29104261608350318</v>
      </c>
      <c r="AA33">
        <v>0.14636544840801846</v>
      </c>
      <c r="AB33">
        <v>0.13215549382700656</v>
      </c>
      <c r="AC33">
        <v>0.11531496263737641</v>
      </c>
      <c r="AD33">
        <v>0.1310093509739218</v>
      </c>
      <c r="AE33">
        <v>0.16629345921136077</v>
      </c>
      <c r="AF33">
        <v>0.33904145014693099</v>
      </c>
      <c r="AG33">
        <v>0.91224007571578336</v>
      </c>
      <c r="AH33">
        <v>0</v>
      </c>
      <c r="AI33">
        <v>0</v>
      </c>
      <c r="AJ33">
        <v>0.67552125827330334</v>
      </c>
      <c r="AK33">
        <v>0.344674542883323</v>
      </c>
      <c r="AL33">
        <v>0.25026762232853939</v>
      </c>
      <c r="AM33">
        <v>0.23247018657281471</v>
      </c>
      <c r="AN33">
        <v>0.28330263131595684</v>
      </c>
      <c r="AO33">
        <v>0.48895866445874486</v>
      </c>
      <c r="AP33">
        <v>0.91776818919973946</v>
      </c>
      <c r="AQ33">
        <v>0</v>
      </c>
      <c r="EA33" t="s">
        <v>489</v>
      </c>
      <c r="EB33">
        <v>0</v>
      </c>
      <c r="EC33">
        <v>0</v>
      </c>
      <c r="ED33">
        <v>9.2535414411097825E-5</v>
      </c>
      <c r="EE33">
        <v>5.8342469302318671E-2</v>
      </c>
      <c r="EF33">
        <v>0.18915707796046727</v>
      </c>
      <c r="EG33">
        <v>0.23030057040596755</v>
      </c>
      <c r="EH33">
        <v>0.13953907565012955</v>
      </c>
      <c r="EI33">
        <v>1.9374799120111433E-2</v>
      </c>
      <c r="EJ33">
        <v>0</v>
      </c>
      <c r="EK33">
        <v>0</v>
      </c>
      <c r="EL33">
        <v>0</v>
      </c>
      <c r="EM33">
        <v>1.4604999363740194E-3</v>
      </c>
      <c r="EN33">
        <v>6.1519852293052679E-2</v>
      </c>
      <c r="EO33">
        <v>0.26969990422876622</v>
      </c>
      <c r="EP33">
        <v>0.42789583590437019</v>
      </c>
      <c r="EQ33">
        <v>0.44564765328327011</v>
      </c>
      <c r="ER33">
        <v>0.33964115252350746</v>
      </c>
      <c r="ES33">
        <v>0.15151189941057827</v>
      </c>
      <c r="ET33">
        <v>1.3221748232976824E-2</v>
      </c>
      <c r="EU33">
        <v>0</v>
      </c>
      <c r="EV33">
        <v>0</v>
      </c>
      <c r="EW33">
        <v>5.7606569906106251E-3</v>
      </c>
      <c r="EX33">
        <v>0.1072770211626167</v>
      </c>
      <c r="EY33">
        <v>0.34495359469625392</v>
      </c>
      <c r="EZ33">
        <v>0.49448963385271655</v>
      </c>
      <c r="FA33">
        <v>0.51498670421156167</v>
      </c>
      <c r="FB33">
        <v>0.41115953086436263</v>
      </c>
      <c r="FC33">
        <v>0.21961319218496764</v>
      </c>
      <c r="FD33">
        <v>3.6782119933080518E-2</v>
      </c>
      <c r="FE33">
        <v>9.809633966527753E-6</v>
      </c>
      <c r="FF33">
        <v>0</v>
      </c>
      <c r="FG33">
        <v>0</v>
      </c>
      <c r="FH33">
        <v>1.7132885894998902E-2</v>
      </c>
      <c r="FI33">
        <v>0.14831808353399845</v>
      </c>
      <c r="FJ33">
        <v>0.29400515782890335</v>
      </c>
      <c r="FK33">
        <v>0.30718024357091728</v>
      </c>
      <c r="FL33">
        <v>0.20646078744899907</v>
      </c>
      <c r="FM33">
        <v>5.5009644147918882E-2</v>
      </c>
      <c r="FN33">
        <v>6.2499568921338031E-4</v>
      </c>
      <c r="FO33">
        <v>0</v>
      </c>
      <c r="FQ33" t="s">
        <v>489</v>
      </c>
      <c r="FR33" t="s">
        <v>127</v>
      </c>
      <c r="FS33" t="s">
        <v>128</v>
      </c>
      <c r="FT33">
        <v>0.44096548225408583</v>
      </c>
    </row>
    <row r="34" spans="2:176" x14ac:dyDescent="0.45">
      <c r="B34" t="s">
        <v>490</v>
      </c>
      <c r="C34" t="s">
        <v>123</v>
      </c>
      <c r="D34">
        <v>0.23925378760043661</v>
      </c>
      <c r="E34">
        <v>0.2536663670652623</v>
      </c>
      <c r="F34">
        <v>0.25578186136462566</v>
      </c>
      <c r="G34">
        <v>0.2544656996322191</v>
      </c>
      <c r="H34">
        <v>0.25314542876613116</v>
      </c>
      <c r="I34">
        <v>0.25982913255410184</v>
      </c>
      <c r="J34">
        <v>0.25772239742400305</v>
      </c>
      <c r="K34">
        <v>0.25380025194145983</v>
      </c>
      <c r="L34">
        <v>0.24676727659164424</v>
      </c>
      <c r="M34">
        <v>0.23706228907726548</v>
      </c>
      <c r="N34">
        <v>0.28898549505382581</v>
      </c>
      <c r="O34">
        <v>0.30884137197075273</v>
      </c>
      <c r="P34">
        <v>0.29747212302077575</v>
      </c>
      <c r="Q34">
        <v>0.29209059353845657</v>
      </c>
      <c r="R34">
        <v>0.30013811310870436</v>
      </c>
      <c r="S34">
        <v>0.28918139250276853</v>
      </c>
      <c r="T34">
        <v>0.27428813307770494</v>
      </c>
      <c r="U34">
        <v>0.26500070845570939</v>
      </c>
      <c r="V34">
        <v>0.25236585085906366</v>
      </c>
      <c r="W34">
        <v>0.25684570919792238</v>
      </c>
      <c r="X34">
        <v>0.33538421977230432</v>
      </c>
      <c r="Y34">
        <v>0.32178023597037503</v>
      </c>
      <c r="Z34">
        <v>0.32266743277951287</v>
      </c>
      <c r="AA34">
        <v>0.31336520534587586</v>
      </c>
      <c r="AB34">
        <v>0.33060704837237298</v>
      </c>
      <c r="AC34">
        <v>0.33059190797457377</v>
      </c>
      <c r="AD34">
        <v>0.3116681648644497</v>
      </c>
      <c r="AE34">
        <v>0.30377575497963621</v>
      </c>
      <c r="AF34">
        <v>0.30534875142600226</v>
      </c>
      <c r="AG34">
        <v>0.31518876109461724</v>
      </c>
      <c r="AH34">
        <v>0.25363442796629804</v>
      </c>
      <c r="AI34">
        <v>0.25236574632995357</v>
      </c>
      <c r="AJ34">
        <v>0.25264218417278678</v>
      </c>
      <c r="AK34">
        <v>0.25478196493340083</v>
      </c>
      <c r="AL34">
        <v>0.2633507457987842</v>
      </c>
      <c r="AM34">
        <v>0.2691921303392128</v>
      </c>
      <c r="AN34">
        <v>0.25142065847070599</v>
      </c>
      <c r="AO34">
        <v>0.24031123786763009</v>
      </c>
      <c r="AP34">
        <v>0.2332699979737205</v>
      </c>
      <c r="AQ34">
        <v>0.25043418003446899</v>
      </c>
      <c r="EA34" t="s">
        <v>490</v>
      </c>
      <c r="EB34">
        <v>0.6584041885206724</v>
      </c>
      <c r="EC34">
        <v>0.64608548210111594</v>
      </c>
      <c r="ED34">
        <v>0.64574168521111508</v>
      </c>
      <c r="EE34">
        <v>0.64647296913505192</v>
      </c>
      <c r="EF34">
        <v>0.65635616957821741</v>
      </c>
      <c r="EG34">
        <v>0.65082244843300896</v>
      </c>
      <c r="EH34">
        <v>0.65485500699769494</v>
      </c>
      <c r="EI34">
        <v>0.65943660911087298</v>
      </c>
      <c r="EJ34">
        <v>0.65977991250938905</v>
      </c>
      <c r="EK34">
        <v>0.65794239417648226</v>
      </c>
      <c r="EL34">
        <v>0.58155622910979143</v>
      </c>
      <c r="EM34">
        <v>0.55937060389960425</v>
      </c>
      <c r="EN34">
        <v>0.55838221151490519</v>
      </c>
      <c r="EO34">
        <v>0.56097758642008666</v>
      </c>
      <c r="EP34">
        <v>0.56381560206895565</v>
      </c>
      <c r="EQ34">
        <v>0.57921110194630931</v>
      </c>
      <c r="ER34">
        <v>0.59961536118713643</v>
      </c>
      <c r="ES34">
        <v>0.60659883379339985</v>
      </c>
      <c r="ET34">
        <v>0.61281551223387398</v>
      </c>
      <c r="EU34">
        <v>0.61263276643196107</v>
      </c>
      <c r="EV34">
        <v>0.42507052143897384</v>
      </c>
      <c r="EW34">
        <v>0.442802491294157</v>
      </c>
      <c r="EX34">
        <v>0.44772346908653676</v>
      </c>
      <c r="EY34">
        <v>0.45208794721540463</v>
      </c>
      <c r="EZ34">
        <v>0.4360366339266763</v>
      </c>
      <c r="FA34">
        <v>0.43920232178324864</v>
      </c>
      <c r="FB34">
        <v>0.45328340452240257</v>
      </c>
      <c r="FC34">
        <v>0.45780314612236844</v>
      </c>
      <c r="FD34">
        <v>0.44104939792189823</v>
      </c>
      <c r="FE34">
        <v>0.41310489043721521</v>
      </c>
      <c r="FF34">
        <v>0.63540808370980351</v>
      </c>
      <c r="FG34">
        <v>0.62333829807433516</v>
      </c>
      <c r="FH34">
        <v>0.6256503353635483</v>
      </c>
      <c r="FI34">
        <v>0.61922456258529879</v>
      </c>
      <c r="FJ34">
        <v>0.62367686239801856</v>
      </c>
      <c r="FK34">
        <v>0.62238541509585554</v>
      </c>
      <c r="FL34">
        <v>0.63139691851698465</v>
      </c>
      <c r="FM34">
        <v>0.64527863615583592</v>
      </c>
      <c r="FN34">
        <v>0.65124683846194609</v>
      </c>
      <c r="FO34">
        <v>0.64282521823763494</v>
      </c>
      <c r="FQ34" t="s">
        <v>491</v>
      </c>
      <c r="FR34" t="s">
        <v>127</v>
      </c>
      <c r="FS34" t="s">
        <v>128</v>
      </c>
      <c r="FT34">
        <v>0.17119447953912234</v>
      </c>
    </row>
    <row r="35" spans="2:176" x14ac:dyDescent="0.45">
      <c r="B35" t="s">
        <v>492</v>
      </c>
      <c r="C35" t="s">
        <v>123</v>
      </c>
      <c r="D35">
        <v>0.23520464830610038</v>
      </c>
      <c r="E35">
        <v>0.25023866782301801</v>
      </c>
      <c r="F35">
        <v>0.25301619747067056</v>
      </c>
      <c r="G35">
        <v>0.24668003051680723</v>
      </c>
      <c r="H35">
        <v>0.24955898919223005</v>
      </c>
      <c r="I35">
        <v>0.25181704547642647</v>
      </c>
      <c r="J35">
        <v>0.2588557168088656</v>
      </c>
      <c r="K35">
        <v>0.25797824798852481</v>
      </c>
      <c r="L35">
        <v>0.24791042160276311</v>
      </c>
      <c r="M35">
        <v>0.24046530331179192</v>
      </c>
      <c r="N35">
        <v>0.2851871878087599</v>
      </c>
      <c r="O35">
        <v>0.31358482983258923</v>
      </c>
      <c r="P35">
        <v>0.31054108238821521</v>
      </c>
      <c r="Q35">
        <v>0.29726086978929722</v>
      </c>
      <c r="R35">
        <v>0.30179868450108005</v>
      </c>
      <c r="S35">
        <v>0.29278039445613452</v>
      </c>
      <c r="T35">
        <v>0.27788341770098818</v>
      </c>
      <c r="U35">
        <v>0.27338611027156107</v>
      </c>
      <c r="V35">
        <v>0.27203358503413938</v>
      </c>
      <c r="W35">
        <v>0.2641296700575867</v>
      </c>
      <c r="X35">
        <v>0.32625434960569455</v>
      </c>
      <c r="Y35">
        <v>0.33279575423019464</v>
      </c>
      <c r="Z35">
        <v>0.32877204509769559</v>
      </c>
      <c r="AA35">
        <v>0.32873511849370668</v>
      </c>
      <c r="AB35">
        <v>0.32782343004253101</v>
      </c>
      <c r="AC35">
        <v>0.3195629691794642</v>
      </c>
      <c r="AD35">
        <v>0.31510731254556851</v>
      </c>
      <c r="AE35">
        <v>0.30778631849298987</v>
      </c>
      <c r="AF35">
        <v>0.29923847688138983</v>
      </c>
      <c r="AG35">
        <v>0.30448165762935081</v>
      </c>
      <c r="AH35">
        <v>0.24428853014658994</v>
      </c>
      <c r="AI35">
        <v>0.26145266540440965</v>
      </c>
      <c r="AJ35">
        <v>0.25068959467876922</v>
      </c>
      <c r="AK35">
        <v>0.25768660589138531</v>
      </c>
      <c r="AL35">
        <v>0.26175809458080102</v>
      </c>
      <c r="AM35">
        <v>0.26673079155468116</v>
      </c>
      <c r="AN35">
        <v>0.24966121867908792</v>
      </c>
      <c r="AO35">
        <v>0.2443748246181674</v>
      </c>
      <c r="AP35">
        <v>0.23386140830550278</v>
      </c>
      <c r="AQ35">
        <v>0.23597593776922415</v>
      </c>
      <c r="EA35" t="s">
        <v>492</v>
      </c>
      <c r="EB35">
        <v>0.65563067267805508</v>
      </c>
      <c r="EC35">
        <v>0.64844315072623648</v>
      </c>
      <c r="ED35">
        <v>0.64872478179335136</v>
      </c>
      <c r="EE35">
        <v>0.64867017795348669</v>
      </c>
      <c r="EF35">
        <v>0.650426031140239</v>
      </c>
      <c r="EG35">
        <v>0.65024881247479305</v>
      </c>
      <c r="EH35">
        <v>0.64841729545892579</v>
      </c>
      <c r="EI35">
        <v>0.65832565557192169</v>
      </c>
      <c r="EJ35">
        <v>0.66040321932212387</v>
      </c>
      <c r="EK35">
        <v>0.65676415412374967</v>
      </c>
      <c r="EL35">
        <v>0.57490562115239852</v>
      </c>
      <c r="EM35">
        <v>0.54903966644469426</v>
      </c>
      <c r="EN35">
        <v>0.54235135980595528</v>
      </c>
      <c r="EO35">
        <v>0.54558116771039777</v>
      </c>
      <c r="EP35">
        <v>0.53758729240195802</v>
      </c>
      <c r="EQ35">
        <v>0.55280035956211515</v>
      </c>
      <c r="ER35">
        <v>0.56609250911214337</v>
      </c>
      <c r="ES35">
        <v>0.57533318327214833</v>
      </c>
      <c r="ET35">
        <v>0.58536581996790849</v>
      </c>
      <c r="EU35">
        <v>0.5853420501013451</v>
      </c>
      <c r="EV35">
        <v>0.42366295088145911</v>
      </c>
      <c r="EW35">
        <v>0.43173152062314463</v>
      </c>
      <c r="EX35">
        <v>0.44340091009006921</v>
      </c>
      <c r="EY35">
        <v>0.45901247886974539</v>
      </c>
      <c r="EZ35">
        <v>0.44712343899783524</v>
      </c>
      <c r="FA35">
        <v>0.45272501683456712</v>
      </c>
      <c r="FB35">
        <v>0.45720254813417233</v>
      </c>
      <c r="FC35">
        <v>0.46676427718084257</v>
      </c>
      <c r="FD35">
        <v>0.45620734223686105</v>
      </c>
      <c r="FE35">
        <v>0.4475392075826638</v>
      </c>
      <c r="FF35">
        <v>0.64127566357773724</v>
      </c>
      <c r="FG35">
        <v>0.62251238585252866</v>
      </c>
      <c r="FH35">
        <v>0.62400874488824642</v>
      </c>
      <c r="FI35">
        <v>0.61435655201413775</v>
      </c>
      <c r="FJ35">
        <v>0.60990591916980919</v>
      </c>
      <c r="FK35">
        <v>0.61204181458245244</v>
      </c>
      <c r="FL35">
        <v>0.62457539397621487</v>
      </c>
      <c r="FM35">
        <v>0.62525449200389127</v>
      </c>
      <c r="FN35">
        <v>0.64056219119183622</v>
      </c>
      <c r="FO35">
        <v>0.64815919930601573</v>
      </c>
      <c r="FQ35" t="s">
        <v>493</v>
      </c>
      <c r="FR35" t="s">
        <v>127</v>
      </c>
      <c r="FS35" t="s">
        <v>128</v>
      </c>
      <c r="FT35">
        <v>0.18372851301844723</v>
      </c>
    </row>
    <row r="36" spans="2:176" x14ac:dyDescent="0.45">
      <c r="B36" t="s">
        <v>494</v>
      </c>
      <c r="C36" t="s">
        <v>123</v>
      </c>
      <c r="D36">
        <v>0.24249213284093088</v>
      </c>
      <c r="E36">
        <v>0.23760138425737684</v>
      </c>
      <c r="F36">
        <v>0.23633035878064187</v>
      </c>
      <c r="G36">
        <v>0.22980581552020932</v>
      </c>
      <c r="H36">
        <v>0.24377395349941547</v>
      </c>
      <c r="I36">
        <v>0.24574718786284783</v>
      </c>
      <c r="J36">
        <v>0.25567414615243755</v>
      </c>
      <c r="K36">
        <v>0.25189840846831568</v>
      </c>
      <c r="L36">
        <v>0.24855431128382172</v>
      </c>
      <c r="M36">
        <v>0.24392614447514219</v>
      </c>
      <c r="N36">
        <v>0.28995252278916067</v>
      </c>
      <c r="O36">
        <v>0.30674978288252791</v>
      </c>
      <c r="P36">
        <v>0.31399024012480503</v>
      </c>
      <c r="Q36">
        <v>0.31071157177451997</v>
      </c>
      <c r="R36">
        <v>0.31687247384040018</v>
      </c>
      <c r="S36">
        <v>0.30648799391233478</v>
      </c>
      <c r="T36">
        <v>0.29053475962002989</v>
      </c>
      <c r="U36">
        <v>0.29066768998090353</v>
      </c>
      <c r="V36">
        <v>0.29692738655002332</v>
      </c>
      <c r="W36">
        <v>0.28309635055345811</v>
      </c>
      <c r="X36">
        <v>0.33404531848114927</v>
      </c>
      <c r="Y36">
        <v>0.35743636721723698</v>
      </c>
      <c r="Z36">
        <v>0.35409918196025836</v>
      </c>
      <c r="AA36">
        <v>0.34195430907683388</v>
      </c>
      <c r="AB36">
        <v>0.34432812261693857</v>
      </c>
      <c r="AC36">
        <v>0.33046820340392963</v>
      </c>
      <c r="AD36">
        <v>0.31506162545900707</v>
      </c>
      <c r="AE36">
        <v>0.29888205834601372</v>
      </c>
      <c r="AF36">
        <v>0.28750161426482373</v>
      </c>
      <c r="AG36">
        <v>0.31021877886950427</v>
      </c>
      <c r="AH36">
        <v>0.25054797163034204</v>
      </c>
      <c r="AI36">
        <v>0.26463779065919868</v>
      </c>
      <c r="AJ36">
        <v>0.26353132481192582</v>
      </c>
      <c r="AK36">
        <v>0.27891429202938761</v>
      </c>
      <c r="AL36">
        <v>0.28646697317589048</v>
      </c>
      <c r="AM36">
        <v>0.29213838265302428</v>
      </c>
      <c r="AN36">
        <v>0.28213909865497172</v>
      </c>
      <c r="AO36">
        <v>0.26244396707644618</v>
      </c>
      <c r="AP36">
        <v>0.25106767185312318</v>
      </c>
      <c r="AQ36">
        <v>0.24421085115013205</v>
      </c>
      <c r="EA36" t="s">
        <v>494</v>
      </c>
      <c r="EB36">
        <v>0.63426725830655817</v>
      </c>
      <c r="EC36">
        <v>0.63859896191411469</v>
      </c>
      <c r="ED36">
        <v>0.63452439757180756</v>
      </c>
      <c r="EE36">
        <v>0.6424537889567743</v>
      </c>
      <c r="EF36">
        <v>0.63610325704915804</v>
      </c>
      <c r="EG36">
        <v>0.63857602106118616</v>
      </c>
      <c r="EH36">
        <v>0.63729799750177707</v>
      </c>
      <c r="EI36">
        <v>0.64827775908515739</v>
      </c>
      <c r="EJ36">
        <v>0.64944020974224514</v>
      </c>
      <c r="EK36">
        <v>0.63962935228102913</v>
      </c>
      <c r="EL36">
        <v>0.54282253931505109</v>
      </c>
      <c r="EM36">
        <v>0.52596376605084993</v>
      </c>
      <c r="EN36">
        <v>0.51432168386252375</v>
      </c>
      <c r="EO36">
        <v>0.50841282475271643</v>
      </c>
      <c r="EP36">
        <v>0.48963684973880228</v>
      </c>
      <c r="EQ36">
        <v>0.4974232280430701</v>
      </c>
      <c r="ER36">
        <v>0.51342233467353471</v>
      </c>
      <c r="ES36">
        <v>0.52781209579635791</v>
      </c>
      <c r="ET36">
        <v>0.5355294859964842</v>
      </c>
      <c r="EU36">
        <v>0.54167998165486797</v>
      </c>
      <c r="EV36">
        <v>0.42079609240217325</v>
      </c>
      <c r="EW36">
        <v>0.41734657429578959</v>
      </c>
      <c r="EX36">
        <v>0.41821727762605893</v>
      </c>
      <c r="EY36">
        <v>0.4399509986392377</v>
      </c>
      <c r="EZ36">
        <v>0.43129608129184299</v>
      </c>
      <c r="FA36">
        <v>0.43831031073664284</v>
      </c>
      <c r="FB36">
        <v>0.43752081920445185</v>
      </c>
      <c r="FC36">
        <v>0.44128200917486693</v>
      </c>
      <c r="FD36">
        <v>0.44293702154856779</v>
      </c>
      <c r="FE36">
        <v>0.4393761339170571</v>
      </c>
      <c r="FF36">
        <v>0.60774901430000372</v>
      </c>
      <c r="FG36">
        <v>0.59815469699925705</v>
      </c>
      <c r="FH36">
        <v>0.59208041753740004</v>
      </c>
      <c r="FI36">
        <v>0.58232124809935015</v>
      </c>
      <c r="FJ36">
        <v>0.56007773033031449</v>
      </c>
      <c r="FK36">
        <v>0.5640051181114446</v>
      </c>
      <c r="FL36">
        <v>0.57606934552184963</v>
      </c>
      <c r="FM36">
        <v>0.58856207653685511</v>
      </c>
      <c r="FN36">
        <v>0.59553599070790264</v>
      </c>
      <c r="FO36">
        <v>0.60698869742880923</v>
      </c>
      <c r="FQ36" t="s">
        <v>495</v>
      </c>
      <c r="FR36" t="s">
        <v>127</v>
      </c>
      <c r="FS36" t="s">
        <v>128</v>
      </c>
      <c r="FT36">
        <v>0.2374566795537405</v>
      </c>
    </row>
    <row r="37" spans="2:176" x14ac:dyDescent="0.45">
      <c r="B37" t="s">
        <v>496</v>
      </c>
      <c r="C37" t="s">
        <v>123</v>
      </c>
      <c r="D37">
        <v>0.24135723408617926</v>
      </c>
      <c r="E37">
        <v>0.24759590657641131</v>
      </c>
      <c r="F37">
        <v>0.25444150982044217</v>
      </c>
      <c r="G37">
        <v>0.25785336261149416</v>
      </c>
      <c r="H37">
        <v>0.25939160428712704</v>
      </c>
      <c r="I37">
        <v>0.26691318266597619</v>
      </c>
      <c r="J37">
        <v>0.27200332629088736</v>
      </c>
      <c r="K37">
        <v>0.26349912683544807</v>
      </c>
      <c r="L37">
        <v>0.25922056515767111</v>
      </c>
      <c r="M37">
        <v>0.24208399233785541</v>
      </c>
      <c r="N37">
        <v>0.29208326979370375</v>
      </c>
      <c r="O37">
        <v>0.29736888615461532</v>
      </c>
      <c r="P37">
        <v>0.2991193221252294</v>
      </c>
      <c r="Q37">
        <v>0.29680554324707931</v>
      </c>
      <c r="R37">
        <v>0.30512962947169475</v>
      </c>
      <c r="S37">
        <v>0.29097334260360963</v>
      </c>
      <c r="T37">
        <v>0.28370915020825882</v>
      </c>
      <c r="U37">
        <v>0.28710680253961202</v>
      </c>
      <c r="V37">
        <v>0.30068593722136355</v>
      </c>
      <c r="W37">
        <v>0.30040052495440717</v>
      </c>
      <c r="X37">
        <v>0.32374032232052424</v>
      </c>
      <c r="Y37">
        <v>0.3284974413621552</v>
      </c>
      <c r="Z37">
        <v>0.32778020809241504</v>
      </c>
      <c r="AA37">
        <v>0.33013294480640859</v>
      </c>
      <c r="AB37">
        <v>0.33046779631456757</v>
      </c>
      <c r="AC37">
        <v>0.33176046513222435</v>
      </c>
      <c r="AD37">
        <v>0.31792626817450442</v>
      </c>
      <c r="AE37">
        <v>0.31325563041362414</v>
      </c>
      <c r="AF37">
        <v>0.30993391242360707</v>
      </c>
      <c r="AG37">
        <v>0.3152491448905127</v>
      </c>
      <c r="AH37">
        <v>0.23933338673466789</v>
      </c>
      <c r="AI37">
        <v>0.26250500366362772</v>
      </c>
      <c r="AJ37">
        <v>0.27881953287370026</v>
      </c>
      <c r="AK37">
        <v>0.28095835693075688</v>
      </c>
      <c r="AL37">
        <v>0.27692671431901722</v>
      </c>
      <c r="AM37">
        <v>0.28274087985750262</v>
      </c>
      <c r="AN37">
        <v>0.26596958363849493</v>
      </c>
      <c r="AO37">
        <v>0.25952980430642231</v>
      </c>
      <c r="AP37">
        <v>0.25197926355767086</v>
      </c>
      <c r="AQ37">
        <v>0.23897333065582524</v>
      </c>
      <c r="EA37" t="s">
        <v>496</v>
      </c>
      <c r="EB37">
        <v>0.6338961942112451</v>
      </c>
      <c r="EC37">
        <v>0.6329123732148072</v>
      </c>
      <c r="ED37">
        <v>0.6344713555474637</v>
      </c>
      <c r="EE37">
        <v>0.63184030526807611</v>
      </c>
      <c r="EF37">
        <v>0.624786073831333</v>
      </c>
      <c r="EG37">
        <v>0.62473208846673178</v>
      </c>
      <c r="EH37">
        <v>0.62607832129127217</v>
      </c>
      <c r="EI37">
        <v>0.63484758891818893</v>
      </c>
      <c r="EJ37">
        <v>0.63234127270825558</v>
      </c>
      <c r="EK37">
        <v>0.63248042011168493</v>
      </c>
      <c r="EL37">
        <v>0.54636442914161643</v>
      </c>
      <c r="EM37">
        <v>0.52721899528357885</v>
      </c>
      <c r="EN37">
        <v>0.51549129282804051</v>
      </c>
      <c r="EO37">
        <v>0.5121386310575321</v>
      </c>
      <c r="EP37">
        <v>0.49237732989960137</v>
      </c>
      <c r="EQ37">
        <v>0.50454906201308025</v>
      </c>
      <c r="ER37">
        <v>0.52261373610030559</v>
      </c>
      <c r="ES37">
        <v>0.53826821565426841</v>
      </c>
      <c r="ET37">
        <v>0.55323164290473048</v>
      </c>
      <c r="EU37">
        <v>0.55157372309422681</v>
      </c>
      <c r="EV37">
        <v>0.39748305853316174</v>
      </c>
      <c r="EW37">
        <v>0.41387562955064855</v>
      </c>
      <c r="EX37">
        <v>0.41883114877022193</v>
      </c>
      <c r="EY37">
        <v>0.41932505824828586</v>
      </c>
      <c r="EZ37">
        <v>0.40061177358701905</v>
      </c>
      <c r="FA37">
        <v>0.40403584757070005</v>
      </c>
      <c r="FB37">
        <v>0.41676255754042207</v>
      </c>
      <c r="FC37">
        <v>0.42173268659659452</v>
      </c>
      <c r="FD37">
        <v>0.41699201819010212</v>
      </c>
      <c r="FE37">
        <v>0.41296727785861037</v>
      </c>
      <c r="FF37">
        <v>0.60704360966379167</v>
      </c>
      <c r="FG37">
        <v>0.5965272533178676</v>
      </c>
      <c r="FH37">
        <v>0.59299810731856328</v>
      </c>
      <c r="FI37">
        <v>0.58533280323160497</v>
      </c>
      <c r="FJ37">
        <v>0.57563826524729944</v>
      </c>
      <c r="FK37">
        <v>0.57468441366497147</v>
      </c>
      <c r="FL37">
        <v>0.58798038969456456</v>
      </c>
      <c r="FM37">
        <v>0.5934220692571851</v>
      </c>
      <c r="FN37">
        <v>0.60062640279406854</v>
      </c>
      <c r="FO37">
        <v>0.60895040603950679</v>
      </c>
      <c r="FQ37" t="s">
        <v>497</v>
      </c>
      <c r="FR37" t="s">
        <v>127</v>
      </c>
      <c r="FS37" t="s">
        <v>128</v>
      </c>
      <c r="FT37">
        <v>0.25286049302872809</v>
      </c>
    </row>
    <row r="38" spans="2:176" x14ac:dyDescent="0.45">
      <c r="B38" t="s">
        <v>498</v>
      </c>
      <c r="C38" t="s">
        <v>123</v>
      </c>
      <c r="D38">
        <v>0.25385904294524358</v>
      </c>
      <c r="E38">
        <v>0.25533282790842382</v>
      </c>
      <c r="F38">
        <v>0.26145145913127676</v>
      </c>
      <c r="G38">
        <v>0.26364303355499941</v>
      </c>
      <c r="H38">
        <v>0.27184498699087239</v>
      </c>
      <c r="I38">
        <v>0.28108573086833316</v>
      </c>
      <c r="J38">
        <v>0.281774779132348</v>
      </c>
      <c r="K38">
        <v>0.27396568064169025</v>
      </c>
      <c r="L38">
        <v>0.2689814106239064</v>
      </c>
      <c r="M38">
        <v>0.26571258326854241</v>
      </c>
      <c r="N38">
        <v>0.31486135760980677</v>
      </c>
      <c r="O38">
        <v>0.30156631082193047</v>
      </c>
      <c r="P38">
        <v>0.30997659107675279</v>
      </c>
      <c r="Q38">
        <v>0.32094532038523899</v>
      </c>
      <c r="R38">
        <v>0.33010409006957414</v>
      </c>
      <c r="S38">
        <v>0.32080078580656474</v>
      </c>
      <c r="T38">
        <v>0.32260085569981689</v>
      </c>
      <c r="U38">
        <v>0.32702024309826971</v>
      </c>
      <c r="V38">
        <v>0.32861633817343511</v>
      </c>
      <c r="W38">
        <v>0.32407361765127984</v>
      </c>
      <c r="X38">
        <v>0.3509411300103214</v>
      </c>
      <c r="Y38">
        <v>0.36456723661911106</v>
      </c>
      <c r="Z38">
        <v>0.36559300199526362</v>
      </c>
      <c r="AA38">
        <v>0.37517290744678228</v>
      </c>
      <c r="AB38">
        <v>0.37972755660020102</v>
      </c>
      <c r="AC38">
        <v>0.3613396668083097</v>
      </c>
      <c r="AD38">
        <v>0.34428324806242772</v>
      </c>
      <c r="AE38">
        <v>0.33977436125804505</v>
      </c>
      <c r="AF38">
        <v>0.32339113160454902</v>
      </c>
      <c r="AG38">
        <v>0.32144611384990845</v>
      </c>
      <c r="AH38">
        <v>0.26194969203957524</v>
      </c>
      <c r="AI38">
        <v>0.25971606414320847</v>
      </c>
      <c r="AJ38">
        <v>0.2882461134628988</v>
      </c>
      <c r="AK38">
        <v>0.30798263579822077</v>
      </c>
      <c r="AL38">
        <v>0.30877897424441098</v>
      </c>
      <c r="AM38">
        <v>0.31248042240010082</v>
      </c>
      <c r="AN38">
        <v>0.29836942249216597</v>
      </c>
      <c r="AO38">
        <v>0.28697116390733651</v>
      </c>
      <c r="AP38">
        <v>0.29076613362827597</v>
      </c>
      <c r="AQ38">
        <v>0.28103134783393724</v>
      </c>
      <c r="EA38" t="s">
        <v>498</v>
      </c>
      <c r="EB38">
        <v>0.55562949681145368</v>
      </c>
      <c r="EC38">
        <v>0.56570531333154961</v>
      </c>
      <c r="ED38">
        <v>0.56389511038640494</v>
      </c>
      <c r="EE38">
        <v>0.56983532205833765</v>
      </c>
      <c r="EF38">
        <v>0.5545488158226719</v>
      </c>
      <c r="EG38">
        <v>0.55617911111322449</v>
      </c>
      <c r="EH38">
        <v>0.55128561682189992</v>
      </c>
      <c r="EI38">
        <v>0.5650944012775394</v>
      </c>
      <c r="EJ38">
        <v>0.56613895355540822</v>
      </c>
      <c r="EK38">
        <v>0.55890886239906834</v>
      </c>
      <c r="EL38">
        <v>0.44798883066062872</v>
      </c>
      <c r="EM38">
        <v>0.45133056025427615</v>
      </c>
      <c r="EN38">
        <v>0.43429483015185455</v>
      </c>
      <c r="EO38">
        <v>0.42215056810475565</v>
      </c>
      <c r="EP38">
        <v>0.40013278349962239</v>
      </c>
      <c r="EQ38">
        <v>0.40626464540196361</v>
      </c>
      <c r="ER38">
        <v>0.41255547299473749</v>
      </c>
      <c r="ES38">
        <v>0.42163124741438723</v>
      </c>
      <c r="ET38">
        <v>0.4442019538832464</v>
      </c>
      <c r="EU38">
        <v>0.44869503272633982</v>
      </c>
      <c r="EV38">
        <v>0.33382024189284915</v>
      </c>
      <c r="EW38">
        <v>0.33003548115433284</v>
      </c>
      <c r="EX38">
        <v>0.33219457802065638</v>
      </c>
      <c r="EY38">
        <v>0.33474418957163937</v>
      </c>
      <c r="EZ38">
        <v>0.31601905466373309</v>
      </c>
      <c r="FA38">
        <v>0.33121444296265928</v>
      </c>
      <c r="FB38">
        <v>0.33061799712162249</v>
      </c>
      <c r="FC38">
        <v>0.33535990790799064</v>
      </c>
      <c r="FD38">
        <v>0.34145162575559013</v>
      </c>
      <c r="FE38">
        <v>0.34462986138697321</v>
      </c>
      <c r="FF38">
        <v>0.4988833021909666</v>
      </c>
      <c r="FG38">
        <v>0.50855338970517661</v>
      </c>
      <c r="FH38">
        <v>0.50228694600903667</v>
      </c>
      <c r="FI38">
        <v>0.49100636697033828</v>
      </c>
      <c r="FJ38">
        <v>0.47625498113647435</v>
      </c>
      <c r="FK38">
        <v>0.4796855007573162</v>
      </c>
      <c r="FL38">
        <v>0.48424332687036187</v>
      </c>
      <c r="FM38">
        <v>0.48533278355337756</v>
      </c>
      <c r="FN38">
        <v>0.49000831136087264</v>
      </c>
      <c r="FO38">
        <v>0.49306262592994332</v>
      </c>
      <c r="FQ38" t="s">
        <v>499</v>
      </c>
      <c r="FR38" t="s">
        <v>127</v>
      </c>
      <c r="FS38" t="s">
        <v>128</v>
      </c>
      <c r="FT38">
        <v>0.20714642726678559</v>
      </c>
    </row>
    <row r="39" spans="2:176" x14ac:dyDescent="0.45">
      <c r="B39" t="s">
        <v>500</v>
      </c>
      <c r="C39" t="s">
        <v>123</v>
      </c>
      <c r="D39">
        <v>0.28268709777301682</v>
      </c>
      <c r="E39">
        <v>0.28160775166761748</v>
      </c>
      <c r="F39">
        <v>0.27055828088830958</v>
      </c>
      <c r="G39">
        <v>0.26582226759101013</v>
      </c>
      <c r="H39">
        <v>0.25992051690734513</v>
      </c>
      <c r="I39">
        <v>0.25277089641690503</v>
      </c>
      <c r="J39">
        <v>0.24666999722507846</v>
      </c>
      <c r="K39">
        <v>0.24504700968047347</v>
      </c>
      <c r="L39">
        <v>0.24921904356991359</v>
      </c>
      <c r="M39">
        <v>0.25973310592874244</v>
      </c>
      <c r="N39">
        <v>0.2814455311628109</v>
      </c>
      <c r="O39">
        <v>0.29689486128139198</v>
      </c>
      <c r="P39">
        <v>0.29578692217533836</v>
      </c>
      <c r="Q39">
        <v>0.2928911722594868</v>
      </c>
      <c r="R39">
        <v>0.31763845423553738</v>
      </c>
      <c r="S39">
        <v>0.32644266239650799</v>
      </c>
      <c r="T39">
        <v>0.31959345616342583</v>
      </c>
      <c r="U39">
        <v>0.31797181696285193</v>
      </c>
      <c r="V39">
        <v>0.28996537948412765</v>
      </c>
      <c r="W39">
        <v>0.26230792704011086</v>
      </c>
      <c r="X39">
        <v>0.34618345999106043</v>
      </c>
      <c r="Y39">
        <v>0.36550099620824661</v>
      </c>
      <c r="Z39">
        <v>0.39207794343710584</v>
      </c>
      <c r="AA39">
        <v>0.39512120640200077</v>
      </c>
      <c r="AB39">
        <v>0.41463763130058401</v>
      </c>
      <c r="AC39">
        <v>0.40714902305597556</v>
      </c>
      <c r="AD39">
        <v>0.37855465600563604</v>
      </c>
      <c r="AE39">
        <v>0.36590175886786558</v>
      </c>
      <c r="AF39">
        <v>0.33264601993328663</v>
      </c>
      <c r="AG39">
        <v>0.31578637051451253</v>
      </c>
      <c r="AH39">
        <v>0.27793502383629748</v>
      </c>
      <c r="AI39">
        <v>0.29372927206534882</v>
      </c>
      <c r="AJ39">
        <v>0.29905469909222793</v>
      </c>
      <c r="AK39">
        <v>0.3039916573374391</v>
      </c>
      <c r="AL39">
        <v>0.32324169873408481</v>
      </c>
      <c r="AM39">
        <v>0.32854074828446928</v>
      </c>
      <c r="AN39">
        <v>0.31452123229927043</v>
      </c>
      <c r="AO39">
        <v>0.29410704705487145</v>
      </c>
      <c r="AP39">
        <v>0.27149175353527699</v>
      </c>
      <c r="AQ39">
        <v>0.26118283151056254</v>
      </c>
      <c r="EA39" t="s">
        <v>500</v>
      </c>
      <c r="EB39">
        <v>0.55504006148455187</v>
      </c>
      <c r="EC39">
        <v>0.55728461635888538</v>
      </c>
      <c r="ED39">
        <v>0.56699877828608281</v>
      </c>
      <c r="EE39">
        <v>0.57016579186627392</v>
      </c>
      <c r="EF39">
        <v>0.58052797116076293</v>
      </c>
      <c r="EG39">
        <v>0.58898910613916344</v>
      </c>
      <c r="EH39">
        <v>0.58799360896316621</v>
      </c>
      <c r="EI39">
        <v>0.60161473460748538</v>
      </c>
      <c r="EJ39">
        <v>0.60990245678167521</v>
      </c>
      <c r="EK39">
        <v>0.59082069461758135</v>
      </c>
      <c r="EL39">
        <v>0.50454281285537639</v>
      </c>
      <c r="EM39">
        <v>0.47391287638071566</v>
      </c>
      <c r="EN39">
        <v>0.47637979602315345</v>
      </c>
      <c r="EO39">
        <v>0.47243373614113393</v>
      </c>
      <c r="EP39">
        <v>0.44973737627284388</v>
      </c>
      <c r="EQ39">
        <v>0.4655296928478907</v>
      </c>
      <c r="ER39">
        <v>0.49013548993737666</v>
      </c>
      <c r="ES39">
        <v>0.51276938462304578</v>
      </c>
      <c r="ET39">
        <v>0.52888639584726482</v>
      </c>
      <c r="EU39">
        <v>0.53530678625863881</v>
      </c>
      <c r="EV39">
        <v>0.35094956393220067</v>
      </c>
      <c r="EW39">
        <v>0.33989120282536978</v>
      </c>
      <c r="EX39">
        <v>0.33486857577892609</v>
      </c>
      <c r="EY39">
        <v>0.32781211739999161</v>
      </c>
      <c r="EZ39">
        <v>0.28691163904432687</v>
      </c>
      <c r="FA39">
        <v>0.3016302533958965</v>
      </c>
      <c r="FB39">
        <v>0.3398614449470439</v>
      </c>
      <c r="FC39">
        <v>0.36821947792648835</v>
      </c>
      <c r="FD39">
        <v>0.3836797339948404</v>
      </c>
      <c r="FE39">
        <v>0.38515057882162262</v>
      </c>
      <c r="FF39">
        <v>0.4990618326721612</v>
      </c>
      <c r="FG39">
        <v>0.49145981720796816</v>
      </c>
      <c r="FH39">
        <v>0.50631153760647296</v>
      </c>
      <c r="FI39">
        <v>0.51800163744305772</v>
      </c>
      <c r="FJ39">
        <v>0.494255622021532</v>
      </c>
      <c r="FK39">
        <v>0.48527090505251341</v>
      </c>
      <c r="FL39">
        <v>0.50392504178255015</v>
      </c>
      <c r="FM39">
        <v>0.52876503606264313</v>
      </c>
      <c r="FN39">
        <v>0.54321799120503245</v>
      </c>
      <c r="FO39">
        <v>0.53628734390256472</v>
      </c>
      <c r="FQ39" t="s">
        <v>501</v>
      </c>
      <c r="FR39" t="s">
        <v>127</v>
      </c>
      <c r="FS39" t="s">
        <v>128</v>
      </c>
      <c r="FT39">
        <v>0.12524203522615926</v>
      </c>
    </row>
    <row r="40" spans="2:176" x14ac:dyDescent="0.45">
      <c r="B40" t="s">
        <v>502</v>
      </c>
      <c r="C40" t="s">
        <v>123</v>
      </c>
      <c r="D40">
        <v>0.37583100741518199</v>
      </c>
      <c r="E40">
        <v>0.37190537021434134</v>
      </c>
      <c r="F40">
        <v>0.35776037501885788</v>
      </c>
      <c r="G40">
        <v>0.36105911542291336</v>
      </c>
      <c r="H40">
        <v>0.38144187884488628</v>
      </c>
      <c r="I40">
        <v>0.37680687851621941</v>
      </c>
      <c r="J40">
        <v>0.36205670097654841</v>
      </c>
      <c r="K40">
        <v>0.3481324787940247</v>
      </c>
      <c r="L40">
        <v>0.34439000793487895</v>
      </c>
      <c r="M40">
        <v>0.36118456769682233</v>
      </c>
      <c r="N40">
        <v>0.29916587477096235</v>
      </c>
      <c r="O40">
        <v>0.31695758777140681</v>
      </c>
      <c r="P40">
        <v>0.36906623249910531</v>
      </c>
      <c r="Q40">
        <v>0.39050275220642766</v>
      </c>
      <c r="R40">
        <v>0.37399978126759842</v>
      </c>
      <c r="S40">
        <v>0.34281969309929311</v>
      </c>
      <c r="T40">
        <v>0.33457948672273302</v>
      </c>
      <c r="U40">
        <v>0.33270880913752121</v>
      </c>
      <c r="V40">
        <v>0.30621529001478737</v>
      </c>
      <c r="W40">
        <v>0.30109634505929178</v>
      </c>
      <c r="X40">
        <v>0.3366574543046198</v>
      </c>
      <c r="Y40">
        <v>0.36131543993297899</v>
      </c>
      <c r="Z40">
        <v>0.43819065922302164</v>
      </c>
      <c r="AA40">
        <v>0.45333532407968175</v>
      </c>
      <c r="AB40">
        <v>0.44878591116982286</v>
      </c>
      <c r="AC40">
        <v>0.43222410414685963</v>
      </c>
      <c r="AD40">
        <v>0.39262535863376447</v>
      </c>
      <c r="AE40">
        <v>0.37438297050853314</v>
      </c>
      <c r="AF40">
        <v>0.35290022660903408</v>
      </c>
      <c r="AG40">
        <v>0.32656706831431581</v>
      </c>
      <c r="AH40">
        <v>0.30771062927437537</v>
      </c>
      <c r="AI40">
        <v>0.30367311192498697</v>
      </c>
      <c r="AJ40">
        <v>0.31496932536509653</v>
      </c>
      <c r="AK40">
        <v>0.35221364682859302</v>
      </c>
      <c r="AL40">
        <v>0.36518622212840879</v>
      </c>
      <c r="AM40">
        <v>0.35628044019658311</v>
      </c>
      <c r="AN40">
        <v>0.363931672856243</v>
      </c>
      <c r="AO40">
        <v>0.36295078098943001</v>
      </c>
      <c r="AP40">
        <v>0.34709868173445246</v>
      </c>
      <c r="AQ40">
        <v>0.31741856781903283</v>
      </c>
      <c r="EA40" t="s">
        <v>502</v>
      </c>
      <c r="EB40">
        <v>0.34609010253205069</v>
      </c>
      <c r="EC40">
        <v>0.35637663278547632</v>
      </c>
      <c r="ED40">
        <v>0.35899283774197099</v>
      </c>
      <c r="EE40">
        <v>0.36630478560368324</v>
      </c>
      <c r="EF40">
        <v>0.34746402855509789</v>
      </c>
      <c r="EG40">
        <v>0.34629895911267439</v>
      </c>
      <c r="EH40">
        <v>0.35051755951200092</v>
      </c>
      <c r="EI40">
        <v>0.3659051460821906</v>
      </c>
      <c r="EJ40">
        <v>0.37145034118633097</v>
      </c>
      <c r="EK40">
        <v>0.35498979798414643</v>
      </c>
      <c r="EL40">
        <v>0.27593244776210707</v>
      </c>
      <c r="EM40">
        <v>0.25834641894249694</v>
      </c>
      <c r="EN40">
        <v>0.22252150327941586</v>
      </c>
      <c r="EO40">
        <v>0.21215919053888091</v>
      </c>
      <c r="EP40">
        <v>0.19768150987827382</v>
      </c>
      <c r="EQ40">
        <v>0.22895206355631514</v>
      </c>
      <c r="ER40">
        <v>0.23812103339941645</v>
      </c>
      <c r="ES40">
        <v>0.25007012810143037</v>
      </c>
      <c r="ET40">
        <v>0.28045283096498286</v>
      </c>
      <c r="EU40">
        <v>0.28785929129209259</v>
      </c>
      <c r="EV40">
        <v>0.18819034481775421</v>
      </c>
      <c r="EW40">
        <v>0.18821197478973772</v>
      </c>
      <c r="EX40">
        <v>0.17494253639660715</v>
      </c>
      <c r="EY40">
        <v>0.18302232010477304</v>
      </c>
      <c r="EZ40">
        <v>0.16771465175122063</v>
      </c>
      <c r="FA40">
        <v>0.18491838538750965</v>
      </c>
      <c r="FB40">
        <v>0.18292163086943733</v>
      </c>
      <c r="FC40">
        <v>0.16671638107230968</v>
      </c>
      <c r="FD40">
        <v>0.1727362306100195</v>
      </c>
      <c r="FE40">
        <v>0.19205975411476675</v>
      </c>
      <c r="FF40">
        <v>0.30400795209871423</v>
      </c>
      <c r="FG40">
        <v>0.3095496209417623</v>
      </c>
      <c r="FH40">
        <v>0.31201853486837228</v>
      </c>
      <c r="FI40">
        <v>0.30487882151015122</v>
      </c>
      <c r="FJ40">
        <v>0.29191148470560152</v>
      </c>
      <c r="FK40">
        <v>0.30267592669198556</v>
      </c>
      <c r="FL40">
        <v>0.3167170291039888</v>
      </c>
      <c r="FM40">
        <v>0.32503246078984094</v>
      </c>
      <c r="FN40">
        <v>0.34712738695088774</v>
      </c>
      <c r="FO40">
        <v>0.33595830194426923</v>
      </c>
      <c r="FQ40" t="s">
        <v>503</v>
      </c>
      <c r="FR40" t="s">
        <v>127</v>
      </c>
      <c r="FS40" t="s">
        <v>128</v>
      </c>
      <c r="FT40">
        <v>0.23768385437191109</v>
      </c>
    </row>
    <row r="41" spans="2:176" x14ac:dyDescent="0.45">
      <c r="B41" t="s">
        <v>504</v>
      </c>
      <c r="C41" t="s">
        <v>123</v>
      </c>
      <c r="D41">
        <v>0.32960174785481339</v>
      </c>
      <c r="E41">
        <v>0.30520513350697182</v>
      </c>
      <c r="F41">
        <v>0.30509445482554987</v>
      </c>
      <c r="G41">
        <v>0.31435879219098467</v>
      </c>
      <c r="H41">
        <v>0.33025529233630124</v>
      </c>
      <c r="I41">
        <v>0.33613565793804057</v>
      </c>
      <c r="J41">
        <v>0.33556025592678934</v>
      </c>
      <c r="K41">
        <v>0.33082476518828591</v>
      </c>
      <c r="L41">
        <v>0.32496422850531465</v>
      </c>
      <c r="M41">
        <v>0.32738056499493667</v>
      </c>
      <c r="N41">
        <v>0.34203128567315638</v>
      </c>
      <c r="O41">
        <v>0.34668393812637038</v>
      </c>
      <c r="P41">
        <v>0.35170572732186112</v>
      </c>
      <c r="Q41">
        <v>0.38655250634384875</v>
      </c>
      <c r="R41">
        <v>0.39678149686865005</v>
      </c>
      <c r="S41">
        <v>0.37316187962072395</v>
      </c>
      <c r="T41">
        <v>0.37164951499296189</v>
      </c>
      <c r="U41">
        <v>0.37426975196080337</v>
      </c>
      <c r="V41">
        <v>0.36225053071765329</v>
      </c>
      <c r="W41">
        <v>0.3325659789162736</v>
      </c>
      <c r="X41">
        <v>0.3532892491360255</v>
      </c>
      <c r="Y41">
        <v>0.36800646645907448</v>
      </c>
      <c r="Z41">
        <v>0.40767028459398824</v>
      </c>
      <c r="AA41">
        <v>0.42584389779727316</v>
      </c>
      <c r="AB41">
        <v>0.42834867880301042</v>
      </c>
      <c r="AC41">
        <v>0.40651914823407725</v>
      </c>
      <c r="AD41">
        <v>0.39790573219613168</v>
      </c>
      <c r="AE41">
        <v>0.38172276045693565</v>
      </c>
      <c r="AF41">
        <v>0.32650328583541188</v>
      </c>
      <c r="AG41">
        <v>0.30781277385118494</v>
      </c>
      <c r="AH41">
        <v>0.3002622085885755</v>
      </c>
      <c r="AI41">
        <v>0.29681432350715981</v>
      </c>
      <c r="AJ41">
        <v>0.31572860633156202</v>
      </c>
      <c r="AK41">
        <v>0.34059381819114654</v>
      </c>
      <c r="AL41">
        <v>0.35932972466105534</v>
      </c>
      <c r="AM41">
        <v>0.36650385173415168</v>
      </c>
      <c r="AN41">
        <v>0.37294398370852977</v>
      </c>
      <c r="AO41">
        <v>0.34995250678624951</v>
      </c>
      <c r="AP41">
        <v>0.3268327401169141</v>
      </c>
      <c r="AQ41">
        <v>0.30575546984391178</v>
      </c>
      <c r="EA41" t="s">
        <v>504</v>
      </c>
      <c r="EB41">
        <v>0.40176837516407227</v>
      </c>
      <c r="EC41">
        <v>0.40991387452592976</v>
      </c>
      <c r="ED41">
        <v>0.40930919888445266</v>
      </c>
      <c r="EE41">
        <v>0.40686025152164168</v>
      </c>
      <c r="EF41">
        <v>0.38171836110027352</v>
      </c>
      <c r="EG41">
        <v>0.39160505477810176</v>
      </c>
      <c r="EH41">
        <v>0.39571287149552098</v>
      </c>
      <c r="EI41">
        <v>0.40903185690246019</v>
      </c>
      <c r="EJ41">
        <v>0.41479492017334285</v>
      </c>
      <c r="EK41">
        <v>0.4049697441941118</v>
      </c>
      <c r="EL41">
        <v>0.29160875260793401</v>
      </c>
      <c r="EM41">
        <v>0.29384056657885987</v>
      </c>
      <c r="EN41">
        <v>0.27378044574091581</v>
      </c>
      <c r="EO41">
        <v>0.27235404285556675</v>
      </c>
      <c r="EP41">
        <v>0.26435532977704307</v>
      </c>
      <c r="EQ41">
        <v>0.28804244022912701</v>
      </c>
      <c r="ER41">
        <v>0.28770439596262692</v>
      </c>
      <c r="ES41">
        <v>0.27142711330989239</v>
      </c>
      <c r="ET41">
        <v>0.28484087026026661</v>
      </c>
      <c r="EU41">
        <v>0.29376489461041938</v>
      </c>
      <c r="EV41">
        <v>0.20647693714095833</v>
      </c>
      <c r="EW41">
        <v>0.19634520160281416</v>
      </c>
      <c r="EX41">
        <v>0.19228359243069712</v>
      </c>
      <c r="EY41">
        <v>0.19402059086849674</v>
      </c>
      <c r="EZ41">
        <v>0.18539073440477832</v>
      </c>
      <c r="FA41">
        <v>0.21099881412325808</v>
      </c>
      <c r="FB41">
        <v>0.21904784546061429</v>
      </c>
      <c r="FC41">
        <v>0.20232790809007889</v>
      </c>
      <c r="FD41">
        <v>0.20191732841713636</v>
      </c>
      <c r="FE41">
        <v>0.21348803427048638</v>
      </c>
      <c r="FF41">
        <v>0.3266969918616322</v>
      </c>
      <c r="FG41">
        <v>0.33475501259058438</v>
      </c>
      <c r="FH41">
        <v>0.34208535369194415</v>
      </c>
      <c r="FI41">
        <v>0.33876750964347574</v>
      </c>
      <c r="FJ41">
        <v>0.31077619244579752</v>
      </c>
      <c r="FK41">
        <v>0.32918268943284246</v>
      </c>
      <c r="FL41">
        <v>0.33078787827111139</v>
      </c>
      <c r="FM41">
        <v>0.3338498305347597</v>
      </c>
      <c r="FN41">
        <v>0.33860940634723535</v>
      </c>
      <c r="FO41">
        <v>0.33791069304221721</v>
      </c>
      <c r="FQ41" t="s">
        <v>505</v>
      </c>
      <c r="FR41" t="s">
        <v>127</v>
      </c>
      <c r="FS41" t="s">
        <v>128</v>
      </c>
      <c r="FT41">
        <v>0.30279282804320423</v>
      </c>
    </row>
    <row r="42" spans="2:176" x14ac:dyDescent="0.45">
      <c r="B42" t="s">
        <v>506</v>
      </c>
      <c r="C42" t="s">
        <v>123</v>
      </c>
      <c r="D42">
        <v>0.30293176266022759</v>
      </c>
      <c r="E42">
        <v>0.26535706008581977</v>
      </c>
      <c r="F42">
        <v>0.24997215577250284</v>
      </c>
      <c r="G42">
        <v>0.25614456921911677</v>
      </c>
      <c r="H42">
        <v>0.26329052453069207</v>
      </c>
      <c r="I42">
        <v>0.2783081994776585</v>
      </c>
      <c r="J42">
        <v>0.28451881299004722</v>
      </c>
      <c r="K42">
        <v>0.28154563879366268</v>
      </c>
      <c r="L42">
        <v>0.28357050729654193</v>
      </c>
      <c r="M42">
        <v>0.29313398205661573</v>
      </c>
      <c r="N42">
        <v>0.30287951634345017</v>
      </c>
      <c r="O42">
        <v>0.30682122972151887</v>
      </c>
      <c r="P42">
        <v>0.31606023514295384</v>
      </c>
      <c r="Q42">
        <v>0.33797576914607214</v>
      </c>
      <c r="R42">
        <v>0.36603134624685491</v>
      </c>
      <c r="S42">
        <v>0.37534724086340426</v>
      </c>
      <c r="T42">
        <v>0.36212035373167994</v>
      </c>
      <c r="U42">
        <v>0.34265806368709495</v>
      </c>
      <c r="V42">
        <v>0.32004538026393448</v>
      </c>
      <c r="W42">
        <v>0.30592359800688229</v>
      </c>
      <c r="X42">
        <v>0.32980030883846723</v>
      </c>
      <c r="Y42">
        <v>0.37803509048643896</v>
      </c>
      <c r="Z42">
        <v>0.4087732521199065</v>
      </c>
      <c r="AA42">
        <v>0.41243197112717389</v>
      </c>
      <c r="AB42">
        <v>0.41283217547023771</v>
      </c>
      <c r="AC42">
        <v>0.41100938589068214</v>
      </c>
      <c r="AD42">
        <v>0.3980477511917912</v>
      </c>
      <c r="AE42">
        <v>0.37050070478560632</v>
      </c>
      <c r="AF42">
        <v>0.34736249371575767</v>
      </c>
      <c r="AG42">
        <v>0.32656499106950215</v>
      </c>
      <c r="AH42">
        <v>0.26923004987197996</v>
      </c>
      <c r="AI42">
        <v>0.29429926547124419</v>
      </c>
      <c r="AJ42">
        <v>0.29948420742911208</v>
      </c>
      <c r="AK42">
        <v>0.30856356844386246</v>
      </c>
      <c r="AL42">
        <v>0.32944983827297247</v>
      </c>
      <c r="AM42">
        <v>0.34689867833986382</v>
      </c>
      <c r="AN42">
        <v>0.34953327961490771</v>
      </c>
      <c r="AO42">
        <v>0.32863699404150915</v>
      </c>
      <c r="AP42">
        <v>0.30376945727941002</v>
      </c>
      <c r="AQ42">
        <v>0.27041728108201069</v>
      </c>
      <c r="EA42" t="s">
        <v>506</v>
      </c>
      <c r="EB42">
        <v>0.49883699192914982</v>
      </c>
      <c r="EC42">
        <v>0.51396773054088907</v>
      </c>
      <c r="ED42">
        <v>0.52465739552851509</v>
      </c>
      <c r="EE42">
        <v>0.52083174775464225</v>
      </c>
      <c r="EF42">
        <v>0.49880845648412919</v>
      </c>
      <c r="EG42">
        <v>0.49295837051396563</v>
      </c>
      <c r="EH42">
        <v>0.48885396417207527</v>
      </c>
      <c r="EI42">
        <v>0.50349782946603516</v>
      </c>
      <c r="EJ42">
        <v>0.50807506593645002</v>
      </c>
      <c r="EK42">
        <v>0.50164244801853441</v>
      </c>
      <c r="EL42">
        <v>0.39260836156433709</v>
      </c>
      <c r="EM42">
        <v>0.38872640792991142</v>
      </c>
      <c r="EN42">
        <v>0.37859163816615787</v>
      </c>
      <c r="EO42">
        <v>0.36824571875613349</v>
      </c>
      <c r="EP42">
        <v>0.34779220364587671</v>
      </c>
      <c r="EQ42">
        <v>0.37301104314013822</v>
      </c>
      <c r="ER42">
        <v>0.3846601358685135</v>
      </c>
      <c r="ES42">
        <v>0.38445362078253015</v>
      </c>
      <c r="ET42">
        <v>0.39920520234364787</v>
      </c>
      <c r="EU42">
        <v>0.40450293159386869</v>
      </c>
      <c r="EV42">
        <v>0.2929502525033375</v>
      </c>
      <c r="EW42">
        <v>0.26388675831328934</v>
      </c>
      <c r="EX42">
        <v>0.25602730220124253</v>
      </c>
      <c r="EY42">
        <v>0.26223192050336153</v>
      </c>
      <c r="EZ42">
        <v>0.22222093077724145</v>
      </c>
      <c r="FA42">
        <v>0.24971593243357404</v>
      </c>
      <c r="FB42">
        <v>0.26381592387137931</v>
      </c>
      <c r="FC42">
        <v>0.26497532447958866</v>
      </c>
      <c r="FD42">
        <v>0.27936579934203404</v>
      </c>
      <c r="FE42">
        <v>0.30290266293698148</v>
      </c>
      <c r="FF42">
        <v>0.42762020115747201</v>
      </c>
      <c r="FG42">
        <v>0.4350299364404468</v>
      </c>
      <c r="FH42">
        <v>0.44043558503572183</v>
      </c>
      <c r="FI42">
        <v>0.43993718268504367</v>
      </c>
      <c r="FJ42">
        <v>0.41298522941319638</v>
      </c>
      <c r="FK42">
        <v>0.42830851099719014</v>
      </c>
      <c r="FL42">
        <v>0.42170213375028626</v>
      </c>
      <c r="FM42">
        <v>0.42437279559371749</v>
      </c>
      <c r="FN42">
        <v>0.43696594892890306</v>
      </c>
      <c r="FO42">
        <v>0.44007697098558068</v>
      </c>
      <c r="FQ42" t="s">
        <v>507</v>
      </c>
      <c r="FR42" t="s">
        <v>127</v>
      </c>
      <c r="FS42" t="s">
        <v>128</v>
      </c>
      <c r="FT42">
        <v>0.27179059803998523</v>
      </c>
    </row>
    <row r="43" spans="2:176" x14ac:dyDescent="0.45">
      <c r="B43" t="s">
        <v>508</v>
      </c>
      <c r="C43" t="s">
        <v>123</v>
      </c>
      <c r="D43">
        <v>0.31223213408540357</v>
      </c>
      <c r="E43">
        <v>0.28072642743804466</v>
      </c>
      <c r="F43">
        <v>0.2599079014075748</v>
      </c>
      <c r="G43">
        <v>0.26679959587438207</v>
      </c>
      <c r="H43">
        <v>0.28108183015713289</v>
      </c>
      <c r="I43">
        <v>0.28405017532051308</v>
      </c>
      <c r="J43">
        <v>0.28844680697905328</v>
      </c>
      <c r="K43">
        <v>0.28781571688830282</v>
      </c>
      <c r="L43">
        <v>0.29139492649677129</v>
      </c>
      <c r="M43">
        <v>0.30249367298541702</v>
      </c>
      <c r="N43">
        <v>0.30020397296528328</v>
      </c>
      <c r="O43">
        <v>0.31114775866520267</v>
      </c>
      <c r="P43">
        <v>0.31438233453554476</v>
      </c>
      <c r="Q43">
        <v>0.33622334544551313</v>
      </c>
      <c r="R43">
        <v>0.36365886483354382</v>
      </c>
      <c r="S43">
        <v>0.3598181642449001</v>
      </c>
      <c r="T43">
        <v>0.35506537119774251</v>
      </c>
      <c r="U43">
        <v>0.35090503300645909</v>
      </c>
      <c r="V43">
        <v>0.31905620112874788</v>
      </c>
      <c r="W43">
        <v>0.29151471375375115</v>
      </c>
      <c r="X43">
        <v>0.33621345849227113</v>
      </c>
      <c r="Y43">
        <v>0.38189679917289432</v>
      </c>
      <c r="Z43">
        <v>0.4098711505956526</v>
      </c>
      <c r="AA43">
        <v>0.40228237485192847</v>
      </c>
      <c r="AB43">
        <v>0.41094225510837212</v>
      </c>
      <c r="AC43">
        <v>0.40852420885275642</v>
      </c>
      <c r="AD43">
        <v>0.39985723006890012</v>
      </c>
      <c r="AE43">
        <v>0.37103462974881601</v>
      </c>
      <c r="AF43">
        <v>0.33777603545922219</v>
      </c>
      <c r="AG43">
        <v>0.32893911653667735</v>
      </c>
      <c r="AH43">
        <v>0.27401058202600986</v>
      </c>
      <c r="AI43">
        <v>0.29578882069080797</v>
      </c>
      <c r="AJ43">
        <v>0.30522170536449905</v>
      </c>
      <c r="AK43">
        <v>0.32026755158463355</v>
      </c>
      <c r="AL43">
        <v>0.33312698710725891</v>
      </c>
      <c r="AM43">
        <v>0.35030542108518375</v>
      </c>
      <c r="AN43">
        <v>0.35230310628942468</v>
      </c>
      <c r="AO43">
        <v>0.34232468745639877</v>
      </c>
      <c r="AP43">
        <v>0.31613169289152088</v>
      </c>
      <c r="AQ43">
        <v>0.27690379502150886</v>
      </c>
      <c r="EA43" t="s">
        <v>508</v>
      </c>
      <c r="EB43">
        <v>0.49875978262921283</v>
      </c>
      <c r="EC43">
        <v>0.51612398232182943</v>
      </c>
      <c r="ED43">
        <v>0.52906941714912525</v>
      </c>
      <c r="EE43">
        <v>0.52389141172047649</v>
      </c>
      <c r="EF43">
        <v>0.50897134349270834</v>
      </c>
      <c r="EG43">
        <v>0.49868877113836213</v>
      </c>
      <c r="EH43">
        <v>0.49244329913969459</v>
      </c>
      <c r="EI43">
        <v>0.50952504317574709</v>
      </c>
      <c r="EJ43">
        <v>0.51519934122455024</v>
      </c>
      <c r="EK43">
        <v>0.50075524212224054</v>
      </c>
      <c r="EL43">
        <v>0.39637776331785113</v>
      </c>
      <c r="EM43">
        <v>0.38331087426947952</v>
      </c>
      <c r="EN43">
        <v>0.37212216149187188</v>
      </c>
      <c r="EO43">
        <v>0.36058685234239873</v>
      </c>
      <c r="EP43">
        <v>0.34898389325442475</v>
      </c>
      <c r="EQ43">
        <v>0.37201335330874641</v>
      </c>
      <c r="ER43">
        <v>0.38310582739607246</v>
      </c>
      <c r="ES43">
        <v>0.38087339482899735</v>
      </c>
      <c r="ET43">
        <v>0.40344185503508756</v>
      </c>
      <c r="EU43">
        <v>0.41504147002324959</v>
      </c>
      <c r="EV43">
        <v>0.2969651238494958</v>
      </c>
      <c r="EW43">
        <v>0.27498951336675687</v>
      </c>
      <c r="EX43">
        <v>0.26497967878699641</v>
      </c>
      <c r="EY43">
        <v>0.27025279599746332</v>
      </c>
      <c r="EZ43">
        <v>0.23428628294588458</v>
      </c>
      <c r="FA43">
        <v>0.25719685163693717</v>
      </c>
      <c r="FB43">
        <v>0.27105893911733603</v>
      </c>
      <c r="FC43">
        <v>0.26996593029948585</v>
      </c>
      <c r="FD43">
        <v>0.27788902704178398</v>
      </c>
      <c r="FE43">
        <v>0.30213437342190719</v>
      </c>
      <c r="FF43">
        <v>0.4380612151256259</v>
      </c>
      <c r="FG43">
        <v>0.44476582077157945</v>
      </c>
      <c r="FH43">
        <v>0.45689629601194054</v>
      </c>
      <c r="FI43">
        <v>0.45343747317708616</v>
      </c>
      <c r="FJ43">
        <v>0.42908492582434177</v>
      </c>
      <c r="FK43">
        <v>0.44165663731276855</v>
      </c>
      <c r="FL43">
        <v>0.43729162623119</v>
      </c>
      <c r="FM43">
        <v>0.43687563471986623</v>
      </c>
      <c r="FN43">
        <v>0.44544600009728869</v>
      </c>
      <c r="FO43">
        <v>0.45581306281303824</v>
      </c>
      <c r="FQ43" t="s">
        <v>509</v>
      </c>
      <c r="FR43" t="s">
        <v>127</v>
      </c>
      <c r="FS43" t="s">
        <v>128</v>
      </c>
      <c r="FT43">
        <v>0.26470946997348416</v>
      </c>
    </row>
    <row r="44" spans="2:176" x14ac:dyDescent="0.45">
      <c r="B44" t="s">
        <v>491</v>
      </c>
      <c r="C44" t="s">
        <v>123</v>
      </c>
      <c r="D44">
        <v>0.49489530948713534</v>
      </c>
      <c r="E44">
        <v>0.47983519081804554</v>
      </c>
      <c r="F44">
        <v>0.47379484411492567</v>
      </c>
      <c r="G44">
        <v>0.4961314099626945</v>
      </c>
      <c r="H44">
        <v>0.49995835346512757</v>
      </c>
      <c r="I44">
        <v>0.51725721341917419</v>
      </c>
      <c r="J44">
        <v>0.52055436251659459</v>
      </c>
      <c r="K44">
        <v>0.49320711523118765</v>
      </c>
      <c r="L44">
        <v>0.49252569776435695</v>
      </c>
      <c r="M44">
        <v>0.49399744416987101</v>
      </c>
      <c r="N44">
        <v>0.36069476884894686</v>
      </c>
      <c r="O44">
        <v>0.41142773380256065</v>
      </c>
      <c r="P44">
        <v>0.45794244056614336</v>
      </c>
      <c r="Q44">
        <v>0.521574887250977</v>
      </c>
      <c r="R44">
        <v>0.56222069443713285</v>
      </c>
      <c r="S44">
        <v>0.53266609345461713</v>
      </c>
      <c r="T44">
        <v>0.46603782134454069</v>
      </c>
      <c r="U44">
        <v>0.39817954805478101</v>
      </c>
      <c r="V44">
        <v>0.3730787707212902</v>
      </c>
      <c r="W44">
        <v>0.35886717842676907</v>
      </c>
      <c r="X44">
        <v>0.45128059700828399</v>
      </c>
      <c r="Y44">
        <v>0.43434514852534634</v>
      </c>
      <c r="Z44">
        <v>0.49387643005422638</v>
      </c>
      <c r="AA44">
        <v>0.51634007348293509</v>
      </c>
      <c r="AB44">
        <v>0.46160541753209838</v>
      </c>
      <c r="AC44">
        <v>0.40074746433672315</v>
      </c>
      <c r="AD44">
        <v>0.37183427922030754</v>
      </c>
      <c r="AE44">
        <v>0.38947129221843307</v>
      </c>
      <c r="AF44">
        <v>0.41371647587919319</v>
      </c>
      <c r="AG44">
        <v>0.4423906879918435</v>
      </c>
      <c r="AH44">
        <v>0.39647504425357954</v>
      </c>
      <c r="AI44">
        <v>0.39633607465201964</v>
      </c>
      <c r="AJ44">
        <v>0.40565901769132173</v>
      </c>
      <c r="AK44">
        <v>0.44905044880857553</v>
      </c>
      <c r="AL44">
        <v>0.47464123412536241</v>
      </c>
      <c r="AM44">
        <v>0.49835403122970545</v>
      </c>
      <c r="AN44">
        <v>0.47677341874156509</v>
      </c>
      <c r="AO44">
        <v>0.44165092700389014</v>
      </c>
      <c r="AP44">
        <v>0.42475992267661111</v>
      </c>
      <c r="AQ44">
        <v>0.4002343511363276</v>
      </c>
      <c r="EA44" t="s">
        <v>491</v>
      </c>
      <c r="EB44">
        <v>0.17372904237403042</v>
      </c>
      <c r="EC44">
        <v>0.16351187854862706</v>
      </c>
      <c r="ED44">
        <v>0.1581175994450745</v>
      </c>
      <c r="EE44">
        <v>0.14603083695411012</v>
      </c>
      <c r="EF44">
        <v>0.12018028875062102</v>
      </c>
      <c r="EG44">
        <v>0.13268533306714908</v>
      </c>
      <c r="EH44">
        <v>0.15381415663447331</v>
      </c>
      <c r="EI44">
        <v>0.16752218220046403</v>
      </c>
      <c r="EJ44">
        <v>0.17159006756364631</v>
      </c>
      <c r="EK44">
        <v>0.17357585628840175</v>
      </c>
      <c r="EL44">
        <v>0.1114633569975315</v>
      </c>
      <c r="EM44">
        <v>0.11567120526293669</v>
      </c>
      <c r="EN44">
        <v>0.10584887078942225</v>
      </c>
      <c r="EO44">
        <v>0.1043214572036618</v>
      </c>
      <c r="EP44">
        <v>9.2638293183547077E-2</v>
      </c>
      <c r="EQ44">
        <v>0.11046093383614547</v>
      </c>
      <c r="ER44">
        <v>0.11957842187231642</v>
      </c>
      <c r="ES44">
        <v>0.1153269403392554</v>
      </c>
      <c r="ET44">
        <v>0.12076276623961223</v>
      </c>
      <c r="EU44">
        <v>0.1218301065134057</v>
      </c>
      <c r="EV44">
        <v>8.0559365983123521E-2</v>
      </c>
      <c r="EW44">
        <v>6.2717233879112391E-2</v>
      </c>
      <c r="EX44">
        <v>4.9744111020875878E-2</v>
      </c>
      <c r="EY44">
        <v>5.0918230248613014E-2</v>
      </c>
      <c r="EZ44">
        <v>5.4915120570465291E-2</v>
      </c>
      <c r="FA44">
        <v>7.085318347818885E-2</v>
      </c>
      <c r="FB44">
        <v>7.9308476714849793E-2</v>
      </c>
      <c r="FC44">
        <v>8.032643561049943E-2</v>
      </c>
      <c r="FD44">
        <v>8.7994423863357929E-2</v>
      </c>
      <c r="FE44">
        <v>9.2678939738014138E-2</v>
      </c>
      <c r="FF44">
        <v>0.12799772778910701</v>
      </c>
      <c r="FG44">
        <v>0.12869423292457116</v>
      </c>
      <c r="FH44">
        <v>0.11608114454617047</v>
      </c>
      <c r="FI44">
        <v>0.10345524336496784</v>
      </c>
      <c r="FJ44">
        <v>8.5803526365181321E-2</v>
      </c>
      <c r="FK44">
        <v>0.10023035877880371</v>
      </c>
      <c r="FL44">
        <v>0.10647201747158841</v>
      </c>
      <c r="FM44">
        <v>0.10880825132369233</v>
      </c>
      <c r="FN44">
        <v>0.11515140474471863</v>
      </c>
      <c r="FO44">
        <v>0.11700075336092824</v>
      </c>
      <c r="FQ44" t="s">
        <v>510</v>
      </c>
      <c r="FR44" t="s">
        <v>127</v>
      </c>
      <c r="FS44" t="s">
        <v>128</v>
      </c>
      <c r="FT44">
        <v>0.3641609808264491</v>
      </c>
    </row>
    <row r="45" spans="2:176" x14ac:dyDescent="0.45">
      <c r="B45" t="s">
        <v>493</v>
      </c>
      <c r="C45" t="s">
        <v>123</v>
      </c>
      <c r="D45">
        <v>0.44307312374473462</v>
      </c>
      <c r="E45">
        <v>0.45463591161412881</v>
      </c>
      <c r="F45">
        <v>0.46222193584116156</v>
      </c>
      <c r="G45">
        <v>0.49551293682246939</v>
      </c>
      <c r="H45">
        <v>0.5338831744716287</v>
      </c>
      <c r="I45">
        <v>0.52443558971518367</v>
      </c>
      <c r="J45">
        <v>0.51342411608112348</v>
      </c>
      <c r="K45">
        <v>0.47097981483396462</v>
      </c>
      <c r="L45">
        <v>0.43950240603267249</v>
      </c>
      <c r="M45">
        <v>0.43942190854515012</v>
      </c>
      <c r="N45">
        <v>0.39716186425309724</v>
      </c>
      <c r="O45">
        <v>0.40007009528758386</v>
      </c>
      <c r="P45">
        <v>0.4420211371288737</v>
      </c>
      <c r="Q45">
        <v>0.47502512829808297</v>
      </c>
      <c r="R45">
        <v>0.49512245634911195</v>
      </c>
      <c r="S45">
        <v>0.48176228668972493</v>
      </c>
      <c r="T45">
        <v>0.45986694045531584</v>
      </c>
      <c r="U45">
        <v>0.41121514256439817</v>
      </c>
      <c r="V45">
        <v>0.37803396948996848</v>
      </c>
      <c r="W45">
        <v>0.37505215006510367</v>
      </c>
      <c r="X45">
        <v>0.42018353562999428</v>
      </c>
      <c r="Y45">
        <v>0.4658641594142055</v>
      </c>
      <c r="Z45">
        <v>0.49632815656580487</v>
      </c>
      <c r="AA45">
        <v>0.46223369563085698</v>
      </c>
      <c r="AB45">
        <v>0.45130042579895552</v>
      </c>
      <c r="AC45">
        <v>0.4214369403592968</v>
      </c>
      <c r="AD45">
        <v>0.37986138160665817</v>
      </c>
      <c r="AE45">
        <v>0.34383686552940707</v>
      </c>
      <c r="AF45">
        <v>0.31417733093513373</v>
      </c>
      <c r="AG45">
        <v>0.36128906463279781</v>
      </c>
      <c r="AH45">
        <v>0.36095001601765025</v>
      </c>
      <c r="AI45">
        <v>0.34479331869130947</v>
      </c>
      <c r="AJ45">
        <v>0.35056990548719352</v>
      </c>
      <c r="AK45">
        <v>0.39974575935984585</v>
      </c>
      <c r="AL45">
        <v>0.40541877908857599</v>
      </c>
      <c r="AM45">
        <v>0.39733573719418802</v>
      </c>
      <c r="AN45">
        <v>0.39063827913065075</v>
      </c>
      <c r="AO45">
        <v>0.37307894706498945</v>
      </c>
      <c r="AP45">
        <v>0.3731231514477123</v>
      </c>
      <c r="AQ45">
        <v>0.35827649189777894</v>
      </c>
      <c r="EA45" t="s">
        <v>493</v>
      </c>
      <c r="EB45">
        <v>0.18771581027644499</v>
      </c>
      <c r="EC45">
        <v>0.18455105412561137</v>
      </c>
      <c r="ED45">
        <v>0.18335686328645243</v>
      </c>
      <c r="EE45">
        <v>0.16832040402453413</v>
      </c>
      <c r="EF45">
        <v>0.14365738890972382</v>
      </c>
      <c r="EG45">
        <v>0.15601779715510761</v>
      </c>
      <c r="EH45">
        <v>0.16857241123769953</v>
      </c>
      <c r="EI45">
        <v>0.18285318417101096</v>
      </c>
      <c r="EJ45">
        <v>0.18808331827678029</v>
      </c>
      <c r="EK45">
        <v>0.18307570237938334</v>
      </c>
      <c r="EL45">
        <v>0.13290979895139682</v>
      </c>
      <c r="EM45">
        <v>0.13749143927145341</v>
      </c>
      <c r="EN45">
        <v>0.13904075173442426</v>
      </c>
      <c r="EO45">
        <v>0.14286751317852947</v>
      </c>
      <c r="EP45">
        <v>0.12183698864867973</v>
      </c>
      <c r="EQ45">
        <v>0.12761804909930247</v>
      </c>
      <c r="ER45">
        <v>0.13612830410349924</v>
      </c>
      <c r="ES45">
        <v>0.14109092115809468</v>
      </c>
      <c r="ET45">
        <v>0.15235033773046699</v>
      </c>
      <c r="EU45">
        <v>0.14600214272872566</v>
      </c>
      <c r="EV45">
        <v>8.6751982119138718E-2</v>
      </c>
      <c r="EW45">
        <v>7.5146663011352532E-2</v>
      </c>
      <c r="EX45">
        <v>6.0307571264936695E-2</v>
      </c>
      <c r="EY45">
        <v>5.9767789244548654E-2</v>
      </c>
      <c r="EZ45">
        <v>5.3919475774171416E-2</v>
      </c>
      <c r="FA45">
        <v>6.715612706895277E-2</v>
      </c>
      <c r="FB45">
        <v>7.7297339726566813E-2</v>
      </c>
      <c r="FC45">
        <v>8.4152604418939084E-2</v>
      </c>
      <c r="FD45">
        <v>9.3040414038985705E-2</v>
      </c>
      <c r="FE45">
        <v>0.10057939443582534</v>
      </c>
      <c r="FF45">
        <v>0.1576442356740978</v>
      </c>
      <c r="FG45">
        <v>0.16761809941468611</v>
      </c>
      <c r="FH45">
        <v>0.16637672093735362</v>
      </c>
      <c r="FI45">
        <v>0.16280788943747096</v>
      </c>
      <c r="FJ45">
        <v>0.13868043812630651</v>
      </c>
      <c r="FK45">
        <v>0.1464143237661496</v>
      </c>
      <c r="FL45">
        <v>0.13877202633628058</v>
      </c>
      <c r="FM45">
        <v>0.14211669555831874</v>
      </c>
      <c r="FN45">
        <v>0.15123213568450711</v>
      </c>
      <c r="FO45">
        <v>0.15668220288576276</v>
      </c>
      <c r="FQ45" t="s">
        <v>511</v>
      </c>
      <c r="FR45" t="s">
        <v>127</v>
      </c>
      <c r="FS45" t="s">
        <v>128</v>
      </c>
      <c r="FT45">
        <v>0.30329009156569559</v>
      </c>
    </row>
    <row r="46" spans="2:176" x14ac:dyDescent="0.45">
      <c r="B46" t="s">
        <v>495</v>
      </c>
      <c r="C46" t="s">
        <v>123</v>
      </c>
      <c r="D46">
        <v>0.40876974875639582</v>
      </c>
      <c r="E46">
        <v>0.40213878160041189</v>
      </c>
      <c r="F46">
        <v>0.4010873449681347</v>
      </c>
      <c r="G46">
        <v>0.42588034823557069</v>
      </c>
      <c r="H46">
        <v>0.47634012466072384</v>
      </c>
      <c r="I46">
        <v>0.47552593741908228</v>
      </c>
      <c r="J46">
        <v>0.46897257657841618</v>
      </c>
      <c r="K46">
        <v>0.41272609736861166</v>
      </c>
      <c r="L46">
        <v>0.38522527884172203</v>
      </c>
      <c r="M46">
        <v>0.40125839722618267</v>
      </c>
      <c r="N46">
        <v>0.3292102924914449</v>
      </c>
      <c r="O46">
        <v>0.35531707344625768</v>
      </c>
      <c r="P46">
        <v>0.41607165277327152</v>
      </c>
      <c r="Q46">
        <v>0.47502701032034461</v>
      </c>
      <c r="R46">
        <v>0.4928760565259836</v>
      </c>
      <c r="S46">
        <v>0.48986691023319018</v>
      </c>
      <c r="T46">
        <v>0.4570652158367694</v>
      </c>
      <c r="U46">
        <v>0.38498158915467862</v>
      </c>
      <c r="V46">
        <v>0.34780564885306769</v>
      </c>
      <c r="W46">
        <v>0.32932961229706309</v>
      </c>
      <c r="X46">
        <v>0.33184085034138594</v>
      </c>
      <c r="Y46">
        <v>0.30965355542674833</v>
      </c>
      <c r="Z46">
        <v>0.41411716598451898</v>
      </c>
      <c r="AA46">
        <v>0.46821284510740491</v>
      </c>
      <c r="AB46">
        <v>0.43874186282870414</v>
      </c>
      <c r="AC46">
        <v>0.4010618678668727</v>
      </c>
      <c r="AD46">
        <v>0.37754359127574877</v>
      </c>
      <c r="AE46">
        <v>0.36251677951635058</v>
      </c>
      <c r="AF46">
        <v>0.33823399724854719</v>
      </c>
      <c r="AG46">
        <v>0.32368731619885843</v>
      </c>
      <c r="AH46">
        <v>0.30265908872508851</v>
      </c>
      <c r="AI46">
        <v>0.30102373598594728</v>
      </c>
      <c r="AJ46">
        <v>0.34431725776195482</v>
      </c>
      <c r="AK46">
        <v>0.42479144041438227</v>
      </c>
      <c r="AL46">
        <v>0.4467232510679997</v>
      </c>
      <c r="AM46">
        <v>0.42750692708443933</v>
      </c>
      <c r="AN46">
        <v>0.43699832217585827</v>
      </c>
      <c r="AO46">
        <v>0.41680305039612675</v>
      </c>
      <c r="AP46">
        <v>0.36996985526536463</v>
      </c>
      <c r="AQ46">
        <v>0.33214689086537869</v>
      </c>
      <c r="EA46" t="s">
        <v>495</v>
      </c>
      <c r="EB46">
        <v>0.24152329639979514</v>
      </c>
      <c r="EC46">
        <v>0.2291389957013551</v>
      </c>
      <c r="ED46">
        <v>0.21965307867788092</v>
      </c>
      <c r="EE46">
        <v>0.20496375251793653</v>
      </c>
      <c r="EF46">
        <v>0.16214582219077114</v>
      </c>
      <c r="EG46">
        <v>0.17482535387865511</v>
      </c>
      <c r="EH46">
        <v>0.19277019356556094</v>
      </c>
      <c r="EI46">
        <v>0.2199406839786992</v>
      </c>
      <c r="EJ46">
        <v>0.23935678306023894</v>
      </c>
      <c r="EK46">
        <v>0.23971523011102316</v>
      </c>
      <c r="EL46">
        <v>0.16973971677518274</v>
      </c>
      <c r="EM46">
        <v>0.17851710342674751</v>
      </c>
      <c r="EN46">
        <v>0.16247501870422343</v>
      </c>
      <c r="EO46">
        <v>0.14790141796626111</v>
      </c>
      <c r="EP46">
        <v>0.11643334288125898</v>
      </c>
      <c r="EQ46">
        <v>0.12368248111525976</v>
      </c>
      <c r="ER46">
        <v>0.1359517267357471</v>
      </c>
      <c r="ES46">
        <v>0.14784235398937828</v>
      </c>
      <c r="ET46">
        <v>0.17371108669767099</v>
      </c>
      <c r="EU46">
        <v>0.18233951772526846</v>
      </c>
      <c r="EV46">
        <v>0.12771730302994974</v>
      </c>
      <c r="EW46">
        <v>0.1012867900473047</v>
      </c>
      <c r="EX46">
        <v>6.7138646415900671E-2</v>
      </c>
      <c r="EY46">
        <v>6.1454498315596434E-2</v>
      </c>
      <c r="EZ46">
        <v>6.099377138190213E-2</v>
      </c>
      <c r="FA46">
        <v>6.9212484264097721E-2</v>
      </c>
      <c r="FB46">
        <v>7.9826924973194116E-2</v>
      </c>
      <c r="FC46">
        <v>8.7591989597551906E-2</v>
      </c>
      <c r="FD46">
        <v>0.10865211283514907</v>
      </c>
      <c r="FE46">
        <v>0.13639633690796396</v>
      </c>
      <c r="FF46">
        <v>0.20350125707364206</v>
      </c>
      <c r="FG46">
        <v>0.20249637582781035</v>
      </c>
      <c r="FH46">
        <v>0.19661562157734255</v>
      </c>
      <c r="FI46">
        <v>0.1744209968186069</v>
      </c>
      <c r="FJ46">
        <v>0.13801795096438596</v>
      </c>
      <c r="FK46">
        <v>0.14326285872618449</v>
      </c>
      <c r="FL46">
        <v>0.14622178973652925</v>
      </c>
      <c r="FM46">
        <v>0.16072984859132239</v>
      </c>
      <c r="FN46">
        <v>0.18806546170334937</v>
      </c>
      <c r="FO46">
        <v>0.20675924130132164</v>
      </c>
      <c r="FQ46" t="s">
        <v>512</v>
      </c>
      <c r="FR46" t="s">
        <v>127</v>
      </c>
      <c r="FS46" t="s">
        <v>128</v>
      </c>
      <c r="FT46">
        <v>0.32122618633713701</v>
      </c>
    </row>
    <row r="47" spans="2:176" x14ac:dyDescent="0.45">
      <c r="B47" t="s">
        <v>497</v>
      </c>
      <c r="C47" t="s">
        <v>123</v>
      </c>
      <c r="D47">
        <v>0.38069192220490056</v>
      </c>
      <c r="E47">
        <v>0.38737559613409656</v>
      </c>
      <c r="F47">
        <v>0.38354539958011469</v>
      </c>
      <c r="G47">
        <v>0.38525961992921354</v>
      </c>
      <c r="H47">
        <v>0.41708329896501489</v>
      </c>
      <c r="I47">
        <v>0.4418414281859111</v>
      </c>
      <c r="J47">
        <v>0.42899553649047628</v>
      </c>
      <c r="K47">
        <v>0.38131131264452245</v>
      </c>
      <c r="L47">
        <v>0.35942492216030725</v>
      </c>
      <c r="M47">
        <v>0.37533693612332264</v>
      </c>
      <c r="N47">
        <v>0.33131346428351055</v>
      </c>
      <c r="O47">
        <v>0.35138076564875342</v>
      </c>
      <c r="P47">
        <v>0.3885712524541946</v>
      </c>
      <c r="Q47">
        <v>0.43206203889063433</v>
      </c>
      <c r="R47">
        <v>0.43586877046332506</v>
      </c>
      <c r="S47">
        <v>0.42398904975184842</v>
      </c>
      <c r="T47">
        <v>0.39438655996017125</v>
      </c>
      <c r="U47">
        <v>0.37663146413075665</v>
      </c>
      <c r="V47">
        <v>0.35449299988081839</v>
      </c>
      <c r="W47">
        <v>0.32327175523057072</v>
      </c>
      <c r="X47">
        <v>0.33791304977373426</v>
      </c>
      <c r="Y47">
        <v>0.34048173796529124</v>
      </c>
      <c r="Z47">
        <v>0.41992627599440246</v>
      </c>
      <c r="AA47">
        <v>0.41632666481209046</v>
      </c>
      <c r="AB47">
        <v>0.42005975898574999</v>
      </c>
      <c r="AC47">
        <v>0.39195153268498722</v>
      </c>
      <c r="AD47">
        <v>0.37967228608106846</v>
      </c>
      <c r="AE47">
        <v>0.33811049047053027</v>
      </c>
      <c r="AF47">
        <v>0.31685549621022469</v>
      </c>
      <c r="AG47">
        <v>0.31522447036426182</v>
      </c>
      <c r="AH47">
        <v>0.29081379930499562</v>
      </c>
      <c r="AI47">
        <v>0.31428363308521789</v>
      </c>
      <c r="AJ47">
        <v>0.3382919243694763</v>
      </c>
      <c r="AK47">
        <v>0.38357427558066753</v>
      </c>
      <c r="AL47">
        <v>0.42022229076759876</v>
      </c>
      <c r="AM47">
        <v>0.40055464731599433</v>
      </c>
      <c r="AN47">
        <v>0.38747839475523671</v>
      </c>
      <c r="AO47">
        <v>0.36193470225839447</v>
      </c>
      <c r="AP47">
        <v>0.34470976880338877</v>
      </c>
      <c r="AQ47">
        <v>0.32640163515360637</v>
      </c>
      <c r="EA47" t="s">
        <v>497</v>
      </c>
      <c r="EB47">
        <v>0.25302041938824565</v>
      </c>
      <c r="EC47">
        <v>0.2539280321597206</v>
      </c>
      <c r="ED47">
        <v>0.24501866467252131</v>
      </c>
      <c r="EE47">
        <v>0.23638631162030777</v>
      </c>
      <c r="EF47">
        <v>0.20812835576186781</v>
      </c>
      <c r="EG47">
        <v>0.2160373309704067</v>
      </c>
      <c r="EH47">
        <v>0.22271838779833075</v>
      </c>
      <c r="EI47">
        <v>0.24416559310132394</v>
      </c>
      <c r="EJ47">
        <v>0.25893322456194601</v>
      </c>
      <c r="EK47">
        <v>0.25148789388977022</v>
      </c>
      <c r="EL47">
        <v>0.17682097489955617</v>
      </c>
      <c r="EM47">
        <v>0.1886701311090184</v>
      </c>
      <c r="EN47">
        <v>0.18378518747540737</v>
      </c>
      <c r="EO47">
        <v>0.17408830393401989</v>
      </c>
      <c r="EP47">
        <v>0.14245649875285099</v>
      </c>
      <c r="EQ47">
        <v>0.1541858323861009</v>
      </c>
      <c r="ER47">
        <v>0.16239887846153045</v>
      </c>
      <c r="ES47">
        <v>0.17460486273362524</v>
      </c>
      <c r="ET47">
        <v>0.19744126543237242</v>
      </c>
      <c r="EU47">
        <v>0.19374720583020102</v>
      </c>
      <c r="EV47">
        <v>0.12144126814576375</v>
      </c>
      <c r="EW47">
        <v>0.10357369661261095</v>
      </c>
      <c r="EX47">
        <v>7.3712805516038316E-2</v>
      </c>
      <c r="EY47">
        <v>7.2584785872221752E-2</v>
      </c>
      <c r="EZ47">
        <v>7.1426030593795709E-2</v>
      </c>
      <c r="FA47">
        <v>8.3538664340520818E-2</v>
      </c>
      <c r="FB47">
        <v>9.437487927007801E-2</v>
      </c>
      <c r="FC47">
        <v>0.10116210137099892</v>
      </c>
      <c r="FD47">
        <v>0.11934574464914557</v>
      </c>
      <c r="FE47">
        <v>0.13079626513267104</v>
      </c>
      <c r="FF47">
        <v>0.21875601676823306</v>
      </c>
      <c r="FG47">
        <v>0.23569940111592877</v>
      </c>
      <c r="FH47">
        <v>0.24298181103676456</v>
      </c>
      <c r="FI47">
        <v>0.22924508686739278</v>
      </c>
      <c r="FJ47">
        <v>0.17785361872133171</v>
      </c>
      <c r="FK47">
        <v>0.18719264247273731</v>
      </c>
      <c r="FL47">
        <v>0.18298175288192584</v>
      </c>
      <c r="FM47">
        <v>0.19333489130523995</v>
      </c>
      <c r="FN47">
        <v>0.21599705412732623</v>
      </c>
      <c r="FO47">
        <v>0.22683046665192627</v>
      </c>
      <c r="FQ47" t="s">
        <v>513</v>
      </c>
      <c r="FR47" t="s">
        <v>127</v>
      </c>
      <c r="FS47" t="s">
        <v>128</v>
      </c>
      <c r="FT47">
        <v>0.37823391976890053</v>
      </c>
    </row>
    <row r="48" spans="2:176" x14ac:dyDescent="0.45">
      <c r="B48" t="s">
        <v>499</v>
      </c>
      <c r="C48" t="s">
        <v>123</v>
      </c>
      <c r="D48">
        <v>0.42093738116663082</v>
      </c>
      <c r="E48">
        <v>0.41496873234946879</v>
      </c>
      <c r="F48">
        <v>0.42070715295164141</v>
      </c>
      <c r="G48">
        <v>0.43471619378967097</v>
      </c>
      <c r="H48">
        <v>0.47442499385582476</v>
      </c>
      <c r="I48">
        <v>0.46451164087068736</v>
      </c>
      <c r="J48">
        <v>0.44062977685205518</v>
      </c>
      <c r="K48">
        <v>0.41121877351896935</v>
      </c>
      <c r="L48">
        <v>0.40891205074594905</v>
      </c>
      <c r="M48">
        <v>0.42556415952336746</v>
      </c>
      <c r="N48">
        <v>0.36380775460874948</v>
      </c>
      <c r="O48">
        <v>0.39396744152055441</v>
      </c>
      <c r="P48">
        <v>0.44465277683680127</v>
      </c>
      <c r="Q48">
        <v>0.47308541685941374</v>
      </c>
      <c r="R48">
        <v>0.4661007056257615</v>
      </c>
      <c r="S48">
        <v>0.43190745597550623</v>
      </c>
      <c r="T48">
        <v>0.4140765388505796</v>
      </c>
      <c r="U48">
        <v>0.36560759334093357</v>
      </c>
      <c r="V48">
        <v>0.35402651758915676</v>
      </c>
      <c r="W48">
        <v>0.367872010019278</v>
      </c>
      <c r="X48">
        <v>0.35364735645616197</v>
      </c>
      <c r="Y48">
        <v>0.3667575213599068</v>
      </c>
      <c r="Z48">
        <v>0.43802988710050861</v>
      </c>
      <c r="AA48">
        <v>0.46114364972989647</v>
      </c>
      <c r="AB48">
        <v>0.4251552564518199</v>
      </c>
      <c r="AC48">
        <v>0.40318274009970495</v>
      </c>
      <c r="AD48">
        <v>0.3876231111017186</v>
      </c>
      <c r="AE48">
        <v>0.3623119923474612</v>
      </c>
      <c r="AF48">
        <v>0.3339055057630837</v>
      </c>
      <c r="AG48">
        <v>0.3551591458321578</v>
      </c>
      <c r="AH48">
        <v>0.41912203063487952</v>
      </c>
      <c r="AI48">
        <v>0.44470698024158023</v>
      </c>
      <c r="AJ48">
        <v>0.45307455777207101</v>
      </c>
      <c r="AK48">
        <v>0.4805600739282514</v>
      </c>
      <c r="AL48">
        <v>0.48149207370568459</v>
      </c>
      <c r="AM48">
        <v>0.46613390978206254</v>
      </c>
      <c r="AN48">
        <v>0.46273429109084263</v>
      </c>
      <c r="AO48">
        <v>0.44111201656621535</v>
      </c>
      <c r="AP48">
        <v>0.40544432333375396</v>
      </c>
      <c r="AQ48">
        <v>0.39168667248147077</v>
      </c>
      <c r="EA48" t="s">
        <v>499</v>
      </c>
      <c r="EB48">
        <v>0.19961921452376177</v>
      </c>
      <c r="EC48">
        <v>0.19559909702382161</v>
      </c>
      <c r="ED48">
        <v>0.19599475794462273</v>
      </c>
      <c r="EE48">
        <v>0.19985799851368308</v>
      </c>
      <c r="EF48">
        <v>0.16052320492121824</v>
      </c>
      <c r="EG48">
        <v>0.17908989401355896</v>
      </c>
      <c r="EH48">
        <v>0.18859658533347454</v>
      </c>
      <c r="EI48">
        <v>0.20368434985127268</v>
      </c>
      <c r="EJ48">
        <v>0.21380646071860887</v>
      </c>
      <c r="EK48">
        <v>0.21233514742674095</v>
      </c>
      <c r="EL48">
        <v>0.13652218817570649</v>
      </c>
      <c r="EM48">
        <v>0.13721951586024836</v>
      </c>
      <c r="EN48">
        <v>0.1392265227076816</v>
      </c>
      <c r="EO48">
        <v>0.13807280920000273</v>
      </c>
      <c r="EP48">
        <v>9.9500610095429362E-2</v>
      </c>
      <c r="EQ48">
        <v>0.11548230574997835</v>
      </c>
      <c r="ER48">
        <v>0.1262373709369676</v>
      </c>
      <c r="ES48">
        <v>0.13069043887029771</v>
      </c>
      <c r="ET48">
        <v>0.13832300892597732</v>
      </c>
      <c r="EU48">
        <v>0.14246572465845095</v>
      </c>
      <c r="EV48">
        <v>8.9244494693294998E-2</v>
      </c>
      <c r="EW48">
        <v>7.0434804980874774E-2</v>
      </c>
      <c r="EX48">
        <v>5.7793285022204162E-2</v>
      </c>
      <c r="EY48">
        <v>6.3024902694324897E-2</v>
      </c>
      <c r="EZ48">
        <v>6.038366385142499E-2</v>
      </c>
      <c r="FA48">
        <v>7.2340806972741756E-2</v>
      </c>
      <c r="FB48">
        <v>8.3246912054721067E-2</v>
      </c>
      <c r="FC48">
        <v>8.6969490868877009E-2</v>
      </c>
      <c r="FD48">
        <v>9.3531724754855328E-2</v>
      </c>
      <c r="FE48">
        <v>0.10251609967823719</v>
      </c>
      <c r="FF48">
        <v>0.19330765997719099</v>
      </c>
      <c r="FG48">
        <v>0.19248769760067888</v>
      </c>
      <c r="FH48">
        <v>0.18602138198490847</v>
      </c>
      <c r="FI48">
        <v>0.17171275255589272</v>
      </c>
      <c r="FJ48">
        <v>0.1419935798020027</v>
      </c>
      <c r="FK48">
        <v>0.16632532441755066</v>
      </c>
      <c r="FL48">
        <v>0.17378561370409504</v>
      </c>
      <c r="FM48">
        <v>0.18095595215300089</v>
      </c>
      <c r="FN48">
        <v>0.1862772521627554</v>
      </c>
      <c r="FO48">
        <v>0.18320888504341729</v>
      </c>
      <c r="FQ48" t="s">
        <v>514</v>
      </c>
      <c r="FR48" t="s">
        <v>127</v>
      </c>
      <c r="FS48" t="s">
        <v>128</v>
      </c>
      <c r="FT48">
        <v>0.42258204872821664</v>
      </c>
    </row>
    <row r="49" spans="2:176" x14ac:dyDescent="0.45">
      <c r="B49" t="s">
        <v>501</v>
      </c>
      <c r="C49" t="s">
        <v>123</v>
      </c>
      <c r="D49">
        <v>0.49138713008541901</v>
      </c>
      <c r="E49">
        <v>0.48462155587630645</v>
      </c>
      <c r="F49">
        <v>0.47423651654212468</v>
      </c>
      <c r="G49">
        <v>0.50579484144578279</v>
      </c>
      <c r="H49">
        <v>0.51461462877297259</v>
      </c>
      <c r="I49">
        <v>0.51788540496313862</v>
      </c>
      <c r="J49">
        <v>0.51392260950424606</v>
      </c>
      <c r="K49">
        <v>0.5051668617727415</v>
      </c>
      <c r="L49">
        <v>0.49272714596498063</v>
      </c>
      <c r="M49">
        <v>0.50603252599240101</v>
      </c>
      <c r="N49">
        <v>0.40656670397134953</v>
      </c>
      <c r="O49">
        <v>0.41331890429242985</v>
      </c>
      <c r="P49">
        <v>0.45055143969134981</v>
      </c>
      <c r="Q49">
        <v>0.51079065205013729</v>
      </c>
      <c r="R49">
        <v>0.52590165308797876</v>
      </c>
      <c r="S49">
        <v>0.46973603201081848</v>
      </c>
      <c r="T49">
        <v>0.42010341497072823</v>
      </c>
      <c r="U49">
        <v>0.39921347613352326</v>
      </c>
      <c r="V49">
        <v>0.39826199482825175</v>
      </c>
      <c r="W49">
        <v>0.40787205802421078</v>
      </c>
      <c r="X49">
        <v>0.38822504492027693</v>
      </c>
      <c r="Y49">
        <v>0.3911841897760045</v>
      </c>
      <c r="Z49">
        <v>0.42729668598333426</v>
      </c>
      <c r="AA49">
        <v>0.48202421779585863</v>
      </c>
      <c r="AB49">
        <v>0.44915808548338187</v>
      </c>
      <c r="AC49">
        <v>0.46654672058062374</v>
      </c>
      <c r="AD49">
        <v>0.44970694576175357</v>
      </c>
      <c r="AE49">
        <v>0.37551005514587837</v>
      </c>
      <c r="AF49">
        <v>0.38877507720256693</v>
      </c>
      <c r="AG49">
        <v>0.39577989429603311</v>
      </c>
      <c r="AH49">
        <v>0.46352401213971584</v>
      </c>
      <c r="AI49">
        <v>0.49925084442188966</v>
      </c>
      <c r="AJ49">
        <v>0.50093566373246912</v>
      </c>
      <c r="AK49">
        <v>0.52781958241316274</v>
      </c>
      <c r="AL49">
        <v>0.51484728083263986</v>
      </c>
      <c r="AM49">
        <v>0.52141942671406782</v>
      </c>
      <c r="AN49">
        <v>0.51351541264957234</v>
      </c>
      <c r="AO49">
        <v>0.49912919735472727</v>
      </c>
      <c r="AP49">
        <v>0.47685302467869134</v>
      </c>
      <c r="AQ49">
        <v>0.44672108895598156</v>
      </c>
      <c r="EA49" t="s">
        <v>501</v>
      </c>
      <c r="EB49">
        <v>0.11104258300151747</v>
      </c>
      <c r="EC49">
        <v>0.10257565534440116</v>
      </c>
      <c r="ED49">
        <v>0.10140449716293694</v>
      </c>
      <c r="EE49">
        <v>0.10416353638649593</v>
      </c>
      <c r="EF49">
        <v>8.3738565795557371E-2</v>
      </c>
      <c r="EG49">
        <v>0.10091039332779318</v>
      </c>
      <c r="EH49">
        <v>0.11042505481515717</v>
      </c>
      <c r="EI49">
        <v>0.11431098822911302</v>
      </c>
      <c r="EJ49">
        <v>0.12275573292655864</v>
      </c>
      <c r="EK49">
        <v>0.1266729579613585</v>
      </c>
      <c r="EL49">
        <v>8.4447035377845162E-2</v>
      </c>
      <c r="EM49">
        <v>7.2608284037691859E-2</v>
      </c>
      <c r="EN49">
        <v>7.3439152302488486E-2</v>
      </c>
      <c r="EO49">
        <v>7.5992156720804976E-2</v>
      </c>
      <c r="EP49">
        <v>6.49181610733022E-2</v>
      </c>
      <c r="EQ49">
        <v>8.2712320402696091E-2</v>
      </c>
      <c r="ER49">
        <v>9.0732507514846614E-2</v>
      </c>
      <c r="ES49">
        <v>9.165023628973934E-2</v>
      </c>
      <c r="ET49">
        <v>8.9862326404134482E-2</v>
      </c>
      <c r="EU49">
        <v>8.8916421500423531E-2</v>
      </c>
      <c r="EV49">
        <v>6.147023223322929E-2</v>
      </c>
      <c r="EW49">
        <v>4.4801474193945139E-2</v>
      </c>
      <c r="EX49">
        <v>3.3313850130128733E-2</v>
      </c>
      <c r="EY49">
        <v>3.8429804201153217E-2</v>
      </c>
      <c r="EZ49">
        <v>4.4543651304513564E-2</v>
      </c>
      <c r="FA49">
        <v>5.9123328459540277E-2</v>
      </c>
      <c r="FB49">
        <v>6.8091303725331315E-2</v>
      </c>
      <c r="FC49">
        <v>5.8844756724473112E-2</v>
      </c>
      <c r="FD49">
        <v>5.8295005421772343E-2</v>
      </c>
      <c r="FE49">
        <v>6.2016389744173443E-2</v>
      </c>
      <c r="FF49">
        <v>9.9265451626698295E-2</v>
      </c>
      <c r="FG49">
        <v>9.7524760385864689E-2</v>
      </c>
      <c r="FH49">
        <v>9.4754751665161355E-2</v>
      </c>
      <c r="FI49">
        <v>9.4083660616210762E-2</v>
      </c>
      <c r="FJ49">
        <v>8.6546980109543703E-2</v>
      </c>
      <c r="FK49">
        <v>0.11179609166898639</v>
      </c>
      <c r="FL49">
        <v>0.11504645890087903</v>
      </c>
      <c r="FM49">
        <v>0.11296865953283047</v>
      </c>
      <c r="FN49">
        <v>0.11259083485725609</v>
      </c>
      <c r="FO49">
        <v>0.10296693621704377</v>
      </c>
      <c r="FQ49" t="s">
        <v>515</v>
      </c>
      <c r="FR49" t="s">
        <v>127</v>
      </c>
      <c r="FS49" t="s">
        <v>128</v>
      </c>
      <c r="FT49">
        <v>0.42394903008279694</v>
      </c>
    </row>
    <row r="50" spans="2:176" x14ac:dyDescent="0.45">
      <c r="B50" t="s">
        <v>503</v>
      </c>
      <c r="C50" t="s">
        <v>123</v>
      </c>
      <c r="D50">
        <v>0.39098000312884729</v>
      </c>
      <c r="E50">
        <v>0.39389987980811891</v>
      </c>
      <c r="F50">
        <v>0.39614304714060034</v>
      </c>
      <c r="G50">
        <v>0.41407429819271119</v>
      </c>
      <c r="H50">
        <v>0.46096245729957752</v>
      </c>
      <c r="I50">
        <v>0.46450364948441347</v>
      </c>
      <c r="J50">
        <v>0.45680294607728933</v>
      </c>
      <c r="K50">
        <v>0.41598241700547667</v>
      </c>
      <c r="L50">
        <v>0.40653600978763743</v>
      </c>
      <c r="M50">
        <v>0.40523854701393269</v>
      </c>
      <c r="N50">
        <v>0.38900349708393261</v>
      </c>
      <c r="O50">
        <v>0.40503295328250422</v>
      </c>
      <c r="P50">
        <v>0.42958593197609302</v>
      </c>
      <c r="Q50">
        <v>0.48400823196023496</v>
      </c>
      <c r="R50">
        <v>0.50644370499596492</v>
      </c>
      <c r="S50">
        <v>0.4874725774633385</v>
      </c>
      <c r="T50">
        <v>0.44706555470841786</v>
      </c>
      <c r="U50">
        <v>0.40706044770732031</v>
      </c>
      <c r="V50">
        <v>0.37148394323105582</v>
      </c>
      <c r="W50">
        <v>0.36756771088502121</v>
      </c>
      <c r="X50">
        <v>0.32223601228677662</v>
      </c>
      <c r="Y50">
        <v>0.35065428608425031</v>
      </c>
      <c r="Z50">
        <v>0.41562671069686341</v>
      </c>
      <c r="AA50">
        <v>0.46821080255660302</v>
      </c>
      <c r="AB50">
        <v>0.46670967345443148</v>
      </c>
      <c r="AC50">
        <v>0.42752395784517117</v>
      </c>
      <c r="AD50">
        <v>0.41004689452200666</v>
      </c>
      <c r="AE50">
        <v>0.40096522716965105</v>
      </c>
      <c r="AF50">
        <v>0.34837163618555933</v>
      </c>
      <c r="AG50">
        <v>0.33563147598128495</v>
      </c>
      <c r="AH50">
        <v>0.38332227334791869</v>
      </c>
      <c r="AI50">
        <v>0.40409909962330681</v>
      </c>
      <c r="AJ50">
        <v>0.43902653647924272</v>
      </c>
      <c r="AK50">
        <v>0.49302120798566912</v>
      </c>
      <c r="AL50">
        <v>0.49091211045748689</v>
      </c>
      <c r="AM50">
        <v>0.46310511643631952</v>
      </c>
      <c r="AN50">
        <v>0.4601906088685665</v>
      </c>
      <c r="AO50">
        <v>0.44076612826232281</v>
      </c>
      <c r="AP50">
        <v>0.39439884599046698</v>
      </c>
      <c r="AQ50">
        <v>0.36703723205430477</v>
      </c>
      <c r="EA50" t="s">
        <v>503</v>
      </c>
      <c r="EB50">
        <v>0.22773394936105767</v>
      </c>
      <c r="EC50">
        <v>0.22203449604562869</v>
      </c>
      <c r="ED50">
        <v>0.21226572483310566</v>
      </c>
      <c r="EE50">
        <v>0.2015756355455115</v>
      </c>
      <c r="EF50">
        <v>0.16079762093813288</v>
      </c>
      <c r="EG50">
        <v>0.17816645533878728</v>
      </c>
      <c r="EH50">
        <v>0.19597043757357241</v>
      </c>
      <c r="EI50">
        <v>0.21411922423912438</v>
      </c>
      <c r="EJ50">
        <v>0.23156262581212717</v>
      </c>
      <c r="EK50">
        <v>0.24096097046641798</v>
      </c>
      <c r="EL50">
        <v>0.17272960169138085</v>
      </c>
      <c r="EM50">
        <v>0.1741486007743745</v>
      </c>
      <c r="EN50">
        <v>0.16354354105455496</v>
      </c>
      <c r="EO50">
        <v>0.15326227216224717</v>
      </c>
      <c r="EP50">
        <v>0.1237319334497512</v>
      </c>
      <c r="EQ50">
        <v>0.13496236116784055</v>
      </c>
      <c r="ER50">
        <v>0.13588446819176428</v>
      </c>
      <c r="ES50">
        <v>0.14306017970838703</v>
      </c>
      <c r="ET50">
        <v>0.16647782936965239</v>
      </c>
      <c r="EU50">
        <v>0.17964982240656621</v>
      </c>
      <c r="EV50">
        <v>0.12253597452235163</v>
      </c>
      <c r="EW50">
        <v>9.9110897978675699E-2</v>
      </c>
      <c r="EX50">
        <v>7.1976298918031964E-2</v>
      </c>
      <c r="EY50">
        <v>7.3747534778959262E-2</v>
      </c>
      <c r="EZ50">
        <v>8.5434188312782947E-2</v>
      </c>
      <c r="FA50">
        <v>9.5466991989326427E-2</v>
      </c>
      <c r="FB50">
        <v>9.670569965044043E-2</v>
      </c>
      <c r="FC50">
        <v>9.801318072948359E-2</v>
      </c>
      <c r="FD50">
        <v>0.10549493063308971</v>
      </c>
      <c r="FE50">
        <v>0.13230583931413634</v>
      </c>
      <c r="FF50">
        <v>0.19818870245203526</v>
      </c>
      <c r="FG50">
        <v>0.18945287591300541</v>
      </c>
      <c r="FH50">
        <v>0.17697778542006887</v>
      </c>
      <c r="FI50">
        <v>0.16202576507931532</v>
      </c>
      <c r="FJ50">
        <v>0.13594895347268993</v>
      </c>
      <c r="FK50">
        <v>0.15217682445596495</v>
      </c>
      <c r="FL50">
        <v>0.17127478193217241</v>
      </c>
      <c r="FM50">
        <v>0.18933978045676036</v>
      </c>
      <c r="FN50">
        <v>0.21243667592386808</v>
      </c>
      <c r="FO50">
        <v>0.20148196016486572</v>
      </c>
      <c r="FQ50" t="s">
        <v>516</v>
      </c>
      <c r="FR50" t="s">
        <v>127</v>
      </c>
      <c r="FS50" t="s">
        <v>128</v>
      </c>
      <c r="FT50">
        <v>0.52636329992217135</v>
      </c>
    </row>
    <row r="51" spans="2:176" x14ac:dyDescent="0.45">
      <c r="B51" t="s">
        <v>505</v>
      </c>
      <c r="C51" t="s">
        <v>123</v>
      </c>
      <c r="D51">
        <v>0.3728750666517312</v>
      </c>
      <c r="E51">
        <v>0.3691625096902611</v>
      </c>
      <c r="F51">
        <v>0.36599176733183197</v>
      </c>
      <c r="G51">
        <v>0.37429966944152776</v>
      </c>
      <c r="H51">
        <v>0.39768680366184944</v>
      </c>
      <c r="I51">
        <v>0.40323967319543852</v>
      </c>
      <c r="J51">
        <v>0.38355135136517859</v>
      </c>
      <c r="K51">
        <v>0.34999630541631443</v>
      </c>
      <c r="L51">
        <v>0.33623589083684868</v>
      </c>
      <c r="M51">
        <v>0.35220788106145379</v>
      </c>
      <c r="N51">
        <v>0.30806834906443226</v>
      </c>
      <c r="O51">
        <v>0.33000544985871894</v>
      </c>
      <c r="P51">
        <v>0.35631972381513632</v>
      </c>
      <c r="Q51">
        <v>0.38223430973621098</v>
      </c>
      <c r="R51">
        <v>0.40879609599085109</v>
      </c>
      <c r="S51">
        <v>0.40241607383811001</v>
      </c>
      <c r="T51">
        <v>0.38913048277591267</v>
      </c>
      <c r="U51">
        <v>0.36674199293131227</v>
      </c>
      <c r="V51">
        <v>0.32088851172623739</v>
      </c>
      <c r="W51">
        <v>0.29037519809035733</v>
      </c>
      <c r="X51">
        <v>0.33686307778238217</v>
      </c>
      <c r="Y51">
        <v>0.34442243433046332</v>
      </c>
      <c r="Z51">
        <v>0.39772728197293367</v>
      </c>
      <c r="AA51">
        <v>0.4172186454538574</v>
      </c>
      <c r="AB51">
        <v>0.41838263239493745</v>
      </c>
      <c r="AC51">
        <v>0.41354675205325447</v>
      </c>
      <c r="AD51">
        <v>0.39170935864864526</v>
      </c>
      <c r="AE51">
        <v>0.36796116436168858</v>
      </c>
      <c r="AF51">
        <v>0.32438081279585235</v>
      </c>
      <c r="AG51">
        <v>0.30809820000165389</v>
      </c>
      <c r="AH51">
        <v>0.35579207687494557</v>
      </c>
      <c r="AI51">
        <v>0.36752931827242291</v>
      </c>
      <c r="AJ51">
        <v>0.38242576750085405</v>
      </c>
      <c r="AK51">
        <v>0.41138584977923665</v>
      </c>
      <c r="AL51">
        <v>0.42004750906947724</v>
      </c>
      <c r="AM51">
        <v>0.41131898043104376</v>
      </c>
      <c r="AN51">
        <v>0.39583141136082528</v>
      </c>
      <c r="AO51">
        <v>0.38238751212844929</v>
      </c>
      <c r="AP51">
        <v>0.35471509286513381</v>
      </c>
      <c r="AQ51">
        <v>0.33791008097221642</v>
      </c>
      <c r="EA51" t="s">
        <v>505</v>
      </c>
      <c r="EB51">
        <v>0.30190957349502229</v>
      </c>
      <c r="EC51">
        <v>0.30191562611103995</v>
      </c>
      <c r="ED51">
        <v>0.29996748252858085</v>
      </c>
      <c r="EE51">
        <v>0.29232136643227202</v>
      </c>
      <c r="EF51">
        <v>0.23611989556054225</v>
      </c>
      <c r="EG51">
        <v>0.25358159642606914</v>
      </c>
      <c r="EH51">
        <v>0.26841461005224609</v>
      </c>
      <c r="EI51">
        <v>0.28988008427137552</v>
      </c>
      <c r="EJ51">
        <v>0.30809458321069855</v>
      </c>
      <c r="EK51">
        <v>0.3031581193038741</v>
      </c>
      <c r="EL51">
        <v>0.22707663994015365</v>
      </c>
      <c r="EM51">
        <v>0.23541264076352891</v>
      </c>
      <c r="EN51">
        <v>0.22763242285505184</v>
      </c>
      <c r="EO51">
        <v>0.22333975748343587</v>
      </c>
      <c r="EP51">
        <v>0.17244391768348138</v>
      </c>
      <c r="EQ51">
        <v>0.19694094715856539</v>
      </c>
      <c r="ER51">
        <v>0.21331133841288064</v>
      </c>
      <c r="ES51">
        <v>0.20838316494707954</v>
      </c>
      <c r="ET51">
        <v>0.22059155132249994</v>
      </c>
      <c r="EU51">
        <v>0.23363968897907189</v>
      </c>
      <c r="EV51">
        <v>0.16291539406428368</v>
      </c>
      <c r="EW51">
        <v>0.14530490394100321</v>
      </c>
      <c r="EX51">
        <v>0.11880054474369726</v>
      </c>
      <c r="EY51">
        <v>0.1111164372027915</v>
      </c>
      <c r="EZ51">
        <v>9.8824630943988148E-2</v>
      </c>
      <c r="FA51">
        <v>0.11706729356685767</v>
      </c>
      <c r="FB51">
        <v>0.12717968049375689</v>
      </c>
      <c r="FC51">
        <v>0.12503240703693025</v>
      </c>
      <c r="FD51">
        <v>0.13728692152521263</v>
      </c>
      <c r="FE51">
        <v>0.16915478877376505</v>
      </c>
      <c r="FF51">
        <v>0.27571184636051477</v>
      </c>
      <c r="FG51">
        <v>0.27070977830441928</v>
      </c>
      <c r="FH51">
        <v>0.26242010628756784</v>
      </c>
      <c r="FI51">
        <v>0.24926866143480703</v>
      </c>
      <c r="FJ51">
        <v>0.20351797726143714</v>
      </c>
      <c r="FK51">
        <v>0.22724947069787732</v>
      </c>
      <c r="FL51">
        <v>0.23952920886223453</v>
      </c>
      <c r="FM51">
        <v>0.25243901592253082</v>
      </c>
      <c r="FN51">
        <v>0.2744847914564697</v>
      </c>
      <c r="FO51">
        <v>0.28109687421213447</v>
      </c>
      <c r="FQ51" t="s">
        <v>517</v>
      </c>
      <c r="FR51" t="s">
        <v>127</v>
      </c>
      <c r="FS51" t="s">
        <v>128</v>
      </c>
      <c r="FT51">
        <v>0.58867787335729416</v>
      </c>
    </row>
    <row r="52" spans="2:176" x14ac:dyDescent="0.45">
      <c r="B52" t="s">
        <v>507</v>
      </c>
      <c r="C52" t="s">
        <v>123</v>
      </c>
      <c r="D52">
        <v>0.38123349529722067</v>
      </c>
      <c r="E52">
        <v>0.37387692213704427</v>
      </c>
      <c r="F52">
        <v>0.35961892754113511</v>
      </c>
      <c r="G52">
        <v>0.36380924482807081</v>
      </c>
      <c r="H52">
        <v>0.40221641962894233</v>
      </c>
      <c r="I52">
        <v>0.40982540503632964</v>
      </c>
      <c r="J52">
        <v>0.3866164211336649</v>
      </c>
      <c r="K52">
        <v>0.35321504715428925</v>
      </c>
      <c r="L52">
        <v>0.34277273060686353</v>
      </c>
      <c r="M52">
        <v>0.3576030102096503</v>
      </c>
      <c r="N52">
        <v>0.33400123813405846</v>
      </c>
      <c r="O52">
        <v>0.34354715568913469</v>
      </c>
      <c r="P52">
        <v>0.38491097386914458</v>
      </c>
      <c r="Q52">
        <v>0.41077487073187907</v>
      </c>
      <c r="R52">
        <v>0.40793367425887039</v>
      </c>
      <c r="S52">
        <v>0.40246140303946248</v>
      </c>
      <c r="T52">
        <v>0.38847835480690868</v>
      </c>
      <c r="U52">
        <v>0.3845897651759137</v>
      </c>
      <c r="V52">
        <v>0.36916965874900243</v>
      </c>
      <c r="W52">
        <v>0.32359075913216317</v>
      </c>
      <c r="X52">
        <v>0.31320266550706927</v>
      </c>
      <c r="Y52">
        <v>0.34252199704763836</v>
      </c>
      <c r="Z52">
        <v>0.44222602680187723</v>
      </c>
      <c r="AA52">
        <v>0.46510695848464584</v>
      </c>
      <c r="AB52">
        <v>0.43464877857949286</v>
      </c>
      <c r="AC52">
        <v>0.39804550859458832</v>
      </c>
      <c r="AD52">
        <v>0.36640853304880044</v>
      </c>
      <c r="AE52">
        <v>0.36687013187205436</v>
      </c>
      <c r="AF52">
        <v>0.34981518510607873</v>
      </c>
      <c r="AG52">
        <v>0.32732031077781248</v>
      </c>
      <c r="AH52">
        <v>0.33973461150231898</v>
      </c>
      <c r="AI52">
        <v>0.36302348155974673</v>
      </c>
      <c r="AJ52">
        <v>0.37010551820639809</v>
      </c>
      <c r="AK52">
        <v>0.40667434934144786</v>
      </c>
      <c r="AL52">
        <v>0.44533980999101608</v>
      </c>
      <c r="AM52">
        <v>0.43314719297934817</v>
      </c>
      <c r="AN52">
        <v>0.43679266237134223</v>
      </c>
      <c r="AO52">
        <v>0.41273452621377238</v>
      </c>
      <c r="AP52">
        <v>0.37966337344078854</v>
      </c>
      <c r="AQ52">
        <v>0.34716176612157801</v>
      </c>
      <c r="EA52" t="s">
        <v>507</v>
      </c>
      <c r="EB52">
        <v>0.27344154436388657</v>
      </c>
      <c r="EC52">
        <v>0.26999484041225935</v>
      </c>
      <c r="ED52">
        <v>0.26460191993674492</v>
      </c>
      <c r="EE52">
        <v>0.26317578594421026</v>
      </c>
      <c r="EF52">
        <v>0.23101782053000999</v>
      </c>
      <c r="EG52">
        <v>0.24259386381341971</v>
      </c>
      <c r="EH52">
        <v>0.25012222523715699</v>
      </c>
      <c r="EI52">
        <v>0.26962347113298446</v>
      </c>
      <c r="EJ52">
        <v>0.28290356699605723</v>
      </c>
      <c r="EK52">
        <v>0.27568067122257472</v>
      </c>
      <c r="EL52">
        <v>0.19142467560285678</v>
      </c>
      <c r="EM52">
        <v>0.19354155458808708</v>
      </c>
      <c r="EN52">
        <v>0.19337288181722062</v>
      </c>
      <c r="EO52">
        <v>0.19228682790183041</v>
      </c>
      <c r="EP52">
        <v>0.14565334972623056</v>
      </c>
      <c r="EQ52">
        <v>0.1661216698298347</v>
      </c>
      <c r="ER52">
        <v>0.18289972686143219</v>
      </c>
      <c r="ES52">
        <v>0.19122278748885863</v>
      </c>
      <c r="ET52">
        <v>0.20460898888846185</v>
      </c>
      <c r="EU52">
        <v>0.20629748499524814</v>
      </c>
      <c r="EV52">
        <v>0.13125924239372155</v>
      </c>
      <c r="EW52">
        <v>0.11309713828382506</v>
      </c>
      <c r="EX52">
        <v>8.8299058779970657E-2</v>
      </c>
      <c r="EY52">
        <v>9.0627055246090826E-2</v>
      </c>
      <c r="EZ52">
        <v>8.1806572105773301E-2</v>
      </c>
      <c r="FA52">
        <v>9.3617871456291482E-2</v>
      </c>
      <c r="FB52">
        <v>9.8932215591733486E-2</v>
      </c>
      <c r="FC52">
        <v>0.10430947886778875</v>
      </c>
      <c r="FD52">
        <v>0.11537079251456063</v>
      </c>
      <c r="FE52">
        <v>0.14671938278896046</v>
      </c>
      <c r="FF52">
        <v>0.24476774350521721</v>
      </c>
      <c r="FG52">
        <v>0.25842015756424436</v>
      </c>
      <c r="FH52">
        <v>0.25418294279793874</v>
      </c>
      <c r="FI52">
        <v>0.23168428171046537</v>
      </c>
      <c r="FJ52">
        <v>0.18082523614912455</v>
      </c>
      <c r="FK52">
        <v>0.19895743559970991</v>
      </c>
      <c r="FL52">
        <v>0.19809623399423243</v>
      </c>
      <c r="FM52">
        <v>0.21134043119822993</v>
      </c>
      <c r="FN52">
        <v>0.23900386798615175</v>
      </c>
      <c r="FO52">
        <v>0.24925808932245092</v>
      </c>
      <c r="FQ52" t="s">
        <v>518</v>
      </c>
      <c r="FR52" t="s">
        <v>127</v>
      </c>
      <c r="FS52" t="s">
        <v>128</v>
      </c>
      <c r="FT52">
        <v>0.49201075152810425</v>
      </c>
    </row>
    <row r="53" spans="2:176" x14ac:dyDescent="0.45">
      <c r="B53" t="s">
        <v>509</v>
      </c>
      <c r="C53" t="s">
        <v>123</v>
      </c>
      <c r="D53">
        <v>0.38282686889898154</v>
      </c>
      <c r="E53">
        <v>0.37316432842487585</v>
      </c>
      <c r="F53">
        <v>0.36545597478996045</v>
      </c>
      <c r="G53">
        <v>0.38534754183691128</v>
      </c>
      <c r="H53">
        <v>0.41625485918621413</v>
      </c>
      <c r="I53">
        <v>0.43949375215284303</v>
      </c>
      <c r="J53">
        <v>0.43643021110705044</v>
      </c>
      <c r="K53">
        <v>0.37785318378450317</v>
      </c>
      <c r="L53">
        <v>0.36013688506629388</v>
      </c>
      <c r="M53">
        <v>0.38277131783917795</v>
      </c>
      <c r="N53">
        <v>0.34591063953337053</v>
      </c>
      <c r="O53">
        <v>0.3702428919050107</v>
      </c>
      <c r="P53">
        <v>0.42081919336697277</v>
      </c>
      <c r="Q53">
        <v>0.46405625676496792</v>
      </c>
      <c r="R53">
        <v>0.46740880489357484</v>
      </c>
      <c r="S53">
        <v>0.45384678301184028</v>
      </c>
      <c r="T53">
        <v>0.41629441260044375</v>
      </c>
      <c r="U53">
        <v>0.39105885546466657</v>
      </c>
      <c r="V53">
        <v>0.358643382600767</v>
      </c>
      <c r="W53">
        <v>0.33572673123648483</v>
      </c>
      <c r="X53">
        <v>0.32634230040211676</v>
      </c>
      <c r="Y53">
        <v>0.32924883851148784</v>
      </c>
      <c r="Z53">
        <v>0.41536250556438342</v>
      </c>
      <c r="AA53">
        <v>0.4557811126378678</v>
      </c>
      <c r="AB53">
        <v>0.437195411146928</v>
      </c>
      <c r="AC53">
        <v>0.42749498469822889</v>
      </c>
      <c r="AD53">
        <v>0.37901376341458848</v>
      </c>
      <c r="AE53">
        <v>0.3802441964508817</v>
      </c>
      <c r="AF53">
        <v>0.33858088243997597</v>
      </c>
      <c r="AG53">
        <v>0.32991395838386584</v>
      </c>
      <c r="AH53">
        <v>0.33094694065293745</v>
      </c>
      <c r="AI53">
        <v>0.35875558645675215</v>
      </c>
      <c r="AJ53">
        <v>0.38129888587686422</v>
      </c>
      <c r="AK53">
        <v>0.42883056016081361</v>
      </c>
      <c r="AL53">
        <v>0.45679665319920126</v>
      </c>
      <c r="AM53">
        <v>0.44625619184764892</v>
      </c>
      <c r="AN53">
        <v>0.45537582764278456</v>
      </c>
      <c r="AO53">
        <v>0.43366410907387032</v>
      </c>
      <c r="AP53">
        <v>0.38680444921860546</v>
      </c>
      <c r="AQ53">
        <v>0.34498814123166349</v>
      </c>
      <c r="EA53" t="s">
        <v>509</v>
      </c>
      <c r="EB53">
        <v>0.26947095770228346</v>
      </c>
      <c r="EC53">
        <v>0.259419136187307</v>
      </c>
      <c r="ED53">
        <v>0.25044552040701229</v>
      </c>
      <c r="EE53">
        <v>0.24314811952072216</v>
      </c>
      <c r="EF53">
        <v>0.19652694763272838</v>
      </c>
      <c r="EG53">
        <v>0.21172535891621813</v>
      </c>
      <c r="EH53">
        <v>0.2312509968975329</v>
      </c>
      <c r="EI53">
        <v>0.25759045459397467</v>
      </c>
      <c r="EJ53">
        <v>0.27010937761526416</v>
      </c>
      <c r="EK53">
        <v>0.27120285695362856</v>
      </c>
      <c r="EL53">
        <v>0.1815572546056837</v>
      </c>
      <c r="EM53">
        <v>0.18831876368314737</v>
      </c>
      <c r="EN53">
        <v>0.17782132213141844</v>
      </c>
      <c r="EO53">
        <v>0.16711625034058233</v>
      </c>
      <c r="EP53">
        <v>0.12828429848134015</v>
      </c>
      <c r="EQ53">
        <v>0.14163733835970485</v>
      </c>
      <c r="ER53">
        <v>0.14747314683851184</v>
      </c>
      <c r="ES53">
        <v>0.15992792332590419</v>
      </c>
      <c r="ET53">
        <v>0.18216982732367534</v>
      </c>
      <c r="EU53">
        <v>0.19014934349295751</v>
      </c>
      <c r="EV53">
        <v>0.12317150230245034</v>
      </c>
      <c r="EW53">
        <v>0.1008752473361987</v>
      </c>
      <c r="EX53">
        <v>7.1895312634932124E-2</v>
      </c>
      <c r="EY53">
        <v>7.0813576490827937E-2</v>
      </c>
      <c r="EZ53">
        <v>7.4954715348631518E-2</v>
      </c>
      <c r="FA53">
        <v>8.291152393424682E-2</v>
      </c>
      <c r="FB53">
        <v>8.7942889041883493E-2</v>
      </c>
      <c r="FC53">
        <v>9.8462161977391452E-2</v>
      </c>
      <c r="FD53">
        <v>0.10864921253400024</v>
      </c>
      <c r="FE53">
        <v>0.13870858030263433</v>
      </c>
      <c r="FF53">
        <v>0.23664623055874109</v>
      </c>
      <c r="FG53">
        <v>0.24250700320349738</v>
      </c>
      <c r="FH53">
        <v>0.23511191148062605</v>
      </c>
      <c r="FI53">
        <v>0.21112217912786468</v>
      </c>
      <c r="FJ53">
        <v>0.15784694414676431</v>
      </c>
      <c r="FK53">
        <v>0.17136291547089025</v>
      </c>
      <c r="FL53">
        <v>0.18007114730795384</v>
      </c>
      <c r="FM53">
        <v>0.19469347588449135</v>
      </c>
      <c r="FN53">
        <v>0.21943308863899455</v>
      </c>
      <c r="FO53">
        <v>0.23168918657202461</v>
      </c>
      <c r="FQ53" t="s">
        <v>519</v>
      </c>
      <c r="FR53" t="s">
        <v>127</v>
      </c>
      <c r="FS53" t="s">
        <v>128</v>
      </c>
      <c r="FT53">
        <v>0.33700536432746958</v>
      </c>
    </row>
    <row r="54" spans="2:176" x14ac:dyDescent="0.45">
      <c r="B54" t="s">
        <v>510</v>
      </c>
      <c r="C54" t="s">
        <v>123</v>
      </c>
      <c r="D54">
        <v>0.34559963010019468</v>
      </c>
      <c r="E54">
        <v>0.33995391587376311</v>
      </c>
      <c r="F54">
        <v>0.33846604012911374</v>
      </c>
      <c r="G54">
        <v>0.34253448637429101</v>
      </c>
      <c r="H54">
        <v>0.36042673386563628</v>
      </c>
      <c r="I54">
        <v>0.36820388388364922</v>
      </c>
      <c r="J54">
        <v>0.35718841695419501</v>
      </c>
      <c r="K54">
        <v>0.34109070372090183</v>
      </c>
      <c r="L54">
        <v>0.33303430079257695</v>
      </c>
      <c r="M54">
        <v>0.34509387791901014</v>
      </c>
      <c r="N54">
        <v>0.3107482030241846</v>
      </c>
      <c r="O54">
        <v>0.33447514632689901</v>
      </c>
      <c r="P54">
        <v>0.36588976246382815</v>
      </c>
      <c r="Q54">
        <v>0.40182043672084528</v>
      </c>
      <c r="R54">
        <v>0.3945862249103872</v>
      </c>
      <c r="S54">
        <v>0.37482164645295224</v>
      </c>
      <c r="T54">
        <v>0.35891145442281169</v>
      </c>
      <c r="U54">
        <v>0.34172888438227317</v>
      </c>
      <c r="V54">
        <v>0.32357340858194955</v>
      </c>
      <c r="W54">
        <v>0.30371929661235247</v>
      </c>
      <c r="X54">
        <v>0.2985557779166646</v>
      </c>
      <c r="Y54">
        <v>0.34442448774221818</v>
      </c>
      <c r="Z54">
        <v>0.41764179875122032</v>
      </c>
      <c r="AA54">
        <v>0.43439038765017141</v>
      </c>
      <c r="AB54">
        <v>0.42256823303531427</v>
      </c>
      <c r="AC54">
        <v>0.4182492525229517</v>
      </c>
      <c r="AD54">
        <v>0.41634906308461378</v>
      </c>
      <c r="AE54">
        <v>0.38509523159968495</v>
      </c>
      <c r="AF54">
        <v>0.32465941814851579</v>
      </c>
      <c r="AG54">
        <v>0.27410963581679959</v>
      </c>
      <c r="AH54">
        <v>0.30188766560888064</v>
      </c>
      <c r="AI54">
        <v>0.29465068280749879</v>
      </c>
      <c r="AJ54">
        <v>0.30811728633040114</v>
      </c>
      <c r="AK54">
        <v>0.33187328371138064</v>
      </c>
      <c r="AL54">
        <v>0.3586942976578878</v>
      </c>
      <c r="AM54">
        <v>0.35176782534769885</v>
      </c>
      <c r="AN54">
        <v>0.35048380540770818</v>
      </c>
      <c r="AO54">
        <v>0.34784464015277156</v>
      </c>
      <c r="AP54">
        <v>0.32392259045862537</v>
      </c>
      <c r="AQ54">
        <v>0.31111257229407974</v>
      </c>
      <c r="EA54" t="s">
        <v>510</v>
      </c>
      <c r="EB54">
        <v>0.35868389655913258</v>
      </c>
      <c r="EC54">
        <v>0.36566519141999193</v>
      </c>
      <c r="ED54">
        <v>0.36709805757611363</v>
      </c>
      <c r="EE54">
        <v>0.36903939528916924</v>
      </c>
      <c r="EF54">
        <v>0.33799343485985661</v>
      </c>
      <c r="EG54">
        <v>0.34924839970055116</v>
      </c>
      <c r="EH54">
        <v>0.34636435259802667</v>
      </c>
      <c r="EI54">
        <v>0.34619926886728747</v>
      </c>
      <c r="EJ54">
        <v>0.35565492383752889</v>
      </c>
      <c r="EK54">
        <v>0.35256965304810622</v>
      </c>
      <c r="EL54">
        <v>0.22109369255782077</v>
      </c>
      <c r="EM54">
        <v>0.21794047351767515</v>
      </c>
      <c r="EN54">
        <v>0.20288607385790691</v>
      </c>
      <c r="EO54">
        <v>0.19745363801856347</v>
      </c>
      <c r="EP54">
        <v>0.17857159775063783</v>
      </c>
      <c r="EQ54">
        <v>0.20610528536651088</v>
      </c>
      <c r="ER54">
        <v>0.21901574675745036</v>
      </c>
      <c r="ES54">
        <v>0.20644424655180438</v>
      </c>
      <c r="ET54">
        <v>0.21989160419045226</v>
      </c>
      <c r="EU54">
        <v>0.22985118014540032</v>
      </c>
      <c r="EV54">
        <v>0.16919891015122476</v>
      </c>
      <c r="EW54">
        <v>0.160443081511743</v>
      </c>
      <c r="EX54">
        <v>0.14353861432109583</v>
      </c>
      <c r="EY54">
        <v>0.14570146497694986</v>
      </c>
      <c r="EZ54">
        <v>0.13453271211342735</v>
      </c>
      <c r="FA54">
        <v>0.1648134322402057</v>
      </c>
      <c r="FB54">
        <v>0.17172193222384854</v>
      </c>
      <c r="FC54">
        <v>0.15081051324387143</v>
      </c>
      <c r="FD54">
        <v>0.15133108401737511</v>
      </c>
      <c r="FE54">
        <v>0.17495413263703027</v>
      </c>
      <c r="FF54">
        <v>0.30247626910508807</v>
      </c>
      <c r="FG54">
        <v>0.30991866193145451</v>
      </c>
      <c r="FH54">
        <v>0.30617105539095363</v>
      </c>
      <c r="FI54">
        <v>0.29834870421649351</v>
      </c>
      <c r="FJ54">
        <v>0.24970694217836487</v>
      </c>
      <c r="FK54">
        <v>0.26705407552611943</v>
      </c>
      <c r="FL54">
        <v>0.27320196737212604</v>
      </c>
      <c r="FM54">
        <v>0.27409378296123177</v>
      </c>
      <c r="FN54">
        <v>0.29379572873389254</v>
      </c>
      <c r="FO54">
        <v>0.29911073358731716</v>
      </c>
      <c r="FQ54" t="s">
        <v>520</v>
      </c>
      <c r="FR54" t="s">
        <v>127</v>
      </c>
      <c r="FS54" t="s">
        <v>128</v>
      </c>
      <c r="FT54">
        <v>0.37864169856245572</v>
      </c>
    </row>
    <row r="55" spans="2:176" x14ac:dyDescent="0.45">
      <c r="B55" t="s">
        <v>511</v>
      </c>
      <c r="C55" t="s">
        <v>123</v>
      </c>
      <c r="D55">
        <v>0.36943364465414835</v>
      </c>
      <c r="E55">
        <v>0.36116247809831503</v>
      </c>
      <c r="F55">
        <v>0.35450323957517194</v>
      </c>
      <c r="G55">
        <v>0.35401192552895383</v>
      </c>
      <c r="H55">
        <v>0.37269474402048519</v>
      </c>
      <c r="I55">
        <v>0.36688401250555558</v>
      </c>
      <c r="J55">
        <v>0.35272653440830543</v>
      </c>
      <c r="K55">
        <v>0.34032170124149397</v>
      </c>
      <c r="L55">
        <v>0.33933109741701667</v>
      </c>
      <c r="M55">
        <v>0.35706158846313168</v>
      </c>
      <c r="N55">
        <v>0.33842326268419382</v>
      </c>
      <c r="O55">
        <v>0.35236875820615021</v>
      </c>
      <c r="P55">
        <v>0.37591116959369292</v>
      </c>
      <c r="Q55">
        <v>0.37949429903647713</v>
      </c>
      <c r="R55">
        <v>0.37906990116922434</v>
      </c>
      <c r="S55">
        <v>0.37756162698301571</v>
      </c>
      <c r="T55">
        <v>0.36763430344808495</v>
      </c>
      <c r="U55">
        <v>0.35827641114144881</v>
      </c>
      <c r="V55">
        <v>0.33863930785885193</v>
      </c>
      <c r="W55">
        <v>0.32135842727602182</v>
      </c>
      <c r="X55">
        <v>0.33523683381117014</v>
      </c>
      <c r="Y55">
        <v>0.37074766225372807</v>
      </c>
      <c r="Z55">
        <v>0.44807795099403386</v>
      </c>
      <c r="AA55">
        <v>0.45198772187858705</v>
      </c>
      <c r="AB55">
        <v>0.41869102632331379</v>
      </c>
      <c r="AC55">
        <v>0.40344832030731376</v>
      </c>
      <c r="AD55">
        <v>0.38871848636755685</v>
      </c>
      <c r="AE55">
        <v>0.37635491742333466</v>
      </c>
      <c r="AF55">
        <v>0.33533485382464973</v>
      </c>
      <c r="AG55">
        <v>0.30162423665536636</v>
      </c>
      <c r="AH55">
        <v>0.34442776589514068</v>
      </c>
      <c r="AI55">
        <v>0.35648193231227326</v>
      </c>
      <c r="AJ55">
        <v>0.37212691692076949</v>
      </c>
      <c r="AK55">
        <v>0.38786311892944586</v>
      </c>
      <c r="AL55">
        <v>0.39568087496885357</v>
      </c>
      <c r="AM55">
        <v>0.39815419016216419</v>
      </c>
      <c r="AN55">
        <v>0.39117559210017011</v>
      </c>
      <c r="AO55">
        <v>0.37732308517728474</v>
      </c>
      <c r="AP55">
        <v>0.35306792535202242</v>
      </c>
      <c r="AQ55">
        <v>0.33176640063280838</v>
      </c>
      <c r="EA55" t="s">
        <v>511</v>
      </c>
      <c r="EB55">
        <v>0.30503821247770752</v>
      </c>
      <c r="EC55">
        <v>0.31118047169857327</v>
      </c>
      <c r="ED55">
        <v>0.30707213724820648</v>
      </c>
      <c r="EE55">
        <v>0.30772842773174697</v>
      </c>
      <c r="EF55">
        <v>0.27396587939849532</v>
      </c>
      <c r="EG55">
        <v>0.28865857720598087</v>
      </c>
      <c r="EH55">
        <v>0.29140993492849004</v>
      </c>
      <c r="EI55">
        <v>0.29876040281245136</v>
      </c>
      <c r="EJ55">
        <v>0.31145146244811267</v>
      </c>
      <c r="EK55">
        <v>0.29917830583504884</v>
      </c>
      <c r="EL55">
        <v>0.20271116983802367</v>
      </c>
      <c r="EM55">
        <v>0.20329025938338424</v>
      </c>
      <c r="EN55">
        <v>0.20319035959594609</v>
      </c>
      <c r="EO55">
        <v>0.20688422037631513</v>
      </c>
      <c r="EP55">
        <v>0.16864274040883667</v>
      </c>
      <c r="EQ55">
        <v>0.19300261374100586</v>
      </c>
      <c r="ER55">
        <v>0.21037362225732023</v>
      </c>
      <c r="ES55">
        <v>0.2104468193070862</v>
      </c>
      <c r="ET55">
        <v>0.21476224219291334</v>
      </c>
      <c r="EU55">
        <v>0.21942074849551541</v>
      </c>
      <c r="EV55">
        <v>0.13849239236145902</v>
      </c>
      <c r="EW55">
        <v>0.13016264314160506</v>
      </c>
      <c r="EX55">
        <v>0.11422330545486821</v>
      </c>
      <c r="EY55">
        <v>0.1209105097189497</v>
      </c>
      <c r="EZ55">
        <v>0.10471292872538837</v>
      </c>
      <c r="FA55">
        <v>0.13432338942047806</v>
      </c>
      <c r="FB55">
        <v>0.14536302371190984</v>
      </c>
      <c r="FC55">
        <v>0.13495520061970182</v>
      </c>
      <c r="FD55">
        <v>0.13444788105767949</v>
      </c>
      <c r="FE55">
        <v>0.14452744722100702</v>
      </c>
      <c r="FF55">
        <v>0.26295123889637645</v>
      </c>
      <c r="FG55">
        <v>0.25994810315200356</v>
      </c>
      <c r="FH55">
        <v>0.2561349887737423</v>
      </c>
      <c r="FI55">
        <v>0.25181405846445898</v>
      </c>
      <c r="FJ55">
        <v>0.20803699611710438</v>
      </c>
      <c r="FK55">
        <v>0.23441951347851323</v>
      </c>
      <c r="FL55">
        <v>0.24058864007344152</v>
      </c>
      <c r="FM55">
        <v>0.24334909624540696</v>
      </c>
      <c r="FN55">
        <v>0.26101480807032101</v>
      </c>
      <c r="FO55">
        <v>0.26510793158278151</v>
      </c>
      <c r="FQ55" t="s">
        <v>521</v>
      </c>
      <c r="FR55" t="s">
        <v>127</v>
      </c>
      <c r="FS55" t="s">
        <v>128</v>
      </c>
      <c r="FT55">
        <v>0.40490645757734101</v>
      </c>
    </row>
    <row r="56" spans="2:176" x14ac:dyDescent="0.45">
      <c r="B56" t="s">
        <v>512</v>
      </c>
      <c r="C56" t="s">
        <v>123</v>
      </c>
      <c r="D56">
        <v>0.36255089742746682</v>
      </c>
      <c r="E56">
        <v>0.35209328348703561</v>
      </c>
      <c r="F56">
        <v>0.35756067745250697</v>
      </c>
      <c r="G56">
        <v>0.36520404899219899</v>
      </c>
      <c r="H56">
        <v>0.382848180282926</v>
      </c>
      <c r="I56">
        <v>0.38347864630670619</v>
      </c>
      <c r="J56">
        <v>0.37139874111101018</v>
      </c>
      <c r="K56">
        <v>0.34690579703816476</v>
      </c>
      <c r="L56">
        <v>0.34073602968236727</v>
      </c>
      <c r="M56">
        <v>0.35325865205147167</v>
      </c>
      <c r="N56">
        <v>0.33019965758789743</v>
      </c>
      <c r="O56">
        <v>0.34214734940061775</v>
      </c>
      <c r="P56">
        <v>0.36631840714360825</v>
      </c>
      <c r="Q56">
        <v>0.38825536088220047</v>
      </c>
      <c r="R56">
        <v>0.37376345203097588</v>
      </c>
      <c r="S56">
        <v>0.36772547305925291</v>
      </c>
      <c r="T56">
        <v>0.35686777921727242</v>
      </c>
      <c r="U56">
        <v>0.34329194538755903</v>
      </c>
      <c r="V56">
        <v>0.32838869520591651</v>
      </c>
      <c r="W56">
        <v>0.31840381110168259</v>
      </c>
      <c r="X56">
        <v>0.32484144603317205</v>
      </c>
      <c r="Y56">
        <v>0.34749368879964482</v>
      </c>
      <c r="Z56">
        <v>0.43308528693181975</v>
      </c>
      <c r="AA56">
        <v>0.42498342533657202</v>
      </c>
      <c r="AB56">
        <v>0.41564060886739601</v>
      </c>
      <c r="AC56">
        <v>0.39877335688682652</v>
      </c>
      <c r="AD56">
        <v>0.36950377576290522</v>
      </c>
      <c r="AE56">
        <v>0.32138496868447219</v>
      </c>
      <c r="AF56">
        <v>0.31170977565240698</v>
      </c>
      <c r="AG56">
        <v>0.301126932972548</v>
      </c>
      <c r="AH56">
        <v>0.32407396948046052</v>
      </c>
      <c r="AI56">
        <v>0.32832959982721155</v>
      </c>
      <c r="AJ56">
        <v>0.33456556646514407</v>
      </c>
      <c r="AK56">
        <v>0.35704453314222301</v>
      </c>
      <c r="AL56">
        <v>0.37519292372210944</v>
      </c>
      <c r="AM56">
        <v>0.37040086111154835</v>
      </c>
      <c r="AN56">
        <v>0.36704509461866702</v>
      </c>
      <c r="AO56">
        <v>0.36087521399329225</v>
      </c>
      <c r="AP56">
        <v>0.34055808824582873</v>
      </c>
      <c r="AQ56">
        <v>0.32832603204031885</v>
      </c>
      <c r="EA56" t="s">
        <v>512</v>
      </c>
      <c r="EB56">
        <v>0.31783431349914509</v>
      </c>
      <c r="EC56">
        <v>0.3247146954309249</v>
      </c>
      <c r="ED56">
        <v>0.32353287437333722</v>
      </c>
      <c r="EE56">
        <v>0.32750155765001154</v>
      </c>
      <c r="EF56">
        <v>0.30558523944456678</v>
      </c>
      <c r="EG56">
        <v>0.31573492258768293</v>
      </c>
      <c r="EH56">
        <v>0.3085216704366387</v>
      </c>
      <c r="EI56">
        <v>0.31446271935300252</v>
      </c>
      <c r="EJ56">
        <v>0.32519989897453933</v>
      </c>
      <c r="EK56">
        <v>0.31561792044858966</v>
      </c>
      <c r="EL56">
        <v>0.19611230819802822</v>
      </c>
      <c r="EM56">
        <v>0.20324099609671503</v>
      </c>
      <c r="EN56">
        <v>0.20226035938382844</v>
      </c>
      <c r="EO56">
        <v>0.19465117794366685</v>
      </c>
      <c r="EP56">
        <v>0.16491651483059369</v>
      </c>
      <c r="EQ56">
        <v>0.19221523567323551</v>
      </c>
      <c r="ER56">
        <v>0.20797485017743819</v>
      </c>
      <c r="ES56">
        <v>0.19833646202924371</v>
      </c>
      <c r="ET56">
        <v>0.20526539616810199</v>
      </c>
      <c r="EU56">
        <v>0.20433831441426586</v>
      </c>
      <c r="EV56">
        <v>0.13575671406729595</v>
      </c>
      <c r="EW56">
        <v>0.12444844829739685</v>
      </c>
      <c r="EX56">
        <v>0.10872251885590561</v>
      </c>
      <c r="EY56">
        <v>0.11924555497226767</v>
      </c>
      <c r="EZ56">
        <v>0.1122304226555693</v>
      </c>
      <c r="FA56">
        <v>0.12964745702355429</v>
      </c>
      <c r="FB56">
        <v>0.1366103762978314</v>
      </c>
      <c r="FC56">
        <v>0.13218243501728075</v>
      </c>
      <c r="FD56">
        <v>0.1364757211123174</v>
      </c>
      <c r="FE56">
        <v>0.14180875960687275</v>
      </c>
      <c r="FF56">
        <v>0.27184848332243394</v>
      </c>
      <c r="FG56">
        <v>0.28731477581387493</v>
      </c>
      <c r="FH56">
        <v>0.28805102590448678</v>
      </c>
      <c r="FI56">
        <v>0.27662205480839108</v>
      </c>
      <c r="FJ56">
        <v>0.22422127355500662</v>
      </c>
      <c r="FK56">
        <v>0.2417623815231259</v>
      </c>
      <c r="FL56">
        <v>0.24151882578150086</v>
      </c>
      <c r="FM56">
        <v>0.24862581440340525</v>
      </c>
      <c r="FN56">
        <v>0.26939358145473802</v>
      </c>
      <c r="FO56">
        <v>0.27681353967385547</v>
      </c>
      <c r="FQ56" t="s">
        <v>490</v>
      </c>
      <c r="FR56" t="s">
        <v>127</v>
      </c>
      <c r="FS56" t="s">
        <v>128</v>
      </c>
      <c r="FT56">
        <v>0.65596984122087643</v>
      </c>
    </row>
    <row r="57" spans="2:176" x14ac:dyDescent="0.45">
      <c r="B57" t="s">
        <v>513</v>
      </c>
      <c r="C57" t="s">
        <v>123</v>
      </c>
      <c r="D57">
        <v>0.31670764501415954</v>
      </c>
      <c r="E57">
        <v>0.31692859134323254</v>
      </c>
      <c r="F57">
        <v>0.32310271926142498</v>
      </c>
      <c r="G57">
        <v>0.32466723247144547</v>
      </c>
      <c r="H57">
        <v>0.35791884164490495</v>
      </c>
      <c r="I57">
        <v>0.3662199540473825</v>
      </c>
      <c r="J57">
        <v>0.35884934730407547</v>
      </c>
      <c r="K57">
        <v>0.33757675982202473</v>
      </c>
      <c r="L57">
        <v>0.31652675753165982</v>
      </c>
      <c r="M57">
        <v>0.31328583278788513</v>
      </c>
      <c r="N57">
        <v>0.32885281416891993</v>
      </c>
      <c r="O57">
        <v>0.33506869547238904</v>
      </c>
      <c r="P57">
        <v>0.34924690688640114</v>
      </c>
      <c r="Q57">
        <v>0.37447847184777056</v>
      </c>
      <c r="R57">
        <v>0.38104967232710651</v>
      </c>
      <c r="S57">
        <v>0.3788805628560758</v>
      </c>
      <c r="T57">
        <v>0.3669857906103311</v>
      </c>
      <c r="U57">
        <v>0.34733327338801639</v>
      </c>
      <c r="V57">
        <v>0.33035779493427242</v>
      </c>
      <c r="W57">
        <v>0.30050177862289323</v>
      </c>
      <c r="X57">
        <v>0.32023769098383409</v>
      </c>
      <c r="Y57">
        <v>0.33646587390404709</v>
      </c>
      <c r="Z57">
        <v>0.39509948107776438</v>
      </c>
      <c r="AA57">
        <v>0.43160636057144036</v>
      </c>
      <c r="AB57">
        <v>0.40086549335483768</v>
      </c>
      <c r="AC57">
        <v>0.3962026781156533</v>
      </c>
      <c r="AD57">
        <v>0.39560493523613921</v>
      </c>
      <c r="AE57">
        <v>0.3951265424850281</v>
      </c>
      <c r="AF57">
        <v>0.34555338027313998</v>
      </c>
      <c r="AG57">
        <v>0.30796065651466226</v>
      </c>
      <c r="AH57">
        <v>0.33049257364595452</v>
      </c>
      <c r="AI57">
        <v>0.35000314037488212</v>
      </c>
      <c r="AJ57">
        <v>0.35733669208751784</v>
      </c>
      <c r="AK57">
        <v>0.38143147990667225</v>
      </c>
      <c r="AL57">
        <v>0.39302249854190952</v>
      </c>
      <c r="AM57">
        <v>0.37209264520143409</v>
      </c>
      <c r="AN57">
        <v>0.3570545155103183</v>
      </c>
      <c r="AO57">
        <v>0.3416390862743523</v>
      </c>
      <c r="AP57">
        <v>0.32334071405512349</v>
      </c>
      <c r="AQ57">
        <v>0.32253518162531225</v>
      </c>
      <c r="EA57" t="s">
        <v>513</v>
      </c>
      <c r="EB57">
        <v>0.39133863604714453</v>
      </c>
      <c r="EC57">
        <v>0.39306809103237905</v>
      </c>
      <c r="ED57">
        <v>0.38722063137944418</v>
      </c>
      <c r="EE57">
        <v>0.38168382033743237</v>
      </c>
      <c r="EF57">
        <v>0.32309536360535318</v>
      </c>
      <c r="EG57">
        <v>0.33799502596413589</v>
      </c>
      <c r="EH57">
        <v>0.34480135342561696</v>
      </c>
      <c r="EI57">
        <v>0.36587702237047132</v>
      </c>
      <c r="EJ57">
        <v>0.38657463789396773</v>
      </c>
      <c r="EK57">
        <v>0.38656098632226132</v>
      </c>
      <c r="EL57">
        <v>0.25978196964849537</v>
      </c>
      <c r="EM57">
        <v>0.26056191614752999</v>
      </c>
      <c r="EN57">
        <v>0.25199711605941172</v>
      </c>
      <c r="EO57">
        <v>0.25142695697336898</v>
      </c>
      <c r="EP57">
        <v>0.20316857620014367</v>
      </c>
      <c r="EQ57">
        <v>0.23196808916548475</v>
      </c>
      <c r="ER57">
        <v>0.24524175273908949</v>
      </c>
      <c r="ES57">
        <v>0.24750153557075083</v>
      </c>
      <c r="ET57">
        <v>0.26267904615943788</v>
      </c>
      <c r="EU57">
        <v>0.27233527424223308</v>
      </c>
      <c r="EV57">
        <v>0.18444500190381344</v>
      </c>
      <c r="EW57">
        <v>0.16605924547128195</v>
      </c>
      <c r="EX57">
        <v>0.15004877075329148</v>
      </c>
      <c r="EY57">
        <v>0.15395253225354308</v>
      </c>
      <c r="EZ57">
        <v>0.12481321854963831</v>
      </c>
      <c r="FA57">
        <v>0.15785509159129402</v>
      </c>
      <c r="FB57">
        <v>0.16977043830087749</v>
      </c>
      <c r="FC57">
        <v>0.1597425643848856</v>
      </c>
      <c r="FD57">
        <v>0.15440971849112048</v>
      </c>
      <c r="FE57">
        <v>0.18624281153551045</v>
      </c>
      <c r="FF57">
        <v>0.33671878812056566</v>
      </c>
      <c r="FG57">
        <v>0.32222685239197829</v>
      </c>
      <c r="FH57">
        <v>0.31831946047547999</v>
      </c>
      <c r="FI57">
        <v>0.30695053783957377</v>
      </c>
      <c r="FJ57">
        <v>0.25555612668690653</v>
      </c>
      <c r="FK57">
        <v>0.28648719499983111</v>
      </c>
      <c r="FL57">
        <v>0.29378054090062272</v>
      </c>
      <c r="FM57">
        <v>0.29896982809517281</v>
      </c>
      <c r="FN57">
        <v>0.31931531816078607</v>
      </c>
      <c r="FO57">
        <v>0.34584069358944253</v>
      </c>
      <c r="FQ57" t="s">
        <v>492</v>
      </c>
      <c r="FR57" t="s">
        <v>127</v>
      </c>
      <c r="FS57" t="s">
        <v>128</v>
      </c>
      <c r="FT57">
        <v>0.65432338913183674</v>
      </c>
    </row>
    <row r="58" spans="2:176" x14ac:dyDescent="0.45">
      <c r="B58" t="s">
        <v>514</v>
      </c>
      <c r="C58" t="s">
        <v>123</v>
      </c>
      <c r="D58">
        <v>0.29780416345995797</v>
      </c>
      <c r="E58">
        <v>0.29427635968475552</v>
      </c>
      <c r="F58">
        <v>0.30260221350596439</v>
      </c>
      <c r="G58">
        <v>0.30681202643089889</v>
      </c>
      <c r="H58">
        <v>0.34481963952582206</v>
      </c>
      <c r="I58">
        <v>0.35315102543722987</v>
      </c>
      <c r="J58">
        <v>0.34369003438382123</v>
      </c>
      <c r="K58">
        <v>0.32936234286664695</v>
      </c>
      <c r="L58">
        <v>0.31071597427514219</v>
      </c>
      <c r="M58">
        <v>0.30364987838014346</v>
      </c>
      <c r="N58">
        <v>0.32806715224182736</v>
      </c>
      <c r="O58">
        <v>0.32951821274426679</v>
      </c>
      <c r="P58">
        <v>0.36025744445861391</v>
      </c>
      <c r="Q58">
        <v>0.39869642254644572</v>
      </c>
      <c r="R58">
        <v>0.39377801130955392</v>
      </c>
      <c r="S58">
        <v>0.37933299303091006</v>
      </c>
      <c r="T58">
        <v>0.36380798954557136</v>
      </c>
      <c r="U58">
        <v>0.34000938953576726</v>
      </c>
      <c r="V58">
        <v>0.3207097518891483</v>
      </c>
      <c r="W58">
        <v>0.29910706464022724</v>
      </c>
      <c r="X58">
        <v>0.29217363368894378</v>
      </c>
      <c r="Y58">
        <v>0.32583077874250915</v>
      </c>
      <c r="Z58">
        <v>0.40715059211080756</v>
      </c>
      <c r="AA58">
        <v>0.44855074825711982</v>
      </c>
      <c r="AB58">
        <v>0.38726621352789353</v>
      </c>
      <c r="AC58">
        <v>0.38685632163867234</v>
      </c>
      <c r="AD58">
        <v>0.37741821999744835</v>
      </c>
      <c r="AE58">
        <v>0.36248887982867234</v>
      </c>
      <c r="AF58">
        <v>0.33236406251347506</v>
      </c>
      <c r="AG58">
        <v>0.27946192294694411</v>
      </c>
      <c r="AH58">
        <v>0.31037647912250299</v>
      </c>
      <c r="AI58">
        <v>0.32133846665540683</v>
      </c>
      <c r="AJ58">
        <v>0.34252106501194146</v>
      </c>
      <c r="AK58">
        <v>0.36592886608500469</v>
      </c>
      <c r="AL58">
        <v>0.37816616621449023</v>
      </c>
      <c r="AM58">
        <v>0.36681904954219513</v>
      </c>
      <c r="AN58">
        <v>0.35284212514153435</v>
      </c>
      <c r="AO58">
        <v>0.32914989672824996</v>
      </c>
      <c r="AP58">
        <v>0.31585834900436083</v>
      </c>
      <c r="AQ58">
        <v>0.30249588804886296</v>
      </c>
      <c r="EA58" t="s">
        <v>514</v>
      </c>
      <c r="EB58">
        <v>0.42389442586870724</v>
      </c>
      <c r="EC58">
        <v>0.43012614642163188</v>
      </c>
      <c r="ED58">
        <v>0.43102567014846327</v>
      </c>
      <c r="EE58">
        <v>0.42974791704851234</v>
      </c>
      <c r="EF58">
        <v>0.38647781334423714</v>
      </c>
      <c r="EG58">
        <v>0.38817991332900181</v>
      </c>
      <c r="EH58">
        <v>0.38755694791917061</v>
      </c>
      <c r="EI58">
        <v>0.39924112906462889</v>
      </c>
      <c r="EJ58">
        <v>0.42325840405747134</v>
      </c>
      <c r="EK58">
        <v>0.42501422700377911</v>
      </c>
      <c r="EL58">
        <v>0.29677137451926361</v>
      </c>
      <c r="EM58">
        <v>0.29876684640275114</v>
      </c>
      <c r="EN58">
        <v>0.28304285093719628</v>
      </c>
      <c r="EO58">
        <v>0.27856823726507007</v>
      </c>
      <c r="EP58">
        <v>0.25318181287110697</v>
      </c>
      <c r="EQ58">
        <v>0.26742551022977779</v>
      </c>
      <c r="ER58">
        <v>0.27953151757158645</v>
      </c>
      <c r="ES58">
        <v>0.27257942107021194</v>
      </c>
      <c r="ET58">
        <v>0.2862990800355158</v>
      </c>
      <c r="EU58">
        <v>0.30693499810545216</v>
      </c>
      <c r="EV58">
        <v>0.21529931695262833</v>
      </c>
      <c r="EW58">
        <v>0.19689166388064194</v>
      </c>
      <c r="EX58">
        <v>0.17937651238314722</v>
      </c>
      <c r="EY58">
        <v>0.17712437214674806</v>
      </c>
      <c r="EZ58">
        <v>0.16411061633934157</v>
      </c>
      <c r="FA58">
        <v>0.20355651345575695</v>
      </c>
      <c r="FB58">
        <v>0.21237167071348326</v>
      </c>
      <c r="FC58">
        <v>0.19460434721535544</v>
      </c>
      <c r="FD58">
        <v>0.18914729477011771</v>
      </c>
      <c r="FE58">
        <v>0.22213105386817134</v>
      </c>
      <c r="FF58">
        <v>0.35272328477333337</v>
      </c>
      <c r="FG58">
        <v>0.34699125717264095</v>
      </c>
      <c r="FH58">
        <v>0.34288447561191909</v>
      </c>
      <c r="FI58">
        <v>0.32773079255129811</v>
      </c>
      <c r="FJ58">
        <v>0.29705954398703999</v>
      </c>
      <c r="FK58">
        <v>0.31977673332218481</v>
      </c>
      <c r="FL58">
        <v>0.32138370369916297</v>
      </c>
      <c r="FM58">
        <v>0.32146961082093534</v>
      </c>
      <c r="FN58">
        <v>0.33870018279309161</v>
      </c>
      <c r="FO58">
        <v>0.35798276902688908</v>
      </c>
      <c r="FQ58" t="s">
        <v>494</v>
      </c>
      <c r="FR58" t="s">
        <v>127</v>
      </c>
      <c r="FS58" t="s">
        <v>128</v>
      </c>
      <c r="FT58">
        <v>0.64405277165125108</v>
      </c>
    </row>
    <row r="59" spans="2:176" x14ac:dyDescent="0.45">
      <c r="B59" t="s">
        <v>515</v>
      </c>
      <c r="C59" t="s">
        <v>123</v>
      </c>
      <c r="D59">
        <v>0.31350067147605304</v>
      </c>
      <c r="E59">
        <v>0.29460730677168884</v>
      </c>
      <c r="F59">
        <v>0.29293454934898894</v>
      </c>
      <c r="G59">
        <v>0.30327058892189745</v>
      </c>
      <c r="H59">
        <v>0.32781412824648171</v>
      </c>
      <c r="I59">
        <v>0.33141696613345145</v>
      </c>
      <c r="J59">
        <v>0.33496023453516982</v>
      </c>
      <c r="K59">
        <v>0.32368677577450355</v>
      </c>
      <c r="L59">
        <v>0.31843859495394899</v>
      </c>
      <c r="M59">
        <v>0.32106812085388814</v>
      </c>
      <c r="N59">
        <v>0.32726790320495258</v>
      </c>
      <c r="O59">
        <v>0.32626146913628501</v>
      </c>
      <c r="P59">
        <v>0.35103916308772587</v>
      </c>
      <c r="Q59">
        <v>0.39401900225497027</v>
      </c>
      <c r="R59">
        <v>0.39001838213989232</v>
      </c>
      <c r="S59">
        <v>0.37593563387475148</v>
      </c>
      <c r="T59">
        <v>0.358731713017158</v>
      </c>
      <c r="U59">
        <v>0.35099634235029048</v>
      </c>
      <c r="V59">
        <v>0.32482020458531835</v>
      </c>
      <c r="W59">
        <v>0.30321948819791306</v>
      </c>
      <c r="X59">
        <v>0.31241981054279128</v>
      </c>
      <c r="Y59">
        <v>0.32196468468978179</v>
      </c>
      <c r="Z59">
        <v>0.39641934314181809</v>
      </c>
      <c r="AA59">
        <v>0.43719977233247209</v>
      </c>
      <c r="AB59">
        <v>0.40764635392993676</v>
      </c>
      <c r="AC59">
        <v>0.39629651331325327</v>
      </c>
      <c r="AD59">
        <v>0.384007416621368</v>
      </c>
      <c r="AE59">
        <v>0.35969665164241316</v>
      </c>
      <c r="AF59">
        <v>0.30865524306744718</v>
      </c>
      <c r="AG59">
        <v>0.2774866116832293</v>
      </c>
      <c r="AH59">
        <v>0.28475962694562895</v>
      </c>
      <c r="AI59">
        <v>0.2840044690944869</v>
      </c>
      <c r="AJ59">
        <v>0.30200179636613639</v>
      </c>
      <c r="AK59">
        <v>0.32147264281029336</v>
      </c>
      <c r="AL59">
        <v>0.33854547926221745</v>
      </c>
      <c r="AM59">
        <v>0.34142312194314206</v>
      </c>
      <c r="AN59">
        <v>0.35002717765695412</v>
      </c>
      <c r="AO59">
        <v>0.3315365822704065</v>
      </c>
      <c r="AP59">
        <v>0.3123626541755824</v>
      </c>
      <c r="AQ59">
        <v>0.30199728548119614</v>
      </c>
      <c r="EA59" t="s">
        <v>515</v>
      </c>
      <c r="EB59">
        <v>0.41768483991294053</v>
      </c>
      <c r="EC59">
        <v>0.42744366829542607</v>
      </c>
      <c r="ED59">
        <v>0.42942601004941705</v>
      </c>
      <c r="EE59">
        <v>0.43165558623618538</v>
      </c>
      <c r="EF59">
        <v>0.39673124343764876</v>
      </c>
      <c r="EG59">
        <v>0.40387631563728771</v>
      </c>
      <c r="EH59">
        <v>0.40029091642881665</v>
      </c>
      <c r="EI59">
        <v>0.40980385004730491</v>
      </c>
      <c r="EJ59">
        <v>0.41707088909212925</v>
      </c>
      <c r="EK59">
        <v>0.41368980550685513</v>
      </c>
      <c r="EL59">
        <v>0.3024839936618946</v>
      </c>
      <c r="EM59">
        <v>0.30411608695449449</v>
      </c>
      <c r="EN59">
        <v>0.28409445360648811</v>
      </c>
      <c r="EO59">
        <v>0.27325268234915134</v>
      </c>
      <c r="EP59">
        <v>0.26609303993107852</v>
      </c>
      <c r="EQ59">
        <v>0.28073909162305516</v>
      </c>
      <c r="ER59">
        <v>0.28765550483185348</v>
      </c>
      <c r="ES59">
        <v>0.282366219327643</v>
      </c>
      <c r="ET59">
        <v>0.29617010582004311</v>
      </c>
      <c r="EU59">
        <v>0.30879773368590435</v>
      </c>
      <c r="EV59">
        <v>0.22421855392745499</v>
      </c>
      <c r="EW59">
        <v>0.21208714684730537</v>
      </c>
      <c r="EX59">
        <v>0.20278252639305985</v>
      </c>
      <c r="EY59">
        <v>0.19851832141209802</v>
      </c>
      <c r="EZ59">
        <v>0.1845228048481779</v>
      </c>
      <c r="FA59">
        <v>0.22181124560341042</v>
      </c>
      <c r="FB59">
        <v>0.22290545211071522</v>
      </c>
      <c r="FC59">
        <v>0.20386070272858553</v>
      </c>
      <c r="FD59">
        <v>0.20321565161746236</v>
      </c>
      <c r="FE59">
        <v>0.22663588838023591</v>
      </c>
      <c r="FF59">
        <v>0.35578729083336991</v>
      </c>
      <c r="FG59">
        <v>0.36123016482010728</v>
      </c>
      <c r="FH59">
        <v>0.36024174241762935</v>
      </c>
      <c r="FI59">
        <v>0.34462945638944309</v>
      </c>
      <c r="FJ59">
        <v>0.31456233192733152</v>
      </c>
      <c r="FK59">
        <v>0.33450732348443729</v>
      </c>
      <c r="FL59">
        <v>0.33294161794385763</v>
      </c>
      <c r="FM59">
        <v>0.33203912178098915</v>
      </c>
      <c r="FN59">
        <v>0.34814880874738441</v>
      </c>
      <c r="FO59">
        <v>0.35609043637829385</v>
      </c>
      <c r="FQ59" t="s">
        <v>496</v>
      </c>
      <c r="FR59" t="s">
        <v>127</v>
      </c>
      <c r="FS59" t="s">
        <v>128</v>
      </c>
      <c r="FT59">
        <v>0.62693107420809102</v>
      </c>
    </row>
    <row r="60" spans="2:176" x14ac:dyDescent="0.45">
      <c r="B60" t="s">
        <v>516</v>
      </c>
      <c r="C60" t="s">
        <v>123</v>
      </c>
      <c r="D60">
        <v>0.29820821351455162</v>
      </c>
      <c r="E60">
        <v>0.28829790777567865</v>
      </c>
      <c r="F60">
        <v>0.27064274883659589</v>
      </c>
      <c r="G60">
        <v>0.27738204398249988</v>
      </c>
      <c r="H60">
        <v>0.28287870758366024</v>
      </c>
      <c r="I60">
        <v>0.27631133824711762</v>
      </c>
      <c r="J60">
        <v>0.26716304766303112</v>
      </c>
      <c r="K60">
        <v>0.26706238799878546</v>
      </c>
      <c r="L60">
        <v>0.27030980414555794</v>
      </c>
      <c r="M60">
        <v>0.28048013041103531</v>
      </c>
      <c r="N60">
        <v>0.26507538240988199</v>
      </c>
      <c r="O60">
        <v>0.27423435009568436</v>
      </c>
      <c r="P60">
        <v>0.29567927354098716</v>
      </c>
      <c r="Q60">
        <v>0.30570017922632609</v>
      </c>
      <c r="R60">
        <v>0.31517839107968126</v>
      </c>
      <c r="S60">
        <v>0.31427516558569324</v>
      </c>
      <c r="T60">
        <v>0.30973198824232118</v>
      </c>
      <c r="U60">
        <v>0.31497713525316345</v>
      </c>
      <c r="V60">
        <v>0.28984249295766246</v>
      </c>
      <c r="W60">
        <v>0.25685308253850792</v>
      </c>
      <c r="X60">
        <v>0.31754245506401757</v>
      </c>
      <c r="Y60">
        <v>0.36026808293739027</v>
      </c>
      <c r="Z60">
        <v>0.39917278876574802</v>
      </c>
      <c r="AA60">
        <v>0.39635097069267422</v>
      </c>
      <c r="AB60">
        <v>0.39967266715883853</v>
      </c>
      <c r="AC60">
        <v>0.38998116969531071</v>
      </c>
      <c r="AD60">
        <v>0.36385152309011792</v>
      </c>
      <c r="AE60">
        <v>0.35654226944407852</v>
      </c>
      <c r="AF60">
        <v>0.33449019916015865</v>
      </c>
      <c r="AG60">
        <v>0.3058416840789806</v>
      </c>
      <c r="AH60">
        <v>0.2676004449908142</v>
      </c>
      <c r="AI60">
        <v>0.27917379465923864</v>
      </c>
      <c r="AJ60">
        <v>0.29393704249957059</v>
      </c>
      <c r="AK60">
        <v>0.31111771216508427</v>
      </c>
      <c r="AL60">
        <v>0.32590455739257462</v>
      </c>
      <c r="AM60">
        <v>0.32532480278480108</v>
      </c>
      <c r="AN60">
        <v>0.32476116159261964</v>
      </c>
      <c r="AO60">
        <v>0.30963679951455408</v>
      </c>
      <c r="AP60">
        <v>0.28446315187318072</v>
      </c>
      <c r="AQ60">
        <v>0.26414706408791305</v>
      </c>
      <c r="EA60" t="s">
        <v>516</v>
      </c>
      <c r="EB60">
        <v>0.49697497251342093</v>
      </c>
      <c r="EC60">
        <v>0.50954996367250438</v>
      </c>
      <c r="ED60">
        <v>0.51997460238669713</v>
      </c>
      <c r="EE60">
        <v>0.51623469645745124</v>
      </c>
      <c r="EF60">
        <v>0.51605254331391315</v>
      </c>
      <c r="EG60">
        <v>0.51617933401934324</v>
      </c>
      <c r="EH60">
        <v>0.51324355895519824</v>
      </c>
      <c r="EI60">
        <v>0.5262332979205756</v>
      </c>
      <c r="EJ60">
        <v>0.53467499767593951</v>
      </c>
      <c r="EK60">
        <v>0.51732573879966337</v>
      </c>
      <c r="EL60">
        <v>0.43320568342611615</v>
      </c>
      <c r="EM60">
        <v>0.41028647462272166</v>
      </c>
      <c r="EN60">
        <v>0.39352714523079696</v>
      </c>
      <c r="EO60">
        <v>0.3880881811999658</v>
      </c>
      <c r="EP60">
        <v>0.37405137484201584</v>
      </c>
      <c r="EQ60">
        <v>0.40134845867381824</v>
      </c>
      <c r="ER60">
        <v>0.41877269014506541</v>
      </c>
      <c r="ES60">
        <v>0.42364579924045598</v>
      </c>
      <c r="ET60">
        <v>0.44383468186925912</v>
      </c>
      <c r="EU60">
        <v>0.45777293927837837</v>
      </c>
      <c r="EV60">
        <v>0.3044383437556798</v>
      </c>
      <c r="EW60">
        <v>0.29165921450511556</v>
      </c>
      <c r="EX60">
        <v>0.27990165577464887</v>
      </c>
      <c r="EY60">
        <v>0.28405331678933654</v>
      </c>
      <c r="EZ60">
        <v>0.25712993052322258</v>
      </c>
      <c r="FA60">
        <v>0.27841563056586482</v>
      </c>
      <c r="FB60">
        <v>0.30109502190459442</v>
      </c>
      <c r="FC60">
        <v>0.30252259606673915</v>
      </c>
      <c r="FD60">
        <v>0.30300526462602517</v>
      </c>
      <c r="FE60">
        <v>0.31958099721892785</v>
      </c>
      <c r="FF60">
        <v>0.44683020734627921</v>
      </c>
      <c r="FG60">
        <v>0.44642156290493545</v>
      </c>
      <c r="FH60">
        <v>0.45853413773347129</v>
      </c>
      <c r="FI60">
        <v>0.4558222373904055</v>
      </c>
      <c r="FJ60">
        <v>0.43565342704298621</v>
      </c>
      <c r="FK60">
        <v>0.44323237640152047</v>
      </c>
      <c r="FL60">
        <v>0.45481292438111642</v>
      </c>
      <c r="FM60">
        <v>0.46520728159901897</v>
      </c>
      <c r="FN60">
        <v>0.4790857868849176</v>
      </c>
      <c r="FO60">
        <v>0.4767488842931249</v>
      </c>
      <c r="FQ60" t="s">
        <v>498</v>
      </c>
      <c r="FR60" t="s">
        <v>127</v>
      </c>
      <c r="FS60" t="s">
        <v>128</v>
      </c>
      <c r="FT60">
        <v>0.56583566904281324</v>
      </c>
    </row>
    <row r="61" spans="2:176" x14ac:dyDescent="0.45">
      <c r="B61" t="s">
        <v>517</v>
      </c>
      <c r="C61" t="s">
        <v>123</v>
      </c>
      <c r="D61">
        <v>0.2426713650836077</v>
      </c>
      <c r="E61">
        <v>0.24732283285295956</v>
      </c>
      <c r="F61">
        <v>0.24973597394486682</v>
      </c>
      <c r="G61">
        <v>0.25620732159813586</v>
      </c>
      <c r="H61">
        <v>0.27104374923943431</v>
      </c>
      <c r="I61">
        <v>0.27195802717895934</v>
      </c>
      <c r="J61">
        <v>0.27251634391959745</v>
      </c>
      <c r="K61">
        <v>0.26262933185666237</v>
      </c>
      <c r="L61">
        <v>0.25728219457171747</v>
      </c>
      <c r="M61">
        <v>0.24986262834745798</v>
      </c>
      <c r="N61">
        <v>0.29059454208089203</v>
      </c>
      <c r="O61">
        <v>0.27668222027233436</v>
      </c>
      <c r="P61">
        <v>0.29190258030526922</v>
      </c>
      <c r="Q61">
        <v>0.30863884829301308</v>
      </c>
      <c r="R61">
        <v>0.30879474343153446</v>
      </c>
      <c r="S61">
        <v>0.29511070237805082</v>
      </c>
      <c r="T61">
        <v>0.29038548989878438</v>
      </c>
      <c r="U61">
        <v>0.2929158048696634</v>
      </c>
      <c r="V61">
        <v>0.29973409094841608</v>
      </c>
      <c r="W61">
        <v>0.30003522949098599</v>
      </c>
      <c r="X61">
        <v>0.31554690977744171</v>
      </c>
      <c r="Y61">
        <v>0.32789168430618454</v>
      </c>
      <c r="Z61">
        <v>0.34504468102465341</v>
      </c>
      <c r="AA61">
        <v>0.36584160676593164</v>
      </c>
      <c r="AB61">
        <v>0.35722361215997844</v>
      </c>
      <c r="AC61">
        <v>0.34039687463494528</v>
      </c>
      <c r="AD61">
        <v>0.31438130065363418</v>
      </c>
      <c r="AE61">
        <v>0.31209069682383689</v>
      </c>
      <c r="AF61">
        <v>0.31150811699893521</v>
      </c>
      <c r="AG61">
        <v>0.30316095139487242</v>
      </c>
      <c r="AH61">
        <v>0.2393942077211598</v>
      </c>
      <c r="AI61">
        <v>0.24332017751002669</v>
      </c>
      <c r="AJ61">
        <v>0.27165430474468127</v>
      </c>
      <c r="AK61">
        <v>0.2900747078716111</v>
      </c>
      <c r="AL61">
        <v>0.28780537696748787</v>
      </c>
      <c r="AM61">
        <v>0.2836157590557627</v>
      </c>
      <c r="AN61">
        <v>0.2748715673882301</v>
      </c>
      <c r="AO61">
        <v>0.27209593841493251</v>
      </c>
      <c r="AP61">
        <v>0.26883649882929883</v>
      </c>
      <c r="AQ61">
        <v>0.26278426744404443</v>
      </c>
      <c r="EA61" t="s">
        <v>517</v>
      </c>
      <c r="EB61">
        <v>0.58697026343352465</v>
      </c>
      <c r="EC61">
        <v>0.59457562374813133</v>
      </c>
      <c r="ED61">
        <v>0.59507564657532297</v>
      </c>
      <c r="EE61">
        <v>0.59643280787054365</v>
      </c>
      <c r="EF61">
        <v>0.57875216429688159</v>
      </c>
      <c r="EG61">
        <v>0.58109965822940346</v>
      </c>
      <c r="EH61">
        <v>0.57830003233711658</v>
      </c>
      <c r="EI61">
        <v>0.59420539688082841</v>
      </c>
      <c r="EJ61">
        <v>0.59384933944815843</v>
      </c>
      <c r="EK61">
        <v>0.59118396553389474</v>
      </c>
      <c r="EL61">
        <v>0.48629348724890731</v>
      </c>
      <c r="EM61">
        <v>0.48407114554486952</v>
      </c>
      <c r="EN61">
        <v>0.46226016163932199</v>
      </c>
      <c r="EO61">
        <v>0.44714099664115831</v>
      </c>
      <c r="EP61">
        <v>0.43046413383204674</v>
      </c>
      <c r="EQ61">
        <v>0.44581334223348379</v>
      </c>
      <c r="ER61">
        <v>0.46184728219886256</v>
      </c>
      <c r="ES61">
        <v>0.47038901302831782</v>
      </c>
      <c r="ET61">
        <v>0.48684026223458582</v>
      </c>
      <c r="EU61">
        <v>0.48639045320227747</v>
      </c>
      <c r="EV61">
        <v>0.36598657526025896</v>
      </c>
      <c r="EW61">
        <v>0.36245723301138216</v>
      </c>
      <c r="EX61">
        <v>0.35641854512678151</v>
      </c>
      <c r="EY61">
        <v>0.35411834882720289</v>
      </c>
      <c r="EZ61">
        <v>0.33841857291399241</v>
      </c>
      <c r="FA61">
        <v>0.36284229833149678</v>
      </c>
      <c r="FB61">
        <v>0.37555120243409212</v>
      </c>
      <c r="FC61">
        <v>0.37529416314524822</v>
      </c>
      <c r="FD61">
        <v>0.37236677013920633</v>
      </c>
      <c r="FE61">
        <v>0.37746416316708431</v>
      </c>
      <c r="FF61">
        <v>0.53795986278293184</v>
      </c>
      <c r="FG61">
        <v>0.53813783470938581</v>
      </c>
      <c r="FH61">
        <v>0.53296035346088766</v>
      </c>
      <c r="FI61">
        <v>0.52255693156893546</v>
      </c>
      <c r="FJ61">
        <v>0.50542951172274331</v>
      </c>
      <c r="FK61">
        <v>0.50957579430013</v>
      </c>
      <c r="FL61">
        <v>0.52042842438875681</v>
      </c>
      <c r="FM61">
        <v>0.5250041369919104</v>
      </c>
      <c r="FN61">
        <v>0.52638920936066502</v>
      </c>
      <c r="FO61">
        <v>0.53122882469968802</v>
      </c>
      <c r="FQ61" t="s">
        <v>500</v>
      </c>
      <c r="FR61" t="s">
        <v>127</v>
      </c>
      <c r="FS61" t="s">
        <v>128</v>
      </c>
      <c r="FT61">
        <v>0.59826654100589949</v>
      </c>
    </row>
    <row r="62" spans="2:176" x14ac:dyDescent="0.45">
      <c r="B62" t="s">
        <v>518</v>
      </c>
      <c r="C62" t="s">
        <v>123</v>
      </c>
      <c r="D62">
        <v>0.29315830131885412</v>
      </c>
      <c r="E62">
        <v>0.26196612815367032</v>
      </c>
      <c r="F62">
        <v>0.25248645694740401</v>
      </c>
      <c r="G62">
        <v>0.26026221741735978</v>
      </c>
      <c r="H62">
        <v>0.27505951895290892</v>
      </c>
      <c r="I62">
        <v>0.28571866018949843</v>
      </c>
      <c r="J62">
        <v>0.29068216746877179</v>
      </c>
      <c r="K62">
        <v>0.28780719264990356</v>
      </c>
      <c r="L62">
        <v>0.28007149949777449</v>
      </c>
      <c r="M62">
        <v>0.28839959626328715</v>
      </c>
      <c r="N62">
        <v>0.30299566599019462</v>
      </c>
      <c r="O62">
        <v>0.30426286877524378</v>
      </c>
      <c r="P62">
        <v>0.31858962289257142</v>
      </c>
      <c r="Q62">
        <v>0.3434195304762816</v>
      </c>
      <c r="R62">
        <v>0.36233457272417374</v>
      </c>
      <c r="S62">
        <v>0.35340320212701815</v>
      </c>
      <c r="T62">
        <v>0.34552537712506087</v>
      </c>
      <c r="U62">
        <v>0.33730423082059952</v>
      </c>
      <c r="V62">
        <v>0.31558024077985064</v>
      </c>
      <c r="W62">
        <v>0.29512154313844013</v>
      </c>
      <c r="X62">
        <v>0.32635060597991516</v>
      </c>
      <c r="Y62">
        <v>0.36210041961970485</v>
      </c>
      <c r="Z62">
        <v>0.40006889926325667</v>
      </c>
      <c r="AA62">
        <v>0.40463183645028422</v>
      </c>
      <c r="AB62">
        <v>0.39603400629902374</v>
      </c>
      <c r="AC62">
        <v>0.37760945105769717</v>
      </c>
      <c r="AD62">
        <v>0.3637120338344626</v>
      </c>
      <c r="AE62">
        <v>0.34355999467137521</v>
      </c>
      <c r="AF62">
        <v>0.30873156238433169</v>
      </c>
      <c r="AG62">
        <v>0.29254786285031648</v>
      </c>
      <c r="AH62">
        <v>0.26228248343497412</v>
      </c>
      <c r="AI62">
        <v>0.28578228929976768</v>
      </c>
      <c r="AJ62">
        <v>0.29777328710938977</v>
      </c>
      <c r="AK62">
        <v>0.31500246106706753</v>
      </c>
      <c r="AL62">
        <v>0.33198235063709336</v>
      </c>
      <c r="AM62">
        <v>0.33726976297237216</v>
      </c>
      <c r="AN62">
        <v>0.33578449922623455</v>
      </c>
      <c r="AO62">
        <v>0.31716317800866856</v>
      </c>
      <c r="AP62">
        <v>0.29699649310222359</v>
      </c>
      <c r="AQ62">
        <v>0.27024022674860709</v>
      </c>
      <c r="EA62" t="s">
        <v>518</v>
      </c>
      <c r="EB62">
        <v>0.48603317688600389</v>
      </c>
      <c r="EC62">
        <v>0.49363144683201404</v>
      </c>
      <c r="ED62">
        <v>0.49792523457430982</v>
      </c>
      <c r="EE62">
        <v>0.49530175710164409</v>
      </c>
      <c r="EF62">
        <v>0.4782337698760783</v>
      </c>
      <c r="EG62">
        <v>0.48092658428554202</v>
      </c>
      <c r="EH62">
        <v>0.48030766185683887</v>
      </c>
      <c r="EI62">
        <v>0.49136872340886523</v>
      </c>
      <c r="EJ62">
        <v>0.498777798240152</v>
      </c>
      <c r="EK62">
        <v>0.49258993626558739</v>
      </c>
      <c r="EL62">
        <v>0.38357733159346391</v>
      </c>
      <c r="EM62">
        <v>0.37918745311362967</v>
      </c>
      <c r="EN62">
        <v>0.36148727842917433</v>
      </c>
      <c r="EO62">
        <v>0.35786142092945977</v>
      </c>
      <c r="EP62">
        <v>0.35286609266571461</v>
      </c>
      <c r="EQ62">
        <v>0.38132410494938546</v>
      </c>
      <c r="ER62">
        <v>0.38774548817486176</v>
      </c>
      <c r="ES62">
        <v>0.36902143955355826</v>
      </c>
      <c r="ET62">
        <v>0.38073677859947513</v>
      </c>
      <c r="EU62">
        <v>0.39267135422173982</v>
      </c>
      <c r="EV62">
        <v>0.27594148081357389</v>
      </c>
      <c r="EW62">
        <v>0.25748099041044936</v>
      </c>
      <c r="EX62">
        <v>0.24822016722585213</v>
      </c>
      <c r="EY62">
        <v>0.26114875829493522</v>
      </c>
      <c r="EZ62">
        <v>0.24483036959521737</v>
      </c>
      <c r="FA62">
        <v>0.27582687537552669</v>
      </c>
      <c r="FB62">
        <v>0.2904956234555568</v>
      </c>
      <c r="FC62">
        <v>0.27721248235168139</v>
      </c>
      <c r="FD62">
        <v>0.27377972584224791</v>
      </c>
      <c r="FE62">
        <v>0.28791050267732876</v>
      </c>
      <c r="FF62">
        <v>0.42121667525018219</v>
      </c>
      <c r="FG62">
        <v>0.42373754439792144</v>
      </c>
      <c r="FH62">
        <v>0.42367059928401879</v>
      </c>
      <c r="FI62">
        <v>0.42031459913562746</v>
      </c>
      <c r="FJ62">
        <v>0.39778524644070001</v>
      </c>
      <c r="FK62">
        <v>0.41303355644096529</v>
      </c>
      <c r="FL62">
        <v>0.41290114409250339</v>
      </c>
      <c r="FM62">
        <v>0.41988015073442986</v>
      </c>
      <c r="FN62">
        <v>0.42741420233520988</v>
      </c>
      <c r="FO62">
        <v>0.42739991737392796</v>
      </c>
      <c r="FQ62" t="s">
        <v>502</v>
      </c>
      <c r="FR62" t="s">
        <v>127</v>
      </c>
      <c r="FS62" t="s">
        <v>128</v>
      </c>
      <c r="FT62">
        <v>0.3681492096472842</v>
      </c>
    </row>
    <row r="63" spans="2:176" x14ac:dyDescent="0.45">
      <c r="B63" t="s">
        <v>519</v>
      </c>
      <c r="C63" t="s">
        <v>123</v>
      </c>
      <c r="D63">
        <v>0.35839438070257162</v>
      </c>
      <c r="E63">
        <v>0.36373734082264736</v>
      </c>
      <c r="F63">
        <v>0.36485293737541807</v>
      </c>
      <c r="G63">
        <v>0.36621521985569605</v>
      </c>
      <c r="H63">
        <v>0.3784903573892216</v>
      </c>
      <c r="I63">
        <v>0.38802712702397019</v>
      </c>
      <c r="J63">
        <v>0.37560180748612537</v>
      </c>
      <c r="K63">
        <v>0.34740230008303058</v>
      </c>
      <c r="L63">
        <v>0.33997513311730626</v>
      </c>
      <c r="M63">
        <v>0.34617495448635444</v>
      </c>
      <c r="N63">
        <v>0.27631687530890248</v>
      </c>
      <c r="O63">
        <v>0.2974989160074995</v>
      </c>
      <c r="P63">
        <v>0.34255254720740602</v>
      </c>
      <c r="Q63">
        <v>0.36770524059434972</v>
      </c>
      <c r="R63">
        <v>0.36587054156399124</v>
      </c>
      <c r="S63">
        <v>0.35788284621134242</v>
      </c>
      <c r="T63">
        <v>0.33241991187474396</v>
      </c>
      <c r="U63">
        <v>0.3109683553265053</v>
      </c>
      <c r="V63">
        <v>0.29535750533586869</v>
      </c>
      <c r="W63">
        <v>0.27442554702925503</v>
      </c>
      <c r="X63">
        <v>0.32627364896174293</v>
      </c>
      <c r="Y63">
        <v>0.37560059588643629</v>
      </c>
      <c r="Z63">
        <v>0.46999568263384933</v>
      </c>
      <c r="AA63">
        <v>0.46622892938973515</v>
      </c>
      <c r="AB63">
        <v>0.43108597595043957</v>
      </c>
      <c r="AC63">
        <v>0.42232468280835889</v>
      </c>
      <c r="AD63">
        <v>0.41055199805509196</v>
      </c>
      <c r="AE63">
        <v>0.38646070992394826</v>
      </c>
      <c r="AF63">
        <v>0.33101186889843209</v>
      </c>
      <c r="AG63">
        <v>0.29831068299551017</v>
      </c>
      <c r="AH63">
        <v>0.30664758794929386</v>
      </c>
      <c r="AI63">
        <v>0.2890671055078225</v>
      </c>
      <c r="AJ63">
        <v>0.29819401264579881</v>
      </c>
      <c r="AK63">
        <v>0.33353201910502511</v>
      </c>
      <c r="AL63">
        <v>0.34799490462826782</v>
      </c>
      <c r="AM63">
        <v>0.34675365256324697</v>
      </c>
      <c r="AN63">
        <v>0.3456754955896319</v>
      </c>
      <c r="AO63">
        <v>0.34293818435041146</v>
      </c>
      <c r="AP63">
        <v>0.32116414952382016</v>
      </c>
      <c r="AQ63">
        <v>0.31651608508700546</v>
      </c>
      <c r="EA63" t="s">
        <v>519</v>
      </c>
      <c r="EB63">
        <v>0.32038849377597645</v>
      </c>
      <c r="EC63">
        <v>0.3290098159510339</v>
      </c>
      <c r="ED63">
        <v>0.33697731026710631</v>
      </c>
      <c r="EE63">
        <v>0.33965056444384772</v>
      </c>
      <c r="EF63">
        <v>0.30879511357187284</v>
      </c>
      <c r="EG63">
        <v>0.31717935718855172</v>
      </c>
      <c r="EH63">
        <v>0.32206853760613563</v>
      </c>
      <c r="EI63">
        <v>0.33626595181395008</v>
      </c>
      <c r="EJ63">
        <v>0.33911347503073636</v>
      </c>
      <c r="EK63">
        <v>0.32648045943858739</v>
      </c>
      <c r="EL63">
        <v>0.21391438854871453</v>
      </c>
      <c r="EM63">
        <v>0.20942808852444955</v>
      </c>
      <c r="EN63">
        <v>0.19159802564245193</v>
      </c>
      <c r="EO63">
        <v>0.1881800479407372</v>
      </c>
      <c r="EP63">
        <v>0.17078551245577778</v>
      </c>
      <c r="EQ63">
        <v>0.19864256964147045</v>
      </c>
      <c r="ER63">
        <v>0.20849359510061224</v>
      </c>
      <c r="ES63">
        <v>0.19911938819330466</v>
      </c>
      <c r="ET63">
        <v>0.22388219180376426</v>
      </c>
      <c r="EU63">
        <v>0.23076279956203322</v>
      </c>
      <c r="EV63">
        <v>0.16104744515959754</v>
      </c>
      <c r="EW63">
        <v>0.15470780437516601</v>
      </c>
      <c r="EX63">
        <v>0.1295211996711165</v>
      </c>
      <c r="EY63">
        <v>0.13451143392890333</v>
      </c>
      <c r="EZ63">
        <v>0.11646867678780762</v>
      </c>
      <c r="FA63">
        <v>0.13476796788289078</v>
      </c>
      <c r="FB63">
        <v>0.13516367880808081</v>
      </c>
      <c r="FC63">
        <v>0.12403157549068813</v>
      </c>
      <c r="FD63">
        <v>0.13730649602063405</v>
      </c>
      <c r="FE63">
        <v>0.16482186326112294</v>
      </c>
      <c r="FF63">
        <v>0.28040937706958702</v>
      </c>
      <c r="FG63">
        <v>0.28926693843934881</v>
      </c>
      <c r="FH63">
        <v>0.29574409270542534</v>
      </c>
      <c r="FI63">
        <v>0.2872545793825908</v>
      </c>
      <c r="FJ63">
        <v>0.24414041512169232</v>
      </c>
      <c r="FK63">
        <v>0.25087496578443202</v>
      </c>
      <c r="FL63">
        <v>0.2510810461017855</v>
      </c>
      <c r="FM63">
        <v>0.26619783811364167</v>
      </c>
      <c r="FN63">
        <v>0.28688833822940313</v>
      </c>
      <c r="FO63">
        <v>0.29052981114704757</v>
      </c>
      <c r="FQ63" t="s">
        <v>504</v>
      </c>
      <c r="FR63" t="s">
        <v>127</v>
      </c>
      <c r="FS63" t="s">
        <v>128</v>
      </c>
      <c r="FT63">
        <v>0.40674601162665258</v>
      </c>
    </row>
    <row r="64" spans="2:176" x14ac:dyDescent="0.45">
      <c r="B64" t="s">
        <v>520</v>
      </c>
      <c r="C64" t="s">
        <v>123</v>
      </c>
      <c r="D64">
        <v>0.36103537688066889</v>
      </c>
      <c r="E64">
        <v>0.3524195156595098</v>
      </c>
      <c r="F64">
        <v>0.34243255039344689</v>
      </c>
      <c r="G64">
        <v>0.34534715005982453</v>
      </c>
      <c r="H64">
        <v>0.35515281584236552</v>
      </c>
      <c r="I64">
        <v>0.35755197166900665</v>
      </c>
      <c r="J64">
        <v>0.34300082076717214</v>
      </c>
      <c r="K64">
        <v>0.33979654187297847</v>
      </c>
      <c r="L64">
        <v>0.33927993197514023</v>
      </c>
      <c r="M64">
        <v>0.34644375305410413</v>
      </c>
      <c r="N64">
        <v>0.28571030072918091</v>
      </c>
      <c r="O64">
        <v>0.30738857322327101</v>
      </c>
      <c r="P64">
        <v>0.36046002974783842</v>
      </c>
      <c r="Q64">
        <v>0.39206097368399867</v>
      </c>
      <c r="R64">
        <v>0.36914474763262095</v>
      </c>
      <c r="S64">
        <v>0.35221890997510497</v>
      </c>
      <c r="T64">
        <v>0.34080129129254721</v>
      </c>
      <c r="U64">
        <v>0.34220542451848418</v>
      </c>
      <c r="V64">
        <v>0.30691994614870877</v>
      </c>
      <c r="W64">
        <v>0.27717502855751835</v>
      </c>
      <c r="X64">
        <v>0.29585379553808872</v>
      </c>
      <c r="Y64">
        <v>0.334862916524374</v>
      </c>
      <c r="Z64">
        <v>0.43113965903428758</v>
      </c>
      <c r="AA64">
        <v>0.4455397732425328</v>
      </c>
      <c r="AB64">
        <v>0.45246018495781842</v>
      </c>
      <c r="AC64">
        <v>0.43408809778177698</v>
      </c>
      <c r="AD64">
        <v>0.40494986890548046</v>
      </c>
      <c r="AE64">
        <v>0.37566436761959088</v>
      </c>
      <c r="AF64">
        <v>0.31656291892716104</v>
      </c>
      <c r="AG64">
        <v>0.28182260173666906</v>
      </c>
      <c r="AH64">
        <v>0.29678793218607386</v>
      </c>
      <c r="AI64">
        <v>0.2787158163645686</v>
      </c>
      <c r="AJ64">
        <v>0.29047232689865582</v>
      </c>
      <c r="AK64">
        <v>0.31613787570724361</v>
      </c>
      <c r="AL64">
        <v>0.34320924534738317</v>
      </c>
      <c r="AM64">
        <v>0.34907949801247501</v>
      </c>
      <c r="AN64">
        <v>0.35082354979734193</v>
      </c>
      <c r="AO64">
        <v>0.3507654103896195</v>
      </c>
      <c r="AP64">
        <v>0.33850706103953743</v>
      </c>
      <c r="AQ64">
        <v>0.31861535630563631</v>
      </c>
      <c r="EA64" t="s">
        <v>520</v>
      </c>
      <c r="EB64">
        <v>0.35843595060238231</v>
      </c>
      <c r="EC64">
        <v>0.37326687700057903</v>
      </c>
      <c r="ED64">
        <v>0.38075901271533513</v>
      </c>
      <c r="EE64">
        <v>0.38271292385072875</v>
      </c>
      <c r="EF64">
        <v>0.35201399508355441</v>
      </c>
      <c r="EG64">
        <v>0.35498185207046451</v>
      </c>
      <c r="EH64">
        <v>0.35718350674682192</v>
      </c>
      <c r="EI64">
        <v>0.37499326603046546</v>
      </c>
      <c r="EJ64">
        <v>0.3823873793694379</v>
      </c>
      <c r="EK64">
        <v>0.3659396992814436</v>
      </c>
      <c r="EL64">
        <v>0.2914664925329698</v>
      </c>
      <c r="EM64">
        <v>0.26928387439811691</v>
      </c>
      <c r="EN64">
        <v>0.23147185687246671</v>
      </c>
      <c r="EO64">
        <v>0.21515318388315216</v>
      </c>
      <c r="EP64">
        <v>0.20094529616360507</v>
      </c>
      <c r="EQ64">
        <v>0.23522711483274891</v>
      </c>
      <c r="ER64">
        <v>0.25024408864708286</v>
      </c>
      <c r="ES64">
        <v>0.25010923345772973</v>
      </c>
      <c r="ET64">
        <v>0.28770419469670017</v>
      </c>
      <c r="EU64">
        <v>0.31049957059766331</v>
      </c>
      <c r="EV64">
        <v>0.2040641366226483</v>
      </c>
      <c r="EW64">
        <v>0.19471520535822509</v>
      </c>
      <c r="EX64">
        <v>0.17315252321730504</v>
      </c>
      <c r="EY64">
        <v>0.18051510545475433</v>
      </c>
      <c r="EZ64">
        <v>0.16100799875723643</v>
      </c>
      <c r="FA64">
        <v>0.18639273136841911</v>
      </c>
      <c r="FB64">
        <v>0.18843596340874155</v>
      </c>
      <c r="FC64">
        <v>0.1692765840104471</v>
      </c>
      <c r="FD64">
        <v>0.18302102237866211</v>
      </c>
      <c r="FE64">
        <v>0.21542029161669204</v>
      </c>
      <c r="FF64">
        <v>0.32303356643372022</v>
      </c>
      <c r="FG64">
        <v>0.32633321297384543</v>
      </c>
      <c r="FH64">
        <v>0.32877943995062642</v>
      </c>
      <c r="FI64">
        <v>0.32102045389576161</v>
      </c>
      <c r="FJ64">
        <v>0.28863209905370474</v>
      </c>
      <c r="FK64">
        <v>0.31041775505085706</v>
      </c>
      <c r="FL64">
        <v>0.31718633985651723</v>
      </c>
      <c r="FM64">
        <v>0.33126582220655842</v>
      </c>
      <c r="FN64">
        <v>0.35238195106072961</v>
      </c>
      <c r="FO64">
        <v>0.34499373473468931</v>
      </c>
      <c r="FQ64" t="s">
        <v>506</v>
      </c>
      <c r="FR64" t="s">
        <v>127</v>
      </c>
      <c r="FS64" t="s">
        <v>128</v>
      </c>
      <c r="FT64">
        <v>0.52158145618962393</v>
      </c>
    </row>
    <row r="65" spans="2:176" x14ac:dyDescent="0.45">
      <c r="B65" t="s">
        <v>521</v>
      </c>
      <c r="C65" t="s">
        <v>123</v>
      </c>
      <c r="D65">
        <v>0.33743928543492757</v>
      </c>
      <c r="E65">
        <v>0.31840213221541119</v>
      </c>
      <c r="F65">
        <v>0.30870817399152384</v>
      </c>
      <c r="G65">
        <v>0.31534750101434478</v>
      </c>
      <c r="H65">
        <v>0.32194280713387119</v>
      </c>
      <c r="I65">
        <v>0.32456980312484429</v>
      </c>
      <c r="J65">
        <v>0.32822067312797309</v>
      </c>
      <c r="K65">
        <v>0.32523404707946318</v>
      </c>
      <c r="L65">
        <v>0.32500909047448606</v>
      </c>
      <c r="M65">
        <v>0.33184964457429017</v>
      </c>
      <c r="N65">
        <v>0.27281423228652085</v>
      </c>
      <c r="O65">
        <v>0.30651337679149449</v>
      </c>
      <c r="P65">
        <v>0.3409565720884738</v>
      </c>
      <c r="Q65">
        <v>0.36506408604426288</v>
      </c>
      <c r="R65">
        <v>0.36874518259809136</v>
      </c>
      <c r="S65">
        <v>0.33846775750341446</v>
      </c>
      <c r="T65">
        <v>0.32878539194256812</v>
      </c>
      <c r="U65">
        <v>0.31865452908216302</v>
      </c>
      <c r="V65">
        <v>0.28296301737148843</v>
      </c>
      <c r="W65">
        <v>0.2576812300608789</v>
      </c>
      <c r="X65">
        <v>0.28530753681274063</v>
      </c>
      <c r="Y65">
        <v>0.33430714310848003</v>
      </c>
      <c r="Z65">
        <v>0.40797103568537962</v>
      </c>
      <c r="AA65">
        <v>0.41951407446484928</v>
      </c>
      <c r="AB65">
        <v>0.4120752553278626</v>
      </c>
      <c r="AC65">
        <v>0.41389068848045657</v>
      </c>
      <c r="AD65">
        <v>0.39396628359460606</v>
      </c>
      <c r="AE65">
        <v>0.3606698444619284</v>
      </c>
      <c r="AF65">
        <v>0.29507421327087341</v>
      </c>
      <c r="AG65">
        <v>0.26937505800090394</v>
      </c>
      <c r="AH65">
        <v>0.2717202352661946</v>
      </c>
      <c r="AI65">
        <v>0.26488880945443055</v>
      </c>
      <c r="AJ65">
        <v>0.27156443622720267</v>
      </c>
      <c r="AK65">
        <v>0.30199915142448674</v>
      </c>
      <c r="AL65">
        <v>0.33115884651486843</v>
      </c>
      <c r="AM65">
        <v>0.33655879770341385</v>
      </c>
      <c r="AN65">
        <v>0.35294997032621089</v>
      </c>
      <c r="AO65">
        <v>0.35406441012877277</v>
      </c>
      <c r="AP65">
        <v>0.32671034847673791</v>
      </c>
      <c r="AQ65">
        <v>0.29797974444050312</v>
      </c>
      <c r="EA65" t="s">
        <v>521</v>
      </c>
      <c r="EB65">
        <v>0.39132211264714983</v>
      </c>
      <c r="EC65">
        <v>0.40861719942967972</v>
      </c>
      <c r="ED65">
        <v>0.41190614917481372</v>
      </c>
      <c r="EE65">
        <v>0.40845977657954619</v>
      </c>
      <c r="EF65">
        <v>0.37850432339416024</v>
      </c>
      <c r="EG65">
        <v>0.38094924441397748</v>
      </c>
      <c r="EH65">
        <v>0.37848509980260775</v>
      </c>
      <c r="EI65">
        <v>0.38966769833415227</v>
      </c>
      <c r="EJ65">
        <v>0.39490392127960694</v>
      </c>
      <c r="EK65">
        <v>0.38572824087548696</v>
      </c>
      <c r="EL65">
        <v>0.29904784066670959</v>
      </c>
      <c r="EM65">
        <v>0.28782343594562931</v>
      </c>
      <c r="EN65">
        <v>0.25968802699548021</v>
      </c>
      <c r="EO65">
        <v>0.24928046480006452</v>
      </c>
      <c r="EP65">
        <v>0.24218839567404948</v>
      </c>
      <c r="EQ65">
        <v>0.27194610071650355</v>
      </c>
      <c r="ER65">
        <v>0.28949315742203041</v>
      </c>
      <c r="ES65">
        <v>0.27255420909234912</v>
      </c>
      <c r="ET65">
        <v>0.29839012934124182</v>
      </c>
      <c r="EU65">
        <v>0.31915489563226229</v>
      </c>
      <c r="EV65">
        <v>0.21228667998732023</v>
      </c>
      <c r="EW65">
        <v>0.20126928666088842</v>
      </c>
      <c r="EX65">
        <v>0.18665313725990884</v>
      </c>
      <c r="EY65">
        <v>0.19722924389242014</v>
      </c>
      <c r="EZ65">
        <v>0.17203242274602157</v>
      </c>
      <c r="FA65">
        <v>0.20248666396435325</v>
      </c>
      <c r="FB65">
        <v>0.20975033427466111</v>
      </c>
      <c r="FC65">
        <v>0.19157741005656151</v>
      </c>
      <c r="FD65">
        <v>0.20016100018265295</v>
      </c>
      <c r="FE65">
        <v>0.23147818414372492</v>
      </c>
      <c r="FF65">
        <v>0.34229582110595042</v>
      </c>
      <c r="FG65">
        <v>0.35179296273645555</v>
      </c>
      <c r="FH65">
        <v>0.35903623372639049</v>
      </c>
      <c r="FI65">
        <v>0.35164727739094143</v>
      </c>
      <c r="FJ65">
        <v>0.31354292772756476</v>
      </c>
      <c r="FK65">
        <v>0.33434158202059161</v>
      </c>
      <c r="FL65">
        <v>0.33668861689457069</v>
      </c>
      <c r="FM65">
        <v>0.33834961196642216</v>
      </c>
      <c r="FN65">
        <v>0.35456729374955809</v>
      </c>
      <c r="FO65">
        <v>0.35570062181444401</v>
      </c>
      <c r="FQ65" t="s">
        <v>508</v>
      </c>
      <c r="FR65" t="s">
        <v>127</v>
      </c>
      <c r="FS65" t="s">
        <v>128</v>
      </c>
      <c r="FT65">
        <v>0.52671287544030765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2E10-59C5-4E3A-BC82-877AAD97EEA8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region=DEU")</f>
        <v>~TFM_DINS-AT: region=DEU</v>
      </c>
      <c r="H9" t="str">
        <f>IF(A11="x","DeActivated","~TFM_DINS-AT: region=DEU")</f>
        <v>~TFM_DINS-AT: region=DEU</v>
      </c>
      <c r="L9" t="str">
        <f>IF(A11="x","DeActivated","~TFM_DINS-AT: region=DEU")</f>
        <v>~TFM_DINS-AT: region=DEU</v>
      </c>
      <c r="P9" t="str">
        <f>IF(A11="x","DeActivated","~TFM_INS-AT: region=DEU")</f>
        <v>~TFM_INS-AT: region=DEU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0.1047543618011022</v>
      </c>
      <c r="P11">
        <v>2020</v>
      </c>
      <c r="Q11" t="s">
        <v>214</v>
      </c>
      <c r="R11">
        <v>0.37186666666666673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0.16207303638036952</v>
      </c>
      <c r="P12">
        <v>2020</v>
      </c>
      <c r="Q12" t="s">
        <v>216</v>
      </c>
      <c r="R12">
        <v>0.39409999999999995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0.12490298298817337</v>
      </c>
      <c r="P13">
        <v>2020</v>
      </c>
      <c r="Q13" t="s">
        <v>217</v>
      </c>
      <c r="R13">
        <v>0.40926666666666667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0.10979324849654892</v>
      </c>
      <c r="P14">
        <v>2020</v>
      </c>
      <c r="Q14" t="s">
        <v>218</v>
      </c>
      <c r="R14">
        <v>0.37690000000000001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0.10846410997119138</v>
      </c>
      <c r="P15">
        <v>2021</v>
      </c>
      <c r="Q15" t="s">
        <v>214</v>
      </c>
      <c r="R15">
        <v>0.38003333333333328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0.1105551864195049</v>
      </c>
      <c r="P16">
        <v>2021</v>
      </c>
      <c r="Q16" t="s">
        <v>216</v>
      </c>
      <c r="R16">
        <v>0.40186666666666665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0.11349693069465605</v>
      </c>
      <c r="P17">
        <v>2021</v>
      </c>
      <c r="Q17" t="s">
        <v>217</v>
      </c>
      <c r="R17">
        <v>0.51386666666666658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0.11014918190255729</v>
      </c>
      <c r="P18">
        <v>2021</v>
      </c>
      <c r="Q18" t="s">
        <v>218</v>
      </c>
      <c r="R18">
        <v>0.3231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0.11619427324910392</v>
      </c>
      <c r="P19">
        <v>2022</v>
      </c>
      <c r="Q19" t="s">
        <v>214</v>
      </c>
      <c r="R19">
        <v>0.37356666666666666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0.12999330391455444</v>
      </c>
      <c r="P20">
        <v>2022</v>
      </c>
      <c r="Q20" t="s">
        <v>216</v>
      </c>
      <c r="R20">
        <v>0.37166666666666665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0.17744026324173534</v>
      </c>
      <c r="P21">
        <v>2022</v>
      </c>
      <c r="Q21" t="s">
        <v>217</v>
      </c>
      <c r="R21">
        <v>0.33203333333333335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0.25128861445431894</v>
      </c>
      <c r="P22">
        <v>2022</v>
      </c>
      <c r="Q22" t="s">
        <v>218</v>
      </c>
      <c r="R22">
        <v>0.3450333333333333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0.22810418069713312</v>
      </c>
      <c r="P23">
        <v>2025</v>
      </c>
      <c r="Q23" t="s">
        <v>214</v>
      </c>
      <c r="R23">
        <v>0.432</v>
      </c>
      <c r="S23" t="s">
        <v>215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0.1940408634985844</v>
      </c>
      <c r="P24">
        <v>2025</v>
      </c>
      <c r="Q24" t="s">
        <v>216</v>
      </c>
      <c r="R24">
        <v>0.43926666666666669</v>
      </c>
      <c r="S24" t="s">
        <v>215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0.19479172093312225</v>
      </c>
      <c r="P25">
        <v>2025</v>
      </c>
      <c r="Q25" t="s">
        <v>217</v>
      </c>
      <c r="R25">
        <v>0.48853333333333332</v>
      </c>
      <c r="S25" t="s">
        <v>215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0.201317022895946</v>
      </c>
      <c r="P26">
        <v>2025</v>
      </c>
      <c r="Q26" t="s">
        <v>218</v>
      </c>
      <c r="R26">
        <v>0.38633333333333336</v>
      </c>
      <c r="S26" t="s">
        <v>215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0.21013971632498962</v>
      </c>
      <c r="P27">
        <v>2026</v>
      </c>
      <c r="Q27" t="s">
        <v>214</v>
      </c>
      <c r="R27">
        <v>0.39759999999999995</v>
      </c>
      <c r="S27" t="s">
        <v>215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0.21385705323948923</v>
      </c>
      <c r="P28">
        <v>2026</v>
      </c>
      <c r="Q28" t="s">
        <v>216</v>
      </c>
      <c r="R28">
        <v>0.40630000000000005</v>
      </c>
      <c r="S28" t="s">
        <v>215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0.21721939621480524</v>
      </c>
      <c r="P29">
        <v>2026</v>
      </c>
      <c r="Q29" t="s">
        <v>217</v>
      </c>
      <c r="R29">
        <v>0.45869999999999994</v>
      </c>
      <c r="S29" t="s">
        <v>215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0.2391732450896491</v>
      </c>
      <c r="P30">
        <v>2026</v>
      </c>
      <c r="Q30" t="s">
        <v>218</v>
      </c>
      <c r="R30">
        <v>0.40379999999999994</v>
      </c>
      <c r="S30" t="s">
        <v>215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0.18210986682216257</v>
      </c>
      <c r="P31">
        <v>2027</v>
      </c>
      <c r="Q31" t="s">
        <v>214</v>
      </c>
      <c r="R31">
        <v>0.46503333333333335</v>
      </c>
      <c r="S31" t="s">
        <v>215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0.15390222814408627</v>
      </c>
      <c r="P32">
        <v>2027</v>
      </c>
      <c r="Q32" t="s">
        <v>216</v>
      </c>
      <c r="R32">
        <v>0.48809999999999998</v>
      </c>
      <c r="S32" t="s">
        <v>215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0.12800400801831713</v>
      </c>
      <c r="P33">
        <v>2027</v>
      </c>
      <c r="Q33" t="s">
        <v>217</v>
      </c>
      <c r="R33">
        <v>0.55920000000000003</v>
      </c>
      <c r="S33" t="s">
        <v>215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9.1636949577819093E-2</v>
      </c>
      <c r="P34">
        <v>2027</v>
      </c>
      <c r="Q34" t="s">
        <v>218</v>
      </c>
      <c r="R34">
        <v>0.41349999999999998</v>
      </c>
      <c r="S34" t="s">
        <v>215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9.8981326964769023E-2</v>
      </c>
      <c r="P35">
        <v>2028</v>
      </c>
      <c r="Q35" t="s">
        <v>214</v>
      </c>
      <c r="R35">
        <v>0.34576666666666672</v>
      </c>
      <c r="S35" t="s">
        <v>215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9.7709935901556078E-2</v>
      </c>
      <c r="P36">
        <v>2028</v>
      </c>
      <c r="Q36" t="s">
        <v>216</v>
      </c>
      <c r="R36">
        <v>0.44029999999999997</v>
      </c>
      <c r="S36" t="s">
        <v>215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8.7559205984442334E-2</v>
      </c>
      <c r="P37">
        <v>2028</v>
      </c>
      <c r="Q37" t="s">
        <v>217</v>
      </c>
      <c r="R37">
        <v>0.48973333333333335</v>
      </c>
      <c r="S37" t="s">
        <v>215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7.980022548679333E-2</v>
      </c>
      <c r="P38">
        <v>2028</v>
      </c>
      <c r="Q38" t="s">
        <v>218</v>
      </c>
      <c r="R38">
        <v>0.38086666666666669</v>
      </c>
      <c r="S38" t="s">
        <v>215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8.4145689684326452E-2</v>
      </c>
      <c r="P39">
        <v>2029</v>
      </c>
      <c r="Q39" t="s">
        <v>214</v>
      </c>
      <c r="R39">
        <v>0.44659999999999994</v>
      </c>
      <c r="S39" t="s">
        <v>215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0.12573004306628088</v>
      </c>
      <c r="P40">
        <v>2029</v>
      </c>
      <c r="Q40" t="s">
        <v>216</v>
      </c>
      <c r="R40">
        <v>0.46279999999999993</v>
      </c>
      <c r="S40" t="s">
        <v>215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0.13894558207102303</v>
      </c>
      <c r="P41">
        <v>2029</v>
      </c>
      <c r="Q41" t="s">
        <v>217</v>
      </c>
      <c r="R41">
        <v>0.47439999999999993</v>
      </c>
      <c r="S41" t="s">
        <v>215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0.22106605928119594</v>
      </c>
      <c r="P42">
        <v>2029</v>
      </c>
      <c r="Q42" t="s">
        <v>218</v>
      </c>
      <c r="R42">
        <v>0.3755</v>
      </c>
      <c r="S42" t="s">
        <v>215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0.17498509275019769</v>
      </c>
      <c r="P43">
        <v>2030</v>
      </c>
      <c r="Q43" t="s">
        <v>214</v>
      </c>
      <c r="R43">
        <v>0.37493333333333334</v>
      </c>
      <c r="S43" t="s">
        <v>215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0.16297959840459009</v>
      </c>
      <c r="P44">
        <v>2030</v>
      </c>
      <c r="Q44" t="s">
        <v>216</v>
      </c>
      <c r="R44">
        <v>0.4711333333333334</v>
      </c>
      <c r="S44" t="s">
        <v>215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0.15197783162847167</v>
      </c>
      <c r="P45">
        <v>2030</v>
      </c>
      <c r="Q45" t="s">
        <v>217</v>
      </c>
      <c r="R45">
        <v>0.49730000000000002</v>
      </c>
      <c r="S45" t="s">
        <v>215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0.14637369246383036</v>
      </c>
      <c r="P46">
        <v>2030</v>
      </c>
      <c r="Q46" t="s">
        <v>218</v>
      </c>
      <c r="R46">
        <v>0.38289999999999996</v>
      </c>
      <c r="S46" t="s">
        <v>215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0.15737712236092904</v>
      </c>
      <c r="P47">
        <v>2031</v>
      </c>
      <c r="Q47" t="s">
        <v>214</v>
      </c>
      <c r="R47">
        <v>0.3952</v>
      </c>
      <c r="S47" t="s">
        <v>215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0.1614464399490636</v>
      </c>
      <c r="P48">
        <v>2031</v>
      </c>
      <c r="Q48" t="s">
        <v>216</v>
      </c>
      <c r="R48">
        <v>0.43243333333333328</v>
      </c>
      <c r="S48" t="s">
        <v>215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0.17209244559441861</v>
      </c>
      <c r="P49">
        <v>2031</v>
      </c>
      <c r="Q49" t="s">
        <v>217</v>
      </c>
      <c r="R49">
        <v>0.4907333333333333</v>
      </c>
      <c r="S49" t="s">
        <v>215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0.19794927554172603</v>
      </c>
      <c r="P50">
        <v>2031</v>
      </c>
      <c r="Q50" t="s">
        <v>218</v>
      </c>
      <c r="R50">
        <v>0.35133333333333333</v>
      </c>
      <c r="S50" t="s">
        <v>215</v>
      </c>
    </row>
    <row r="51" spans="3:19" x14ac:dyDescent="0.45">
      <c r="H51" t="s">
        <v>219</v>
      </c>
      <c r="I51" t="s">
        <v>5</v>
      </c>
      <c r="P51">
        <v>2032</v>
      </c>
      <c r="Q51" t="s">
        <v>214</v>
      </c>
      <c r="R51">
        <v>0.39560000000000001</v>
      </c>
      <c r="S51" t="s">
        <v>215</v>
      </c>
    </row>
    <row r="52" spans="3:19" x14ac:dyDescent="0.45">
      <c r="H52" t="s">
        <v>219</v>
      </c>
      <c r="I52" t="s">
        <v>9</v>
      </c>
      <c r="P52">
        <v>2032</v>
      </c>
      <c r="Q52" t="s">
        <v>216</v>
      </c>
      <c r="R52">
        <v>0.44176666666666664</v>
      </c>
      <c r="S52" t="s">
        <v>215</v>
      </c>
    </row>
    <row r="53" spans="3:19" x14ac:dyDescent="0.45">
      <c r="H53" t="s">
        <v>219</v>
      </c>
      <c r="I53" t="s">
        <v>10</v>
      </c>
      <c r="P53">
        <v>2032</v>
      </c>
      <c r="Q53" t="s">
        <v>217</v>
      </c>
      <c r="R53">
        <v>0.48923333333333335</v>
      </c>
      <c r="S53" t="s">
        <v>215</v>
      </c>
    </row>
    <row r="54" spans="3:19" x14ac:dyDescent="0.45">
      <c r="H54" t="s">
        <v>219</v>
      </c>
      <c r="I54" t="s">
        <v>11</v>
      </c>
      <c r="P54">
        <v>2032</v>
      </c>
      <c r="Q54" t="s">
        <v>218</v>
      </c>
      <c r="R54">
        <v>0.39576666666666666</v>
      </c>
      <c r="S54" t="s">
        <v>215</v>
      </c>
    </row>
    <row r="55" spans="3:19" x14ac:dyDescent="0.45">
      <c r="H55" t="s">
        <v>219</v>
      </c>
      <c r="I55" t="s">
        <v>12</v>
      </c>
      <c r="P55">
        <v>2033</v>
      </c>
      <c r="Q55" t="s">
        <v>214</v>
      </c>
      <c r="R55">
        <v>0.35670000000000002</v>
      </c>
      <c r="S55" t="s">
        <v>215</v>
      </c>
    </row>
    <row r="56" spans="3:19" x14ac:dyDescent="0.45">
      <c r="H56" t="s">
        <v>219</v>
      </c>
      <c r="I56" t="s">
        <v>13</v>
      </c>
      <c r="P56">
        <v>2033</v>
      </c>
      <c r="Q56" t="s">
        <v>216</v>
      </c>
      <c r="R56">
        <v>0.52816666666666667</v>
      </c>
      <c r="S56" t="s">
        <v>215</v>
      </c>
    </row>
    <row r="57" spans="3:19" x14ac:dyDescent="0.45">
      <c r="H57" t="s">
        <v>219</v>
      </c>
      <c r="I57" t="s">
        <v>14</v>
      </c>
      <c r="P57">
        <v>2033</v>
      </c>
      <c r="Q57" t="s">
        <v>217</v>
      </c>
      <c r="R57">
        <v>0.40616666666666662</v>
      </c>
      <c r="S57" t="s">
        <v>215</v>
      </c>
    </row>
    <row r="58" spans="3:19" x14ac:dyDescent="0.45">
      <c r="H58" t="s">
        <v>219</v>
      </c>
      <c r="I58" t="s">
        <v>15</v>
      </c>
      <c r="P58">
        <v>2033</v>
      </c>
      <c r="Q58" t="s">
        <v>218</v>
      </c>
      <c r="R58">
        <v>0.35473333333333334</v>
      </c>
      <c r="S58" t="s">
        <v>215</v>
      </c>
    </row>
    <row r="59" spans="3:19" x14ac:dyDescent="0.45">
      <c r="H59" t="s">
        <v>219</v>
      </c>
      <c r="I59" t="s">
        <v>16</v>
      </c>
      <c r="P59">
        <v>2034</v>
      </c>
      <c r="Q59" t="s">
        <v>214</v>
      </c>
      <c r="R59">
        <v>0.41703333333333337</v>
      </c>
      <c r="S59" t="s">
        <v>215</v>
      </c>
    </row>
    <row r="60" spans="3:19" x14ac:dyDescent="0.45">
      <c r="H60" t="s">
        <v>219</v>
      </c>
      <c r="I60" t="s">
        <v>17</v>
      </c>
      <c r="P60">
        <v>2034</v>
      </c>
      <c r="Q60" t="s">
        <v>216</v>
      </c>
      <c r="R60">
        <v>0.44366666666666665</v>
      </c>
      <c r="S60" t="s">
        <v>215</v>
      </c>
    </row>
    <row r="61" spans="3:19" x14ac:dyDescent="0.45">
      <c r="H61" t="s">
        <v>219</v>
      </c>
      <c r="I61" t="s">
        <v>18</v>
      </c>
      <c r="P61">
        <v>2034</v>
      </c>
      <c r="Q61" t="s">
        <v>217</v>
      </c>
      <c r="R61">
        <v>0.47206666666666663</v>
      </c>
      <c r="S61" t="s">
        <v>215</v>
      </c>
    </row>
    <row r="62" spans="3:19" x14ac:dyDescent="0.45">
      <c r="H62" t="s">
        <v>219</v>
      </c>
      <c r="I62" t="s">
        <v>19</v>
      </c>
      <c r="P62">
        <v>2034</v>
      </c>
      <c r="Q62" t="s">
        <v>218</v>
      </c>
      <c r="R62">
        <v>0.41133333333333333</v>
      </c>
      <c r="S62" t="s">
        <v>215</v>
      </c>
    </row>
    <row r="63" spans="3:19" x14ac:dyDescent="0.45">
      <c r="H63" t="s">
        <v>219</v>
      </c>
      <c r="I63" t="s">
        <v>20</v>
      </c>
      <c r="P63">
        <v>2035</v>
      </c>
      <c r="Q63" t="s">
        <v>214</v>
      </c>
      <c r="R63">
        <v>0.42183333333333334</v>
      </c>
      <c r="S63" t="s">
        <v>215</v>
      </c>
    </row>
    <row r="64" spans="3:19" x14ac:dyDescent="0.45">
      <c r="H64" t="s">
        <v>219</v>
      </c>
      <c r="I64" t="s">
        <v>21</v>
      </c>
      <c r="P64">
        <v>2035</v>
      </c>
      <c r="Q64" t="s">
        <v>216</v>
      </c>
      <c r="R64">
        <v>0.41786666666666666</v>
      </c>
      <c r="S64" t="s">
        <v>215</v>
      </c>
    </row>
    <row r="65" spans="8:19" x14ac:dyDescent="0.45">
      <c r="H65" t="s">
        <v>219</v>
      </c>
      <c r="I65" t="s">
        <v>22</v>
      </c>
      <c r="P65">
        <v>2035</v>
      </c>
      <c r="Q65" t="s">
        <v>217</v>
      </c>
      <c r="R65">
        <v>0.50690000000000002</v>
      </c>
      <c r="S65" t="s">
        <v>215</v>
      </c>
    </row>
    <row r="66" spans="8:19" x14ac:dyDescent="0.45">
      <c r="H66" t="s">
        <v>219</v>
      </c>
      <c r="I66" t="s">
        <v>23</v>
      </c>
      <c r="P66">
        <v>2035</v>
      </c>
      <c r="Q66" t="s">
        <v>218</v>
      </c>
      <c r="R66">
        <v>0.39246666666666669</v>
      </c>
      <c r="S66" t="s">
        <v>215</v>
      </c>
    </row>
    <row r="67" spans="8:19" x14ac:dyDescent="0.45">
      <c r="H67" t="s">
        <v>219</v>
      </c>
      <c r="I67" t="s">
        <v>24</v>
      </c>
      <c r="P67">
        <v>2036</v>
      </c>
      <c r="Q67" t="s">
        <v>214</v>
      </c>
      <c r="R67">
        <v>0.38979999999999998</v>
      </c>
      <c r="S67" t="s">
        <v>215</v>
      </c>
    </row>
    <row r="68" spans="8:19" x14ac:dyDescent="0.45">
      <c r="H68" t="s">
        <v>219</v>
      </c>
      <c r="I68" t="s">
        <v>25</v>
      </c>
      <c r="P68">
        <v>2036</v>
      </c>
      <c r="Q68" t="s">
        <v>216</v>
      </c>
      <c r="R68">
        <v>0.49226666666666663</v>
      </c>
      <c r="S68" t="s">
        <v>215</v>
      </c>
    </row>
    <row r="69" spans="8:19" x14ac:dyDescent="0.45">
      <c r="H69" t="s">
        <v>219</v>
      </c>
      <c r="I69" t="s">
        <v>26</v>
      </c>
      <c r="P69">
        <v>2036</v>
      </c>
      <c r="Q69" t="s">
        <v>217</v>
      </c>
      <c r="R69">
        <v>0.46656666666666663</v>
      </c>
      <c r="S69" t="s">
        <v>215</v>
      </c>
    </row>
    <row r="70" spans="8:19" x14ac:dyDescent="0.45">
      <c r="H70" t="s">
        <v>219</v>
      </c>
      <c r="I70" t="s">
        <v>27</v>
      </c>
      <c r="P70">
        <v>2036</v>
      </c>
      <c r="Q70" t="s">
        <v>218</v>
      </c>
      <c r="R70">
        <v>0.3553</v>
      </c>
      <c r="S70" t="s">
        <v>215</v>
      </c>
    </row>
    <row r="71" spans="8:19" x14ac:dyDescent="0.45">
      <c r="H71" t="s">
        <v>219</v>
      </c>
      <c r="I71" t="s">
        <v>28</v>
      </c>
      <c r="P71">
        <v>2037</v>
      </c>
      <c r="Q71" t="s">
        <v>214</v>
      </c>
      <c r="R71">
        <v>0.39413333333333328</v>
      </c>
      <c r="S71" t="s">
        <v>215</v>
      </c>
    </row>
    <row r="72" spans="8:19" x14ac:dyDescent="0.45">
      <c r="H72" t="s">
        <v>219</v>
      </c>
      <c r="I72" t="s">
        <v>29</v>
      </c>
      <c r="P72">
        <v>2037</v>
      </c>
      <c r="Q72" t="s">
        <v>216</v>
      </c>
      <c r="R72">
        <v>0.39503333333333335</v>
      </c>
      <c r="S72" t="s">
        <v>215</v>
      </c>
    </row>
    <row r="73" spans="8:19" x14ac:dyDescent="0.45">
      <c r="H73" t="s">
        <v>219</v>
      </c>
      <c r="I73" t="s">
        <v>30</v>
      </c>
      <c r="P73">
        <v>2037</v>
      </c>
      <c r="Q73" t="s">
        <v>217</v>
      </c>
      <c r="R73">
        <v>0.43990000000000001</v>
      </c>
      <c r="S73" t="s">
        <v>215</v>
      </c>
    </row>
    <row r="74" spans="8:19" x14ac:dyDescent="0.45">
      <c r="H74" t="s">
        <v>219</v>
      </c>
      <c r="I74" t="s">
        <v>31</v>
      </c>
      <c r="P74">
        <v>2037</v>
      </c>
      <c r="Q74" t="s">
        <v>218</v>
      </c>
      <c r="R74">
        <v>0.35936666666666667</v>
      </c>
      <c r="S74" t="s">
        <v>215</v>
      </c>
    </row>
    <row r="75" spans="8:19" x14ac:dyDescent="0.45">
      <c r="H75" t="s">
        <v>219</v>
      </c>
      <c r="I75" t="s">
        <v>32</v>
      </c>
      <c r="P75">
        <v>2038</v>
      </c>
      <c r="Q75" t="s">
        <v>214</v>
      </c>
      <c r="R75">
        <v>0.37866666666666665</v>
      </c>
      <c r="S75" t="s">
        <v>215</v>
      </c>
    </row>
    <row r="76" spans="8:19" x14ac:dyDescent="0.45">
      <c r="H76" t="s">
        <v>219</v>
      </c>
      <c r="I76" t="s">
        <v>33</v>
      </c>
      <c r="P76">
        <v>2038</v>
      </c>
      <c r="Q76" t="s">
        <v>216</v>
      </c>
      <c r="R76">
        <v>0.45293333333333335</v>
      </c>
      <c r="S76" t="s">
        <v>215</v>
      </c>
    </row>
    <row r="77" spans="8:19" x14ac:dyDescent="0.45">
      <c r="H77" t="s">
        <v>219</v>
      </c>
      <c r="I77" t="s">
        <v>34</v>
      </c>
      <c r="P77">
        <v>2038</v>
      </c>
      <c r="Q77" t="s">
        <v>217</v>
      </c>
      <c r="R77">
        <v>0.49679999999999996</v>
      </c>
      <c r="S77" t="s">
        <v>215</v>
      </c>
    </row>
    <row r="78" spans="8:19" x14ac:dyDescent="0.45">
      <c r="H78" t="s">
        <v>219</v>
      </c>
      <c r="I78" t="s">
        <v>35</v>
      </c>
      <c r="P78">
        <v>2038</v>
      </c>
      <c r="Q78" t="s">
        <v>218</v>
      </c>
      <c r="R78">
        <v>0.33749999999999997</v>
      </c>
      <c r="S78" t="s">
        <v>215</v>
      </c>
    </row>
    <row r="79" spans="8:19" x14ac:dyDescent="0.45">
      <c r="H79" t="s">
        <v>219</v>
      </c>
      <c r="I79" t="s">
        <v>36</v>
      </c>
      <c r="P79">
        <v>2039</v>
      </c>
      <c r="Q79" t="s">
        <v>214</v>
      </c>
      <c r="R79">
        <v>0.4312333333333333</v>
      </c>
      <c r="S79" t="s">
        <v>215</v>
      </c>
    </row>
    <row r="80" spans="8:19" x14ac:dyDescent="0.45">
      <c r="H80" t="s">
        <v>219</v>
      </c>
      <c r="I80" t="s">
        <v>37</v>
      </c>
      <c r="P80">
        <v>2039</v>
      </c>
      <c r="Q80" t="s">
        <v>216</v>
      </c>
      <c r="R80">
        <v>0.49146666666666672</v>
      </c>
      <c r="S80" t="s">
        <v>215</v>
      </c>
    </row>
    <row r="81" spans="8:19" x14ac:dyDescent="0.45">
      <c r="H81" t="s">
        <v>219</v>
      </c>
      <c r="I81" t="s">
        <v>38</v>
      </c>
      <c r="P81">
        <v>2039</v>
      </c>
      <c r="Q81" t="s">
        <v>217</v>
      </c>
      <c r="R81">
        <v>0.44130000000000003</v>
      </c>
      <c r="S81" t="s">
        <v>215</v>
      </c>
    </row>
    <row r="82" spans="8:19" x14ac:dyDescent="0.45">
      <c r="H82" t="s">
        <v>219</v>
      </c>
      <c r="I82" t="s">
        <v>39</v>
      </c>
      <c r="P82">
        <v>2039</v>
      </c>
      <c r="Q82" t="s">
        <v>218</v>
      </c>
      <c r="R82">
        <v>0.42706666666666671</v>
      </c>
      <c r="S82" t="s">
        <v>215</v>
      </c>
    </row>
    <row r="83" spans="8:19" x14ac:dyDescent="0.45">
      <c r="H83" t="s">
        <v>219</v>
      </c>
      <c r="I83" t="s">
        <v>40</v>
      </c>
      <c r="P83">
        <v>2040</v>
      </c>
      <c r="Q83" t="s">
        <v>214</v>
      </c>
      <c r="R83">
        <v>0.34386666666666671</v>
      </c>
      <c r="S83" t="s">
        <v>215</v>
      </c>
    </row>
    <row r="84" spans="8:19" x14ac:dyDescent="0.45">
      <c r="H84" t="s">
        <v>219</v>
      </c>
      <c r="I84" t="s">
        <v>41</v>
      </c>
      <c r="P84">
        <v>2040</v>
      </c>
      <c r="Q84" t="s">
        <v>216</v>
      </c>
      <c r="R84">
        <v>0.46576666666666666</v>
      </c>
      <c r="S84" t="s">
        <v>215</v>
      </c>
    </row>
    <row r="85" spans="8:19" x14ac:dyDescent="0.45">
      <c r="H85" t="s">
        <v>219</v>
      </c>
      <c r="I85" t="s">
        <v>42</v>
      </c>
      <c r="P85">
        <v>2040</v>
      </c>
      <c r="Q85" t="s">
        <v>217</v>
      </c>
      <c r="R85">
        <v>0.45129999999999998</v>
      </c>
      <c r="S85" t="s">
        <v>215</v>
      </c>
    </row>
    <row r="86" spans="8:19" x14ac:dyDescent="0.45">
      <c r="H86" t="s">
        <v>219</v>
      </c>
      <c r="I86" t="s">
        <v>43</v>
      </c>
      <c r="P86">
        <v>2040</v>
      </c>
      <c r="Q86" t="s">
        <v>218</v>
      </c>
      <c r="R86">
        <v>0.39073333333333332</v>
      </c>
      <c r="S86" t="s">
        <v>215</v>
      </c>
    </row>
    <row r="87" spans="8:19" x14ac:dyDescent="0.45">
      <c r="H87" t="s">
        <v>219</v>
      </c>
      <c r="I87" t="s">
        <v>44</v>
      </c>
      <c r="P87">
        <v>2041</v>
      </c>
      <c r="Q87" t="s">
        <v>214</v>
      </c>
      <c r="R87">
        <v>0.36869999999999997</v>
      </c>
      <c r="S87" t="s">
        <v>215</v>
      </c>
    </row>
    <row r="88" spans="8:19" x14ac:dyDescent="0.45">
      <c r="H88" t="s">
        <v>219</v>
      </c>
      <c r="I88" t="s">
        <v>45</v>
      </c>
      <c r="P88">
        <v>2041</v>
      </c>
      <c r="Q88" t="s">
        <v>216</v>
      </c>
      <c r="R88">
        <v>0.45960000000000001</v>
      </c>
      <c r="S88" t="s">
        <v>215</v>
      </c>
    </row>
    <row r="89" spans="8:19" x14ac:dyDescent="0.45">
      <c r="H89" t="s">
        <v>219</v>
      </c>
      <c r="I89" t="s">
        <v>46</v>
      </c>
      <c r="P89">
        <v>2041</v>
      </c>
      <c r="Q89" t="s">
        <v>217</v>
      </c>
      <c r="R89">
        <v>0.42076666666666668</v>
      </c>
      <c r="S89" t="s">
        <v>215</v>
      </c>
    </row>
    <row r="90" spans="8:19" x14ac:dyDescent="0.45">
      <c r="H90" t="s">
        <v>219</v>
      </c>
      <c r="I90" t="s">
        <v>47</v>
      </c>
      <c r="P90">
        <v>2041</v>
      </c>
      <c r="Q90" t="s">
        <v>218</v>
      </c>
      <c r="R90">
        <v>0.30563333333333331</v>
      </c>
      <c r="S90" t="s">
        <v>215</v>
      </c>
    </row>
    <row r="91" spans="8:19" x14ac:dyDescent="0.45">
      <c r="P91">
        <v>2042</v>
      </c>
      <c r="Q91" t="s">
        <v>214</v>
      </c>
      <c r="R91">
        <v>0.38043333333333335</v>
      </c>
      <c r="S91" t="s">
        <v>215</v>
      </c>
    </row>
    <row r="92" spans="8:19" x14ac:dyDescent="0.45">
      <c r="P92">
        <v>2042</v>
      </c>
      <c r="Q92" t="s">
        <v>216</v>
      </c>
      <c r="R92">
        <v>0.41306666666666669</v>
      </c>
      <c r="S92" t="s">
        <v>215</v>
      </c>
    </row>
    <row r="93" spans="8:19" x14ac:dyDescent="0.45">
      <c r="P93">
        <v>2042</v>
      </c>
      <c r="Q93" t="s">
        <v>217</v>
      </c>
      <c r="R93">
        <v>0.43976666666666664</v>
      </c>
      <c r="S93" t="s">
        <v>215</v>
      </c>
    </row>
    <row r="94" spans="8:19" x14ac:dyDescent="0.45">
      <c r="P94">
        <v>2042</v>
      </c>
      <c r="Q94" t="s">
        <v>218</v>
      </c>
      <c r="R94">
        <v>0.36293333333333333</v>
      </c>
      <c r="S94" t="s">
        <v>215</v>
      </c>
    </row>
    <row r="95" spans="8:19" x14ac:dyDescent="0.45">
      <c r="P95">
        <v>2043</v>
      </c>
      <c r="Q95" t="s">
        <v>214</v>
      </c>
      <c r="R95">
        <v>0.45120000000000005</v>
      </c>
      <c r="S95" t="s">
        <v>215</v>
      </c>
    </row>
    <row r="96" spans="8:19" x14ac:dyDescent="0.45">
      <c r="P96">
        <v>2043</v>
      </c>
      <c r="Q96" t="s">
        <v>216</v>
      </c>
      <c r="R96">
        <v>0.48570000000000002</v>
      </c>
      <c r="S96" t="s">
        <v>215</v>
      </c>
    </row>
    <row r="97" spans="16:19" x14ac:dyDescent="0.45">
      <c r="P97">
        <v>2043</v>
      </c>
      <c r="Q97" t="s">
        <v>217</v>
      </c>
      <c r="R97">
        <v>0.52589999999999992</v>
      </c>
      <c r="S97" t="s">
        <v>215</v>
      </c>
    </row>
    <row r="98" spans="16:19" x14ac:dyDescent="0.45">
      <c r="P98">
        <v>2043</v>
      </c>
      <c r="Q98" t="s">
        <v>218</v>
      </c>
      <c r="R98">
        <v>0.39443333333333336</v>
      </c>
      <c r="S98" t="s">
        <v>215</v>
      </c>
    </row>
    <row r="99" spans="16:19" x14ac:dyDescent="0.45">
      <c r="P99">
        <v>2044</v>
      </c>
      <c r="Q99" t="s">
        <v>214</v>
      </c>
      <c r="R99">
        <v>0.36233333333333334</v>
      </c>
      <c r="S99" t="s">
        <v>215</v>
      </c>
    </row>
    <row r="100" spans="16:19" x14ac:dyDescent="0.45">
      <c r="P100">
        <v>2044</v>
      </c>
      <c r="Q100" t="s">
        <v>216</v>
      </c>
      <c r="R100">
        <v>0.39806666666666662</v>
      </c>
      <c r="S100" t="s">
        <v>215</v>
      </c>
    </row>
    <row r="101" spans="16:19" x14ac:dyDescent="0.45">
      <c r="P101">
        <v>2044</v>
      </c>
      <c r="Q101" t="s">
        <v>217</v>
      </c>
      <c r="R101">
        <v>0.46713333333333334</v>
      </c>
      <c r="S101" t="s">
        <v>215</v>
      </c>
    </row>
    <row r="102" spans="16:19" x14ac:dyDescent="0.45">
      <c r="P102">
        <v>2044</v>
      </c>
      <c r="Q102" t="s">
        <v>218</v>
      </c>
      <c r="R102">
        <v>0.41286666666666672</v>
      </c>
      <c r="S102" t="s">
        <v>215</v>
      </c>
    </row>
    <row r="103" spans="16:19" x14ac:dyDescent="0.45">
      <c r="P103">
        <v>2045</v>
      </c>
      <c r="Q103" t="s">
        <v>214</v>
      </c>
      <c r="R103">
        <v>0.46763333333333335</v>
      </c>
      <c r="S103" t="s">
        <v>215</v>
      </c>
    </row>
    <row r="104" spans="16:19" x14ac:dyDescent="0.45">
      <c r="P104">
        <v>2045</v>
      </c>
      <c r="Q104" t="s">
        <v>216</v>
      </c>
      <c r="R104">
        <v>0.5204333333333333</v>
      </c>
      <c r="S104" t="s">
        <v>215</v>
      </c>
    </row>
    <row r="105" spans="16:19" x14ac:dyDescent="0.45">
      <c r="P105">
        <v>2045</v>
      </c>
      <c r="Q105" t="s">
        <v>217</v>
      </c>
      <c r="R105">
        <v>0.4956666666666667</v>
      </c>
      <c r="S105" t="s">
        <v>215</v>
      </c>
    </row>
    <row r="106" spans="16:19" x14ac:dyDescent="0.45">
      <c r="P106">
        <v>2045</v>
      </c>
      <c r="Q106" t="s">
        <v>218</v>
      </c>
      <c r="R106">
        <v>0.38873333333333332</v>
      </c>
      <c r="S106" t="s">
        <v>215</v>
      </c>
    </row>
    <row r="107" spans="16:19" x14ac:dyDescent="0.45">
      <c r="P107">
        <v>2046</v>
      </c>
      <c r="Q107" t="s">
        <v>214</v>
      </c>
      <c r="R107">
        <v>0.42206666666666665</v>
      </c>
      <c r="S107" t="s">
        <v>215</v>
      </c>
    </row>
    <row r="108" spans="16:19" x14ac:dyDescent="0.45">
      <c r="P108">
        <v>2046</v>
      </c>
      <c r="Q108" t="s">
        <v>216</v>
      </c>
      <c r="R108">
        <v>0.50573333333333326</v>
      </c>
      <c r="S108" t="s">
        <v>215</v>
      </c>
    </row>
    <row r="109" spans="16:19" x14ac:dyDescent="0.45">
      <c r="P109">
        <v>2046</v>
      </c>
      <c r="Q109" t="s">
        <v>217</v>
      </c>
      <c r="R109">
        <v>0.54573333333333329</v>
      </c>
      <c r="S109" t="s">
        <v>215</v>
      </c>
    </row>
    <row r="110" spans="16:19" x14ac:dyDescent="0.45">
      <c r="P110">
        <v>2046</v>
      </c>
      <c r="Q110" t="s">
        <v>218</v>
      </c>
      <c r="R110">
        <v>0.45763333333333334</v>
      </c>
      <c r="S110" t="s">
        <v>215</v>
      </c>
    </row>
    <row r="111" spans="16:19" x14ac:dyDescent="0.45">
      <c r="P111">
        <v>2047</v>
      </c>
      <c r="Q111" t="s">
        <v>214</v>
      </c>
      <c r="R111">
        <v>0.44146666666666667</v>
      </c>
      <c r="S111" t="s">
        <v>215</v>
      </c>
    </row>
    <row r="112" spans="16:19" x14ac:dyDescent="0.45">
      <c r="P112">
        <v>2047</v>
      </c>
      <c r="Q112" t="s">
        <v>216</v>
      </c>
      <c r="R112">
        <v>0.55413333333333337</v>
      </c>
      <c r="S112" t="s">
        <v>215</v>
      </c>
    </row>
    <row r="113" spans="16:19" x14ac:dyDescent="0.45">
      <c r="P113">
        <v>2047</v>
      </c>
      <c r="Q113" t="s">
        <v>217</v>
      </c>
      <c r="R113">
        <v>0.49930000000000002</v>
      </c>
      <c r="S113" t="s">
        <v>215</v>
      </c>
    </row>
    <row r="114" spans="16:19" x14ac:dyDescent="0.45">
      <c r="P114">
        <v>2047</v>
      </c>
      <c r="Q114" t="s">
        <v>218</v>
      </c>
      <c r="R114">
        <v>0.42266666666666658</v>
      </c>
      <c r="S114" t="s">
        <v>215</v>
      </c>
    </row>
    <row r="115" spans="16:19" x14ac:dyDescent="0.45">
      <c r="P115">
        <v>2048</v>
      </c>
      <c r="Q115" t="s">
        <v>214</v>
      </c>
      <c r="R115">
        <v>0.47073333333333328</v>
      </c>
      <c r="S115" t="s">
        <v>215</v>
      </c>
    </row>
    <row r="116" spans="16:19" x14ac:dyDescent="0.45">
      <c r="P116">
        <v>2048</v>
      </c>
      <c r="Q116" t="s">
        <v>216</v>
      </c>
      <c r="R116">
        <v>0.55910000000000004</v>
      </c>
      <c r="S116" t="s">
        <v>215</v>
      </c>
    </row>
    <row r="117" spans="16:19" x14ac:dyDescent="0.45">
      <c r="P117">
        <v>2048</v>
      </c>
      <c r="Q117" t="s">
        <v>217</v>
      </c>
      <c r="R117">
        <v>0.51913333333333334</v>
      </c>
      <c r="S117" t="s">
        <v>215</v>
      </c>
    </row>
    <row r="118" spans="16:19" x14ac:dyDescent="0.45">
      <c r="P118">
        <v>2048</v>
      </c>
      <c r="Q118" t="s">
        <v>218</v>
      </c>
      <c r="R118">
        <v>0.41263333333333335</v>
      </c>
      <c r="S118" t="s">
        <v>215</v>
      </c>
    </row>
    <row r="119" spans="16:19" x14ac:dyDescent="0.45">
      <c r="P119">
        <v>2049</v>
      </c>
      <c r="Q119" t="s">
        <v>214</v>
      </c>
      <c r="R119">
        <v>0.45923333333333333</v>
      </c>
      <c r="S119" t="s">
        <v>215</v>
      </c>
    </row>
    <row r="120" spans="16:19" x14ac:dyDescent="0.45">
      <c r="P120">
        <v>2049</v>
      </c>
      <c r="Q120" t="s">
        <v>216</v>
      </c>
      <c r="R120">
        <v>0.5378666666666666</v>
      </c>
      <c r="S120" t="s">
        <v>215</v>
      </c>
    </row>
    <row r="121" spans="16:19" x14ac:dyDescent="0.45">
      <c r="P121">
        <v>2049</v>
      </c>
      <c r="Q121" t="s">
        <v>217</v>
      </c>
      <c r="R121">
        <v>0.56463333333333321</v>
      </c>
      <c r="S121" t="s">
        <v>215</v>
      </c>
    </row>
    <row r="122" spans="16:19" x14ac:dyDescent="0.45">
      <c r="P122">
        <v>2049</v>
      </c>
      <c r="Q122" t="s">
        <v>218</v>
      </c>
      <c r="R122">
        <v>0.45890000000000003</v>
      </c>
      <c r="S122" t="s">
        <v>215</v>
      </c>
    </row>
    <row r="123" spans="16:19" x14ac:dyDescent="0.45">
      <c r="P123">
        <v>2050</v>
      </c>
      <c r="Q123" t="s">
        <v>214</v>
      </c>
      <c r="R123">
        <v>0.40503333333333336</v>
      </c>
      <c r="S123" t="s">
        <v>215</v>
      </c>
    </row>
    <row r="124" spans="16:19" x14ac:dyDescent="0.45">
      <c r="P124">
        <v>2050</v>
      </c>
      <c r="Q124" t="s">
        <v>216</v>
      </c>
      <c r="R124">
        <v>0.5353</v>
      </c>
      <c r="S124" t="s">
        <v>215</v>
      </c>
    </row>
    <row r="125" spans="16:19" x14ac:dyDescent="0.45">
      <c r="P125">
        <v>2050</v>
      </c>
      <c r="Q125" t="s">
        <v>217</v>
      </c>
      <c r="R125">
        <v>0.52090000000000003</v>
      </c>
      <c r="S125" t="s">
        <v>215</v>
      </c>
    </row>
    <row r="126" spans="16:19" x14ac:dyDescent="0.45">
      <c r="P126">
        <v>2050</v>
      </c>
      <c r="Q126" t="s">
        <v>218</v>
      </c>
      <c r="R126">
        <v>0.39166666666666666</v>
      </c>
      <c r="S126" t="s">
        <v>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DABF-DE79-4396-B1ED-A9D6C31BF8A9}">
  <dimension ref="B9:J41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region=CHE")</f>
        <v>~TFM_DINS-AT: region=CHE</v>
      </c>
      <c r="G9" t="str">
        <f>IF(A11="x","DeActivated","~TFM_DINS-AT: region=CHE")</f>
        <v>~TFM_DINS-AT: region=CHE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522</v>
      </c>
      <c r="C11" t="s">
        <v>5</v>
      </c>
      <c r="D11">
        <v>0</v>
      </c>
      <c r="E11" t="s">
        <v>6</v>
      </c>
      <c r="G11" t="s">
        <v>523</v>
      </c>
      <c r="H11" t="s">
        <v>5</v>
      </c>
      <c r="I11">
        <v>6.5652460259739531E-2</v>
      </c>
      <c r="J11" t="s">
        <v>6</v>
      </c>
    </row>
    <row r="12" spans="2:10" x14ac:dyDescent="0.45">
      <c r="B12" t="s">
        <v>522</v>
      </c>
      <c r="C12" t="s">
        <v>9</v>
      </c>
      <c r="D12">
        <v>0</v>
      </c>
      <c r="E12" t="s">
        <v>6</v>
      </c>
      <c r="G12" t="s">
        <v>523</v>
      </c>
      <c r="H12" t="s">
        <v>9</v>
      </c>
      <c r="I12">
        <v>2.5928602885957139E-2</v>
      </c>
      <c r="J12" t="s">
        <v>6</v>
      </c>
    </row>
    <row r="13" spans="2:10" x14ac:dyDescent="0.45">
      <c r="B13" t="s">
        <v>522</v>
      </c>
      <c r="C13" t="s">
        <v>10</v>
      </c>
      <c r="D13">
        <v>1.8331751578592448E-4</v>
      </c>
      <c r="E13" t="s">
        <v>6</v>
      </c>
      <c r="G13" t="s">
        <v>523</v>
      </c>
      <c r="H13" t="s">
        <v>10</v>
      </c>
      <c r="I13">
        <v>2.560447915281425E-2</v>
      </c>
      <c r="J13" t="s">
        <v>6</v>
      </c>
    </row>
    <row r="14" spans="2:10" x14ac:dyDescent="0.45">
      <c r="B14" t="s">
        <v>522</v>
      </c>
      <c r="C14" t="s">
        <v>11</v>
      </c>
      <c r="D14">
        <v>1.8804350133156726E-2</v>
      </c>
      <c r="E14" t="s">
        <v>6</v>
      </c>
      <c r="G14" t="s">
        <v>523</v>
      </c>
      <c r="H14" t="s">
        <v>11</v>
      </c>
      <c r="I14">
        <v>2.386810556109584E-2</v>
      </c>
      <c r="J14" t="s">
        <v>6</v>
      </c>
    </row>
    <row r="15" spans="2:10" x14ac:dyDescent="0.45">
      <c r="B15" t="s">
        <v>522</v>
      </c>
      <c r="C15" t="s">
        <v>12</v>
      </c>
      <c r="D15">
        <v>5.2915467292753579E-2</v>
      </c>
      <c r="E15" t="s">
        <v>6</v>
      </c>
      <c r="G15" t="s">
        <v>523</v>
      </c>
      <c r="H15" t="s">
        <v>12</v>
      </c>
      <c r="I15">
        <v>1.9729443690329588E-2</v>
      </c>
      <c r="J15" t="s">
        <v>6</v>
      </c>
    </row>
    <row r="16" spans="2:10" x14ac:dyDescent="0.45">
      <c r="B16" t="s">
        <v>522</v>
      </c>
      <c r="C16" t="s">
        <v>13</v>
      </c>
      <c r="D16">
        <v>6.2984276112571166E-2</v>
      </c>
      <c r="E16" t="s">
        <v>6</v>
      </c>
      <c r="G16" t="s">
        <v>523</v>
      </c>
      <c r="H16" t="s">
        <v>13</v>
      </c>
      <c r="I16">
        <v>2.0094967944611887E-2</v>
      </c>
      <c r="J16" t="s">
        <v>6</v>
      </c>
    </row>
    <row r="17" spans="2:10" x14ac:dyDescent="0.45">
      <c r="B17" t="s">
        <v>522</v>
      </c>
      <c r="C17" t="s">
        <v>14</v>
      </c>
      <c r="D17">
        <v>4.125929829717729E-2</v>
      </c>
      <c r="E17" t="s">
        <v>6</v>
      </c>
      <c r="G17" t="s">
        <v>523</v>
      </c>
      <c r="H17" t="s">
        <v>14</v>
      </c>
      <c r="I17">
        <v>2.4148941848953415E-2</v>
      </c>
      <c r="J17" t="s">
        <v>6</v>
      </c>
    </row>
    <row r="18" spans="2:10" x14ac:dyDescent="0.45">
      <c r="B18" t="s">
        <v>522</v>
      </c>
      <c r="C18" t="s">
        <v>15</v>
      </c>
      <c r="D18">
        <v>6.5398899772218036E-3</v>
      </c>
      <c r="E18" t="s">
        <v>6</v>
      </c>
      <c r="G18" t="s">
        <v>523</v>
      </c>
      <c r="H18" t="s">
        <v>15</v>
      </c>
      <c r="I18">
        <v>2.7292710243768788E-2</v>
      </c>
      <c r="J18" t="s">
        <v>6</v>
      </c>
    </row>
    <row r="19" spans="2:10" x14ac:dyDescent="0.45">
      <c r="B19" t="s">
        <v>522</v>
      </c>
      <c r="C19" t="s">
        <v>16</v>
      </c>
      <c r="D19">
        <v>0</v>
      </c>
      <c r="E19" t="s">
        <v>6</v>
      </c>
      <c r="G19" t="s">
        <v>523</v>
      </c>
      <c r="H19" t="s">
        <v>16</v>
      </c>
      <c r="I19">
        <v>2.9628654013024554E-2</v>
      </c>
      <c r="J19" t="s">
        <v>6</v>
      </c>
    </row>
    <row r="20" spans="2:10" x14ac:dyDescent="0.45">
      <c r="B20" t="s">
        <v>522</v>
      </c>
      <c r="C20" t="s">
        <v>17</v>
      </c>
      <c r="D20">
        <v>0</v>
      </c>
      <c r="E20" t="s">
        <v>6</v>
      </c>
      <c r="G20" t="s">
        <v>523</v>
      </c>
      <c r="H20" t="s">
        <v>17</v>
      </c>
      <c r="I20">
        <v>4.3669635865188731E-2</v>
      </c>
      <c r="J20" t="s">
        <v>6</v>
      </c>
    </row>
    <row r="21" spans="2:10" x14ac:dyDescent="0.45">
      <c r="B21" t="s">
        <v>522</v>
      </c>
      <c r="C21" t="s">
        <v>18</v>
      </c>
      <c r="D21">
        <v>0</v>
      </c>
      <c r="E21" t="s">
        <v>6</v>
      </c>
      <c r="G21" t="s">
        <v>523</v>
      </c>
      <c r="H21" t="s">
        <v>18</v>
      </c>
      <c r="I21">
        <v>4.1797784861987215E-2</v>
      </c>
      <c r="J21" t="s">
        <v>6</v>
      </c>
    </row>
    <row r="22" spans="2:10" x14ac:dyDescent="0.45">
      <c r="B22" t="s">
        <v>522</v>
      </c>
      <c r="C22" t="s">
        <v>19</v>
      </c>
      <c r="D22">
        <v>1.9575829998340647E-4</v>
      </c>
      <c r="E22" t="s">
        <v>6</v>
      </c>
      <c r="G22" t="s">
        <v>523</v>
      </c>
      <c r="H22" t="s">
        <v>19</v>
      </c>
      <c r="I22">
        <v>1.5552001011103619E-2</v>
      </c>
      <c r="J22" t="s">
        <v>6</v>
      </c>
    </row>
    <row r="23" spans="2:10" x14ac:dyDescent="0.45">
      <c r="B23" t="s">
        <v>522</v>
      </c>
      <c r="C23" t="s">
        <v>20</v>
      </c>
      <c r="D23">
        <v>1.0365300887546343E-2</v>
      </c>
      <c r="E23" t="s">
        <v>6</v>
      </c>
      <c r="G23" t="s">
        <v>523</v>
      </c>
      <c r="H23" t="s">
        <v>20</v>
      </c>
      <c r="I23">
        <v>1.5163273540932108E-2</v>
      </c>
      <c r="J23" t="s">
        <v>6</v>
      </c>
    </row>
    <row r="24" spans="2:10" x14ac:dyDescent="0.45">
      <c r="B24" t="s">
        <v>522</v>
      </c>
      <c r="C24" t="s">
        <v>21</v>
      </c>
      <c r="D24">
        <v>4.4276362807748763E-2</v>
      </c>
      <c r="E24" t="s">
        <v>6</v>
      </c>
      <c r="G24" t="s">
        <v>523</v>
      </c>
      <c r="H24" t="s">
        <v>21</v>
      </c>
      <c r="I24">
        <v>1.525178159200756E-2</v>
      </c>
      <c r="J24" t="s">
        <v>6</v>
      </c>
    </row>
    <row r="25" spans="2:10" x14ac:dyDescent="0.45">
      <c r="B25" t="s">
        <v>522</v>
      </c>
      <c r="C25" t="s">
        <v>22</v>
      </c>
      <c r="D25">
        <v>7.1352386886303243E-2</v>
      </c>
      <c r="E25" t="s">
        <v>6</v>
      </c>
      <c r="G25" t="s">
        <v>523</v>
      </c>
      <c r="H25" t="s">
        <v>22</v>
      </c>
      <c r="I25">
        <v>1.4577815700820673E-2</v>
      </c>
      <c r="J25" t="s">
        <v>6</v>
      </c>
    </row>
    <row r="26" spans="2:10" x14ac:dyDescent="0.45">
      <c r="B26" t="s">
        <v>522</v>
      </c>
      <c r="C26" t="s">
        <v>23</v>
      </c>
      <c r="D26">
        <v>7.512678983130823E-2</v>
      </c>
      <c r="E26" t="s">
        <v>6</v>
      </c>
      <c r="G26" t="s">
        <v>523</v>
      </c>
      <c r="H26" t="s">
        <v>23</v>
      </c>
      <c r="I26">
        <v>1.8820905960576312E-2</v>
      </c>
      <c r="J26" t="s">
        <v>6</v>
      </c>
    </row>
    <row r="27" spans="2:10" x14ac:dyDescent="0.45">
      <c r="B27" t="s">
        <v>522</v>
      </c>
      <c r="C27" t="s">
        <v>24</v>
      </c>
      <c r="D27">
        <v>5.6287492218600355E-2</v>
      </c>
      <c r="E27" t="s">
        <v>6</v>
      </c>
      <c r="G27" t="s">
        <v>523</v>
      </c>
      <c r="H27" t="s">
        <v>24</v>
      </c>
      <c r="I27">
        <v>2.0892455826404813E-2</v>
      </c>
      <c r="J27" t="s">
        <v>6</v>
      </c>
    </row>
    <row r="28" spans="2:10" x14ac:dyDescent="0.45">
      <c r="B28" t="s">
        <v>522</v>
      </c>
      <c r="C28" t="s">
        <v>25</v>
      </c>
      <c r="D28">
        <v>2.446387967698567E-2</v>
      </c>
      <c r="E28" t="s">
        <v>6</v>
      </c>
      <c r="G28" t="s">
        <v>523</v>
      </c>
      <c r="H28" t="s">
        <v>25</v>
      </c>
      <c r="I28">
        <v>1.925196284886373E-2</v>
      </c>
      <c r="J28" t="s">
        <v>6</v>
      </c>
    </row>
    <row r="29" spans="2:10" x14ac:dyDescent="0.45">
      <c r="B29" t="s">
        <v>522</v>
      </c>
      <c r="C29" t="s">
        <v>26</v>
      </c>
      <c r="D29">
        <v>1.6704601279894505E-3</v>
      </c>
      <c r="E29" t="s">
        <v>6</v>
      </c>
      <c r="G29" t="s">
        <v>523</v>
      </c>
      <c r="H29" t="s">
        <v>26</v>
      </c>
      <c r="I29">
        <v>1.8355097400815486E-2</v>
      </c>
      <c r="J29" t="s">
        <v>6</v>
      </c>
    </row>
    <row r="30" spans="2:10" x14ac:dyDescent="0.45">
      <c r="B30" t="s">
        <v>522</v>
      </c>
      <c r="C30" t="s">
        <v>27</v>
      </c>
      <c r="D30">
        <v>0</v>
      </c>
      <c r="E30" t="s">
        <v>6</v>
      </c>
      <c r="G30" t="s">
        <v>523</v>
      </c>
      <c r="H30" t="s">
        <v>27</v>
      </c>
      <c r="I30">
        <v>2.7648662337943497E-2</v>
      </c>
      <c r="J30" t="s">
        <v>6</v>
      </c>
    </row>
    <row r="31" spans="2:10" x14ac:dyDescent="0.45">
      <c r="B31" t="s">
        <v>522</v>
      </c>
      <c r="C31" t="s">
        <v>28</v>
      </c>
      <c r="D31">
        <v>0</v>
      </c>
      <c r="E31" t="s">
        <v>6</v>
      </c>
      <c r="G31" t="s">
        <v>523</v>
      </c>
      <c r="H31" t="s">
        <v>28</v>
      </c>
      <c r="I31">
        <v>3.0872389321748468E-2</v>
      </c>
      <c r="J31" t="s">
        <v>6</v>
      </c>
    </row>
    <row r="32" spans="2:10" x14ac:dyDescent="0.45">
      <c r="B32" t="s">
        <v>522</v>
      </c>
      <c r="C32" t="s">
        <v>29</v>
      </c>
      <c r="D32">
        <v>6.4311924231207659E-4</v>
      </c>
      <c r="E32" t="s">
        <v>6</v>
      </c>
      <c r="G32" t="s">
        <v>523</v>
      </c>
      <c r="H32" t="s">
        <v>29</v>
      </c>
      <c r="I32">
        <v>1.0282540237549239E-2</v>
      </c>
      <c r="J32" t="s">
        <v>6</v>
      </c>
    </row>
    <row r="33" spans="2:10" x14ac:dyDescent="0.45">
      <c r="B33" t="s">
        <v>522</v>
      </c>
      <c r="C33" t="s">
        <v>30</v>
      </c>
      <c r="D33">
        <v>1.6091979702821002E-2</v>
      </c>
      <c r="E33" t="s">
        <v>6</v>
      </c>
      <c r="G33" t="s">
        <v>523</v>
      </c>
      <c r="H33" t="s">
        <v>30</v>
      </c>
      <c r="I33">
        <v>8.4778044551718449E-3</v>
      </c>
      <c r="J33" t="s">
        <v>6</v>
      </c>
    </row>
    <row r="34" spans="2:10" x14ac:dyDescent="0.45">
      <c r="B34" t="s">
        <v>522</v>
      </c>
      <c r="C34" t="s">
        <v>31</v>
      </c>
      <c r="D34">
        <v>5.3329148759352366E-2</v>
      </c>
      <c r="E34" t="s">
        <v>6</v>
      </c>
      <c r="G34" t="s">
        <v>523</v>
      </c>
      <c r="H34" t="s">
        <v>31</v>
      </c>
      <c r="I34">
        <v>8.8399251841238275E-3</v>
      </c>
      <c r="J34" t="s">
        <v>6</v>
      </c>
    </row>
    <row r="35" spans="2:10" x14ac:dyDescent="0.45">
      <c r="B35" t="s">
        <v>522</v>
      </c>
      <c r="C35" t="s">
        <v>32</v>
      </c>
      <c r="D35">
        <v>7.8372664316606167E-2</v>
      </c>
      <c r="E35" t="s">
        <v>6</v>
      </c>
      <c r="G35" t="s">
        <v>523</v>
      </c>
      <c r="H35" t="s">
        <v>32</v>
      </c>
      <c r="I35">
        <v>8.0287202336625039E-3</v>
      </c>
      <c r="J35" t="s">
        <v>6</v>
      </c>
    </row>
    <row r="36" spans="2:10" x14ac:dyDescent="0.45">
      <c r="B36" t="s">
        <v>522</v>
      </c>
      <c r="C36" t="s">
        <v>33</v>
      </c>
      <c r="D36">
        <v>8.1475510894432349E-2</v>
      </c>
      <c r="E36" t="s">
        <v>6</v>
      </c>
      <c r="G36" t="s">
        <v>523</v>
      </c>
      <c r="H36" t="s">
        <v>33</v>
      </c>
      <c r="I36">
        <v>1.1584740689101775E-2</v>
      </c>
      <c r="J36" t="s">
        <v>6</v>
      </c>
    </row>
    <row r="37" spans="2:10" x14ac:dyDescent="0.45">
      <c r="B37" t="s">
        <v>522</v>
      </c>
      <c r="C37" t="s">
        <v>34</v>
      </c>
      <c r="D37">
        <v>6.4149318835879862E-2</v>
      </c>
      <c r="E37" t="s">
        <v>6</v>
      </c>
      <c r="G37" t="s">
        <v>523</v>
      </c>
      <c r="H37" t="s">
        <v>34</v>
      </c>
      <c r="I37">
        <v>1.4263217987145497E-2</v>
      </c>
      <c r="J37" t="s">
        <v>6</v>
      </c>
    </row>
    <row r="38" spans="2:10" x14ac:dyDescent="0.45">
      <c r="B38" t="s">
        <v>522</v>
      </c>
      <c r="C38" t="s">
        <v>35</v>
      </c>
      <c r="D38">
        <v>3.2440012263197322E-2</v>
      </c>
      <c r="E38" t="s">
        <v>6</v>
      </c>
      <c r="G38" t="s">
        <v>523</v>
      </c>
      <c r="H38" t="s">
        <v>35</v>
      </c>
      <c r="I38">
        <v>1.4438537516905778E-2</v>
      </c>
      <c r="J38" t="s">
        <v>6</v>
      </c>
    </row>
    <row r="39" spans="2:10" x14ac:dyDescent="0.45">
      <c r="B39" t="s">
        <v>522</v>
      </c>
      <c r="C39" t="s">
        <v>36</v>
      </c>
      <c r="D39">
        <v>4.7505264704524423E-3</v>
      </c>
      <c r="E39" t="s">
        <v>6</v>
      </c>
      <c r="G39" t="s">
        <v>523</v>
      </c>
      <c r="H39" t="s">
        <v>36</v>
      </c>
      <c r="I39">
        <v>1.3345861948672336E-2</v>
      </c>
      <c r="J39" t="s">
        <v>6</v>
      </c>
    </row>
    <row r="40" spans="2:10" x14ac:dyDescent="0.45">
      <c r="B40" t="s">
        <v>522</v>
      </c>
      <c r="C40" t="s">
        <v>37</v>
      </c>
      <c r="D40">
        <v>0</v>
      </c>
      <c r="E40" t="s">
        <v>6</v>
      </c>
      <c r="G40" t="s">
        <v>523</v>
      </c>
      <c r="H40" t="s">
        <v>37</v>
      </c>
      <c r="I40">
        <v>1.978109705840185E-2</v>
      </c>
      <c r="J40" t="s">
        <v>6</v>
      </c>
    </row>
    <row r="41" spans="2:10" x14ac:dyDescent="0.45">
      <c r="B41" t="s">
        <v>522</v>
      </c>
      <c r="C41" t="s">
        <v>38</v>
      </c>
      <c r="D41">
        <v>0</v>
      </c>
      <c r="E41" t="s">
        <v>6</v>
      </c>
      <c r="G41" t="s">
        <v>523</v>
      </c>
      <c r="H41" t="s">
        <v>38</v>
      </c>
      <c r="I41">
        <v>6.8118801780879104E-2</v>
      </c>
      <c r="J41" t="s">
        <v>6</v>
      </c>
    </row>
    <row r="42" spans="2:10" x14ac:dyDescent="0.45">
      <c r="B42" t="s">
        <v>522</v>
      </c>
      <c r="C42" t="s">
        <v>39</v>
      </c>
      <c r="D42">
        <v>0</v>
      </c>
      <c r="E42" t="s">
        <v>6</v>
      </c>
      <c r="G42" t="s">
        <v>523</v>
      </c>
      <c r="H42" t="s">
        <v>39</v>
      </c>
      <c r="I42">
        <v>2.9512632933312268E-2</v>
      </c>
      <c r="J42" t="s">
        <v>6</v>
      </c>
    </row>
    <row r="43" spans="2:10" x14ac:dyDescent="0.45">
      <c r="B43" t="s">
        <v>522</v>
      </c>
      <c r="C43" t="s">
        <v>40</v>
      </c>
      <c r="D43">
        <v>3.3535998225044366E-3</v>
      </c>
      <c r="E43" t="s">
        <v>6</v>
      </c>
      <c r="G43" t="s">
        <v>523</v>
      </c>
      <c r="H43" t="s">
        <v>40</v>
      </c>
      <c r="I43">
        <v>3.1705333848890446E-2</v>
      </c>
      <c r="J43" t="s">
        <v>6</v>
      </c>
    </row>
    <row r="44" spans="2:10" x14ac:dyDescent="0.45">
      <c r="B44" t="s">
        <v>522</v>
      </c>
      <c r="C44" t="s">
        <v>41</v>
      </c>
      <c r="D44">
        <v>2.8841573250734165E-2</v>
      </c>
      <c r="E44" t="s">
        <v>6</v>
      </c>
      <c r="G44" t="s">
        <v>523</v>
      </c>
      <c r="H44" t="s">
        <v>41</v>
      </c>
      <c r="I44">
        <v>3.1196364332038019E-2</v>
      </c>
      <c r="J44" t="s">
        <v>6</v>
      </c>
    </row>
    <row r="45" spans="2:10" x14ac:dyDescent="0.45">
      <c r="B45" t="s">
        <v>522</v>
      </c>
      <c r="C45" t="s">
        <v>42</v>
      </c>
      <c r="D45">
        <v>5.5941914354876977E-2</v>
      </c>
      <c r="E45" t="s">
        <v>6</v>
      </c>
      <c r="G45" t="s">
        <v>523</v>
      </c>
      <c r="H45" t="s">
        <v>42</v>
      </c>
      <c r="I45">
        <v>2.821576482652579E-2</v>
      </c>
      <c r="J45" t="s">
        <v>6</v>
      </c>
    </row>
    <row r="46" spans="2:10" x14ac:dyDescent="0.45">
      <c r="B46" t="s">
        <v>522</v>
      </c>
      <c r="C46" t="s">
        <v>43</v>
      </c>
      <c r="D46">
        <v>6.1616723283259803E-2</v>
      </c>
      <c r="E46" t="s">
        <v>6</v>
      </c>
      <c r="G46" t="s">
        <v>523</v>
      </c>
      <c r="H46" t="s">
        <v>43</v>
      </c>
      <c r="I46">
        <v>3.0823085085341057E-2</v>
      </c>
      <c r="J46" t="s">
        <v>6</v>
      </c>
    </row>
    <row r="47" spans="2:10" x14ac:dyDescent="0.45">
      <c r="B47" t="s">
        <v>522</v>
      </c>
      <c r="C47" t="s">
        <v>44</v>
      </c>
      <c r="D47">
        <v>4.2190433986235211E-2</v>
      </c>
      <c r="E47" t="s">
        <v>6</v>
      </c>
      <c r="G47" t="s">
        <v>523</v>
      </c>
      <c r="H47" t="s">
        <v>44</v>
      </c>
      <c r="I47">
        <v>3.0268315601097062E-2</v>
      </c>
      <c r="J47" t="s">
        <v>6</v>
      </c>
    </row>
    <row r="48" spans="2:10" x14ac:dyDescent="0.45">
      <c r="B48" t="s">
        <v>522</v>
      </c>
      <c r="C48" t="s">
        <v>45</v>
      </c>
      <c r="D48">
        <v>1.0310484691627814E-2</v>
      </c>
      <c r="E48" t="s">
        <v>6</v>
      </c>
      <c r="G48" t="s">
        <v>523</v>
      </c>
      <c r="H48" t="s">
        <v>45</v>
      </c>
      <c r="I48">
        <v>2.7407324701815849E-2</v>
      </c>
      <c r="J48" t="s">
        <v>6</v>
      </c>
    </row>
    <row r="49" spans="2:10" x14ac:dyDescent="0.45">
      <c r="B49" t="s">
        <v>522</v>
      </c>
      <c r="C49" t="s">
        <v>46</v>
      </c>
      <c r="D49">
        <v>6.7960060574573481E-5</v>
      </c>
      <c r="E49" t="s">
        <v>6</v>
      </c>
      <c r="G49" t="s">
        <v>523</v>
      </c>
      <c r="H49" t="s">
        <v>46</v>
      </c>
      <c r="I49">
        <v>2.7335902637490809E-2</v>
      </c>
      <c r="J49" t="s">
        <v>6</v>
      </c>
    </row>
    <row r="50" spans="2:10" x14ac:dyDescent="0.45">
      <c r="B50" t="s">
        <v>522</v>
      </c>
      <c r="C50" t="s">
        <v>47</v>
      </c>
      <c r="D50">
        <v>0</v>
      </c>
      <c r="E50" t="s">
        <v>6</v>
      </c>
      <c r="G50" t="s">
        <v>523</v>
      </c>
      <c r="H50" t="s">
        <v>47</v>
      </c>
      <c r="I50">
        <v>4.2571897073187731E-2</v>
      </c>
      <c r="J50" t="s">
        <v>6</v>
      </c>
    </row>
    <row r="51" spans="2:10" x14ac:dyDescent="0.45">
      <c r="B51" t="s">
        <v>524</v>
      </c>
      <c r="C51" t="s">
        <v>5</v>
      </c>
      <c r="D51">
        <v>0</v>
      </c>
      <c r="E51" t="s">
        <v>6</v>
      </c>
      <c r="G51" t="s">
        <v>525</v>
      </c>
      <c r="H51" t="s">
        <v>5</v>
      </c>
      <c r="I51">
        <v>7.1760760712919938E-2</v>
      </c>
      <c r="J51" t="s">
        <v>6</v>
      </c>
    </row>
    <row r="52" spans="2:10" x14ac:dyDescent="0.45">
      <c r="B52" t="s">
        <v>524</v>
      </c>
      <c r="C52" t="s">
        <v>9</v>
      </c>
      <c r="D52">
        <v>0</v>
      </c>
      <c r="E52" t="s">
        <v>6</v>
      </c>
      <c r="G52" t="s">
        <v>525</v>
      </c>
      <c r="H52" t="s">
        <v>9</v>
      </c>
      <c r="I52">
        <v>2.7678925715480161E-2</v>
      </c>
      <c r="J52" t="s">
        <v>6</v>
      </c>
    </row>
    <row r="53" spans="2:10" x14ac:dyDescent="0.45">
      <c r="B53" t="s">
        <v>524</v>
      </c>
      <c r="C53" t="s">
        <v>10</v>
      </c>
      <c r="D53">
        <v>1.8816193887138304E-4</v>
      </c>
      <c r="E53" t="s">
        <v>6</v>
      </c>
      <c r="G53" t="s">
        <v>525</v>
      </c>
      <c r="H53" t="s">
        <v>10</v>
      </c>
      <c r="I53">
        <v>2.7748651353503823E-2</v>
      </c>
      <c r="J53" t="s">
        <v>6</v>
      </c>
    </row>
    <row r="54" spans="2:10" x14ac:dyDescent="0.45">
      <c r="B54" t="s">
        <v>524</v>
      </c>
      <c r="C54" t="s">
        <v>11</v>
      </c>
      <c r="D54">
        <v>1.786866226549795E-2</v>
      </c>
      <c r="E54" t="s">
        <v>6</v>
      </c>
      <c r="G54" t="s">
        <v>525</v>
      </c>
      <c r="H54" t="s">
        <v>11</v>
      </c>
      <c r="I54">
        <v>2.6657717730267452E-2</v>
      </c>
      <c r="J54" t="s">
        <v>6</v>
      </c>
    </row>
    <row r="55" spans="2:10" x14ac:dyDescent="0.45">
      <c r="B55" t="s">
        <v>524</v>
      </c>
      <c r="C55" t="s">
        <v>12</v>
      </c>
      <c r="D55">
        <v>5.0254505754021309E-2</v>
      </c>
      <c r="E55" t="s">
        <v>6</v>
      </c>
      <c r="G55" t="s">
        <v>525</v>
      </c>
      <c r="H55" t="s">
        <v>12</v>
      </c>
      <c r="I55">
        <v>2.2012442449490618E-2</v>
      </c>
      <c r="J55" t="s">
        <v>6</v>
      </c>
    </row>
    <row r="56" spans="2:10" x14ac:dyDescent="0.45">
      <c r="B56" t="s">
        <v>524</v>
      </c>
      <c r="C56" t="s">
        <v>13</v>
      </c>
      <c r="D56">
        <v>6.0032819290046432E-2</v>
      </c>
      <c r="E56" t="s">
        <v>6</v>
      </c>
      <c r="G56" t="s">
        <v>525</v>
      </c>
      <c r="H56" t="s">
        <v>13</v>
      </c>
      <c r="I56">
        <v>2.2062716760206522E-2</v>
      </c>
      <c r="J56" t="s">
        <v>6</v>
      </c>
    </row>
    <row r="57" spans="2:10" x14ac:dyDescent="0.45">
      <c r="B57" t="s">
        <v>524</v>
      </c>
      <c r="C57" t="s">
        <v>14</v>
      </c>
      <c r="D57">
        <v>3.8504160390906074E-2</v>
      </c>
      <c r="E57" t="s">
        <v>6</v>
      </c>
      <c r="G57" t="s">
        <v>525</v>
      </c>
      <c r="H57" t="s">
        <v>14</v>
      </c>
      <c r="I57">
        <v>2.4586999999506223E-2</v>
      </c>
      <c r="J57" t="s">
        <v>6</v>
      </c>
    </row>
    <row r="58" spans="2:10" x14ac:dyDescent="0.45">
      <c r="B58" t="s">
        <v>524</v>
      </c>
      <c r="C58" t="s">
        <v>15</v>
      </c>
      <c r="D58">
        <v>5.0609400758526825E-3</v>
      </c>
      <c r="E58" t="s">
        <v>6</v>
      </c>
      <c r="G58" t="s">
        <v>525</v>
      </c>
      <c r="H58" t="s">
        <v>15</v>
      </c>
      <c r="I58">
        <v>2.7473389785622901E-2</v>
      </c>
      <c r="J58" t="s">
        <v>6</v>
      </c>
    </row>
    <row r="59" spans="2:10" x14ac:dyDescent="0.45">
      <c r="B59" t="s">
        <v>524</v>
      </c>
      <c r="C59" t="s">
        <v>16</v>
      </c>
      <c r="D59">
        <v>0</v>
      </c>
      <c r="E59" t="s">
        <v>6</v>
      </c>
      <c r="G59" t="s">
        <v>525</v>
      </c>
      <c r="H59" t="s">
        <v>16</v>
      </c>
      <c r="I59">
        <v>3.0492369934885816E-2</v>
      </c>
      <c r="J59" t="s">
        <v>6</v>
      </c>
    </row>
    <row r="60" spans="2:10" x14ac:dyDescent="0.45">
      <c r="B60" t="s">
        <v>524</v>
      </c>
      <c r="C60" t="s">
        <v>17</v>
      </c>
      <c r="D60">
        <v>0</v>
      </c>
      <c r="E60" t="s">
        <v>6</v>
      </c>
      <c r="G60" t="s">
        <v>525</v>
      </c>
      <c r="H60" t="s">
        <v>17</v>
      </c>
      <c r="I60">
        <v>4.6239059201460264E-2</v>
      </c>
      <c r="J60" t="s">
        <v>6</v>
      </c>
    </row>
    <row r="61" spans="2:10" x14ac:dyDescent="0.45">
      <c r="B61" t="s">
        <v>524</v>
      </c>
      <c r="C61" t="s">
        <v>18</v>
      </c>
      <c r="D61">
        <v>0</v>
      </c>
      <c r="E61" t="s">
        <v>6</v>
      </c>
      <c r="G61" t="s">
        <v>525</v>
      </c>
      <c r="H61" t="s">
        <v>18</v>
      </c>
      <c r="I61">
        <v>4.4664025782829464E-2</v>
      </c>
      <c r="J61" t="s">
        <v>6</v>
      </c>
    </row>
    <row r="62" spans="2:10" x14ac:dyDescent="0.45">
      <c r="B62" t="s">
        <v>524</v>
      </c>
      <c r="C62" t="s">
        <v>19</v>
      </c>
      <c r="D62">
        <v>2.6195451976142282E-4</v>
      </c>
      <c r="E62" t="s">
        <v>6</v>
      </c>
      <c r="G62" t="s">
        <v>525</v>
      </c>
      <c r="H62" t="s">
        <v>19</v>
      </c>
      <c r="I62">
        <v>1.7362187006584942E-2</v>
      </c>
      <c r="J62" t="s">
        <v>6</v>
      </c>
    </row>
    <row r="63" spans="2:10" x14ac:dyDescent="0.45">
      <c r="B63" t="s">
        <v>524</v>
      </c>
      <c r="C63" t="s">
        <v>20</v>
      </c>
      <c r="D63">
        <v>1.1314202987106737E-2</v>
      </c>
      <c r="E63" t="s">
        <v>6</v>
      </c>
      <c r="G63" t="s">
        <v>525</v>
      </c>
      <c r="H63" t="s">
        <v>20</v>
      </c>
      <c r="I63">
        <v>1.6970944532069279E-2</v>
      </c>
      <c r="J63" t="s">
        <v>6</v>
      </c>
    </row>
    <row r="64" spans="2:10" x14ac:dyDescent="0.45">
      <c r="B64" t="s">
        <v>524</v>
      </c>
      <c r="C64" t="s">
        <v>21</v>
      </c>
      <c r="D64">
        <v>4.5304261827645263E-2</v>
      </c>
      <c r="E64" t="s">
        <v>6</v>
      </c>
      <c r="G64" t="s">
        <v>525</v>
      </c>
      <c r="H64" t="s">
        <v>21</v>
      </c>
      <c r="I64">
        <v>1.6119080632355669E-2</v>
      </c>
      <c r="J64" t="s">
        <v>6</v>
      </c>
    </row>
    <row r="65" spans="2:10" x14ac:dyDescent="0.45">
      <c r="B65" t="s">
        <v>524</v>
      </c>
      <c r="C65" t="s">
        <v>22</v>
      </c>
      <c r="D65">
        <v>7.2199405104703421E-2</v>
      </c>
      <c r="E65" t="s">
        <v>6</v>
      </c>
      <c r="G65" t="s">
        <v>525</v>
      </c>
      <c r="H65" t="s">
        <v>22</v>
      </c>
      <c r="I65">
        <v>1.3281413035493623E-2</v>
      </c>
      <c r="J65" t="s">
        <v>6</v>
      </c>
    </row>
    <row r="66" spans="2:10" x14ac:dyDescent="0.45">
      <c r="B66" t="s">
        <v>524</v>
      </c>
      <c r="C66" t="s">
        <v>23</v>
      </c>
      <c r="D66">
        <v>7.6720386716456021E-2</v>
      </c>
      <c r="E66" t="s">
        <v>6</v>
      </c>
      <c r="G66" t="s">
        <v>525</v>
      </c>
      <c r="H66" t="s">
        <v>23</v>
      </c>
      <c r="I66">
        <v>1.5927393115807827E-2</v>
      </c>
      <c r="J66" t="s">
        <v>6</v>
      </c>
    </row>
    <row r="67" spans="2:10" x14ac:dyDescent="0.45">
      <c r="B67" t="s">
        <v>524</v>
      </c>
      <c r="C67" t="s">
        <v>24</v>
      </c>
      <c r="D67">
        <v>5.6077526414339114E-2</v>
      </c>
      <c r="E67" t="s">
        <v>6</v>
      </c>
      <c r="G67" t="s">
        <v>525</v>
      </c>
      <c r="H67" t="s">
        <v>24</v>
      </c>
      <c r="I67">
        <v>1.7497523869333148E-2</v>
      </c>
      <c r="J67" t="s">
        <v>6</v>
      </c>
    </row>
    <row r="68" spans="2:10" x14ac:dyDescent="0.45">
      <c r="B68" t="s">
        <v>524</v>
      </c>
      <c r="C68" t="s">
        <v>25</v>
      </c>
      <c r="D68">
        <v>2.3573570722495909E-2</v>
      </c>
      <c r="E68" t="s">
        <v>6</v>
      </c>
      <c r="G68" t="s">
        <v>525</v>
      </c>
      <c r="H68" t="s">
        <v>25</v>
      </c>
      <c r="I68">
        <v>1.6276115817647624E-2</v>
      </c>
      <c r="J68" t="s">
        <v>6</v>
      </c>
    </row>
    <row r="69" spans="2:10" x14ac:dyDescent="0.45">
      <c r="B69" t="s">
        <v>524</v>
      </c>
      <c r="C69" t="s">
        <v>26</v>
      </c>
      <c r="D69">
        <v>1.4573324683229659E-3</v>
      </c>
      <c r="E69" t="s">
        <v>6</v>
      </c>
      <c r="G69" t="s">
        <v>525</v>
      </c>
      <c r="H69" t="s">
        <v>26</v>
      </c>
      <c r="I69">
        <v>1.7624054940501611E-2</v>
      </c>
      <c r="J69" t="s">
        <v>6</v>
      </c>
    </row>
    <row r="70" spans="2:10" x14ac:dyDescent="0.45">
      <c r="B70" t="s">
        <v>524</v>
      </c>
      <c r="C70" t="s">
        <v>27</v>
      </c>
      <c r="D70">
        <v>0</v>
      </c>
      <c r="E70" t="s">
        <v>6</v>
      </c>
      <c r="G70" t="s">
        <v>525</v>
      </c>
      <c r="H70" t="s">
        <v>27</v>
      </c>
      <c r="I70">
        <v>2.7931587569228436E-2</v>
      </c>
      <c r="J70" t="s">
        <v>6</v>
      </c>
    </row>
    <row r="71" spans="2:10" x14ac:dyDescent="0.45">
      <c r="B71" t="s">
        <v>524</v>
      </c>
      <c r="C71" t="s">
        <v>28</v>
      </c>
      <c r="D71">
        <v>0</v>
      </c>
      <c r="E71" t="s">
        <v>6</v>
      </c>
      <c r="G71" t="s">
        <v>525</v>
      </c>
      <c r="H71" t="s">
        <v>28</v>
      </c>
      <c r="I71">
        <v>3.230564413965982E-2</v>
      </c>
      <c r="J71" t="s">
        <v>6</v>
      </c>
    </row>
    <row r="72" spans="2:10" x14ac:dyDescent="0.45">
      <c r="B72" t="s">
        <v>524</v>
      </c>
      <c r="C72" t="s">
        <v>29</v>
      </c>
      <c r="D72">
        <v>7.886113070044048E-4</v>
      </c>
      <c r="E72" t="s">
        <v>6</v>
      </c>
      <c r="G72" t="s">
        <v>525</v>
      </c>
      <c r="H72" t="s">
        <v>29</v>
      </c>
      <c r="I72">
        <v>1.1087524650429665E-2</v>
      </c>
      <c r="J72" t="s">
        <v>6</v>
      </c>
    </row>
    <row r="73" spans="2:10" x14ac:dyDescent="0.45">
      <c r="B73" t="s">
        <v>524</v>
      </c>
      <c r="C73" t="s">
        <v>30</v>
      </c>
      <c r="D73">
        <v>1.7512701054345114E-2</v>
      </c>
      <c r="E73" t="s">
        <v>6</v>
      </c>
      <c r="G73" t="s">
        <v>525</v>
      </c>
      <c r="H73" t="s">
        <v>30</v>
      </c>
      <c r="I73">
        <v>9.2138074738008224E-3</v>
      </c>
      <c r="J73" t="s">
        <v>6</v>
      </c>
    </row>
    <row r="74" spans="2:10" x14ac:dyDescent="0.45">
      <c r="B74" t="s">
        <v>524</v>
      </c>
      <c r="C74" t="s">
        <v>31</v>
      </c>
      <c r="D74">
        <v>5.482788913703264E-2</v>
      </c>
      <c r="E74" t="s">
        <v>6</v>
      </c>
      <c r="G74" t="s">
        <v>525</v>
      </c>
      <c r="H74" t="s">
        <v>31</v>
      </c>
      <c r="I74">
        <v>8.8206532814280297E-3</v>
      </c>
      <c r="J74" t="s">
        <v>6</v>
      </c>
    </row>
    <row r="75" spans="2:10" x14ac:dyDescent="0.45">
      <c r="B75" t="s">
        <v>524</v>
      </c>
      <c r="C75" t="s">
        <v>32</v>
      </c>
      <c r="D75">
        <v>8.0111272317297116E-2</v>
      </c>
      <c r="E75" t="s">
        <v>6</v>
      </c>
      <c r="G75" t="s">
        <v>525</v>
      </c>
      <c r="H75" t="s">
        <v>32</v>
      </c>
      <c r="I75">
        <v>7.9590600197293783E-3</v>
      </c>
      <c r="J75" t="s">
        <v>6</v>
      </c>
    </row>
    <row r="76" spans="2:10" x14ac:dyDescent="0.45">
      <c r="B76" t="s">
        <v>524</v>
      </c>
      <c r="C76" t="s">
        <v>33</v>
      </c>
      <c r="D76">
        <v>8.3967578831893847E-2</v>
      </c>
      <c r="E76" t="s">
        <v>6</v>
      </c>
      <c r="G76" t="s">
        <v>525</v>
      </c>
      <c r="H76" t="s">
        <v>33</v>
      </c>
      <c r="I76">
        <v>9.9732051929321327E-3</v>
      </c>
      <c r="J76" t="s">
        <v>6</v>
      </c>
    </row>
    <row r="77" spans="2:10" x14ac:dyDescent="0.45">
      <c r="B77" t="s">
        <v>524</v>
      </c>
      <c r="C77" t="s">
        <v>34</v>
      </c>
      <c r="D77">
        <v>6.7317303408793397E-2</v>
      </c>
      <c r="E77" t="s">
        <v>6</v>
      </c>
      <c r="G77" t="s">
        <v>525</v>
      </c>
      <c r="H77" t="s">
        <v>34</v>
      </c>
      <c r="I77">
        <v>1.1741012756232945E-2</v>
      </c>
      <c r="J77" t="s">
        <v>6</v>
      </c>
    </row>
    <row r="78" spans="2:10" x14ac:dyDescent="0.45">
      <c r="B78" t="s">
        <v>524</v>
      </c>
      <c r="C78" t="s">
        <v>35</v>
      </c>
      <c r="D78">
        <v>3.3131163208789186E-2</v>
      </c>
      <c r="E78" t="s">
        <v>6</v>
      </c>
      <c r="G78" t="s">
        <v>525</v>
      </c>
      <c r="H78" t="s">
        <v>35</v>
      </c>
      <c r="I78">
        <v>1.2985682398674005E-2</v>
      </c>
      <c r="J78" t="s">
        <v>6</v>
      </c>
    </row>
    <row r="79" spans="2:10" x14ac:dyDescent="0.45">
      <c r="B79" t="s">
        <v>524</v>
      </c>
      <c r="C79" t="s">
        <v>36</v>
      </c>
      <c r="D79">
        <v>4.393212685917791E-3</v>
      </c>
      <c r="E79" t="s">
        <v>6</v>
      </c>
      <c r="G79" t="s">
        <v>525</v>
      </c>
      <c r="H79" t="s">
        <v>36</v>
      </c>
      <c r="I79">
        <v>1.2368189549233854E-2</v>
      </c>
      <c r="J79" t="s">
        <v>6</v>
      </c>
    </row>
    <row r="80" spans="2:10" x14ac:dyDescent="0.45">
      <c r="B80" t="s">
        <v>524</v>
      </c>
      <c r="C80" t="s">
        <v>37</v>
      </c>
      <c r="D80">
        <v>0</v>
      </c>
      <c r="E80" t="s">
        <v>6</v>
      </c>
      <c r="G80" t="s">
        <v>525</v>
      </c>
      <c r="H80" t="s">
        <v>37</v>
      </c>
      <c r="I80">
        <v>1.8956836128286192E-2</v>
      </c>
      <c r="J80" t="s">
        <v>6</v>
      </c>
    </row>
    <row r="81" spans="2:10" x14ac:dyDescent="0.45">
      <c r="B81" t="s">
        <v>524</v>
      </c>
      <c r="C81" t="s">
        <v>38</v>
      </c>
      <c r="D81">
        <v>0</v>
      </c>
      <c r="E81" t="s">
        <v>6</v>
      </c>
      <c r="G81" t="s">
        <v>525</v>
      </c>
      <c r="H81" t="s">
        <v>38</v>
      </c>
      <c r="I81">
        <v>7.3853933889759041E-2</v>
      </c>
      <c r="J81" t="s">
        <v>6</v>
      </c>
    </row>
    <row r="82" spans="2:10" x14ac:dyDescent="0.45">
      <c r="B82" t="s">
        <v>524</v>
      </c>
      <c r="C82" t="s">
        <v>39</v>
      </c>
      <c r="D82">
        <v>0</v>
      </c>
      <c r="E82" t="s">
        <v>6</v>
      </c>
      <c r="G82" t="s">
        <v>525</v>
      </c>
      <c r="H82" t="s">
        <v>39</v>
      </c>
      <c r="I82">
        <v>2.9030597640090697E-2</v>
      </c>
      <c r="J82" t="s">
        <v>6</v>
      </c>
    </row>
    <row r="83" spans="2:10" x14ac:dyDescent="0.45">
      <c r="B83" t="s">
        <v>524</v>
      </c>
      <c r="C83" t="s">
        <v>40</v>
      </c>
      <c r="D83">
        <v>3.819998564130715E-3</v>
      </c>
      <c r="E83" t="s">
        <v>6</v>
      </c>
      <c r="G83" t="s">
        <v>525</v>
      </c>
      <c r="H83" t="s">
        <v>40</v>
      </c>
      <c r="I83">
        <v>2.9414191626505149E-2</v>
      </c>
      <c r="J83" t="s">
        <v>6</v>
      </c>
    </row>
    <row r="84" spans="2:10" x14ac:dyDescent="0.45">
      <c r="B84" t="s">
        <v>524</v>
      </c>
      <c r="C84" t="s">
        <v>41</v>
      </c>
      <c r="D84">
        <v>2.9043818651674148E-2</v>
      </c>
      <c r="E84" t="s">
        <v>6</v>
      </c>
      <c r="G84" t="s">
        <v>525</v>
      </c>
      <c r="H84" t="s">
        <v>41</v>
      </c>
      <c r="I84">
        <v>2.8199013350302858E-2</v>
      </c>
      <c r="J84" t="s">
        <v>6</v>
      </c>
    </row>
    <row r="85" spans="2:10" x14ac:dyDescent="0.45">
      <c r="B85" t="s">
        <v>524</v>
      </c>
      <c r="C85" t="s">
        <v>42</v>
      </c>
      <c r="D85">
        <v>5.5237833049638405E-2</v>
      </c>
      <c r="E85" t="s">
        <v>6</v>
      </c>
      <c r="G85" t="s">
        <v>525</v>
      </c>
      <c r="H85" t="s">
        <v>42</v>
      </c>
      <c r="I85">
        <v>2.5833303547700946E-2</v>
      </c>
      <c r="J85" t="s">
        <v>6</v>
      </c>
    </row>
    <row r="86" spans="2:10" x14ac:dyDescent="0.45">
      <c r="B86" t="s">
        <v>524</v>
      </c>
      <c r="C86" t="s">
        <v>43</v>
      </c>
      <c r="D86">
        <v>6.0325919043868692E-2</v>
      </c>
      <c r="E86" t="s">
        <v>6</v>
      </c>
      <c r="G86" t="s">
        <v>525</v>
      </c>
      <c r="H86" t="s">
        <v>43</v>
      </c>
      <c r="I86">
        <v>2.6727742152788222E-2</v>
      </c>
      <c r="J86" t="s">
        <v>6</v>
      </c>
    </row>
    <row r="87" spans="2:10" x14ac:dyDescent="0.45">
      <c r="B87" t="s">
        <v>524</v>
      </c>
      <c r="C87" t="s">
        <v>44</v>
      </c>
      <c r="D87">
        <v>4.0897828540593664E-2</v>
      </c>
      <c r="E87" t="s">
        <v>6</v>
      </c>
      <c r="G87" t="s">
        <v>525</v>
      </c>
      <c r="H87" t="s">
        <v>44</v>
      </c>
      <c r="I87">
        <v>2.6533611031992109E-2</v>
      </c>
      <c r="J87" t="s">
        <v>6</v>
      </c>
    </row>
    <row r="88" spans="2:10" x14ac:dyDescent="0.45">
      <c r="B88" t="s">
        <v>524</v>
      </c>
      <c r="C88" t="s">
        <v>45</v>
      </c>
      <c r="D88">
        <v>9.7612651933541017E-3</v>
      </c>
      <c r="E88" t="s">
        <v>6</v>
      </c>
      <c r="G88" t="s">
        <v>525</v>
      </c>
      <c r="H88" t="s">
        <v>45</v>
      </c>
      <c r="I88">
        <v>2.5509300873062198E-2</v>
      </c>
      <c r="J88" t="s">
        <v>6</v>
      </c>
    </row>
    <row r="89" spans="2:10" x14ac:dyDescent="0.45">
      <c r="B89" t="s">
        <v>524</v>
      </c>
      <c r="C89" t="s">
        <v>46</v>
      </c>
      <c r="D89">
        <v>4.5714529641237778E-5</v>
      </c>
      <c r="E89" t="s">
        <v>6</v>
      </c>
      <c r="G89" t="s">
        <v>525</v>
      </c>
      <c r="H89" t="s">
        <v>46</v>
      </c>
      <c r="I89">
        <v>2.6402455779132188E-2</v>
      </c>
      <c r="J89" t="s">
        <v>6</v>
      </c>
    </row>
    <row r="90" spans="2:10" x14ac:dyDescent="0.45">
      <c r="B90" t="s">
        <v>524</v>
      </c>
      <c r="C90" t="s">
        <v>47</v>
      </c>
      <c r="D90">
        <v>0</v>
      </c>
      <c r="E90" t="s">
        <v>6</v>
      </c>
      <c r="G90" t="s">
        <v>525</v>
      </c>
      <c r="H90" t="s">
        <v>47</v>
      </c>
      <c r="I90">
        <v>4.271687457306441E-2</v>
      </c>
      <c r="J90" t="s">
        <v>6</v>
      </c>
    </row>
    <row r="91" spans="2:10" x14ac:dyDescent="0.45">
      <c r="B91" t="s">
        <v>526</v>
      </c>
      <c r="C91" t="s">
        <v>5</v>
      </c>
      <c r="D91">
        <v>0</v>
      </c>
      <c r="E91" t="s">
        <v>6</v>
      </c>
      <c r="G91" t="s">
        <v>527</v>
      </c>
      <c r="H91" t="s">
        <v>5</v>
      </c>
      <c r="I91">
        <v>6.7092949933479348E-2</v>
      </c>
      <c r="J91" t="s">
        <v>6</v>
      </c>
    </row>
    <row r="92" spans="2:10" x14ac:dyDescent="0.45">
      <c r="B92" t="s">
        <v>526</v>
      </c>
      <c r="C92" t="s">
        <v>9</v>
      </c>
      <c r="D92">
        <v>0</v>
      </c>
      <c r="E92" t="s">
        <v>6</v>
      </c>
      <c r="G92" t="s">
        <v>527</v>
      </c>
      <c r="H92" t="s">
        <v>9</v>
      </c>
      <c r="I92">
        <v>2.5738557232847546E-2</v>
      </c>
      <c r="J92" t="s">
        <v>6</v>
      </c>
    </row>
    <row r="93" spans="2:10" x14ac:dyDescent="0.45">
      <c r="B93" t="s">
        <v>526</v>
      </c>
      <c r="C93" t="s">
        <v>10</v>
      </c>
      <c r="D93">
        <v>7.6465964687376782E-5</v>
      </c>
      <c r="E93" t="s">
        <v>6</v>
      </c>
      <c r="G93" t="s">
        <v>527</v>
      </c>
      <c r="H93" t="s">
        <v>10</v>
      </c>
      <c r="I93">
        <v>2.6373523125061887E-2</v>
      </c>
      <c r="J93" t="s">
        <v>6</v>
      </c>
    </row>
    <row r="94" spans="2:10" x14ac:dyDescent="0.45">
      <c r="B94" t="s">
        <v>526</v>
      </c>
      <c r="C94" t="s">
        <v>11</v>
      </c>
      <c r="D94">
        <v>1.5480395260268011E-2</v>
      </c>
      <c r="E94" t="s">
        <v>6</v>
      </c>
      <c r="G94" t="s">
        <v>527</v>
      </c>
      <c r="H94" t="s">
        <v>11</v>
      </c>
      <c r="I94">
        <v>2.6041298763630115E-2</v>
      </c>
      <c r="J94" t="s">
        <v>6</v>
      </c>
    </row>
    <row r="95" spans="2:10" x14ac:dyDescent="0.45">
      <c r="B95" t="s">
        <v>526</v>
      </c>
      <c r="C95" t="s">
        <v>12</v>
      </c>
      <c r="D95">
        <v>4.7700223253721849E-2</v>
      </c>
      <c r="E95" t="s">
        <v>6</v>
      </c>
      <c r="G95" t="s">
        <v>527</v>
      </c>
      <c r="H95" t="s">
        <v>12</v>
      </c>
      <c r="I95">
        <v>2.105892719975485E-2</v>
      </c>
      <c r="J95" t="s">
        <v>6</v>
      </c>
    </row>
    <row r="96" spans="2:10" x14ac:dyDescent="0.45">
      <c r="B96" t="s">
        <v>526</v>
      </c>
      <c r="C96" t="s">
        <v>13</v>
      </c>
      <c r="D96">
        <v>5.7864428823913655E-2</v>
      </c>
      <c r="E96" t="s">
        <v>6</v>
      </c>
      <c r="G96" t="s">
        <v>527</v>
      </c>
      <c r="H96" t="s">
        <v>13</v>
      </c>
      <c r="I96">
        <v>2.2516915470288095E-2</v>
      </c>
      <c r="J96" t="s">
        <v>6</v>
      </c>
    </row>
    <row r="97" spans="2:10" x14ac:dyDescent="0.45">
      <c r="B97" t="s">
        <v>526</v>
      </c>
      <c r="C97" t="s">
        <v>14</v>
      </c>
      <c r="D97">
        <v>3.7304553927312731E-2</v>
      </c>
      <c r="E97" t="s">
        <v>6</v>
      </c>
      <c r="G97" t="s">
        <v>527</v>
      </c>
      <c r="H97" t="s">
        <v>14</v>
      </c>
      <c r="I97">
        <v>2.5388433871449883E-2</v>
      </c>
      <c r="J97" t="s">
        <v>6</v>
      </c>
    </row>
    <row r="98" spans="2:10" x14ac:dyDescent="0.45">
      <c r="B98" t="s">
        <v>526</v>
      </c>
      <c r="C98" t="s">
        <v>15</v>
      </c>
      <c r="D98">
        <v>6.1984088739541164E-3</v>
      </c>
      <c r="E98" t="s">
        <v>6</v>
      </c>
      <c r="G98" t="s">
        <v>527</v>
      </c>
      <c r="H98" t="s">
        <v>15</v>
      </c>
      <c r="I98">
        <v>2.7159018504885574E-2</v>
      </c>
      <c r="J98" t="s">
        <v>6</v>
      </c>
    </row>
    <row r="99" spans="2:10" x14ac:dyDescent="0.45">
      <c r="B99" t="s">
        <v>526</v>
      </c>
      <c r="C99" t="s">
        <v>16</v>
      </c>
      <c r="D99">
        <v>0</v>
      </c>
      <c r="E99" t="s">
        <v>6</v>
      </c>
      <c r="G99" t="s">
        <v>527</v>
      </c>
      <c r="H99" t="s">
        <v>16</v>
      </c>
      <c r="I99">
        <v>2.9053575424230007E-2</v>
      </c>
      <c r="J99" t="s">
        <v>6</v>
      </c>
    </row>
    <row r="100" spans="2:10" x14ac:dyDescent="0.45">
      <c r="B100" t="s">
        <v>526</v>
      </c>
      <c r="C100" t="s">
        <v>17</v>
      </c>
      <c r="D100">
        <v>0</v>
      </c>
      <c r="E100" t="s">
        <v>6</v>
      </c>
      <c r="G100" t="s">
        <v>527</v>
      </c>
      <c r="H100" t="s">
        <v>17</v>
      </c>
      <c r="I100">
        <v>4.5072638833430045E-2</v>
      </c>
      <c r="J100" t="s">
        <v>6</v>
      </c>
    </row>
    <row r="101" spans="2:10" x14ac:dyDescent="0.45">
      <c r="B101" t="s">
        <v>526</v>
      </c>
      <c r="C101" t="s">
        <v>18</v>
      </c>
      <c r="D101">
        <v>0</v>
      </c>
      <c r="E101" t="s">
        <v>6</v>
      </c>
      <c r="G101" t="s">
        <v>527</v>
      </c>
      <c r="H101" t="s">
        <v>18</v>
      </c>
      <c r="I101">
        <v>4.1246043445198381E-2</v>
      </c>
      <c r="J101" t="s">
        <v>6</v>
      </c>
    </row>
    <row r="102" spans="2:10" x14ac:dyDescent="0.45">
      <c r="B102" t="s">
        <v>526</v>
      </c>
      <c r="C102" t="s">
        <v>19</v>
      </c>
      <c r="D102">
        <v>1.6280171020493267E-4</v>
      </c>
      <c r="E102" t="s">
        <v>6</v>
      </c>
      <c r="G102" t="s">
        <v>527</v>
      </c>
      <c r="H102" t="s">
        <v>19</v>
      </c>
      <c r="I102">
        <v>1.5052387031541648E-2</v>
      </c>
      <c r="J102" t="s">
        <v>6</v>
      </c>
    </row>
    <row r="103" spans="2:10" x14ac:dyDescent="0.45">
      <c r="B103" t="s">
        <v>526</v>
      </c>
      <c r="C103" t="s">
        <v>20</v>
      </c>
      <c r="D103">
        <v>9.737042439734455E-3</v>
      </c>
      <c r="E103" t="s">
        <v>6</v>
      </c>
      <c r="G103" t="s">
        <v>527</v>
      </c>
      <c r="H103" t="s">
        <v>20</v>
      </c>
      <c r="I103">
        <v>1.5251529795592862E-2</v>
      </c>
      <c r="J103" t="s">
        <v>6</v>
      </c>
    </row>
    <row r="104" spans="2:10" x14ac:dyDescent="0.45">
      <c r="B104" t="s">
        <v>526</v>
      </c>
      <c r="C104" t="s">
        <v>21</v>
      </c>
      <c r="D104">
        <v>4.3202992595703045E-2</v>
      </c>
      <c r="E104" t="s">
        <v>6</v>
      </c>
      <c r="G104" t="s">
        <v>527</v>
      </c>
      <c r="H104" t="s">
        <v>21</v>
      </c>
      <c r="I104">
        <v>1.5927971591541593E-2</v>
      </c>
      <c r="J104" t="s">
        <v>6</v>
      </c>
    </row>
    <row r="105" spans="2:10" x14ac:dyDescent="0.45">
      <c r="B105" t="s">
        <v>526</v>
      </c>
      <c r="C105" t="s">
        <v>22</v>
      </c>
      <c r="D105">
        <v>6.9335488353183122E-2</v>
      </c>
      <c r="E105" t="s">
        <v>6</v>
      </c>
      <c r="G105" t="s">
        <v>527</v>
      </c>
      <c r="H105" t="s">
        <v>22</v>
      </c>
      <c r="I105">
        <v>1.4255207088920082E-2</v>
      </c>
      <c r="J105" t="s">
        <v>6</v>
      </c>
    </row>
    <row r="106" spans="2:10" x14ac:dyDescent="0.45">
      <c r="B106" t="s">
        <v>526</v>
      </c>
      <c r="C106" t="s">
        <v>23</v>
      </c>
      <c r="D106">
        <v>7.3374165170304304E-2</v>
      </c>
      <c r="E106" t="s">
        <v>6</v>
      </c>
      <c r="G106" t="s">
        <v>527</v>
      </c>
      <c r="H106" t="s">
        <v>23</v>
      </c>
      <c r="I106">
        <v>1.8695339962477471E-2</v>
      </c>
      <c r="J106" t="s">
        <v>6</v>
      </c>
    </row>
    <row r="107" spans="2:10" x14ac:dyDescent="0.45">
      <c r="B107" t="s">
        <v>526</v>
      </c>
      <c r="C107" t="s">
        <v>24</v>
      </c>
      <c r="D107">
        <v>5.3942622199174249E-2</v>
      </c>
      <c r="E107" t="s">
        <v>6</v>
      </c>
      <c r="G107" t="s">
        <v>527</v>
      </c>
      <c r="H107" t="s">
        <v>24</v>
      </c>
      <c r="I107">
        <v>2.155214062433336E-2</v>
      </c>
      <c r="J107" t="s">
        <v>6</v>
      </c>
    </row>
    <row r="108" spans="2:10" x14ac:dyDescent="0.45">
      <c r="B108" t="s">
        <v>526</v>
      </c>
      <c r="C108" t="s">
        <v>25</v>
      </c>
      <c r="D108">
        <v>2.430837625958944E-2</v>
      </c>
      <c r="E108" t="s">
        <v>6</v>
      </c>
      <c r="G108" t="s">
        <v>527</v>
      </c>
      <c r="H108" t="s">
        <v>25</v>
      </c>
      <c r="I108">
        <v>1.8494371608608853E-2</v>
      </c>
      <c r="J108" t="s">
        <v>6</v>
      </c>
    </row>
    <row r="109" spans="2:10" x14ac:dyDescent="0.45">
      <c r="B109" t="s">
        <v>526</v>
      </c>
      <c r="C109" t="s">
        <v>26</v>
      </c>
      <c r="D109">
        <v>1.9700010921703853E-3</v>
      </c>
      <c r="E109" t="s">
        <v>6</v>
      </c>
      <c r="G109" t="s">
        <v>527</v>
      </c>
      <c r="H109" t="s">
        <v>26</v>
      </c>
      <c r="I109">
        <v>1.8159078361427099E-2</v>
      </c>
      <c r="J109" t="s">
        <v>6</v>
      </c>
    </row>
    <row r="110" spans="2:10" x14ac:dyDescent="0.45">
      <c r="B110" t="s">
        <v>526</v>
      </c>
      <c r="C110" t="s">
        <v>27</v>
      </c>
      <c r="D110">
        <v>0</v>
      </c>
      <c r="E110" t="s">
        <v>6</v>
      </c>
      <c r="G110" t="s">
        <v>527</v>
      </c>
      <c r="H110" t="s">
        <v>27</v>
      </c>
      <c r="I110">
        <v>2.7925537105477946E-2</v>
      </c>
      <c r="J110" t="s">
        <v>6</v>
      </c>
    </row>
    <row r="111" spans="2:10" x14ac:dyDescent="0.45">
      <c r="B111" t="s">
        <v>526</v>
      </c>
      <c r="C111" t="s">
        <v>28</v>
      </c>
      <c r="D111">
        <v>0</v>
      </c>
      <c r="E111" t="s">
        <v>6</v>
      </c>
      <c r="G111" t="s">
        <v>527</v>
      </c>
      <c r="H111" t="s">
        <v>28</v>
      </c>
      <c r="I111">
        <v>2.8397966731390775E-2</v>
      </c>
      <c r="J111" t="s">
        <v>6</v>
      </c>
    </row>
    <row r="112" spans="2:10" x14ac:dyDescent="0.45">
      <c r="B112" t="s">
        <v>526</v>
      </c>
      <c r="C112" t="s">
        <v>29</v>
      </c>
      <c r="D112">
        <v>6.3322484492022379E-4</v>
      </c>
      <c r="E112" t="s">
        <v>6</v>
      </c>
      <c r="G112" t="s">
        <v>527</v>
      </c>
      <c r="H112" t="s">
        <v>29</v>
      </c>
      <c r="I112">
        <v>9.5192438600376419E-3</v>
      </c>
      <c r="J112" t="s">
        <v>6</v>
      </c>
    </row>
    <row r="113" spans="2:10" x14ac:dyDescent="0.45">
      <c r="B113" t="s">
        <v>526</v>
      </c>
      <c r="C113" t="s">
        <v>30</v>
      </c>
      <c r="D113">
        <v>1.7244258983599804E-2</v>
      </c>
      <c r="E113" t="s">
        <v>6</v>
      </c>
      <c r="G113" t="s">
        <v>527</v>
      </c>
      <c r="H113" t="s">
        <v>30</v>
      </c>
      <c r="I113">
        <v>8.4167260098343168E-3</v>
      </c>
      <c r="J113" t="s">
        <v>6</v>
      </c>
    </row>
    <row r="114" spans="2:10" x14ac:dyDescent="0.45">
      <c r="B114" t="s">
        <v>526</v>
      </c>
      <c r="C114" t="s">
        <v>31</v>
      </c>
      <c r="D114">
        <v>5.7861468614874394E-2</v>
      </c>
      <c r="E114" t="s">
        <v>6</v>
      </c>
      <c r="G114" t="s">
        <v>527</v>
      </c>
      <c r="H114" t="s">
        <v>31</v>
      </c>
      <c r="I114">
        <v>9.6646697862877735E-3</v>
      </c>
      <c r="J114" t="s">
        <v>6</v>
      </c>
    </row>
    <row r="115" spans="2:10" x14ac:dyDescent="0.45">
      <c r="B115" t="s">
        <v>526</v>
      </c>
      <c r="C115" t="s">
        <v>32</v>
      </c>
      <c r="D115">
        <v>8.4126565435797343E-2</v>
      </c>
      <c r="E115" t="s">
        <v>6</v>
      </c>
      <c r="G115" t="s">
        <v>527</v>
      </c>
      <c r="H115" t="s">
        <v>32</v>
      </c>
      <c r="I115">
        <v>9.1723404942572733E-3</v>
      </c>
      <c r="J115" t="s">
        <v>6</v>
      </c>
    </row>
    <row r="116" spans="2:10" x14ac:dyDescent="0.45">
      <c r="B116" t="s">
        <v>526</v>
      </c>
      <c r="C116" t="s">
        <v>33</v>
      </c>
      <c r="D116">
        <v>8.8157879122128469E-2</v>
      </c>
      <c r="E116" t="s">
        <v>6</v>
      </c>
      <c r="G116" t="s">
        <v>527</v>
      </c>
      <c r="H116" t="s">
        <v>33</v>
      </c>
      <c r="I116">
        <v>1.2511919197644423E-2</v>
      </c>
      <c r="J116" t="s">
        <v>6</v>
      </c>
    </row>
    <row r="117" spans="2:10" x14ac:dyDescent="0.45">
      <c r="B117" t="s">
        <v>526</v>
      </c>
      <c r="C117" t="s">
        <v>34</v>
      </c>
      <c r="D117">
        <v>7.262780153549335E-2</v>
      </c>
      <c r="E117" t="s">
        <v>6</v>
      </c>
      <c r="G117" t="s">
        <v>527</v>
      </c>
      <c r="H117" t="s">
        <v>34</v>
      </c>
      <c r="I117">
        <v>1.449726839323948E-2</v>
      </c>
      <c r="J117" t="s">
        <v>6</v>
      </c>
    </row>
    <row r="118" spans="2:10" x14ac:dyDescent="0.45">
      <c r="B118" t="s">
        <v>526</v>
      </c>
      <c r="C118" t="s">
        <v>35</v>
      </c>
      <c r="D118">
        <v>3.8012243888380363E-2</v>
      </c>
      <c r="E118" t="s">
        <v>6</v>
      </c>
      <c r="G118" t="s">
        <v>527</v>
      </c>
      <c r="H118" t="s">
        <v>35</v>
      </c>
      <c r="I118">
        <v>1.4222673609950944E-2</v>
      </c>
      <c r="J118" t="s">
        <v>6</v>
      </c>
    </row>
    <row r="119" spans="2:10" x14ac:dyDescent="0.45">
      <c r="B119" t="s">
        <v>526</v>
      </c>
      <c r="C119" t="s">
        <v>36</v>
      </c>
      <c r="D119">
        <v>5.8279740748604118E-3</v>
      </c>
      <c r="E119" t="s">
        <v>6</v>
      </c>
      <c r="G119" t="s">
        <v>527</v>
      </c>
      <c r="H119" t="s">
        <v>36</v>
      </c>
      <c r="I119">
        <v>1.2734003778279991E-2</v>
      </c>
      <c r="J119" t="s">
        <v>6</v>
      </c>
    </row>
    <row r="120" spans="2:10" x14ac:dyDescent="0.45">
      <c r="B120" t="s">
        <v>526</v>
      </c>
      <c r="C120" t="s">
        <v>37</v>
      </c>
      <c r="D120">
        <v>0</v>
      </c>
      <c r="E120" t="s">
        <v>6</v>
      </c>
      <c r="G120" t="s">
        <v>527</v>
      </c>
      <c r="H120" t="s">
        <v>37</v>
      </c>
      <c r="I120">
        <v>1.7756648070324964E-2</v>
      </c>
      <c r="J120" t="s">
        <v>6</v>
      </c>
    </row>
    <row r="121" spans="2:10" x14ac:dyDescent="0.45">
      <c r="B121" t="s">
        <v>526</v>
      </c>
      <c r="C121" t="s">
        <v>38</v>
      </c>
      <c r="D121">
        <v>0</v>
      </c>
      <c r="E121" t="s">
        <v>6</v>
      </c>
      <c r="G121" t="s">
        <v>527</v>
      </c>
      <c r="H121" t="s">
        <v>38</v>
      </c>
      <c r="I121">
        <v>6.9322362866294951E-2</v>
      </c>
      <c r="J121" t="s">
        <v>6</v>
      </c>
    </row>
    <row r="122" spans="2:10" x14ac:dyDescent="0.45">
      <c r="B122" t="s">
        <v>526</v>
      </c>
      <c r="C122" t="s">
        <v>39</v>
      </c>
      <c r="D122">
        <v>0</v>
      </c>
      <c r="E122" t="s">
        <v>6</v>
      </c>
      <c r="G122" t="s">
        <v>527</v>
      </c>
      <c r="H122" t="s">
        <v>39</v>
      </c>
      <c r="I122">
        <v>2.7162029756352096E-2</v>
      </c>
      <c r="J122" t="s">
        <v>6</v>
      </c>
    </row>
    <row r="123" spans="2:10" x14ac:dyDescent="0.45">
      <c r="B123" t="s">
        <v>526</v>
      </c>
      <c r="C123" t="s">
        <v>40</v>
      </c>
      <c r="D123">
        <v>2.8790253655822822E-3</v>
      </c>
      <c r="E123" t="s">
        <v>6</v>
      </c>
      <c r="G123" t="s">
        <v>527</v>
      </c>
      <c r="H123" t="s">
        <v>40</v>
      </c>
      <c r="I123">
        <v>2.9392093159020725E-2</v>
      </c>
      <c r="J123" t="s">
        <v>6</v>
      </c>
    </row>
    <row r="124" spans="2:10" x14ac:dyDescent="0.45">
      <c r="B124" t="s">
        <v>526</v>
      </c>
      <c r="C124" t="s">
        <v>41</v>
      </c>
      <c r="D124">
        <v>2.6470698067381084E-2</v>
      </c>
      <c r="E124" t="s">
        <v>6</v>
      </c>
      <c r="G124" t="s">
        <v>527</v>
      </c>
      <c r="H124" t="s">
        <v>41</v>
      </c>
      <c r="I124">
        <v>3.0274077704837022E-2</v>
      </c>
      <c r="J124" t="s">
        <v>6</v>
      </c>
    </row>
    <row r="125" spans="2:10" x14ac:dyDescent="0.45">
      <c r="B125" t="s">
        <v>526</v>
      </c>
      <c r="C125" t="s">
        <v>42</v>
      </c>
      <c r="D125">
        <v>5.3851670143174289E-2</v>
      </c>
      <c r="E125" t="s">
        <v>6</v>
      </c>
      <c r="G125" t="s">
        <v>527</v>
      </c>
      <c r="H125" t="s">
        <v>42</v>
      </c>
      <c r="I125">
        <v>2.7649635539031336E-2</v>
      </c>
      <c r="J125" t="s">
        <v>6</v>
      </c>
    </row>
    <row r="126" spans="2:10" x14ac:dyDescent="0.45">
      <c r="B126" t="s">
        <v>526</v>
      </c>
      <c r="C126" t="s">
        <v>43</v>
      </c>
      <c r="D126">
        <v>5.9661635893012599E-2</v>
      </c>
      <c r="E126" t="s">
        <v>6</v>
      </c>
      <c r="G126" t="s">
        <v>527</v>
      </c>
      <c r="H126" t="s">
        <v>43</v>
      </c>
      <c r="I126">
        <v>3.0068039691468422E-2</v>
      </c>
      <c r="J126" t="s">
        <v>6</v>
      </c>
    </row>
    <row r="127" spans="2:10" x14ac:dyDescent="0.45">
      <c r="B127" t="s">
        <v>526</v>
      </c>
      <c r="C127" t="s">
        <v>44</v>
      </c>
      <c r="D127">
        <v>4.1022829143338574E-2</v>
      </c>
      <c r="E127" t="s">
        <v>6</v>
      </c>
      <c r="G127" t="s">
        <v>527</v>
      </c>
      <c r="H127" t="s">
        <v>44</v>
      </c>
      <c r="I127">
        <v>3.0914326323477213E-2</v>
      </c>
      <c r="J127" t="s">
        <v>6</v>
      </c>
    </row>
    <row r="128" spans="2:10" x14ac:dyDescent="0.45">
      <c r="B128" t="s">
        <v>526</v>
      </c>
      <c r="C128" t="s">
        <v>45</v>
      </c>
      <c r="D128">
        <v>1.0854569910934756E-2</v>
      </c>
      <c r="E128" t="s">
        <v>6</v>
      </c>
      <c r="G128" t="s">
        <v>527</v>
      </c>
      <c r="H128" t="s">
        <v>45</v>
      </c>
      <c r="I128">
        <v>2.8569308085028399E-2</v>
      </c>
      <c r="J128" t="s">
        <v>6</v>
      </c>
    </row>
    <row r="129" spans="2:10" x14ac:dyDescent="0.45">
      <c r="B129" t="s">
        <v>526</v>
      </c>
      <c r="C129" t="s">
        <v>46</v>
      </c>
      <c r="D129">
        <v>1.1018905260183519E-4</v>
      </c>
      <c r="E129" t="s">
        <v>6</v>
      </c>
      <c r="G129" t="s">
        <v>527</v>
      </c>
      <c r="H129" t="s">
        <v>46</v>
      </c>
      <c r="I129">
        <v>2.6813867467234444E-2</v>
      </c>
      <c r="J129" t="s">
        <v>6</v>
      </c>
    </row>
    <row r="130" spans="2:10" x14ac:dyDescent="0.45">
      <c r="B130" t="s">
        <v>526</v>
      </c>
      <c r="C130" t="s">
        <v>47</v>
      </c>
      <c r="D130">
        <v>0</v>
      </c>
      <c r="E130" t="s">
        <v>6</v>
      </c>
      <c r="G130" t="s">
        <v>527</v>
      </c>
      <c r="H130" t="s">
        <v>47</v>
      </c>
      <c r="I130">
        <v>4.0885354501831159E-2</v>
      </c>
      <c r="J130" t="s">
        <v>6</v>
      </c>
    </row>
    <row r="131" spans="2:10" x14ac:dyDescent="0.45">
      <c r="B131" t="s">
        <v>528</v>
      </c>
      <c r="C131" t="s">
        <v>5</v>
      </c>
      <c r="D131">
        <v>0</v>
      </c>
      <c r="E131" t="s">
        <v>6</v>
      </c>
      <c r="G131" t="s">
        <v>529</v>
      </c>
      <c r="H131" t="s">
        <v>5</v>
      </c>
      <c r="I131">
        <v>6.4661078782350084E-2</v>
      </c>
      <c r="J131" t="s">
        <v>6</v>
      </c>
    </row>
    <row r="132" spans="2:10" x14ac:dyDescent="0.45">
      <c r="B132" t="s">
        <v>528</v>
      </c>
      <c r="C132" t="s">
        <v>9</v>
      </c>
      <c r="D132">
        <v>0</v>
      </c>
      <c r="E132" t="s">
        <v>6</v>
      </c>
      <c r="G132" t="s">
        <v>529</v>
      </c>
      <c r="H132" t="s">
        <v>9</v>
      </c>
      <c r="I132">
        <v>2.523907593726582E-2</v>
      </c>
      <c r="J132" t="s">
        <v>6</v>
      </c>
    </row>
    <row r="133" spans="2:10" x14ac:dyDescent="0.45">
      <c r="B133" t="s">
        <v>528</v>
      </c>
      <c r="C133" t="s">
        <v>10</v>
      </c>
      <c r="D133">
        <v>7.2804387858977699E-5</v>
      </c>
      <c r="E133" t="s">
        <v>6</v>
      </c>
      <c r="G133" t="s">
        <v>529</v>
      </c>
      <c r="H133" t="s">
        <v>10</v>
      </c>
      <c r="I133">
        <v>2.6317896917599753E-2</v>
      </c>
      <c r="J133" t="s">
        <v>6</v>
      </c>
    </row>
    <row r="134" spans="2:10" x14ac:dyDescent="0.45">
      <c r="B134" t="s">
        <v>528</v>
      </c>
      <c r="C134" t="s">
        <v>11</v>
      </c>
      <c r="D134">
        <v>1.5759687548814759E-2</v>
      </c>
      <c r="E134" t="s">
        <v>6</v>
      </c>
      <c r="G134" t="s">
        <v>529</v>
      </c>
      <c r="H134" t="s">
        <v>11</v>
      </c>
      <c r="I134">
        <v>2.5917023724948557E-2</v>
      </c>
      <c r="J134" t="s">
        <v>6</v>
      </c>
    </row>
    <row r="135" spans="2:10" x14ac:dyDescent="0.45">
      <c r="B135" t="s">
        <v>528</v>
      </c>
      <c r="C135" t="s">
        <v>12</v>
      </c>
      <c r="D135">
        <v>4.9478863450491198E-2</v>
      </c>
      <c r="E135" t="s">
        <v>6</v>
      </c>
      <c r="G135" t="s">
        <v>529</v>
      </c>
      <c r="H135" t="s">
        <v>12</v>
      </c>
      <c r="I135">
        <v>2.2280915727107886E-2</v>
      </c>
      <c r="J135" t="s">
        <v>6</v>
      </c>
    </row>
    <row r="136" spans="2:10" x14ac:dyDescent="0.45">
      <c r="B136" t="s">
        <v>528</v>
      </c>
      <c r="C136" t="s">
        <v>13</v>
      </c>
      <c r="D136">
        <v>6.1969357084444572E-2</v>
      </c>
      <c r="E136" t="s">
        <v>6</v>
      </c>
      <c r="G136" t="s">
        <v>529</v>
      </c>
      <c r="H136" t="s">
        <v>13</v>
      </c>
      <c r="I136">
        <v>2.3674371550672868E-2</v>
      </c>
      <c r="J136" t="s">
        <v>6</v>
      </c>
    </row>
    <row r="137" spans="2:10" x14ac:dyDescent="0.45">
      <c r="B137" t="s">
        <v>528</v>
      </c>
      <c r="C137" t="s">
        <v>14</v>
      </c>
      <c r="D137">
        <v>4.074784291443824E-2</v>
      </c>
      <c r="E137" t="s">
        <v>6</v>
      </c>
      <c r="G137" t="s">
        <v>529</v>
      </c>
      <c r="H137" t="s">
        <v>14</v>
      </c>
      <c r="I137">
        <v>2.4292085682581406E-2</v>
      </c>
      <c r="J137" t="s">
        <v>6</v>
      </c>
    </row>
    <row r="138" spans="2:10" x14ac:dyDescent="0.45">
      <c r="B138" t="s">
        <v>528</v>
      </c>
      <c r="C138" t="s">
        <v>15</v>
      </c>
      <c r="D138">
        <v>8.9931853858754313E-3</v>
      </c>
      <c r="E138" t="s">
        <v>6</v>
      </c>
      <c r="G138" t="s">
        <v>529</v>
      </c>
      <c r="H138" t="s">
        <v>15</v>
      </c>
      <c r="I138">
        <v>2.6146581510783976E-2</v>
      </c>
      <c r="J138" t="s">
        <v>6</v>
      </c>
    </row>
    <row r="139" spans="2:10" x14ac:dyDescent="0.45">
      <c r="B139" t="s">
        <v>528</v>
      </c>
      <c r="C139" t="s">
        <v>16</v>
      </c>
      <c r="D139">
        <v>0</v>
      </c>
      <c r="E139" t="s">
        <v>6</v>
      </c>
      <c r="G139" t="s">
        <v>529</v>
      </c>
      <c r="H139" t="s">
        <v>16</v>
      </c>
      <c r="I139">
        <v>2.9485085163407924E-2</v>
      </c>
      <c r="J139" t="s">
        <v>6</v>
      </c>
    </row>
    <row r="140" spans="2:10" x14ac:dyDescent="0.45">
      <c r="B140" t="s">
        <v>528</v>
      </c>
      <c r="C140" t="s">
        <v>17</v>
      </c>
      <c r="D140">
        <v>0</v>
      </c>
      <c r="E140" t="s">
        <v>6</v>
      </c>
      <c r="G140" t="s">
        <v>529</v>
      </c>
      <c r="H140" t="s">
        <v>17</v>
      </c>
      <c r="I140">
        <v>4.3580541723846587E-2</v>
      </c>
      <c r="J140" t="s">
        <v>6</v>
      </c>
    </row>
    <row r="141" spans="2:10" x14ac:dyDescent="0.45">
      <c r="B141" t="s">
        <v>528</v>
      </c>
      <c r="C141" t="s">
        <v>18</v>
      </c>
      <c r="D141">
        <v>0</v>
      </c>
      <c r="E141" t="s">
        <v>6</v>
      </c>
      <c r="G141" t="s">
        <v>529</v>
      </c>
      <c r="H141" t="s">
        <v>18</v>
      </c>
      <c r="I141">
        <v>4.673358022048317E-2</v>
      </c>
      <c r="J141" t="s">
        <v>6</v>
      </c>
    </row>
    <row r="142" spans="2:10" x14ac:dyDescent="0.45">
      <c r="B142" t="s">
        <v>528</v>
      </c>
      <c r="C142" t="s">
        <v>19</v>
      </c>
      <c r="D142">
        <v>1.1381349215177096E-4</v>
      </c>
      <c r="E142" t="s">
        <v>6</v>
      </c>
      <c r="G142" t="s">
        <v>529</v>
      </c>
      <c r="H142" t="s">
        <v>19</v>
      </c>
      <c r="I142">
        <v>1.7749036581362516E-2</v>
      </c>
      <c r="J142" t="s">
        <v>6</v>
      </c>
    </row>
    <row r="143" spans="2:10" x14ac:dyDescent="0.45">
      <c r="B143" t="s">
        <v>528</v>
      </c>
      <c r="C143" t="s">
        <v>20</v>
      </c>
      <c r="D143">
        <v>8.5885646203869362E-3</v>
      </c>
      <c r="E143" t="s">
        <v>6</v>
      </c>
      <c r="G143" t="s">
        <v>529</v>
      </c>
      <c r="H143" t="s">
        <v>20</v>
      </c>
      <c r="I143">
        <v>1.7395879618822687E-2</v>
      </c>
      <c r="J143" t="s">
        <v>6</v>
      </c>
    </row>
    <row r="144" spans="2:10" x14ac:dyDescent="0.45">
      <c r="B144" t="s">
        <v>528</v>
      </c>
      <c r="C144" t="s">
        <v>21</v>
      </c>
      <c r="D144">
        <v>4.1175521537048683E-2</v>
      </c>
      <c r="E144" t="s">
        <v>6</v>
      </c>
      <c r="G144" t="s">
        <v>529</v>
      </c>
      <c r="H144" t="s">
        <v>21</v>
      </c>
      <c r="I144">
        <v>1.7051962727034017E-2</v>
      </c>
      <c r="J144" t="s">
        <v>6</v>
      </c>
    </row>
    <row r="145" spans="2:10" x14ac:dyDescent="0.45">
      <c r="B145" t="s">
        <v>528</v>
      </c>
      <c r="C145" t="s">
        <v>22</v>
      </c>
      <c r="D145">
        <v>6.7831749888804596E-2</v>
      </c>
      <c r="E145" t="s">
        <v>6</v>
      </c>
      <c r="G145" t="s">
        <v>529</v>
      </c>
      <c r="H145" t="s">
        <v>22</v>
      </c>
      <c r="I145">
        <v>1.5124998439103544E-2</v>
      </c>
      <c r="J145" t="s">
        <v>6</v>
      </c>
    </row>
    <row r="146" spans="2:10" x14ac:dyDescent="0.45">
      <c r="B146" t="s">
        <v>528</v>
      </c>
      <c r="C146" t="s">
        <v>23</v>
      </c>
      <c r="D146">
        <v>7.3499189705884441E-2</v>
      </c>
      <c r="E146" t="s">
        <v>6</v>
      </c>
      <c r="G146" t="s">
        <v>529</v>
      </c>
      <c r="H146" t="s">
        <v>23</v>
      </c>
      <c r="I146">
        <v>1.8070102503231517E-2</v>
      </c>
      <c r="J146" t="s">
        <v>6</v>
      </c>
    </row>
    <row r="147" spans="2:10" x14ac:dyDescent="0.45">
      <c r="B147" t="s">
        <v>528</v>
      </c>
      <c r="C147" t="s">
        <v>24</v>
      </c>
      <c r="D147">
        <v>5.5856561636590682E-2</v>
      </c>
      <c r="E147" t="s">
        <v>6</v>
      </c>
      <c r="G147" t="s">
        <v>529</v>
      </c>
      <c r="H147" t="s">
        <v>24</v>
      </c>
      <c r="I147">
        <v>1.9963033302375175E-2</v>
      </c>
      <c r="J147" t="s">
        <v>6</v>
      </c>
    </row>
    <row r="148" spans="2:10" x14ac:dyDescent="0.45">
      <c r="B148" t="s">
        <v>528</v>
      </c>
      <c r="C148" t="s">
        <v>25</v>
      </c>
      <c r="D148">
        <v>2.583647768190277E-2</v>
      </c>
      <c r="E148" t="s">
        <v>6</v>
      </c>
      <c r="G148" t="s">
        <v>529</v>
      </c>
      <c r="H148" t="s">
        <v>25</v>
      </c>
      <c r="I148">
        <v>1.8748697563480004E-2</v>
      </c>
      <c r="J148" t="s">
        <v>6</v>
      </c>
    </row>
    <row r="149" spans="2:10" x14ac:dyDescent="0.45">
      <c r="B149" t="s">
        <v>528</v>
      </c>
      <c r="C149" t="s">
        <v>26</v>
      </c>
      <c r="D149">
        <v>2.0470814574275673E-3</v>
      </c>
      <c r="E149" t="s">
        <v>6</v>
      </c>
      <c r="G149" t="s">
        <v>529</v>
      </c>
      <c r="H149" t="s">
        <v>26</v>
      </c>
      <c r="I149">
        <v>1.935582503352129E-2</v>
      </c>
      <c r="J149" t="s">
        <v>6</v>
      </c>
    </row>
    <row r="150" spans="2:10" x14ac:dyDescent="0.45">
      <c r="B150" t="s">
        <v>528</v>
      </c>
      <c r="C150" t="s">
        <v>27</v>
      </c>
      <c r="D150">
        <v>0</v>
      </c>
      <c r="E150" t="s">
        <v>6</v>
      </c>
      <c r="G150" t="s">
        <v>529</v>
      </c>
      <c r="H150" t="s">
        <v>27</v>
      </c>
      <c r="I150">
        <v>3.0989420967242606E-2</v>
      </c>
      <c r="J150" t="s">
        <v>6</v>
      </c>
    </row>
    <row r="151" spans="2:10" x14ac:dyDescent="0.45">
      <c r="B151" t="s">
        <v>528</v>
      </c>
      <c r="C151" t="s">
        <v>28</v>
      </c>
      <c r="D151">
        <v>0</v>
      </c>
      <c r="E151" t="s">
        <v>6</v>
      </c>
      <c r="G151" t="s">
        <v>529</v>
      </c>
      <c r="H151" t="s">
        <v>28</v>
      </c>
      <c r="I151">
        <v>3.6134299221653503E-2</v>
      </c>
      <c r="J151" t="s">
        <v>6</v>
      </c>
    </row>
    <row r="152" spans="2:10" x14ac:dyDescent="0.45">
      <c r="B152" t="s">
        <v>528</v>
      </c>
      <c r="C152" t="s">
        <v>29</v>
      </c>
      <c r="D152">
        <v>4.833679897828721E-4</v>
      </c>
      <c r="E152" t="s">
        <v>6</v>
      </c>
      <c r="G152" t="s">
        <v>529</v>
      </c>
      <c r="H152" t="s">
        <v>29</v>
      </c>
      <c r="I152">
        <v>1.1332215991494754E-2</v>
      </c>
      <c r="J152" t="s">
        <v>6</v>
      </c>
    </row>
    <row r="153" spans="2:10" x14ac:dyDescent="0.45">
      <c r="B153" t="s">
        <v>528</v>
      </c>
      <c r="C153" t="s">
        <v>30</v>
      </c>
      <c r="D153">
        <v>1.5043724829753823E-2</v>
      </c>
      <c r="E153" t="s">
        <v>6</v>
      </c>
      <c r="G153" t="s">
        <v>529</v>
      </c>
      <c r="H153" t="s">
        <v>30</v>
      </c>
      <c r="I153">
        <v>9.1436642241079988E-3</v>
      </c>
      <c r="J153" t="s">
        <v>6</v>
      </c>
    </row>
    <row r="154" spans="2:10" x14ac:dyDescent="0.45">
      <c r="B154" t="s">
        <v>528</v>
      </c>
      <c r="C154" t="s">
        <v>31</v>
      </c>
      <c r="D154">
        <v>5.411471524689887E-2</v>
      </c>
      <c r="E154" t="s">
        <v>6</v>
      </c>
      <c r="G154" t="s">
        <v>529</v>
      </c>
      <c r="H154" t="s">
        <v>31</v>
      </c>
      <c r="I154">
        <v>1.0346905077745638E-2</v>
      </c>
      <c r="J154" t="s">
        <v>6</v>
      </c>
    </row>
    <row r="155" spans="2:10" x14ac:dyDescent="0.45">
      <c r="B155" t="s">
        <v>528</v>
      </c>
      <c r="C155" t="s">
        <v>32</v>
      </c>
      <c r="D155">
        <v>8.1182005010796379E-2</v>
      </c>
      <c r="E155" t="s">
        <v>6</v>
      </c>
      <c r="G155" t="s">
        <v>529</v>
      </c>
      <c r="H155" t="s">
        <v>32</v>
      </c>
      <c r="I155">
        <v>1.0507901560594394E-2</v>
      </c>
      <c r="J155" t="s">
        <v>6</v>
      </c>
    </row>
    <row r="156" spans="2:10" x14ac:dyDescent="0.45">
      <c r="B156" t="s">
        <v>528</v>
      </c>
      <c r="C156" t="s">
        <v>33</v>
      </c>
      <c r="D156">
        <v>8.6644063069925753E-2</v>
      </c>
      <c r="E156" t="s">
        <v>6</v>
      </c>
      <c r="G156" t="s">
        <v>529</v>
      </c>
      <c r="H156" t="s">
        <v>33</v>
      </c>
      <c r="I156">
        <v>1.301696427276864E-2</v>
      </c>
      <c r="J156" t="s">
        <v>6</v>
      </c>
    </row>
    <row r="157" spans="2:10" x14ac:dyDescent="0.45">
      <c r="B157" t="s">
        <v>528</v>
      </c>
      <c r="C157" t="s">
        <v>34</v>
      </c>
      <c r="D157">
        <v>6.9055291270058966E-2</v>
      </c>
      <c r="E157" t="s">
        <v>6</v>
      </c>
      <c r="G157" t="s">
        <v>529</v>
      </c>
      <c r="H157" t="s">
        <v>34</v>
      </c>
      <c r="I157">
        <v>1.2845126490043277E-2</v>
      </c>
      <c r="J157" t="s">
        <v>6</v>
      </c>
    </row>
    <row r="158" spans="2:10" x14ac:dyDescent="0.45">
      <c r="B158" t="s">
        <v>528</v>
      </c>
      <c r="C158" t="s">
        <v>35</v>
      </c>
      <c r="D158">
        <v>3.6397874845795146E-2</v>
      </c>
      <c r="E158" t="s">
        <v>6</v>
      </c>
      <c r="G158" t="s">
        <v>529</v>
      </c>
      <c r="H158" t="s">
        <v>35</v>
      </c>
      <c r="I158">
        <v>1.3231304825279388E-2</v>
      </c>
      <c r="J158" t="s">
        <v>6</v>
      </c>
    </row>
    <row r="159" spans="2:10" x14ac:dyDescent="0.45">
      <c r="B159" t="s">
        <v>528</v>
      </c>
      <c r="C159" t="s">
        <v>36</v>
      </c>
      <c r="D159">
        <v>5.6352905779495348E-3</v>
      </c>
      <c r="E159" t="s">
        <v>6</v>
      </c>
      <c r="G159" t="s">
        <v>529</v>
      </c>
      <c r="H159" t="s">
        <v>36</v>
      </c>
      <c r="I159">
        <v>1.3047874783652989E-2</v>
      </c>
      <c r="J159" t="s">
        <v>6</v>
      </c>
    </row>
    <row r="160" spans="2:10" x14ac:dyDescent="0.45">
      <c r="B160" t="s">
        <v>528</v>
      </c>
      <c r="C160" t="s">
        <v>37</v>
      </c>
      <c r="D160">
        <v>0</v>
      </c>
      <c r="E160" t="s">
        <v>6</v>
      </c>
      <c r="G160" t="s">
        <v>529</v>
      </c>
      <c r="H160" t="s">
        <v>37</v>
      </c>
      <c r="I160">
        <v>2.2310818417745421E-2</v>
      </c>
      <c r="J160" t="s">
        <v>6</v>
      </c>
    </row>
    <row r="161" spans="2:10" x14ac:dyDescent="0.45">
      <c r="B161" t="s">
        <v>528</v>
      </c>
      <c r="C161" t="s">
        <v>38</v>
      </c>
      <c r="D161">
        <v>0</v>
      </c>
      <c r="E161" t="s">
        <v>6</v>
      </c>
      <c r="G161" t="s">
        <v>529</v>
      </c>
      <c r="H161" t="s">
        <v>38</v>
      </c>
      <c r="I161">
        <v>6.7644346794989998E-2</v>
      </c>
      <c r="J161" t="s">
        <v>6</v>
      </c>
    </row>
    <row r="162" spans="2:10" x14ac:dyDescent="0.45">
      <c r="B162" t="s">
        <v>528</v>
      </c>
      <c r="C162" t="s">
        <v>39</v>
      </c>
      <c r="D162">
        <v>0</v>
      </c>
      <c r="E162" t="s">
        <v>6</v>
      </c>
      <c r="G162" t="s">
        <v>529</v>
      </c>
      <c r="H162" t="s">
        <v>39</v>
      </c>
      <c r="I162">
        <v>2.6257091649643294E-2</v>
      </c>
      <c r="J162" t="s">
        <v>6</v>
      </c>
    </row>
    <row r="163" spans="2:10" x14ac:dyDescent="0.45">
      <c r="B163" t="s">
        <v>528</v>
      </c>
      <c r="C163" t="s">
        <v>40</v>
      </c>
      <c r="D163">
        <v>2.5862831444767387E-3</v>
      </c>
      <c r="E163" t="s">
        <v>6</v>
      </c>
      <c r="G163" t="s">
        <v>529</v>
      </c>
      <c r="H163" t="s">
        <v>40</v>
      </c>
      <c r="I163">
        <v>2.5759530494258717E-2</v>
      </c>
      <c r="J163" t="s">
        <v>6</v>
      </c>
    </row>
    <row r="164" spans="2:10" x14ac:dyDescent="0.45">
      <c r="B164" t="s">
        <v>528</v>
      </c>
      <c r="C164" t="s">
        <v>41</v>
      </c>
      <c r="D164">
        <v>2.6493784368827312E-2</v>
      </c>
      <c r="E164" t="s">
        <v>6</v>
      </c>
      <c r="G164" t="s">
        <v>529</v>
      </c>
      <c r="H164" t="s">
        <v>41</v>
      </c>
      <c r="I164">
        <v>2.6184745232553683E-2</v>
      </c>
      <c r="J164" t="s">
        <v>6</v>
      </c>
    </row>
    <row r="165" spans="2:10" x14ac:dyDescent="0.45">
      <c r="B165" t="s">
        <v>528</v>
      </c>
      <c r="C165" t="s">
        <v>42</v>
      </c>
      <c r="D165">
        <v>5.4615068930115772E-2</v>
      </c>
      <c r="E165" t="s">
        <v>6</v>
      </c>
      <c r="G165" t="s">
        <v>529</v>
      </c>
      <c r="H165" t="s">
        <v>42</v>
      </c>
      <c r="I165">
        <v>2.3788776870344537E-2</v>
      </c>
      <c r="J165" t="s">
        <v>6</v>
      </c>
    </row>
    <row r="166" spans="2:10" x14ac:dyDescent="0.45">
      <c r="B166" t="s">
        <v>528</v>
      </c>
      <c r="C166" t="s">
        <v>43</v>
      </c>
      <c r="D166">
        <v>6.1591939536353335E-2</v>
      </c>
      <c r="E166" t="s">
        <v>6</v>
      </c>
      <c r="G166" t="s">
        <v>529</v>
      </c>
      <c r="H166" t="s">
        <v>43</v>
      </c>
      <c r="I166">
        <v>2.6403521030866937E-2</v>
      </c>
      <c r="J166" t="s">
        <v>6</v>
      </c>
    </row>
    <row r="167" spans="2:10" x14ac:dyDescent="0.45">
      <c r="B167" t="s">
        <v>528</v>
      </c>
      <c r="C167" t="s">
        <v>44</v>
      </c>
      <c r="D167">
        <v>4.2712592747934021E-2</v>
      </c>
      <c r="E167" t="s">
        <v>6</v>
      </c>
      <c r="G167" t="s">
        <v>529</v>
      </c>
      <c r="H167" t="s">
        <v>44</v>
      </c>
      <c r="I167">
        <v>2.6977143287286998E-2</v>
      </c>
      <c r="J167" t="s">
        <v>6</v>
      </c>
    </row>
    <row r="168" spans="2:10" x14ac:dyDescent="0.45">
      <c r="B168" t="s">
        <v>528</v>
      </c>
      <c r="C168" t="s">
        <v>45</v>
      </c>
      <c r="D168">
        <v>1.1349704242513355E-2</v>
      </c>
      <c r="E168" t="s">
        <v>6</v>
      </c>
      <c r="G168" t="s">
        <v>529</v>
      </c>
      <c r="H168" t="s">
        <v>45</v>
      </c>
      <c r="I168">
        <v>2.6876924630019113E-2</v>
      </c>
      <c r="J168" t="s">
        <v>6</v>
      </c>
    </row>
    <row r="169" spans="2:10" x14ac:dyDescent="0.45">
      <c r="B169" t="s">
        <v>528</v>
      </c>
      <c r="C169" t="s">
        <v>46</v>
      </c>
      <c r="D169">
        <v>1.2359339669725184E-4</v>
      </c>
      <c r="E169" t="s">
        <v>6</v>
      </c>
      <c r="G169" t="s">
        <v>529</v>
      </c>
      <c r="H169" t="s">
        <v>46</v>
      </c>
      <c r="I169">
        <v>2.6091976654522783E-2</v>
      </c>
      <c r="J169" t="s">
        <v>6</v>
      </c>
    </row>
    <row r="170" spans="2:10" x14ac:dyDescent="0.45">
      <c r="B170" t="s">
        <v>528</v>
      </c>
      <c r="C170" t="s">
        <v>47</v>
      </c>
      <c r="D170">
        <v>0</v>
      </c>
      <c r="E170" t="s">
        <v>6</v>
      </c>
      <c r="G170" t="s">
        <v>529</v>
      </c>
      <c r="H170" t="s">
        <v>47</v>
      </c>
      <c r="I170">
        <v>3.9321674813206545E-2</v>
      </c>
      <c r="J170" t="s">
        <v>6</v>
      </c>
    </row>
    <row r="171" spans="2:10" x14ac:dyDescent="0.45">
      <c r="B171" t="s">
        <v>530</v>
      </c>
      <c r="C171" t="s">
        <v>5</v>
      </c>
      <c r="D171">
        <v>0</v>
      </c>
      <c r="E171" t="s">
        <v>6</v>
      </c>
      <c r="G171" t="s">
        <v>531</v>
      </c>
      <c r="H171" t="s">
        <v>5</v>
      </c>
      <c r="I171">
        <v>6.6133970331010261E-2</v>
      </c>
      <c r="J171" t="s">
        <v>6</v>
      </c>
    </row>
    <row r="172" spans="2:10" x14ac:dyDescent="0.45">
      <c r="B172" t="s">
        <v>530</v>
      </c>
      <c r="C172" t="s">
        <v>9</v>
      </c>
      <c r="D172">
        <v>0</v>
      </c>
      <c r="E172" t="s">
        <v>6</v>
      </c>
      <c r="G172" t="s">
        <v>531</v>
      </c>
      <c r="H172" t="s">
        <v>9</v>
      </c>
      <c r="I172">
        <v>2.4813562025647027E-2</v>
      </c>
      <c r="J172" t="s">
        <v>6</v>
      </c>
    </row>
    <row r="173" spans="2:10" x14ac:dyDescent="0.45">
      <c r="B173" t="s">
        <v>530</v>
      </c>
      <c r="C173" t="s">
        <v>10</v>
      </c>
      <c r="D173">
        <v>3.0348310378606368E-4</v>
      </c>
      <c r="E173" t="s">
        <v>6</v>
      </c>
      <c r="G173" t="s">
        <v>531</v>
      </c>
      <c r="H173" t="s">
        <v>10</v>
      </c>
      <c r="I173">
        <v>2.5253041231643503E-2</v>
      </c>
      <c r="J173" t="s">
        <v>6</v>
      </c>
    </row>
    <row r="174" spans="2:10" x14ac:dyDescent="0.45">
      <c r="B174" t="s">
        <v>530</v>
      </c>
      <c r="C174" t="s">
        <v>11</v>
      </c>
      <c r="D174">
        <v>2.6189398612749198E-2</v>
      </c>
      <c r="E174" t="s">
        <v>6</v>
      </c>
      <c r="G174" t="s">
        <v>531</v>
      </c>
      <c r="H174" t="s">
        <v>11</v>
      </c>
      <c r="I174">
        <v>2.6230247635505393E-2</v>
      </c>
      <c r="J174" t="s">
        <v>6</v>
      </c>
    </row>
    <row r="175" spans="2:10" x14ac:dyDescent="0.45">
      <c r="B175" t="s">
        <v>530</v>
      </c>
      <c r="C175" t="s">
        <v>12</v>
      </c>
      <c r="D175">
        <v>5.9576819139099887E-2</v>
      </c>
      <c r="E175" t="s">
        <v>6</v>
      </c>
      <c r="G175" t="s">
        <v>531</v>
      </c>
      <c r="H175" t="s">
        <v>12</v>
      </c>
      <c r="I175">
        <v>2.1747261582243514E-2</v>
      </c>
      <c r="J175" t="s">
        <v>6</v>
      </c>
    </row>
    <row r="176" spans="2:10" x14ac:dyDescent="0.45">
      <c r="B176" t="s">
        <v>530</v>
      </c>
      <c r="C176" t="s">
        <v>13</v>
      </c>
      <c r="D176">
        <v>6.628846351200314E-2</v>
      </c>
      <c r="E176" t="s">
        <v>6</v>
      </c>
      <c r="G176" t="s">
        <v>531</v>
      </c>
      <c r="H176" t="s">
        <v>13</v>
      </c>
      <c r="I176">
        <v>2.4709765974569798E-2</v>
      </c>
      <c r="J176" t="s">
        <v>6</v>
      </c>
    </row>
    <row r="177" spans="2:10" x14ac:dyDescent="0.45">
      <c r="B177" t="s">
        <v>530</v>
      </c>
      <c r="C177" t="s">
        <v>14</v>
      </c>
      <c r="D177">
        <v>4.3493973390591502E-2</v>
      </c>
      <c r="E177" t="s">
        <v>6</v>
      </c>
      <c r="G177" t="s">
        <v>531</v>
      </c>
      <c r="H177" t="s">
        <v>14</v>
      </c>
      <c r="I177">
        <v>2.6477420881250182E-2</v>
      </c>
      <c r="J177" t="s">
        <v>6</v>
      </c>
    </row>
    <row r="178" spans="2:10" x14ac:dyDescent="0.45">
      <c r="B178" t="s">
        <v>530</v>
      </c>
      <c r="C178" t="s">
        <v>15</v>
      </c>
      <c r="D178">
        <v>6.7658485576097887E-3</v>
      </c>
      <c r="E178" t="s">
        <v>6</v>
      </c>
      <c r="G178" t="s">
        <v>531</v>
      </c>
      <c r="H178" t="s">
        <v>15</v>
      </c>
      <c r="I178">
        <v>2.7380095596142389E-2</v>
      </c>
      <c r="J178" t="s">
        <v>6</v>
      </c>
    </row>
    <row r="179" spans="2:10" x14ac:dyDescent="0.45">
      <c r="B179" t="s">
        <v>530</v>
      </c>
      <c r="C179" t="s">
        <v>16</v>
      </c>
      <c r="D179">
        <v>0</v>
      </c>
      <c r="E179" t="s">
        <v>6</v>
      </c>
      <c r="G179" t="s">
        <v>531</v>
      </c>
      <c r="H179" t="s">
        <v>16</v>
      </c>
      <c r="I179">
        <v>3.0031256657166244E-2</v>
      </c>
      <c r="J179" t="s">
        <v>6</v>
      </c>
    </row>
    <row r="180" spans="2:10" x14ac:dyDescent="0.45">
      <c r="B180" t="s">
        <v>530</v>
      </c>
      <c r="C180" t="s">
        <v>17</v>
      </c>
      <c r="D180">
        <v>0</v>
      </c>
      <c r="E180" t="s">
        <v>6</v>
      </c>
      <c r="G180" t="s">
        <v>531</v>
      </c>
      <c r="H180" t="s">
        <v>17</v>
      </c>
      <c r="I180">
        <v>4.6685791956862135E-2</v>
      </c>
      <c r="J180" t="s">
        <v>6</v>
      </c>
    </row>
    <row r="181" spans="2:10" x14ac:dyDescent="0.45">
      <c r="B181" t="s">
        <v>530</v>
      </c>
      <c r="C181" t="s">
        <v>18</v>
      </c>
      <c r="D181">
        <v>0</v>
      </c>
      <c r="E181" t="s">
        <v>6</v>
      </c>
      <c r="G181" t="s">
        <v>531</v>
      </c>
      <c r="H181" t="s">
        <v>18</v>
      </c>
      <c r="I181">
        <v>4.6742258251635305E-2</v>
      </c>
      <c r="J181" t="s">
        <v>6</v>
      </c>
    </row>
    <row r="182" spans="2:10" x14ac:dyDescent="0.45">
      <c r="B182" t="s">
        <v>530</v>
      </c>
      <c r="C182" t="s">
        <v>19</v>
      </c>
      <c r="D182">
        <v>2.9636008876061297E-4</v>
      </c>
      <c r="E182" t="s">
        <v>6</v>
      </c>
      <c r="G182" t="s">
        <v>531</v>
      </c>
      <c r="H182" t="s">
        <v>19</v>
      </c>
      <c r="I182">
        <v>1.6826782304513115E-2</v>
      </c>
      <c r="J182" t="s">
        <v>6</v>
      </c>
    </row>
    <row r="183" spans="2:10" x14ac:dyDescent="0.45">
      <c r="B183" t="s">
        <v>530</v>
      </c>
      <c r="C183" t="s">
        <v>20</v>
      </c>
      <c r="D183">
        <v>1.2404065383424432E-2</v>
      </c>
      <c r="E183" t="s">
        <v>6</v>
      </c>
      <c r="G183" t="s">
        <v>531</v>
      </c>
      <c r="H183" t="s">
        <v>20</v>
      </c>
      <c r="I183">
        <v>1.7781937116261116E-2</v>
      </c>
      <c r="J183" t="s">
        <v>6</v>
      </c>
    </row>
    <row r="184" spans="2:10" x14ac:dyDescent="0.45">
      <c r="B184" t="s">
        <v>530</v>
      </c>
      <c r="C184" t="s">
        <v>21</v>
      </c>
      <c r="D184">
        <v>4.7803302217042175E-2</v>
      </c>
      <c r="E184" t="s">
        <v>6</v>
      </c>
      <c r="G184" t="s">
        <v>531</v>
      </c>
      <c r="H184" t="s">
        <v>21</v>
      </c>
      <c r="I184">
        <v>1.7746224954727555E-2</v>
      </c>
      <c r="J184" t="s">
        <v>6</v>
      </c>
    </row>
    <row r="185" spans="2:10" x14ac:dyDescent="0.45">
      <c r="B185" t="s">
        <v>530</v>
      </c>
      <c r="C185" t="s">
        <v>22</v>
      </c>
      <c r="D185">
        <v>7.1081195307455824E-2</v>
      </c>
      <c r="E185" t="s">
        <v>6</v>
      </c>
      <c r="G185" t="s">
        <v>531</v>
      </c>
      <c r="H185" t="s">
        <v>22</v>
      </c>
      <c r="I185">
        <v>1.5532325312071989E-2</v>
      </c>
      <c r="J185" t="s">
        <v>6</v>
      </c>
    </row>
    <row r="186" spans="2:10" x14ac:dyDescent="0.45">
      <c r="B186" t="s">
        <v>530</v>
      </c>
      <c r="C186" t="s">
        <v>23</v>
      </c>
      <c r="D186">
        <v>6.9653433418529309E-2</v>
      </c>
      <c r="E186" t="s">
        <v>6</v>
      </c>
      <c r="G186" t="s">
        <v>531</v>
      </c>
      <c r="H186" t="s">
        <v>23</v>
      </c>
      <c r="I186">
        <v>1.9414502301159018E-2</v>
      </c>
      <c r="J186" t="s">
        <v>6</v>
      </c>
    </row>
    <row r="187" spans="2:10" x14ac:dyDescent="0.45">
      <c r="B187" t="s">
        <v>530</v>
      </c>
      <c r="C187" t="s">
        <v>24</v>
      </c>
      <c r="D187">
        <v>5.080178869498083E-2</v>
      </c>
      <c r="E187" t="s">
        <v>6</v>
      </c>
      <c r="G187" t="s">
        <v>531</v>
      </c>
      <c r="H187" t="s">
        <v>24</v>
      </c>
      <c r="I187">
        <v>2.1029333621162036E-2</v>
      </c>
      <c r="J187" t="s">
        <v>6</v>
      </c>
    </row>
    <row r="188" spans="2:10" x14ac:dyDescent="0.45">
      <c r="B188" t="s">
        <v>530</v>
      </c>
      <c r="C188" t="s">
        <v>25</v>
      </c>
      <c r="D188">
        <v>2.2054171665471748E-2</v>
      </c>
      <c r="E188" t="s">
        <v>6</v>
      </c>
      <c r="G188" t="s">
        <v>531</v>
      </c>
      <c r="H188" t="s">
        <v>25</v>
      </c>
      <c r="I188">
        <v>2.0495203862917633E-2</v>
      </c>
      <c r="J188" t="s">
        <v>6</v>
      </c>
    </row>
    <row r="189" spans="2:10" x14ac:dyDescent="0.45">
      <c r="B189" t="s">
        <v>530</v>
      </c>
      <c r="C189" t="s">
        <v>26</v>
      </c>
      <c r="D189">
        <v>1.3299443960000353E-3</v>
      </c>
      <c r="E189" t="s">
        <v>6</v>
      </c>
      <c r="G189" t="s">
        <v>531</v>
      </c>
      <c r="H189" t="s">
        <v>26</v>
      </c>
      <c r="I189">
        <v>1.9504516643732553E-2</v>
      </c>
      <c r="J189" t="s">
        <v>6</v>
      </c>
    </row>
    <row r="190" spans="2:10" x14ac:dyDescent="0.45">
      <c r="B190" t="s">
        <v>530</v>
      </c>
      <c r="C190" t="s">
        <v>27</v>
      </c>
      <c r="D190">
        <v>0</v>
      </c>
      <c r="E190" t="s">
        <v>6</v>
      </c>
      <c r="G190" t="s">
        <v>531</v>
      </c>
      <c r="H190" t="s">
        <v>27</v>
      </c>
      <c r="I190">
        <v>2.9841366675239719E-2</v>
      </c>
      <c r="J190" t="s">
        <v>6</v>
      </c>
    </row>
    <row r="191" spans="2:10" x14ac:dyDescent="0.45">
      <c r="B191" t="s">
        <v>530</v>
      </c>
      <c r="C191" t="s">
        <v>28</v>
      </c>
      <c r="D191">
        <v>0</v>
      </c>
      <c r="E191" t="s">
        <v>6</v>
      </c>
      <c r="G191" t="s">
        <v>531</v>
      </c>
      <c r="H191" t="s">
        <v>28</v>
      </c>
      <c r="I191">
        <v>3.1599623833825231E-2</v>
      </c>
      <c r="J191" t="s">
        <v>6</v>
      </c>
    </row>
    <row r="192" spans="2:10" x14ac:dyDescent="0.45">
      <c r="B192" t="s">
        <v>530</v>
      </c>
      <c r="C192" t="s">
        <v>29</v>
      </c>
      <c r="D192">
        <v>8.3890647866015063E-4</v>
      </c>
      <c r="E192" t="s">
        <v>6</v>
      </c>
      <c r="G192" t="s">
        <v>531</v>
      </c>
      <c r="H192" t="s">
        <v>29</v>
      </c>
      <c r="I192">
        <v>9.333867441455675E-3</v>
      </c>
      <c r="J192" t="s">
        <v>6</v>
      </c>
    </row>
    <row r="193" spans="2:10" x14ac:dyDescent="0.45">
      <c r="B193" t="s">
        <v>530</v>
      </c>
      <c r="C193" t="s">
        <v>30</v>
      </c>
      <c r="D193">
        <v>1.8779321170866059E-2</v>
      </c>
      <c r="E193" t="s">
        <v>6</v>
      </c>
      <c r="G193" t="s">
        <v>531</v>
      </c>
      <c r="H193" t="s">
        <v>30</v>
      </c>
      <c r="I193">
        <v>7.2760768691227376E-3</v>
      </c>
      <c r="J193" t="s">
        <v>6</v>
      </c>
    </row>
    <row r="194" spans="2:10" x14ac:dyDescent="0.45">
      <c r="B194" t="s">
        <v>530</v>
      </c>
      <c r="C194" t="s">
        <v>31</v>
      </c>
      <c r="D194">
        <v>5.5816751898564172E-2</v>
      </c>
      <c r="E194" t="s">
        <v>6</v>
      </c>
      <c r="G194" t="s">
        <v>531</v>
      </c>
      <c r="H194" t="s">
        <v>31</v>
      </c>
      <c r="I194">
        <v>8.6521706575434249E-3</v>
      </c>
      <c r="J194" t="s">
        <v>6</v>
      </c>
    </row>
    <row r="195" spans="2:10" x14ac:dyDescent="0.45">
      <c r="B195" t="s">
        <v>530</v>
      </c>
      <c r="C195" t="s">
        <v>32</v>
      </c>
      <c r="D195">
        <v>7.7269685984544839E-2</v>
      </c>
      <c r="E195" t="s">
        <v>6</v>
      </c>
      <c r="G195" t="s">
        <v>531</v>
      </c>
      <c r="H195" t="s">
        <v>32</v>
      </c>
      <c r="I195">
        <v>9.6859068893472861E-3</v>
      </c>
      <c r="J195" t="s">
        <v>6</v>
      </c>
    </row>
    <row r="196" spans="2:10" x14ac:dyDescent="0.45">
      <c r="B196" t="s">
        <v>530</v>
      </c>
      <c r="C196" t="s">
        <v>33</v>
      </c>
      <c r="D196">
        <v>7.7149010029892981E-2</v>
      </c>
      <c r="E196" t="s">
        <v>6</v>
      </c>
      <c r="G196" t="s">
        <v>531</v>
      </c>
      <c r="H196" t="s">
        <v>33</v>
      </c>
      <c r="I196">
        <v>1.3782819686314195E-2</v>
      </c>
      <c r="J196" t="s">
        <v>6</v>
      </c>
    </row>
    <row r="197" spans="2:10" x14ac:dyDescent="0.45">
      <c r="B197" t="s">
        <v>530</v>
      </c>
      <c r="C197" t="s">
        <v>34</v>
      </c>
      <c r="D197">
        <v>5.8610695890709878E-2</v>
      </c>
      <c r="E197" t="s">
        <v>6</v>
      </c>
      <c r="G197" t="s">
        <v>531</v>
      </c>
      <c r="H197" t="s">
        <v>34</v>
      </c>
      <c r="I197">
        <v>1.5468444030432398E-2</v>
      </c>
      <c r="J197" t="s">
        <v>6</v>
      </c>
    </row>
    <row r="198" spans="2:10" x14ac:dyDescent="0.45">
      <c r="B198" t="s">
        <v>530</v>
      </c>
      <c r="C198" t="s">
        <v>35</v>
      </c>
      <c r="D198">
        <v>2.8377220947778697E-2</v>
      </c>
      <c r="E198" t="s">
        <v>6</v>
      </c>
      <c r="G198" t="s">
        <v>531</v>
      </c>
      <c r="H198" t="s">
        <v>35</v>
      </c>
      <c r="I198">
        <v>1.3616949424850642E-2</v>
      </c>
      <c r="J198" t="s">
        <v>6</v>
      </c>
    </row>
    <row r="199" spans="2:10" x14ac:dyDescent="0.45">
      <c r="B199" t="s">
        <v>530</v>
      </c>
      <c r="C199" t="s">
        <v>36</v>
      </c>
      <c r="D199">
        <v>3.759612841935012E-3</v>
      </c>
      <c r="E199" t="s">
        <v>6</v>
      </c>
      <c r="G199" t="s">
        <v>531</v>
      </c>
      <c r="H199" t="s">
        <v>36</v>
      </c>
      <c r="I199">
        <v>1.4328848854786439E-2</v>
      </c>
      <c r="J199" t="s">
        <v>6</v>
      </c>
    </row>
    <row r="200" spans="2:10" x14ac:dyDescent="0.45">
      <c r="B200" t="s">
        <v>530</v>
      </c>
      <c r="C200" t="s">
        <v>37</v>
      </c>
      <c r="D200">
        <v>0</v>
      </c>
      <c r="E200" t="s">
        <v>6</v>
      </c>
      <c r="G200" t="s">
        <v>531</v>
      </c>
      <c r="H200" t="s">
        <v>37</v>
      </c>
      <c r="I200">
        <v>1.9442243207608893E-2</v>
      </c>
      <c r="J200" t="s">
        <v>6</v>
      </c>
    </row>
    <row r="201" spans="2:10" x14ac:dyDescent="0.45">
      <c r="B201" t="s">
        <v>530</v>
      </c>
      <c r="C201" t="s">
        <v>38</v>
      </c>
      <c r="D201">
        <v>0</v>
      </c>
      <c r="E201" t="s">
        <v>6</v>
      </c>
      <c r="G201" t="s">
        <v>531</v>
      </c>
      <c r="H201" t="s">
        <v>38</v>
      </c>
      <c r="I201">
        <v>6.4465397809466987E-2</v>
      </c>
      <c r="J201" t="s">
        <v>6</v>
      </c>
    </row>
    <row r="202" spans="2:10" x14ac:dyDescent="0.45">
      <c r="B202" t="s">
        <v>530</v>
      </c>
      <c r="C202" t="s">
        <v>39</v>
      </c>
      <c r="D202">
        <v>0</v>
      </c>
      <c r="E202" t="s">
        <v>6</v>
      </c>
      <c r="G202" t="s">
        <v>531</v>
      </c>
      <c r="H202" t="s">
        <v>39</v>
      </c>
      <c r="I202">
        <v>2.5161544590505479E-2</v>
      </c>
      <c r="J202" t="s">
        <v>6</v>
      </c>
    </row>
    <row r="203" spans="2:10" x14ac:dyDescent="0.45">
      <c r="B203" t="s">
        <v>530</v>
      </c>
      <c r="C203" t="s">
        <v>40</v>
      </c>
      <c r="D203">
        <v>4.6788650968905858E-3</v>
      </c>
      <c r="E203" t="s">
        <v>6</v>
      </c>
      <c r="G203" t="s">
        <v>531</v>
      </c>
      <c r="H203" t="s">
        <v>40</v>
      </c>
      <c r="I203">
        <v>2.5112507535426543E-2</v>
      </c>
      <c r="J203" t="s">
        <v>6</v>
      </c>
    </row>
    <row r="204" spans="2:10" x14ac:dyDescent="0.45">
      <c r="B204" t="s">
        <v>530</v>
      </c>
      <c r="C204" t="s">
        <v>41</v>
      </c>
      <c r="D204">
        <v>3.3053087237210316E-2</v>
      </c>
      <c r="E204" t="s">
        <v>6</v>
      </c>
      <c r="G204" t="s">
        <v>531</v>
      </c>
      <c r="H204" t="s">
        <v>41</v>
      </c>
      <c r="I204">
        <v>2.5282628846159068E-2</v>
      </c>
      <c r="J204" t="s">
        <v>6</v>
      </c>
    </row>
    <row r="205" spans="2:10" x14ac:dyDescent="0.45">
      <c r="B205" t="s">
        <v>530</v>
      </c>
      <c r="C205" t="s">
        <v>42</v>
      </c>
      <c r="D205">
        <v>5.8252588999999702E-2</v>
      </c>
      <c r="E205" t="s">
        <v>6</v>
      </c>
      <c r="G205" t="s">
        <v>531</v>
      </c>
      <c r="H205" t="s">
        <v>42</v>
      </c>
      <c r="I205">
        <v>2.3172655332703889E-2</v>
      </c>
      <c r="J205" t="s">
        <v>6</v>
      </c>
    </row>
    <row r="206" spans="2:10" x14ac:dyDescent="0.45">
      <c r="B206" t="s">
        <v>530</v>
      </c>
      <c r="C206" t="s">
        <v>43</v>
      </c>
      <c r="D206">
        <v>5.8294672637378669E-2</v>
      </c>
      <c r="E206" t="s">
        <v>6</v>
      </c>
      <c r="G206" t="s">
        <v>531</v>
      </c>
      <c r="H206" t="s">
        <v>43</v>
      </c>
      <c r="I206">
        <v>2.8163931577081122E-2</v>
      </c>
      <c r="J206" t="s">
        <v>6</v>
      </c>
    </row>
    <row r="207" spans="2:10" x14ac:dyDescent="0.45">
      <c r="B207" t="s">
        <v>530</v>
      </c>
      <c r="C207" t="s">
        <v>44</v>
      </c>
      <c r="D207">
        <v>3.7989510438106014E-2</v>
      </c>
      <c r="E207" t="s">
        <v>6</v>
      </c>
      <c r="G207" t="s">
        <v>531</v>
      </c>
      <c r="H207" t="s">
        <v>44</v>
      </c>
      <c r="I207">
        <v>2.8766835039310483E-2</v>
      </c>
      <c r="J207" t="s">
        <v>6</v>
      </c>
    </row>
    <row r="208" spans="2:10" x14ac:dyDescent="0.45">
      <c r="B208" t="s">
        <v>530</v>
      </c>
      <c r="C208" t="s">
        <v>45</v>
      </c>
      <c r="D208">
        <v>9.0549454523557293E-3</v>
      </c>
      <c r="E208" t="s">
        <v>6</v>
      </c>
      <c r="G208" t="s">
        <v>531</v>
      </c>
      <c r="H208" t="s">
        <v>45</v>
      </c>
      <c r="I208">
        <v>2.818109577496597E-2</v>
      </c>
      <c r="J208" t="s">
        <v>6</v>
      </c>
    </row>
    <row r="209" spans="2:10" x14ac:dyDescent="0.45">
      <c r="B209" t="s">
        <v>530</v>
      </c>
      <c r="C209" t="s">
        <v>46</v>
      </c>
      <c r="D209">
        <v>3.2877407603180663E-5</v>
      </c>
      <c r="E209" t="s">
        <v>6</v>
      </c>
      <c r="G209" t="s">
        <v>531</v>
      </c>
      <c r="H209" t="s">
        <v>46</v>
      </c>
      <c r="I209">
        <v>2.6696931499684315E-2</v>
      </c>
      <c r="J209" t="s">
        <v>6</v>
      </c>
    </row>
    <row r="210" spans="2:10" x14ac:dyDescent="0.45">
      <c r="B210" t="s">
        <v>530</v>
      </c>
      <c r="C210" t="s">
        <v>47</v>
      </c>
      <c r="D210">
        <v>0</v>
      </c>
      <c r="E210" t="s">
        <v>6</v>
      </c>
      <c r="G210" t="s">
        <v>531</v>
      </c>
      <c r="H210" t="s">
        <v>47</v>
      </c>
      <c r="I210">
        <v>3.7432656183948726E-2</v>
      </c>
      <c r="J210" t="s">
        <v>6</v>
      </c>
    </row>
    <row r="211" spans="2:10" x14ac:dyDescent="0.45">
      <c r="B211" t="s">
        <v>532</v>
      </c>
      <c r="C211" t="s">
        <v>5</v>
      </c>
      <c r="D211">
        <v>0</v>
      </c>
      <c r="E211" t="s">
        <v>6</v>
      </c>
      <c r="G211" t="s">
        <v>533</v>
      </c>
      <c r="H211" t="s">
        <v>5</v>
      </c>
      <c r="I211">
        <v>6.5880393279214272E-2</v>
      </c>
      <c r="J211" t="s">
        <v>6</v>
      </c>
    </row>
    <row r="212" spans="2:10" x14ac:dyDescent="0.45">
      <c r="B212" t="s">
        <v>532</v>
      </c>
      <c r="C212" t="s">
        <v>9</v>
      </c>
      <c r="D212">
        <v>0</v>
      </c>
      <c r="E212" t="s">
        <v>6</v>
      </c>
      <c r="G212" t="s">
        <v>533</v>
      </c>
      <c r="H212" t="s">
        <v>9</v>
      </c>
      <c r="I212">
        <v>2.4078777662475643E-2</v>
      </c>
      <c r="J212" t="s">
        <v>6</v>
      </c>
    </row>
    <row r="213" spans="2:10" x14ac:dyDescent="0.45">
      <c r="B213" t="s">
        <v>532</v>
      </c>
      <c r="C213" t="s">
        <v>10</v>
      </c>
      <c r="D213">
        <v>2.1245522012327604E-4</v>
      </c>
      <c r="E213" t="s">
        <v>6</v>
      </c>
      <c r="G213" t="s">
        <v>533</v>
      </c>
      <c r="H213" t="s">
        <v>10</v>
      </c>
      <c r="I213">
        <v>2.3482155705858487E-2</v>
      </c>
      <c r="J213" t="s">
        <v>6</v>
      </c>
    </row>
    <row r="214" spans="2:10" x14ac:dyDescent="0.45">
      <c r="B214" t="s">
        <v>532</v>
      </c>
      <c r="C214" t="s">
        <v>11</v>
      </c>
      <c r="D214">
        <v>2.3057577921039702E-2</v>
      </c>
      <c r="E214" t="s">
        <v>6</v>
      </c>
      <c r="G214" t="s">
        <v>533</v>
      </c>
      <c r="H214" t="s">
        <v>11</v>
      </c>
      <c r="I214">
        <v>2.3896364409594764E-2</v>
      </c>
      <c r="J214" t="s">
        <v>6</v>
      </c>
    </row>
    <row r="215" spans="2:10" x14ac:dyDescent="0.45">
      <c r="B215" t="s">
        <v>532</v>
      </c>
      <c r="C215" t="s">
        <v>12</v>
      </c>
      <c r="D215">
        <v>5.7016207716045278E-2</v>
      </c>
      <c r="E215" t="s">
        <v>6</v>
      </c>
      <c r="G215" t="s">
        <v>533</v>
      </c>
      <c r="H215" t="s">
        <v>12</v>
      </c>
      <c r="I215">
        <v>1.88644717817208E-2</v>
      </c>
      <c r="J215" t="s">
        <v>6</v>
      </c>
    </row>
    <row r="216" spans="2:10" x14ac:dyDescent="0.45">
      <c r="B216" t="s">
        <v>532</v>
      </c>
      <c r="C216" t="s">
        <v>13</v>
      </c>
      <c r="D216">
        <v>6.6394232742622281E-2</v>
      </c>
      <c r="E216" t="s">
        <v>6</v>
      </c>
      <c r="G216" t="s">
        <v>533</v>
      </c>
      <c r="H216" t="s">
        <v>13</v>
      </c>
      <c r="I216">
        <v>2.3444418635686772E-2</v>
      </c>
      <c r="J216" t="s">
        <v>6</v>
      </c>
    </row>
    <row r="217" spans="2:10" x14ac:dyDescent="0.45">
      <c r="B217" t="s">
        <v>532</v>
      </c>
      <c r="C217" t="s">
        <v>14</v>
      </c>
      <c r="D217">
        <v>4.4579420300512942E-2</v>
      </c>
      <c r="E217" t="s">
        <v>6</v>
      </c>
      <c r="G217" t="s">
        <v>533</v>
      </c>
      <c r="H217" t="s">
        <v>14</v>
      </c>
      <c r="I217">
        <v>2.6011254113006324E-2</v>
      </c>
      <c r="J217" t="s">
        <v>6</v>
      </c>
    </row>
    <row r="218" spans="2:10" x14ac:dyDescent="0.45">
      <c r="B218" t="s">
        <v>532</v>
      </c>
      <c r="C218" t="s">
        <v>15</v>
      </c>
      <c r="D218">
        <v>7.7156672580533971E-3</v>
      </c>
      <c r="E218" t="s">
        <v>6</v>
      </c>
      <c r="G218" t="s">
        <v>533</v>
      </c>
      <c r="H218" t="s">
        <v>15</v>
      </c>
      <c r="I218">
        <v>2.6948301310688805E-2</v>
      </c>
      <c r="J218" t="s">
        <v>6</v>
      </c>
    </row>
    <row r="219" spans="2:10" x14ac:dyDescent="0.45">
      <c r="B219" t="s">
        <v>532</v>
      </c>
      <c r="C219" t="s">
        <v>16</v>
      </c>
      <c r="D219">
        <v>0</v>
      </c>
      <c r="E219" t="s">
        <v>6</v>
      </c>
      <c r="G219" t="s">
        <v>533</v>
      </c>
      <c r="H219" t="s">
        <v>16</v>
      </c>
      <c r="I219">
        <v>2.8620714066102535E-2</v>
      </c>
      <c r="J219" t="s">
        <v>6</v>
      </c>
    </row>
    <row r="220" spans="2:10" x14ac:dyDescent="0.45">
      <c r="B220" t="s">
        <v>532</v>
      </c>
      <c r="C220" t="s">
        <v>17</v>
      </c>
      <c r="D220">
        <v>0</v>
      </c>
      <c r="E220" t="s">
        <v>6</v>
      </c>
      <c r="G220" t="s">
        <v>533</v>
      </c>
      <c r="H220" t="s">
        <v>17</v>
      </c>
      <c r="I220">
        <v>4.4780727175838607E-2</v>
      </c>
      <c r="J220" t="s">
        <v>6</v>
      </c>
    </row>
    <row r="221" spans="2:10" x14ac:dyDescent="0.45">
      <c r="B221" t="s">
        <v>532</v>
      </c>
      <c r="C221" t="s">
        <v>18</v>
      </c>
      <c r="D221">
        <v>0</v>
      </c>
      <c r="E221" t="s">
        <v>6</v>
      </c>
      <c r="G221" t="s">
        <v>533</v>
      </c>
      <c r="H221" t="s">
        <v>18</v>
      </c>
      <c r="I221">
        <v>5.3274626387351483E-2</v>
      </c>
      <c r="J221" t="s">
        <v>6</v>
      </c>
    </row>
    <row r="222" spans="2:10" x14ac:dyDescent="0.45">
      <c r="B222" t="s">
        <v>532</v>
      </c>
      <c r="C222" t="s">
        <v>19</v>
      </c>
      <c r="D222">
        <v>2.5983035863875553E-4</v>
      </c>
      <c r="E222" t="s">
        <v>6</v>
      </c>
      <c r="G222" t="s">
        <v>533</v>
      </c>
      <c r="H222" t="s">
        <v>19</v>
      </c>
      <c r="I222">
        <v>1.7546058550661135E-2</v>
      </c>
      <c r="J222" t="s">
        <v>6</v>
      </c>
    </row>
    <row r="223" spans="2:10" x14ac:dyDescent="0.45">
      <c r="B223" t="s">
        <v>532</v>
      </c>
      <c r="C223" t="s">
        <v>20</v>
      </c>
      <c r="D223">
        <v>1.1364670626775685E-2</v>
      </c>
      <c r="E223" t="s">
        <v>6</v>
      </c>
      <c r="G223" t="s">
        <v>533</v>
      </c>
      <c r="H223" t="s">
        <v>20</v>
      </c>
      <c r="I223">
        <v>1.7499366467326635E-2</v>
      </c>
      <c r="J223" t="s">
        <v>6</v>
      </c>
    </row>
    <row r="224" spans="2:10" x14ac:dyDescent="0.45">
      <c r="B224" t="s">
        <v>532</v>
      </c>
      <c r="C224" t="s">
        <v>21</v>
      </c>
      <c r="D224">
        <v>4.5182019060587442E-2</v>
      </c>
      <c r="E224" t="s">
        <v>6</v>
      </c>
      <c r="G224" t="s">
        <v>533</v>
      </c>
      <c r="H224" t="s">
        <v>21</v>
      </c>
      <c r="I224">
        <v>1.8237707224441263E-2</v>
      </c>
      <c r="J224" t="s">
        <v>6</v>
      </c>
    </row>
    <row r="225" spans="2:10" x14ac:dyDescent="0.45">
      <c r="B225" t="s">
        <v>532</v>
      </c>
      <c r="C225" t="s">
        <v>22</v>
      </c>
      <c r="D225">
        <v>7.0244461760220242E-2</v>
      </c>
      <c r="E225" t="s">
        <v>6</v>
      </c>
      <c r="G225" t="s">
        <v>533</v>
      </c>
      <c r="H225" t="s">
        <v>22</v>
      </c>
      <c r="I225">
        <v>1.5961268464155239E-2</v>
      </c>
      <c r="J225" t="s">
        <v>6</v>
      </c>
    </row>
    <row r="226" spans="2:10" x14ac:dyDescent="0.45">
      <c r="B226" t="s">
        <v>532</v>
      </c>
      <c r="C226" t="s">
        <v>23</v>
      </c>
      <c r="D226">
        <v>7.3018839026892407E-2</v>
      </c>
      <c r="E226" t="s">
        <v>6</v>
      </c>
      <c r="G226" t="s">
        <v>533</v>
      </c>
      <c r="H226" t="s">
        <v>23</v>
      </c>
      <c r="I226">
        <v>2.0594125806716528E-2</v>
      </c>
      <c r="J226" t="s">
        <v>6</v>
      </c>
    </row>
    <row r="227" spans="2:10" x14ac:dyDescent="0.45">
      <c r="B227" t="s">
        <v>532</v>
      </c>
      <c r="C227" t="s">
        <v>24</v>
      </c>
      <c r="D227">
        <v>5.5171250759195982E-2</v>
      </c>
      <c r="E227" t="s">
        <v>6</v>
      </c>
      <c r="G227" t="s">
        <v>533</v>
      </c>
      <c r="H227" t="s">
        <v>24</v>
      </c>
      <c r="I227">
        <v>2.2791337317567439E-2</v>
      </c>
      <c r="J227" t="s">
        <v>6</v>
      </c>
    </row>
    <row r="228" spans="2:10" x14ac:dyDescent="0.45">
      <c r="B228" t="s">
        <v>532</v>
      </c>
      <c r="C228" t="s">
        <v>25</v>
      </c>
      <c r="D228">
        <v>2.5031302741037112E-2</v>
      </c>
      <c r="E228" t="s">
        <v>6</v>
      </c>
      <c r="G228" t="s">
        <v>533</v>
      </c>
      <c r="H228" t="s">
        <v>25</v>
      </c>
      <c r="I228">
        <v>2.3383647636979577E-2</v>
      </c>
      <c r="J228" t="s">
        <v>6</v>
      </c>
    </row>
    <row r="229" spans="2:10" x14ac:dyDescent="0.45">
      <c r="B229" t="s">
        <v>532</v>
      </c>
      <c r="C229" t="s">
        <v>26</v>
      </c>
      <c r="D229">
        <v>1.5877126765627149E-3</v>
      </c>
      <c r="E229" t="s">
        <v>6</v>
      </c>
      <c r="G229" t="s">
        <v>533</v>
      </c>
      <c r="H229" t="s">
        <v>26</v>
      </c>
      <c r="I229">
        <v>2.2894175681321082E-2</v>
      </c>
      <c r="J229" t="s">
        <v>6</v>
      </c>
    </row>
    <row r="230" spans="2:10" x14ac:dyDescent="0.45">
      <c r="B230" t="s">
        <v>532</v>
      </c>
      <c r="C230" t="s">
        <v>27</v>
      </c>
      <c r="D230">
        <v>0</v>
      </c>
      <c r="E230" t="s">
        <v>6</v>
      </c>
      <c r="G230" t="s">
        <v>533</v>
      </c>
      <c r="H230" t="s">
        <v>27</v>
      </c>
      <c r="I230">
        <v>3.380869573907281E-2</v>
      </c>
      <c r="J230" t="s">
        <v>6</v>
      </c>
    </row>
    <row r="231" spans="2:10" x14ac:dyDescent="0.45">
      <c r="B231" t="s">
        <v>532</v>
      </c>
      <c r="C231" t="s">
        <v>28</v>
      </c>
      <c r="D231">
        <v>0</v>
      </c>
      <c r="E231" t="s">
        <v>6</v>
      </c>
      <c r="G231" t="s">
        <v>533</v>
      </c>
      <c r="H231" t="s">
        <v>28</v>
      </c>
      <c r="I231">
        <v>3.981949441030453E-2</v>
      </c>
      <c r="J231" t="s">
        <v>6</v>
      </c>
    </row>
    <row r="232" spans="2:10" x14ac:dyDescent="0.45">
      <c r="B232" t="s">
        <v>532</v>
      </c>
      <c r="C232" t="s">
        <v>29</v>
      </c>
      <c r="D232">
        <v>7.2209744780741506E-4</v>
      </c>
      <c r="E232" t="s">
        <v>6</v>
      </c>
      <c r="G232" t="s">
        <v>533</v>
      </c>
      <c r="H232" t="s">
        <v>29</v>
      </c>
      <c r="I232">
        <v>1.1357775026868589E-2</v>
      </c>
      <c r="J232" t="s">
        <v>6</v>
      </c>
    </row>
    <row r="233" spans="2:10" x14ac:dyDescent="0.45">
      <c r="B233" t="s">
        <v>532</v>
      </c>
      <c r="C233" t="s">
        <v>30</v>
      </c>
      <c r="D233">
        <v>1.6968243100060384E-2</v>
      </c>
      <c r="E233" t="s">
        <v>6</v>
      </c>
      <c r="G233" t="s">
        <v>533</v>
      </c>
      <c r="H233" t="s">
        <v>30</v>
      </c>
      <c r="I233">
        <v>8.1794671335795027E-3</v>
      </c>
      <c r="J233" t="s">
        <v>6</v>
      </c>
    </row>
    <row r="234" spans="2:10" x14ac:dyDescent="0.45">
      <c r="B234" t="s">
        <v>532</v>
      </c>
      <c r="C234" t="s">
        <v>31</v>
      </c>
      <c r="D234">
        <v>5.3719673080852598E-2</v>
      </c>
      <c r="E234" t="s">
        <v>6</v>
      </c>
      <c r="G234" t="s">
        <v>533</v>
      </c>
      <c r="H234" t="s">
        <v>31</v>
      </c>
      <c r="I234">
        <v>9.2927175901503754E-3</v>
      </c>
      <c r="J234" t="s">
        <v>6</v>
      </c>
    </row>
    <row r="235" spans="2:10" x14ac:dyDescent="0.45">
      <c r="B235" t="s">
        <v>532</v>
      </c>
      <c r="C235" t="s">
        <v>32</v>
      </c>
      <c r="D235">
        <v>7.7667635690150394E-2</v>
      </c>
      <c r="E235" t="s">
        <v>6</v>
      </c>
      <c r="G235" t="s">
        <v>533</v>
      </c>
      <c r="H235" t="s">
        <v>32</v>
      </c>
      <c r="I235">
        <v>1.1147556673647054E-2</v>
      </c>
      <c r="J235" t="s">
        <v>6</v>
      </c>
    </row>
    <row r="236" spans="2:10" x14ac:dyDescent="0.45">
      <c r="B236" t="s">
        <v>532</v>
      </c>
      <c r="C236" t="s">
        <v>33</v>
      </c>
      <c r="D236">
        <v>8.0281081212227906E-2</v>
      </c>
      <c r="E236" t="s">
        <v>6</v>
      </c>
      <c r="G236" t="s">
        <v>533</v>
      </c>
      <c r="H236" t="s">
        <v>33</v>
      </c>
      <c r="I236">
        <v>1.4719118100790692E-2</v>
      </c>
      <c r="J236" t="s">
        <v>6</v>
      </c>
    </row>
    <row r="237" spans="2:10" x14ac:dyDescent="0.45">
      <c r="B237" t="s">
        <v>532</v>
      </c>
      <c r="C237" t="s">
        <v>34</v>
      </c>
      <c r="D237">
        <v>6.2776065172979942E-2</v>
      </c>
      <c r="E237" t="s">
        <v>6</v>
      </c>
      <c r="G237" t="s">
        <v>533</v>
      </c>
      <c r="H237" t="s">
        <v>34</v>
      </c>
      <c r="I237">
        <v>1.7471854881539246E-2</v>
      </c>
      <c r="J237" t="s">
        <v>6</v>
      </c>
    </row>
    <row r="238" spans="2:10" x14ac:dyDescent="0.45">
      <c r="B238" t="s">
        <v>532</v>
      </c>
      <c r="C238" t="s">
        <v>35</v>
      </c>
      <c r="D238">
        <v>3.0908268376833518E-2</v>
      </c>
      <c r="E238" t="s">
        <v>6</v>
      </c>
      <c r="G238" t="s">
        <v>533</v>
      </c>
      <c r="H238" t="s">
        <v>35</v>
      </c>
      <c r="I238">
        <v>1.4378398187693604E-2</v>
      </c>
      <c r="J238" t="s">
        <v>6</v>
      </c>
    </row>
    <row r="239" spans="2:10" x14ac:dyDescent="0.45">
      <c r="B239" t="s">
        <v>532</v>
      </c>
      <c r="C239" t="s">
        <v>36</v>
      </c>
      <c r="D239">
        <v>4.1559682440974561E-3</v>
      </c>
      <c r="E239" t="s">
        <v>6</v>
      </c>
      <c r="G239" t="s">
        <v>533</v>
      </c>
      <c r="H239" t="s">
        <v>36</v>
      </c>
      <c r="I239">
        <v>1.3623545083957255E-2</v>
      </c>
      <c r="J239" t="s">
        <v>6</v>
      </c>
    </row>
    <row r="240" spans="2:10" x14ac:dyDescent="0.45">
      <c r="B240" t="s">
        <v>532</v>
      </c>
      <c r="C240" t="s">
        <v>37</v>
      </c>
      <c r="D240">
        <v>0</v>
      </c>
      <c r="E240" t="s">
        <v>6</v>
      </c>
      <c r="G240" t="s">
        <v>533</v>
      </c>
      <c r="H240" t="s">
        <v>37</v>
      </c>
      <c r="I240">
        <v>2.3061968252629687E-2</v>
      </c>
      <c r="J240" t="s">
        <v>6</v>
      </c>
    </row>
    <row r="241" spans="2:10" x14ac:dyDescent="0.45">
      <c r="B241" t="s">
        <v>532</v>
      </c>
      <c r="C241" t="s">
        <v>38</v>
      </c>
      <c r="D241">
        <v>0</v>
      </c>
      <c r="E241" t="s">
        <v>6</v>
      </c>
      <c r="G241" t="s">
        <v>533</v>
      </c>
      <c r="H241" t="s">
        <v>38</v>
      </c>
      <c r="I241">
        <v>5.6314613763469905E-2</v>
      </c>
      <c r="J241" t="s">
        <v>6</v>
      </c>
    </row>
    <row r="242" spans="2:10" x14ac:dyDescent="0.45">
      <c r="B242" t="s">
        <v>532</v>
      </c>
      <c r="C242" t="s">
        <v>39</v>
      </c>
      <c r="D242">
        <v>0</v>
      </c>
      <c r="E242" t="s">
        <v>6</v>
      </c>
      <c r="G242" t="s">
        <v>533</v>
      </c>
      <c r="H242" t="s">
        <v>39</v>
      </c>
      <c r="I242">
        <v>2.1997440525540597E-2</v>
      </c>
      <c r="J242" t="s">
        <v>6</v>
      </c>
    </row>
    <row r="243" spans="2:10" x14ac:dyDescent="0.45">
      <c r="B243" t="s">
        <v>532</v>
      </c>
      <c r="C243" t="s">
        <v>40</v>
      </c>
      <c r="D243">
        <v>3.8577128617365464E-3</v>
      </c>
      <c r="E243" t="s">
        <v>6</v>
      </c>
      <c r="G243" t="s">
        <v>533</v>
      </c>
      <c r="H243" t="s">
        <v>40</v>
      </c>
      <c r="I243">
        <v>2.1304592811424224E-2</v>
      </c>
      <c r="J243" t="s">
        <v>6</v>
      </c>
    </row>
    <row r="244" spans="2:10" x14ac:dyDescent="0.45">
      <c r="B244" t="s">
        <v>532</v>
      </c>
      <c r="C244" t="s">
        <v>41</v>
      </c>
      <c r="D244">
        <v>2.9162487884802687E-2</v>
      </c>
      <c r="E244" t="s">
        <v>6</v>
      </c>
      <c r="G244" t="s">
        <v>533</v>
      </c>
      <c r="H244" t="s">
        <v>41</v>
      </c>
      <c r="I244">
        <v>2.1041068471912169E-2</v>
      </c>
      <c r="J244" t="s">
        <v>6</v>
      </c>
    </row>
    <row r="245" spans="2:10" x14ac:dyDescent="0.45">
      <c r="B245" t="s">
        <v>532</v>
      </c>
      <c r="C245" t="s">
        <v>42</v>
      </c>
      <c r="D245">
        <v>5.4122807429752437E-2</v>
      </c>
      <c r="E245" t="s">
        <v>6</v>
      </c>
      <c r="G245" t="s">
        <v>533</v>
      </c>
      <c r="H245" t="s">
        <v>42</v>
      </c>
      <c r="I245">
        <v>1.972118603973206E-2</v>
      </c>
      <c r="J245" t="s">
        <v>6</v>
      </c>
    </row>
    <row r="246" spans="2:10" x14ac:dyDescent="0.45">
      <c r="B246" t="s">
        <v>532</v>
      </c>
      <c r="C246" t="s">
        <v>43</v>
      </c>
      <c r="D246">
        <v>5.6717822099987436E-2</v>
      </c>
      <c r="E246" t="s">
        <v>6</v>
      </c>
      <c r="G246" t="s">
        <v>533</v>
      </c>
      <c r="H246" t="s">
        <v>43</v>
      </c>
      <c r="I246">
        <v>2.6400802476790931E-2</v>
      </c>
      <c r="J246" t="s">
        <v>6</v>
      </c>
    </row>
    <row r="247" spans="2:10" x14ac:dyDescent="0.45">
      <c r="B247" t="s">
        <v>532</v>
      </c>
      <c r="C247" t="s">
        <v>44</v>
      </c>
      <c r="D247">
        <v>3.816594182435265E-2</v>
      </c>
      <c r="E247" t="s">
        <v>6</v>
      </c>
      <c r="G247" t="s">
        <v>533</v>
      </c>
      <c r="H247" t="s">
        <v>44</v>
      </c>
      <c r="I247">
        <v>2.7225048186836777E-2</v>
      </c>
      <c r="J247" t="s">
        <v>6</v>
      </c>
    </row>
    <row r="248" spans="2:10" x14ac:dyDescent="0.45">
      <c r="B248" t="s">
        <v>532</v>
      </c>
      <c r="C248" t="s">
        <v>45</v>
      </c>
      <c r="D248">
        <v>9.8934072527211477E-3</v>
      </c>
      <c r="E248" t="s">
        <v>6</v>
      </c>
      <c r="G248" t="s">
        <v>533</v>
      </c>
      <c r="H248" t="s">
        <v>45</v>
      </c>
      <c r="I248">
        <v>2.6716861761735648E-2</v>
      </c>
      <c r="J248" t="s">
        <v>6</v>
      </c>
    </row>
    <row r="249" spans="2:10" x14ac:dyDescent="0.45">
      <c r="B249" t="s">
        <v>532</v>
      </c>
      <c r="C249" t="s">
        <v>46</v>
      </c>
      <c r="D249">
        <v>4.5140153329561123E-5</v>
      </c>
      <c r="E249" t="s">
        <v>6</v>
      </c>
      <c r="G249" t="s">
        <v>533</v>
      </c>
      <c r="H249" t="s">
        <v>46</v>
      </c>
      <c r="I249">
        <v>2.7200107060403225E-2</v>
      </c>
      <c r="J249" t="s">
        <v>6</v>
      </c>
    </row>
    <row r="250" spans="2:10" x14ac:dyDescent="0.45">
      <c r="B250" t="s">
        <v>532</v>
      </c>
      <c r="C250" t="s">
        <v>47</v>
      </c>
      <c r="D250">
        <v>0</v>
      </c>
      <c r="E250" t="s">
        <v>6</v>
      </c>
      <c r="G250" t="s">
        <v>533</v>
      </c>
      <c r="H250" t="s">
        <v>47</v>
      </c>
      <c r="I250">
        <v>3.7027796145213746E-2</v>
      </c>
      <c r="J250" t="s">
        <v>6</v>
      </c>
    </row>
    <row r="251" spans="2:10" x14ac:dyDescent="0.45">
      <c r="B251" t="s">
        <v>534</v>
      </c>
      <c r="C251" t="s">
        <v>5</v>
      </c>
      <c r="D251">
        <v>0</v>
      </c>
      <c r="E251" t="s">
        <v>6</v>
      </c>
    </row>
    <row r="252" spans="2:10" x14ac:dyDescent="0.45">
      <c r="B252" t="s">
        <v>534</v>
      </c>
      <c r="C252" t="s">
        <v>9</v>
      </c>
      <c r="D252">
        <v>0</v>
      </c>
      <c r="E252" t="s">
        <v>6</v>
      </c>
    </row>
    <row r="253" spans="2:10" x14ac:dyDescent="0.45">
      <c r="B253" t="s">
        <v>534</v>
      </c>
      <c r="C253" t="s">
        <v>10</v>
      </c>
      <c r="D253">
        <v>3.1955522595464731E-4</v>
      </c>
      <c r="E253" t="s">
        <v>6</v>
      </c>
    </row>
    <row r="254" spans="2:10" x14ac:dyDescent="0.45">
      <c r="B254" t="s">
        <v>534</v>
      </c>
      <c r="C254" t="s">
        <v>11</v>
      </c>
      <c r="D254">
        <v>2.4165861389528944E-2</v>
      </c>
      <c r="E254" t="s">
        <v>6</v>
      </c>
    </row>
    <row r="255" spans="2:10" x14ac:dyDescent="0.45">
      <c r="B255" t="s">
        <v>534</v>
      </c>
      <c r="C255" t="s">
        <v>12</v>
      </c>
      <c r="D255">
        <v>5.8399427058444128E-2</v>
      </c>
      <c r="E255" t="s">
        <v>6</v>
      </c>
    </row>
    <row r="256" spans="2:10" x14ac:dyDescent="0.45">
      <c r="B256" t="s">
        <v>534</v>
      </c>
      <c r="C256" t="s">
        <v>13</v>
      </c>
      <c r="D256">
        <v>6.5417355815404477E-2</v>
      </c>
      <c r="E256" t="s">
        <v>6</v>
      </c>
    </row>
    <row r="257" spans="2:5" x14ac:dyDescent="0.45">
      <c r="B257" t="s">
        <v>534</v>
      </c>
      <c r="C257" t="s">
        <v>14</v>
      </c>
      <c r="D257">
        <v>4.1952798297568511E-2</v>
      </c>
      <c r="E257" t="s">
        <v>6</v>
      </c>
    </row>
    <row r="258" spans="2:5" x14ac:dyDescent="0.45">
      <c r="B258" t="s">
        <v>534</v>
      </c>
      <c r="C258" t="s">
        <v>15</v>
      </c>
      <c r="D258">
        <v>6.0710964103030517E-3</v>
      </c>
      <c r="E258" t="s">
        <v>6</v>
      </c>
    </row>
    <row r="259" spans="2:5" x14ac:dyDescent="0.45">
      <c r="B259" t="s">
        <v>534</v>
      </c>
      <c r="C259" t="s">
        <v>16</v>
      </c>
      <c r="D259">
        <v>0</v>
      </c>
      <c r="E259" t="s">
        <v>6</v>
      </c>
    </row>
    <row r="260" spans="2:5" x14ac:dyDescent="0.45">
      <c r="B260" t="s">
        <v>534</v>
      </c>
      <c r="C260" t="s">
        <v>17</v>
      </c>
      <c r="D260">
        <v>0</v>
      </c>
      <c r="E260" t="s">
        <v>6</v>
      </c>
    </row>
    <row r="261" spans="2:5" x14ac:dyDescent="0.45">
      <c r="B261" t="s">
        <v>534</v>
      </c>
      <c r="C261" t="s">
        <v>18</v>
      </c>
      <c r="D261">
        <v>0</v>
      </c>
      <c r="E261" t="s">
        <v>6</v>
      </c>
    </row>
    <row r="262" spans="2:5" x14ac:dyDescent="0.45">
      <c r="B262" t="s">
        <v>534</v>
      </c>
      <c r="C262" t="s">
        <v>19</v>
      </c>
      <c r="D262">
        <v>3.817440939170864E-4</v>
      </c>
      <c r="E262" t="s">
        <v>6</v>
      </c>
    </row>
    <row r="263" spans="2:5" x14ac:dyDescent="0.45">
      <c r="B263" t="s">
        <v>534</v>
      </c>
      <c r="C263" t="s">
        <v>20</v>
      </c>
      <c r="D263">
        <v>1.3287740833161518E-2</v>
      </c>
      <c r="E263" t="s">
        <v>6</v>
      </c>
    </row>
    <row r="264" spans="2:5" x14ac:dyDescent="0.45">
      <c r="B264" t="s">
        <v>534</v>
      </c>
      <c r="C264" t="s">
        <v>21</v>
      </c>
      <c r="D264">
        <v>5.0766216767152601E-2</v>
      </c>
      <c r="E264" t="s">
        <v>6</v>
      </c>
    </row>
    <row r="265" spans="2:5" x14ac:dyDescent="0.45">
      <c r="B265" t="s">
        <v>534</v>
      </c>
      <c r="C265" t="s">
        <v>22</v>
      </c>
      <c r="D265">
        <v>7.7199778189250196E-2</v>
      </c>
      <c r="E265" t="s">
        <v>6</v>
      </c>
    </row>
    <row r="266" spans="2:5" x14ac:dyDescent="0.45">
      <c r="B266" t="s">
        <v>534</v>
      </c>
      <c r="C266" t="s">
        <v>23</v>
      </c>
      <c r="D266">
        <v>7.6313523716104573E-2</v>
      </c>
      <c r="E266" t="s">
        <v>6</v>
      </c>
    </row>
    <row r="267" spans="2:5" x14ac:dyDescent="0.45">
      <c r="B267" t="s">
        <v>534</v>
      </c>
      <c r="C267" t="s">
        <v>24</v>
      </c>
      <c r="D267">
        <v>5.595046502862739E-2</v>
      </c>
      <c r="E267" t="s">
        <v>6</v>
      </c>
    </row>
    <row r="268" spans="2:5" x14ac:dyDescent="0.45">
      <c r="B268" t="s">
        <v>534</v>
      </c>
      <c r="C268" t="s">
        <v>25</v>
      </c>
      <c r="D268">
        <v>2.41977733504917E-2</v>
      </c>
      <c r="E268" t="s">
        <v>6</v>
      </c>
    </row>
    <row r="269" spans="2:5" x14ac:dyDescent="0.45">
      <c r="B269" t="s">
        <v>534</v>
      </c>
      <c r="C269" t="s">
        <v>26</v>
      </c>
      <c r="D269">
        <v>1.5598756934262614E-3</v>
      </c>
      <c r="E269" t="s">
        <v>6</v>
      </c>
    </row>
    <row r="270" spans="2:5" x14ac:dyDescent="0.45">
      <c r="B270" t="s">
        <v>534</v>
      </c>
      <c r="C270" t="s">
        <v>27</v>
      </c>
      <c r="D270">
        <v>0</v>
      </c>
      <c r="E270" t="s">
        <v>6</v>
      </c>
    </row>
    <row r="271" spans="2:5" x14ac:dyDescent="0.45">
      <c r="B271" t="s">
        <v>534</v>
      </c>
      <c r="C271" t="s">
        <v>28</v>
      </c>
      <c r="D271">
        <v>0</v>
      </c>
      <c r="E271" t="s">
        <v>6</v>
      </c>
    </row>
    <row r="272" spans="2:5" x14ac:dyDescent="0.45">
      <c r="B272" t="s">
        <v>534</v>
      </c>
      <c r="C272" t="s">
        <v>29</v>
      </c>
      <c r="D272">
        <v>8.8503909962551889E-4</v>
      </c>
      <c r="E272" t="s">
        <v>6</v>
      </c>
    </row>
    <row r="273" spans="2:5" x14ac:dyDescent="0.45">
      <c r="B273" t="s">
        <v>534</v>
      </c>
      <c r="C273" t="s">
        <v>30</v>
      </c>
      <c r="D273">
        <v>1.7534708053347184E-2</v>
      </c>
      <c r="E273" t="s">
        <v>6</v>
      </c>
    </row>
    <row r="274" spans="2:5" x14ac:dyDescent="0.45">
      <c r="B274" t="s">
        <v>534</v>
      </c>
      <c r="C274" t="s">
        <v>31</v>
      </c>
      <c r="D274">
        <v>5.2812930086896283E-2</v>
      </c>
      <c r="E274" t="s">
        <v>6</v>
      </c>
    </row>
    <row r="275" spans="2:5" x14ac:dyDescent="0.45">
      <c r="B275" t="s">
        <v>534</v>
      </c>
      <c r="C275" t="s">
        <v>32</v>
      </c>
      <c r="D275">
        <v>7.247513396694312E-2</v>
      </c>
      <c r="E275" t="s">
        <v>6</v>
      </c>
    </row>
    <row r="276" spans="2:5" x14ac:dyDescent="0.45">
      <c r="B276" t="s">
        <v>534</v>
      </c>
      <c r="C276" t="s">
        <v>33</v>
      </c>
      <c r="D276">
        <v>7.1643137397303089E-2</v>
      </c>
      <c r="E276" t="s">
        <v>6</v>
      </c>
    </row>
    <row r="277" spans="2:5" x14ac:dyDescent="0.45">
      <c r="B277" t="s">
        <v>534</v>
      </c>
      <c r="C277" t="s">
        <v>34</v>
      </c>
      <c r="D277">
        <v>5.2900197422025917E-2</v>
      </c>
      <c r="E277" t="s">
        <v>6</v>
      </c>
    </row>
    <row r="278" spans="2:5" x14ac:dyDescent="0.45">
      <c r="B278" t="s">
        <v>534</v>
      </c>
      <c r="C278" t="s">
        <v>35</v>
      </c>
      <c r="D278">
        <v>2.5622374568597072E-2</v>
      </c>
      <c r="E278" t="s">
        <v>6</v>
      </c>
    </row>
    <row r="279" spans="2:5" x14ac:dyDescent="0.45">
      <c r="B279" t="s">
        <v>534</v>
      </c>
      <c r="C279" t="s">
        <v>36</v>
      </c>
      <c r="D279">
        <v>3.4630378206712774E-3</v>
      </c>
      <c r="E279" t="s">
        <v>6</v>
      </c>
    </row>
    <row r="280" spans="2:5" x14ac:dyDescent="0.45">
      <c r="B280" t="s">
        <v>534</v>
      </c>
      <c r="C280" t="s">
        <v>37</v>
      </c>
      <c r="D280">
        <v>0</v>
      </c>
      <c r="E280" t="s">
        <v>6</v>
      </c>
    </row>
    <row r="281" spans="2:5" x14ac:dyDescent="0.45">
      <c r="B281" t="s">
        <v>534</v>
      </c>
      <c r="C281" t="s">
        <v>38</v>
      </c>
      <c r="D281">
        <v>0</v>
      </c>
      <c r="E281" t="s">
        <v>6</v>
      </c>
    </row>
    <row r="282" spans="2:5" x14ac:dyDescent="0.45">
      <c r="B282" t="s">
        <v>534</v>
      </c>
      <c r="C282" t="s">
        <v>39</v>
      </c>
      <c r="D282">
        <v>0</v>
      </c>
      <c r="E282" t="s">
        <v>6</v>
      </c>
    </row>
    <row r="283" spans="2:5" x14ac:dyDescent="0.45">
      <c r="B283" t="s">
        <v>534</v>
      </c>
      <c r="C283" t="s">
        <v>40</v>
      </c>
      <c r="D283">
        <v>4.3673331430314193E-3</v>
      </c>
      <c r="E283" t="s">
        <v>6</v>
      </c>
    </row>
    <row r="284" spans="2:5" x14ac:dyDescent="0.45">
      <c r="B284" t="s">
        <v>534</v>
      </c>
      <c r="C284" t="s">
        <v>41</v>
      </c>
      <c r="D284">
        <v>3.2776780261743008E-2</v>
      </c>
      <c r="E284" t="s">
        <v>6</v>
      </c>
    </row>
    <row r="285" spans="2:5" x14ac:dyDescent="0.45">
      <c r="B285" t="s">
        <v>534</v>
      </c>
      <c r="C285" t="s">
        <v>42</v>
      </c>
      <c r="D285">
        <v>6.0222764204310088E-2</v>
      </c>
      <c r="E285" t="s">
        <v>6</v>
      </c>
    </row>
    <row r="286" spans="2:5" x14ac:dyDescent="0.45">
      <c r="B286" t="s">
        <v>534</v>
      </c>
      <c r="C286" t="s">
        <v>43</v>
      </c>
      <c r="D286">
        <v>6.0973727098987705E-2</v>
      </c>
      <c r="E286" t="s">
        <v>6</v>
      </c>
    </row>
    <row r="287" spans="2:5" x14ac:dyDescent="0.45">
      <c r="B287" t="s">
        <v>534</v>
      </c>
      <c r="C287" t="s">
        <v>44</v>
      </c>
      <c r="D287">
        <v>3.9521791617486986E-2</v>
      </c>
      <c r="E287" t="s">
        <v>6</v>
      </c>
    </row>
    <row r="288" spans="2:5" x14ac:dyDescent="0.45">
      <c r="B288" t="s">
        <v>534</v>
      </c>
      <c r="C288" t="s">
        <v>45</v>
      </c>
      <c r="D288">
        <v>8.7879189134911096E-3</v>
      </c>
      <c r="E288" t="s">
        <v>6</v>
      </c>
    </row>
    <row r="289" spans="2:5" x14ac:dyDescent="0.45">
      <c r="B289" t="s">
        <v>534</v>
      </c>
      <c r="C289" t="s">
        <v>46</v>
      </c>
      <c r="D289">
        <v>2.9914476205940883E-5</v>
      </c>
      <c r="E289" t="s">
        <v>6</v>
      </c>
    </row>
    <row r="290" spans="2:5" x14ac:dyDescent="0.45">
      <c r="B290" t="s">
        <v>534</v>
      </c>
      <c r="C290" t="s">
        <v>47</v>
      </c>
      <c r="D290">
        <v>0</v>
      </c>
      <c r="E290" t="s">
        <v>6</v>
      </c>
    </row>
    <row r="291" spans="2:5" x14ac:dyDescent="0.45">
      <c r="B291" t="s">
        <v>535</v>
      </c>
      <c r="C291" t="s">
        <v>5</v>
      </c>
      <c r="D291">
        <v>0</v>
      </c>
      <c r="E291" t="s">
        <v>6</v>
      </c>
    </row>
    <row r="292" spans="2:5" x14ac:dyDescent="0.45">
      <c r="B292" t="s">
        <v>535</v>
      </c>
      <c r="C292" t="s">
        <v>9</v>
      </c>
      <c r="D292">
        <v>0</v>
      </c>
      <c r="E292" t="s">
        <v>6</v>
      </c>
    </row>
    <row r="293" spans="2:5" x14ac:dyDescent="0.45">
      <c r="B293" t="s">
        <v>535</v>
      </c>
      <c r="C293" t="s">
        <v>10</v>
      </c>
      <c r="D293">
        <v>2.986008200277859E-4</v>
      </c>
      <c r="E293" t="s">
        <v>6</v>
      </c>
    </row>
    <row r="294" spans="2:5" x14ac:dyDescent="0.45">
      <c r="B294" t="s">
        <v>535</v>
      </c>
      <c r="C294" t="s">
        <v>11</v>
      </c>
      <c r="D294">
        <v>2.2485605183922213E-2</v>
      </c>
      <c r="E294" t="s">
        <v>6</v>
      </c>
    </row>
    <row r="295" spans="2:5" x14ac:dyDescent="0.45">
      <c r="B295" t="s">
        <v>535</v>
      </c>
      <c r="C295" t="s">
        <v>12</v>
      </c>
      <c r="D295">
        <v>5.725121900976559E-2</v>
      </c>
      <c r="E295" t="s">
        <v>6</v>
      </c>
    </row>
    <row r="296" spans="2:5" x14ac:dyDescent="0.45">
      <c r="B296" t="s">
        <v>535</v>
      </c>
      <c r="C296" t="s">
        <v>13</v>
      </c>
      <c r="D296">
        <v>6.5120370380459799E-2</v>
      </c>
      <c r="E296" t="s">
        <v>6</v>
      </c>
    </row>
    <row r="297" spans="2:5" x14ac:dyDescent="0.45">
      <c r="B297" t="s">
        <v>535</v>
      </c>
      <c r="C297" t="s">
        <v>14</v>
      </c>
      <c r="D297">
        <v>4.143251958705637E-2</v>
      </c>
      <c r="E297" t="s">
        <v>6</v>
      </c>
    </row>
    <row r="298" spans="2:5" x14ac:dyDescent="0.45">
      <c r="B298" t="s">
        <v>535</v>
      </c>
      <c r="C298" t="s">
        <v>15</v>
      </c>
      <c r="D298">
        <v>5.5362180539115548E-3</v>
      </c>
      <c r="E298" t="s">
        <v>6</v>
      </c>
    </row>
    <row r="299" spans="2:5" x14ac:dyDescent="0.45">
      <c r="B299" t="s">
        <v>535</v>
      </c>
      <c r="C299" t="s">
        <v>16</v>
      </c>
      <c r="D299">
        <v>0</v>
      </c>
      <c r="E299" t="s">
        <v>6</v>
      </c>
    </row>
    <row r="300" spans="2:5" x14ac:dyDescent="0.45">
      <c r="B300" t="s">
        <v>535</v>
      </c>
      <c r="C300" t="s">
        <v>17</v>
      </c>
      <c r="D300">
        <v>0</v>
      </c>
      <c r="E300" t="s">
        <v>6</v>
      </c>
    </row>
    <row r="301" spans="2:5" x14ac:dyDescent="0.45">
      <c r="B301" t="s">
        <v>535</v>
      </c>
      <c r="C301" t="s">
        <v>18</v>
      </c>
      <c r="D301">
        <v>0</v>
      </c>
      <c r="E301" t="s">
        <v>6</v>
      </c>
    </row>
    <row r="302" spans="2:5" x14ac:dyDescent="0.45">
      <c r="B302" t="s">
        <v>535</v>
      </c>
      <c r="C302" t="s">
        <v>19</v>
      </c>
      <c r="D302">
        <v>2.8539603695199603E-4</v>
      </c>
      <c r="E302" t="s">
        <v>6</v>
      </c>
    </row>
    <row r="303" spans="2:5" x14ac:dyDescent="0.45">
      <c r="B303" t="s">
        <v>535</v>
      </c>
      <c r="C303" t="s">
        <v>20</v>
      </c>
      <c r="D303">
        <v>1.1750663141581847E-2</v>
      </c>
      <c r="E303" t="s">
        <v>6</v>
      </c>
    </row>
    <row r="304" spans="2:5" x14ac:dyDescent="0.45">
      <c r="B304" t="s">
        <v>535</v>
      </c>
      <c r="C304" t="s">
        <v>21</v>
      </c>
      <c r="D304">
        <v>4.7904117884419221E-2</v>
      </c>
      <c r="E304" t="s">
        <v>6</v>
      </c>
    </row>
    <row r="305" spans="2:5" x14ac:dyDescent="0.45">
      <c r="B305" t="s">
        <v>535</v>
      </c>
      <c r="C305" t="s">
        <v>22</v>
      </c>
      <c r="D305">
        <v>7.548663181782117E-2</v>
      </c>
      <c r="E305" t="s">
        <v>6</v>
      </c>
    </row>
    <row r="306" spans="2:5" x14ac:dyDescent="0.45">
      <c r="B306" t="s">
        <v>535</v>
      </c>
      <c r="C306" t="s">
        <v>23</v>
      </c>
      <c r="D306">
        <v>7.6579195031065334E-2</v>
      </c>
      <c r="E306" t="s">
        <v>6</v>
      </c>
    </row>
    <row r="307" spans="2:5" x14ac:dyDescent="0.45">
      <c r="B307" t="s">
        <v>535</v>
      </c>
      <c r="C307" t="s">
        <v>24</v>
      </c>
      <c r="D307">
        <v>5.5083612422567541E-2</v>
      </c>
      <c r="E307" t="s">
        <v>6</v>
      </c>
    </row>
    <row r="308" spans="2:5" x14ac:dyDescent="0.45">
      <c r="B308" t="s">
        <v>535</v>
      </c>
      <c r="C308" t="s">
        <v>25</v>
      </c>
      <c r="D308">
        <v>2.3299025001368875E-2</v>
      </c>
      <c r="E308" t="s">
        <v>6</v>
      </c>
    </row>
    <row r="309" spans="2:5" x14ac:dyDescent="0.45">
      <c r="B309" t="s">
        <v>535</v>
      </c>
      <c r="C309" t="s">
        <v>26</v>
      </c>
      <c r="D309">
        <v>1.2975254399781218E-3</v>
      </c>
      <c r="E309" t="s">
        <v>6</v>
      </c>
    </row>
    <row r="310" spans="2:5" x14ac:dyDescent="0.45">
      <c r="B310" t="s">
        <v>535</v>
      </c>
      <c r="C310" t="s">
        <v>27</v>
      </c>
      <c r="D310">
        <v>0</v>
      </c>
      <c r="E310" t="s">
        <v>6</v>
      </c>
    </row>
    <row r="311" spans="2:5" x14ac:dyDescent="0.45">
      <c r="B311" t="s">
        <v>535</v>
      </c>
      <c r="C311" t="s">
        <v>28</v>
      </c>
      <c r="D311">
        <v>0</v>
      </c>
      <c r="E311" t="s">
        <v>6</v>
      </c>
    </row>
    <row r="312" spans="2:5" x14ac:dyDescent="0.45">
      <c r="B312" t="s">
        <v>535</v>
      </c>
      <c r="C312" t="s">
        <v>29</v>
      </c>
      <c r="D312">
        <v>8.29758241900798E-4</v>
      </c>
      <c r="E312" t="s">
        <v>6</v>
      </c>
    </row>
    <row r="313" spans="2:5" x14ac:dyDescent="0.45">
      <c r="B313" t="s">
        <v>535</v>
      </c>
      <c r="C313" t="s">
        <v>30</v>
      </c>
      <c r="D313">
        <v>1.710677050581861E-2</v>
      </c>
      <c r="E313" t="s">
        <v>6</v>
      </c>
    </row>
    <row r="314" spans="2:5" x14ac:dyDescent="0.45">
      <c r="B314" t="s">
        <v>535</v>
      </c>
      <c r="C314" t="s">
        <v>31</v>
      </c>
      <c r="D314">
        <v>5.2957781955879253E-2</v>
      </c>
      <c r="E314" t="s">
        <v>6</v>
      </c>
    </row>
    <row r="315" spans="2:5" x14ac:dyDescent="0.45">
      <c r="B315" t="s">
        <v>535</v>
      </c>
      <c r="C315" t="s">
        <v>32</v>
      </c>
      <c r="D315">
        <v>7.5155180289114068E-2</v>
      </c>
      <c r="E315" t="s">
        <v>6</v>
      </c>
    </row>
    <row r="316" spans="2:5" x14ac:dyDescent="0.45">
      <c r="B316" t="s">
        <v>535</v>
      </c>
      <c r="C316" t="s">
        <v>33</v>
      </c>
      <c r="D316">
        <v>7.7068464332900447E-2</v>
      </c>
      <c r="E316" t="s">
        <v>6</v>
      </c>
    </row>
    <row r="317" spans="2:5" x14ac:dyDescent="0.45">
      <c r="B317" t="s">
        <v>535</v>
      </c>
      <c r="C317" t="s">
        <v>34</v>
      </c>
      <c r="D317">
        <v>5.914475928007934E-2</v>
      </c>
      <c r="E317" t="s">
        <v>6</v>
      </c>
    </row>
    <row r="318" spans="2:5" x14ac:dyDescent="0.45">
      <c r="B318" t="s">
        <v>535</v>
      </c>
      <c r="C318" t="s">
        <v>35</v>
      </c>
      <c r="D318">
        <v>2.8412531049881673E-2</v>
      </c>
      <c r="E318" t="s">
        <v>6</v>
      </c>
    </row>
    <row r="319" spans="2:5" x14ac:dyDescent="0.45">
      <c r="B319" t="s">
        <v>535</v>
      </c>
      <c r="C319" t="s">
        <v>36</v>
      </c>
      <c r="D319">
        <v>3.7423489081669075E-3</v>
      </c>
      <c r="E319" t="s">
        <v>6</v>
      </c>
    </row>
    <row r="320" spans="2:5" x14ac:dyDescent="0.45">
      <c r="B320" t="s">
        <v>535</v>
      </c>
      <c r="C320" t="s">
        <v>37</v>
      </c>
      <c r="D320">
        <v>0</v>
      </c>
      <c r="E320" t="s">
        <v>6</v>
      </c>
    </row>
    <row r="321" spans="2:5" x14ac:dyDescent="0.45">
      <c r="B321" t="s">
        <v>535</v>
      </c>
      <c r="C321" t="s">
        <v>38</v>
      </c>
      <c r="D321">
        <v>0</v>
      </c>
      <c r="E321" t="s">
        <v>6</v>
      </c>
    </row>
    <row r="322" spans="2:5" x14ac:dyDescent="0.45">
      <c r="B322" t="s">
        <v>535</v>
      </c>
      <c r="C322" t="s">
        <v>39</v>
      </c>
      <c r="D322">
        <v>0</v>
      </c>
      <c r="E322" t="s">
        <v>6</v>
      </c>
    </row>
    <row r="323" spans="2:5" x14ac:dyDescent="0.45">
      <c r="B323" t="s">
        <v>535</v>
      </c>
      <c r="C323" t="s">
        <v>40</v>
      </c>
      <c r="D323">
        <v>3.9100476359546802E-3</v>
      </c>
      <c r="E323" t="s">
        <v>6</v>
      </c>
    </row>
    <row r="324" spans="2:5" x14ac:dyDescent="0.45">
      <c r="B324" t="s">
        <v>535</v>
      </c>
      <c r="C324" t="s">
        <v>41</v>
      </c>
      <c r="D324">
        <v>3.063737027710586E-2</v>
      </c>
      <c r="E324" t="s">
        <v>6</v>
      </c>
    </row>
    <row r="325" spans="2:5" x14ac:dyDescent="0.45">
      <c r="B325" t="s">
        <v>535</v>
      </c>
      <c r="C325" t="s">
        <v>42</v>
      </c>
      <c r="D325">
        <v>5.780323266532237E-2</v>
      </c>
      <c r="E325" t="s">
        <v>6</v>
      </c>
    </row>
    <row r="326" spans="2:5" x14ac:dyDescent="0.45">
      <c r="B326" t="s">
        <v>535</v>
      </c>
      <c r="C326" t="s">
        <v>43</v>
      </c>
      <c r="D326">
        <v>6.0398990379504171E-2</v>
      </c>
      <c r="E326" t="s">
        <v>6</v>
      </c>
    </row>
    <row r="327" spans="2:5" x14ac:dyDescent="0.45">
      <c r="B327" t="s">
        <v>535</v>
      </c>
      <c r="C327" t="s">
        <v>44</v>
      </c>
      <c r="D327">
        <v>3.9969739730297181E-2</v>
      </c>
      <c r="E327" t="s">
        <v>6</v>
      </c>
    </row>
    <row r="328" spans="2:5" x14ac:dyDescent="0.45">
      <c r="B328" t="s">
        <v>535</v>
      </c>
      <c r="C328" t="s">
        <v>45</v>
      </c>
      <c r="D328">
        <v>9.0194536098368444E-3</v>
      </c>
      <c r="E328" t="s">
        <v>6</v>
      </c>
    </row>
    <row r="329" spans="2:5" x14ac:dyDescent="0.45">
      <c r="B329" t="s">
        <v>535</v>
      </c>
      <c r="C329" t="s">
        <v>46</v>
      </c>
      <c r="D329">
        <v>3.287132733960537E-5</v>
      </c>
      <c r="E329" t="s">
        <v>6</v>
      </c>
    </row>
    <row r="330" spans="2:5" x14ac:dyDescent="0.45">
      <c r="B330" t="s">
        <v>535</v>
      </c>
      <c r="C330" t="s">
        <v>47</v>
      </c>
      <c r="D330">
        <v>0</v>
      </c>
      <c r="E330" t="s">
        <v>6</v>
      </c>
    </row>
    <row r="331" spans="2:5" x14ac:dyDescent="0.45">
      <c r="B331" t="s">
        <v>536</v>
      </c>
      <c r="C331" t="s">
        <v>5</v>
      </c>
      <c r="D331">
        <v>0</v>
      </c>
      <c r="E331" t="s">
        <v>6</v>
      </c>
    </row>
    <row r="332" spans="2:5" x14ac:dyDescent="0.45">
      <c r="B332" t="s">
        <v>536</v>
      </c>
      <c r="C332" t="s">
        <v>9</v>
      </c>
      <c r="D332">
        <v>0</v>
      </c>
      <c r="E332" t="s">
        <v>6</v>
      </c>
    </row>
    <row r="333" spans="2:5" x14ac:dyDescent="0.45">
      <c r="B333" t="s">
        <v>536</v>
      </c>
      <c r="C333" t="s">
        <v>10</v>
      </c>
      <c r="D333">
        <v>1.1971171204967299E-4</v>
      </c>
      <c r="E333" t="s">
        <v>6</v>
      </c>
    </row>
    <row r="334" spans="2:5" x14ac:dyDescent="0.45">
      <c r="B334" t="s">
        <v>536</v>
      </c>
      <c r="C334" t="s">
        <v>11</v>
      </c>
      <c r="D334">
        <v>1.8738382321163594E-2</v>
      </c>
      <c r="E334" t="s">
        <v>6</v>
      </c>
    </row>
    <row r="335" spans="2:5" x14ac:dyDescent="0.45">
      <c r="B335" t="s">
        <v>536</v>
      </c>
      <c r="C335" t="s">
        <v>12</v>
      </c>
      <c r="D335">
        <v>5.4822991752357927E-2</v>
      </c>
      <c r="E335" t="s">
        <v>6</v>
      </c>
    </row>
    <row r="336" spans="2:5" x14ac:dyDescent="0.45">
      <c r="B336" t="s">
        <v>536</v>
      </c>
      <c r="C336" t="s">
        <v>13</v>
      </c>
      <c r="D336">
        <v>6.5554091220941829E-2</v>
      </c>
      <c r="E336" t="s">
        <v>6</v>
      </c>
    </row>
    <row r="337" spans="2:5" x14ac:dyDescent="0.45">
      <c r="B337" t="s">
        <v>536</v>
      </c>
      <c r="C337" t="s">
        <v>14</v>
      </c>
      <c r="D337">
        <v>4.4084167876836756E-2</v>
      </c>
      <c r="E337" t="s">
        <v>6</v>
      </c>
    </row>
    <row r="338" spans="2:5" x14ac:dyDescent="0.45">
      <c r="B338" t="s">
        <v>536</v>
      </c>
      <c r="C338" t="s">
        <v>15</v>
      </c>
      <c r="D338">
        <v>1.0006329376279001E-2</v>
      </c>
      <c r="E338" t="s">
        <v>6</v>
      </c>
    </row>
    <row r="339" spans="2:5" x14ac:dyDescent="0.45">
      <c r="B339" t="s">
        <v>536</v>
      </c>
      <c r="C339" t="s">
        <v>16</v>
      </c>
      <c r="D339">
        <v>0</v>
      </c>
      <c r="E339" t="s">
        <v>6</v>
      </c>
    </row>
    <row r="340" spans="2:5" x14ac:dyDescent="0.45">
      <c r="B340" t="s">
        <v>536</v>
      </c>
      <c r="C340" t="s">
        <v>17</v>
      </c>
      <c r="D340">
        <v>0</v>
      </c>
      <c r="E340" t="s">
        <v>6</v>
      </c>
    </row>
    <row r="341" spans="2:5" x14ac:dyDescent="0.45">
      <c r="B341" t="s">
        <v>536</v>
      </c>
      <c r="C341" t="s">
        <v>18</v>
      </c>
      <c r="D341">
        <v>0</v>
      </c>
      <c r="E341" t="s">
        <v>6</v>
      </c>
    </row>
    <row r="342" spans="2:5" x14ac:dyDescent="0.45">
      <c r="B342" t="s">
        <v>536</v>
      </c>
      <c r="C342" t="s">
        <v>19</v>
      </c>
      <c r="D342">
        <v>1.0611606797073002E-4</v>
      </c>
      <c r="E342" t="s">
        <v>6</v>
      </c>
    </row>
    <row r="343" spans="2:5" x14ac:dyDescent="0.45">
      <c r="B343" t="s">
        <v>536</v>
      </c>
      <c r="C343" t="s">
        <v>20</v>
      </c>
      <c r="D343">
        <v>8.5468336910295966E-3</v>
      </c>
      <c r="E343" t="s">
        <v>6</v>
      </c>
    </row>
    <row r="344" spans="2:5" x14ac:dyDescent="0.45">
      <c r="B344" t="s">
        <v>536</v>
      </c>
      <c r="C344" t="s">
        <v>21</v>
      </c>
      <c r="D344">
        <v>4.1189258234343329E-2</v>
      </c>
      <c r="E344" t="s">
        <v>6</v>
      </c>
    </row>
    <row r="345" spans="2:5" x14ac:dyDescent="0.45">
      <c r="B345" t="s">
        <v>536</v>
      </c>
      <c r="C345" t="s">
        <v>22</v>
      </c>
      <c r="D345">
        <v>6.8680046878751497E-2</v>
      </c>
      <c r="E345" t="s">
        <v>6</v>
      </c>
    </row>
    <row r="346" spans="2:5" x14ac:dyDescent="0.45">
      <c r="B346" t="s">
        <v>536</v>
      </c>
      <c r="C346" t="s">
        <v>23</v>
      </c>
      <c r="D346">
        <v>7.3188200598978403E-2</v>
      </c>
      <c r="E346" t="s">
        <v>6</v>
      </c>
    </row>
    <row r="347" spans="2:5" x14ac:dyDescent="0.45">
      <c r="B347" t="s">
        <v>536</v>
      </c>
      <c r="C347" t="s">
        <v>24</v>
      </c>
      <c r="D347">
        <v>5.7862841074576302E-2</v>
      </c>
      <c r="E347" t="s">
        <v>6</v>
      </c>
    </row>
    <row r="348" spans="2:5" x14ac:dyDescent="0.45">
      <c r="B348" t="s">
        <v>536</v>
      </c>
      <c r="C348" t="s">
        <v>25</v>
      </c>
      <c r="D348">
        <v>2.6098162717088619E-2</v>
      </c>
      <c r="E348" t="s">
        <v>6</v>
      </c>
    </row>
    <row r="349" spans="2:5" x14ac:dyDescent="0.45">
      <c r="B349" t="s">
        <v>536</v>
      </c>
      <c r="C349" t="s">
        <v>26</v>
      </c>
      <c r="D349">
        <v>2.0023444566602362E-3</v>
      </c>
      <c r="E349" t="s">
        <v>6</v>
      </c>
    </row>
    <row r="350" spans="2:5" x14ac:dyDescent="0.45">
      <c r="B350" t="s">
        <v>536</v>
      </c>
      <c r="C350" t="s">
        <v>27</v>
      </c>
      <c r="D350">
        <v>0</v>
      </c>
      <c r="E350" t="s">
        <v>6</v>
      </c>
    </row>
    <row r="351" spans="2:5" x14ac:dyDescent="0.45">
      <c r="B351" t="s">
        <v>536</v>
      </c>
      <c r="C351" t="s">
        <v>28</v>
      </c>
      <c r="D351">
        <v>0</v>
      </c>
      <c r="E351" t="s">
        <v>6</v>
      </c>
    </row>
    <row r="352" spans="2:5" x14ac:dyDescent="0.45">
      <c r="B352" t="s">
        <v>536</v>
      </c>
      <c r="C352" t="s">
        <v>29</v>
      </c>
      <c r="D352">
        <v>4.2520028015423101E-4</v>
      </c>
      <c r="E352" t="s">
        <v>6</v>
      </c>
    </row>
    <row r="353" spans="2:5" x14ac:dyDescent="0.45">
      <c r="B353" t="s">
        <v>536</v>
      </c>
      <c r="C353" t="s">
        <v>30</v>
      </c>
      <c r="D353">
        <v>1.4383869610140378E-2</v>
      </c>
      <c r="E353" t="s">
        <v>6</v>
      </c>
    </row>
    <row r="354" spans="2:5" x14ac:dyDescent="0.45">
      <c r="B354" t="s">
        <v>536</v>
      </c>
      <c r="C354" t="s">
        <v>31</v>
      </c>
      <c r="D354">
        <v>5.2281042211553171E-2</v>
      </c>
      <c r="E354" t="s">
        <v>6</v>
      </c>
    </row>
    <row r="355" spans="2:5" x14ac:dyDescent="0.45">
      <c r="B355" t="s">
        <v>536</v>
      </c>
      <c r="C355" t="s">
        <v>32</v>
      </c>
      <c r="D355">
        <v>7.7287754039468567E-2</v>
      </c>
      <c r="E355" t="s">
        <v>6</v>
      </c>
    </row>
    <row r="356" spans="2:5" x14ac:dyDescent="0.45">
      <c r="B356" t="s">
        <v>536</v>
      </c>
      <c r="C356" t="s">
        <v>33</v>
      </c>
      <c r="D356">
        <v>8.0581366669144866E-2</v>
      </c>
      <c r="E356" t="s">
        <v>6</v>
      </c>
    </row>
    <row r="357" spans="2:5" x14ac:dyDescent="0.45">
      <c r="B357" t="s">
        <v>536</v>
      </c>
      <c r="C357" t="s">
        <v>34</v>
      </c>
      <c r="D357">
        <v>6.3559960326177931E-2</v>
      </c>
      <c r="E357" t="s">
        <v>6</v>
      </c>
    </row>
    <row r="358" spans="2:5" x14ac:dyDescent="0.45">
      <c r="B358" t="s">
        <v>536</v>
      </c>
      <c r="C358" t="s">
        <v>35</v>
      </c>
      <c r="D358">
        <v>3.3199625613479757E-2</v>
      </c>
      <c r="E358" t="s">
        <v>6</v>
      </c>
    </row>
    <row r="359" spans="2:5" x14ac:dyDescent="0.45">
      <c r="B359" t="s">
        <v>536</v>
      </c>
      <c r="C359" t="s">
        <v>36</v>
      </c>
      <c r="D359">
        <v>5.270052942784877E-3</v>
      </c>
      <c r="E359" t="s">
        <v>6</v>
      </c>
    </row>
    <row r="360" spans="2:5" x14ac:dyDescent="0.45">
      <c r="B360" t="s">
        <v>536</v>
      </c>
      <c r="C360" t="s">
        <v>37</v>
      </c>
      <c r="D360">
        <v>0</v>
      </c>
      <c r="E360" t="s">
        <v>6</v>
      </c>
    </row>
    <row r="361" spans="2:5" x14ac:dyDescent="0.45">
      <c r="B361" t="s">
        <v>536</v>
      </c>
      <c r="C361" t="s">
        <v>38</v>
      </c>
      <c r="D361">
        <v>0</v>
      </c>
      <c r="E361" t="s">
        <v>6</v>
      </c>
    </row>
    <row r="362" spans="2:5" x14ac:dyDescent="0.45">
      <c r="B362" t="s">
        <v>536</v>
      </c>
      <c r="C362" t="s">
        <v>39</v>
      </c>
      <c r="D362">
        <v>0</v>
      </c>
      <c r="E362" t="s">
        <v>6</v>
      </c>
    </row>
    <row r="363" spans="2:5" x14ac:dyDescent="0.45">
      <c r="B363" t="s">
        <v>536</v>
      </c>
      <c r="C363" t="s">
        <v>40</v>
      </c>
      <c r="D363">
        <v>2.7353370547417806E-3</v>
      </c>
      <c r="E363" t="s">
        <v>6</v>
      </c>
    </row>
    <row r="364" spans="2:5" x14ac:dyDescent="0.45">
      <c r="B364" t="s">
        <v>536</v>
      </c>
      <c r="C364" t="s">
        <v>41</v>
      </c>
      <c r="D364">
        <v>2.7673241656320173E-2</v>
      </c>
      <c r="E364" t="s">
        <v>6</v>
      </c>
    </row>
    <row r="365" spans="2:5" x14ac:dyDescent="0.45">
      <c r="B365" t="s">
        <v>536</v>
      </c>
      <c r="C365" t="s">
        <v>42</v>
      </c>
      <c r="D365">
        <v>5.5648368633771747E-2</v>
      </c>
      <c r="E365" t="s">
        <v>6</v>
      </c>
    </row>
    <row r="366" spans="2:5" x14ac:dyDescent="0.45">
      <c r="B366" t="s">
        <v>536</v>
      </c>
      <c r="C366" t="s">
        <v>43</v>
      </c>
      <c r="D366">
        <v>6.1241486072728821E-2</v>
      </c>
      <c r="E366" t="s">
        <v>6</v>
      </c>
    </row>
    <row r="367" spans="2:5" x14ac:dyDescent="0.45">
      <c r="B367" t="s">
        <v>536</v>
      </c>
      <c r="C367" t="s">
        <v>44</v>
      </c>
      <c r="D367">
        <v>4.3079600833112693E-2</v>
      </c>
      <c r="E367" t="s">
        <v>6</v>
      </c>
    </row>
    <row r="368" spans="2:5" x14ac:dyDescent="0.45">
      <c r="B368" t="s">
        <v>536</v>
      </c>
      <c r="C368" t="s">
        <v>45</v>
      </c>
      <c r="D368">
        <v>1.1518135437575084E-2</v>
      </c>
      <c r="E368" t="s">
        <v>6</v>
      </c>
    </row>
    <row r="369" spans="2:5" x14ac:dyDescent="0.45">
      <c r="B369" t="s">
        <v>536</v>
      </c>
      <c r="C369" t="s">
        <v>46</v>
      </c>
      <c r="D369">
        <v>1.154806398171731E-4</v>
      </c>
      <c r="E369" t="s">
        <v>6</v>
      </c>
    </row>
    <row r="370" spans="2:5" x14ac:dyDescent="0.45">
      <c r="B370" t="s">
        <v>536</v>
      </c>
      <c r="C370" t="s">
        <v>47</v>
      </c>
      <c r="D370">
        <v>0</v>
      </c>
      <c r="E370" t="s">
        <v>6</v>
      </c>
    </row>
    <row r="371" spans="2:5" x14ac:dyDescent="0.45">
      <c r="B371" t="s">
        <v>537</v>
      </c>
      <c r="C371" t="s">
        <v>5</v>
      </c>
      <c r="D371">
        <v>0</v>
      </c>
      <c r="E371" t="s">
        <v>6</v>
      </c>
    </row>
    <row r="372" spans="2:5" x14ac:dyDescent="0.45">
      <c r="B372" t="s">
        <v>537</v>
      </c>
      <c r="C372" t="s">
        <v>9</v>
      </c>
      <c r="D372">
        <v>0</v>
      </c>
      <c r="E372" t="s">
        <v>6</v>
      </c>
    </row>
    <row r="373" spans="2:5" x14ac:dyDescent="0.45">
      <c r="B373" t="s">
        <v>537</v>
      </c>
      <c r="C373" t="s">
        <v>10</v>
      </c>
      <c r="D373">
        <v>1.6305855482136181E-4</v>
      </c>
      <c r="E373" t="s">
        <v>6</v>
      </c>
    </row>
    <row r="374" spans="2:5" x14ac:dyDescent="0.45">
      <c r="B374" t="s">
        <v>537</v>
      </c>
      <c r="C374" t="s">
        <v>11</v>
      </c>
      <c r="D374">
        <v>2.0646792125830302E-2</v>
      </c>
      <c r="E374" t="s">
        <v>6</v>
      </c>
    </row>
    <row r="375" spans="2:5" x14ac:dyDescent="0.45">
      <c r="B375" t="s">
        <v>537</v>
      </c>
      <c r="C375" t="s">
        <v>12</v>
      </c>
      <c r="D375">
        <v>5.5683536836449408E-2</v>
      </c>
      <c r="E375" t="s">
        <v>6</v>
      </c>
    </row>
    <row r="376" spans="2:5" x14ac:dyDescent="0.45">
      <c r="B376" t="s">
        <v>537</v>
      </c>
      <c r="C376" t="s">
        <v>13</v>
      </c>
      <c r="D376">
        <v>6.5507652511530221E-2</v>
      </c>
      <c r="E376" t="s">
        <v>6</v>
      </c>
    </row>
    <row r="377" spans="2:5" x14ac:dyDescent="0.45">
      <c r="B377" t="s">
        <v>537</v>
      </c>
      <c r="C377" t="s">
        <v>14</v>
      </c>
      <c r="D377">
        <v>4.3607562142440021E-2</v>
      </c>
      <c r="E377" t="s">
        <v>6</v>
      </c>
    </row>
    <row r="378" spans="2:5" x14ac:dyDescent="0.45">
      <c r="B378" t="s">
        <v>537</v>
      </c>
      <c r="C378" t="s">
        <v>15</v>
      </c>
      <c r="D378">
        <v>8.1263412633660725E-3</v>
      </c>
      <c r="E378" t="s">
        <v>6</v>
      </c>
    </row>
    <row r="379" spans="2:5" x14ac:dyDescent="0.45">
      <c r="B379" t="s">
        <v>537</v>
      </c>
      <c r="C379" t="s">
        <v>16</v>
      </c>
      <c r="D379">
        <v>0</v>
      </c>
      <c r="E379" t="s">
        <v>6</v>
      </c>
    </row>
    <row r="380" spans="2:5" x14ac:dyDescent="0.45">
      <c r="B380" t="s">
        <v>537</v>
      </c>
      <c r="C380" t="s">
        <v>17</v>
      </c>
      <c r="D380">
        <v>0</v>
      </c>
      <c r="E380" t="s">
        <v>6</v>
      </c>
    </row>
    <row r="381" spans="2:5" x14ac:dyDescent="0.45">
      <c r="B381" t="s">
        <v>537</v>
      </c>
      <c r="C381" t="s">
        <v>18</v>
      </c>
      <c r="D381">
        <v>0</v>
      </c>
      <c r="E381" t="s">
        <v>6</v>
      </c>
    </row>
    <row r="382" spans="2:5" x14ac:dyDescent="0.45">
      <c r="B382" t="s">
        <v>537</v>
      </c>
      <c r="C382" t="s">
        <v>19</v>
      </c>
      <c r="D382">
        <v>2.1063110155702505E-4</v>
      </c>
      <c r="E382" t="s">
        <v>6</v>
      </c>
    </row>
    <row r="383" spans="2:5" x14ac:dyDescent="0.45">
      <c r="B383" t="s">
        <v>537</v>
      </c>
      <c r="C383" t="s">
        <v>20</v>
      </c>
      <c r="D383">
        <v>1.0663369018192386E-2</v>
      </c>
      <c r="E383" t="s">
        <v>6</v>
      </c>
    </row>
    <row r="384" spans="2:5" x14ac:dyDescent="0.45">
      <c r="B384" t="s">
        <v>537</v>
      </c>
      <c r="C384" t="s">
        <v>21</v>
      </c>
      <c r="D384">
        <v>4.5253291537069779E-2</v>
      </c>
      <c r="E384" t="s">
        <v>6</v>
      </c>
    </row>
    <row r="385" spans="2:5" x14ac:dyDescent="0.45">
      <c r="B385" t="s">
        <v>537</v>
      </c>
      <c r="C385" t="s">
        <v>22</v>
      </c>
      <c r="D385">
        <v>7.3020677586118146E-2</v>
      </c>
      <c r="E385" t="s">
        <v>6</v>
      </c>
    </row>
    <row r="386" spans="2:5" x14ac:dyDescent="0.45">
      <c r="B386" t="s">
        <v>537</v>
      </c>
      <c r="C386" t="s">
        <v>23</v>
      </c>
      <c r="D386">
        <v>7.6750584134267108E-2</v>
      </c>
      <c r="E386" t="s">
        <v>6</v>
      </c>
    </row>
    <row r="387" spans="2:5" x14ac:dyDescent="0.45">
      <c r="B387" t="s">
        <v>537</v>
      </c>
      <c r="C387" t="s">
        <v>24</v>
      </c>
      <c r="D387">
        <v>5.9344510835361908E-2</v>
      </c>
      <c r="E387" t="s">
        <v>6</v>
      </c>
    </row>
    <row r="388" spans="2:5" x14ac:dyDescent="0.45">
      <c r="B388" t="s">
        <v>537</v>
      </c>
      <c r="C388" t="s">
        <v>25</v>
      </c>
      <c r="D388">
        <v>2.6749042138935444E-2</v>
      </c>
      <c r="E388" t="s">
        <v>6</v>
      </c>
    </row>
    <row r="389" spans="2:5" x14ac:dyDescent="0.45">
      <c r="B389" t="s">
        <v>537</v>
      </c>
      <c r="C389" t="s">
        <v>26</v>
      </c>
      <c r="D389">
        <v>1.994860703102203E-3</v>
      </c>
      <c r="E389" t="s">
        <v>6</v>
      </c>
    </row>
    <row r="390" spans="2:5" x14ac:dyDescent="0.45">
      <c r="B390" t="s">
        <v>537</v>
      </c>
      <c r="C390" t="s">
        <v>27</v>
      </c>
      <c r="D390">
        <v>0</v>
      </c>
      <c r="E390" t="s">
        <v>6</v>
      </c>
    </row>
    <row r="391" spans="2:5" x14ac:dyDescent="0.45">
      <c r="B391" t="s">
        <v>537</v>
      </c>
      <c r="C391" t="s">
        <v>28</v>
      </c>
      <c r="D391">
        <v>0</v>
      </c>
      <c r="E391" t="s">
        <v>6</v>
      </c>
    </row>
    <row r="392" spans="2:5" x14ac:dyDescent="0.45">
      <c r="B392" t="s">
        <v>537</v>
      </c>
      <c r="C392" t="s">
        <v>29</v>
      </c>
      <c r="D392">
        <v>5.8812478428314351E-4</v>
      </c>
      <c r="E392" t="s">
        <v>6</v>
      </c>
    </row>
    <row r="393" spans="2:5" x14ac:dyDescent="0.45">
      <c r="B393" t="s">
        <v>537</v>
      </c>
      <c r="C393" t="s">
        <v>30</v>
      </c>
      <c r="D393">
        <v>1.4718425693342425E-2</v>
      </c>
      <c r="E393" t="s">
        <v>6</v>
      </c>
    </row>
    <row r="394" spans="2:5" x14ac:dyDescent="0.45">
      <c r="B394" t="s">
        <v>537</v>
      </c>
      <c r="C394" t="s">
        <v>31</v>
      </c>
      <c r="D394">
        <v>4.9847354219212832E-2</v>
      </c>
      <c r="E394" t="s">
        <v>6</v>
      </c>
    </row>
    <row r="395" spans="2:5" x14ac:dyDescent="0.45">
      <c r="B395" t="s">
        <v>537</v>
      </c>
      <c r="C395" t="s">
        <v>32</v>
      </c>
      <c r="D395">
        <v>7.3908852971178357E-2</v>
      </c>
      <c r="E395" t="s">
        <v>6</v>
      </c>
    </row>
    <row r="396" spans="2:5" x14ac:dyDescent="0.45">
      <c r="B396" t="s">
        <v>537</v>
      </c>
      <c r="C396" t="s">
        <v>33</v>
      </c>
      <c r="D396">
        <v>7.5647697832787131E-2</v>
      </c>
      <c r="E396" t="s">
        <v>6</v>
      </c>
    </row>
    <row r="397" spans="2:5" x14ac:dyDescent="0.45">
      <c r="B397" t="s">
        <v>537</v>
      </c>
      <c r="C397" t="s">
        <v>34</v>
      </c>
      <c r="D397">
        <v>5.8135987088453397E-2</v>
      </c>
      <c r="E397" t="s">
        <v>6</v>
      </c>
    </row>
    <row r="398" spans="2:5" x14ac:dyDescent="0.45">
      <c r="B398" t="s">
        <v>537</v>
      </c>
      <c r="C398" t="s">
        <v>35</v>
      </c>
      <c r="D398">
        <v>2.9879313427095922E-2</v>
      </c>
      <c r="E398" t="s">
        <v>6</v>
      </c>
    </row>
    <row r="399" spans="2:5" x14ac:dyDescent="0.45">
      <c r="B399" t="s">
        <v>537</v>
      </c>
      <c r="C399" t="s">
        <v>36</v>
      </c>
      <c r="D399">
        <v>4.5882310618461973E-3</v>
      </c>
      <c r="E399" t="s">
        <v>6</v>
      </c>
    </row>
    <row r="400" spans="2:5" x14ac:dyDescent="0.45">
      <c r="B400" t="s">
        <v>537</v>
      </c>
      <c r="C400" t="s">
        <v>37</v>
      </c>
      <c r="D400">
        <v>0</v>
      </c>
      <c r="E400" t="s">
        <v>6</v>
      </c>
    </row>
    <row r="401" spans="2:5" x14ac:dyDescent="0.45">
      <c r="B401" t="s">
        <v>537</v>
      </c>
      <c r="C401" t="s">
        <v>38</v>
      </c>
      <c r="D401">
        <v>0</v>
      </c>
      <c r="E401" t="s">
        <v>6</v>
      </c>
    </row>
    <row r="402" spans="2:5" x14ac:dyDescent="0.45">
      <c r="B402" t="s">
        <v>537</v>
      </c>
      <c r="C402" t="s">
        <v>39</v>
      </c>
      <c r="D402">
        <v>0</v>
      </c>
      <c r="E402" t="s">
        <v>6</v>
      </c>
    </row>
    <row r="403" spans="2:5" x14ac:dyDescent="0.45">
      <c r="B403" t="s">
        <v>537</v>
      </c>
      <c r="C403" t="s">
        <v>40</v>
      </c>
      <c r="D403">
        <v>3.3354565480270314E-3</v>
      </c>
      <c r="E403" t="s">
        <v>6</v>
      </c>
    </row>
    <row r="404" spans="2:5" x14ac:dyDescent="0.45">
      <c r="B404" t="s">
        <v>537</v>
      </c>
      <c r="C404" t="s">
        <v>41</v>
      </c>
      <c r="D404">
        <v>3.0094905165253281E-2</v>
      </c>
      <c r="E404" t="s">
        <v>6</v>
      </c>
    </row>
    <row r="405" spans="2:5" x14ac:dyDescent="0.45">
      <c r="B405" t="s">
        <v>537</v>
      </c>
      <c r="C405" t="s">
        <v>42</v>
      </c>
      <c r="D405">
        <v>5.6702748598198856E-2</v>
      </c>
      <c r="E405" t="s">
        <v>6</v>
      </c>
    </row>
    <row r="406" spans="2:5" x14ac:dyDescent="0.45">
      <c r="B406" t="s">
        <v>537</v>
      </c>
      <c r="C406" t="s">
        <v>43</v>
      </c>
      <c r="D406">
        <v>6.1871565510086372E-2</v>
      </c>
      <c r="E406" t="s">
        <v>6</v>
      </c>
    </row>
    <row r="407" spans="2:5" x14ac:dyDescent="0.45">
      <c r="B407" t="s">
        <v>537</v>
      </c>
      <c r="C407" t="s">
        <v>44</v>
      </c>
      <c r="D407">
        <v>4.2400404438488387E-2</v>
      </c>
      <c r="E407" t="s">
        <v>6</v>
      </c>
    </row>
    <row r="408" spans="2:5" x14ac:dyDescent="0.45">
      <c r="B408" t="s">
        <v>537</v>
      </c>
      <c r="C408" t="s">
        <v>45</v>
      </c>
      <c r="D408">
        <v>1.0490414858987121E-2</v>
      </c>
      <c r="E408" t="s">
        <v>6</v>
      </c>
    </row>
    <row r="409" spans="2:5" x14ac:dyDescent="0.45">
      <c r="B409" t="s">
        <v>537</v>
      </c>
      <c r="C409" t="s">
        <v>46</v>
      </c>
      <c r="D409">
        <v>6.8607313717244201E-5</v>
      </c>
      <c r="E409" t="s">
        <v>6</v>
      </c>
    </row>
    <row r="410" spans="2:5" x14ac:dyDescent="0.45">
      <c r="B410" t="s">
        <v>537</v>
      </c>
      <c r="C410" t="s">
        <v>47</v>
      </c>
      <c r="D410">
        <v>0</v>
      </c>
      <c r="E410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6412-12A6-4EC7-844C-AF5162BC0CC7}">
  <dimension ref="B9:FT26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region=CHE")</f>
        <v>~TFM_DINS-TSL: attribute=FLO_EMIS; other_indexes=ACT; region=CHE</v>
      </c>
      <c r="AS9" t="str">
        <f>IF(A11="x","DeActivated","~TFM_INS-TSL: attribute=FLO_SHAR; limtype=FX; region=CHE")</f>
        <v>~TFM_INS-TSL: attribute=FLO_SHAR; limtype=FX; region=CHE</v>
      </c>
      <c r="CJ9" t="str">
        <f>IF(A11="x","DeActivated","~TFM_INS-TSL: attribute=FLO_SHAR; limtype=FX; region=CHE")</f>
        <v>~TFM_INS-TSL: attribute=FLO_SHAR; limtype=FX; region=CHE</v>
      </c>
      <c r="EA9" t="str">
        <f>IF(A11="x","DeActivated","~TFM_DINS-TSL: attribute=NCAP_PKCNT; region=CHE")</f>
        <v>~TFM_DINS-TSL: attribute=NCAP_PKCNT; region=CHE</v>
      </c>
      <c r="FQ9" t="str">
        <f>IF(A11="x","DeActivated","~TFM_DINS-AT: region=CHE")</f>
        <v>~TFM_DINS-AT: region=CHE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538</v>
      </c>
      <c r="C11" t="s">
        <v>123</v>
      </c>
      <c r="D11">
        <v>0</v>
      </c>
      <c r="E11">
        <v>0</v>
      </c>
      <c r="F11">
        <v>0.9555555555555556</v>
      </c>
      <c r="G11">
        <v>0.33500191226477988</v>
      </c>
      <c r="H11">
        <v>0.21356911611455631</v>
      </c>
      <c r="I11">
        <v>0.19534574242492034</v>
      </c>
      <c r="J11">
        <v>0.23859484767145878</v>
      </c>
      <c r="K11">
        <v>0.59230313600211371</v>
      </c>
      <c r="L11">
        <v>0</v>
      </c>
      <c r="M11">
        <v>0</v>
      </c>
      <c r="N11">
        <v>0</v>
      </c>
      <c r="O11">
        <v>0.82805811818097919</v>
      </c>
      <c r="P11">
        <v>0.39501995239176863</v>
      </c>
      <c r="Q11">
        <v>0.20976994515896466</v>
      </c>
      <c r="R11">
        <v>0.17429534395460075</v>
      </c>
      <c r="S11">
        <v>0.16934058618540807</v>
      </c>
      <c r="T11">
        <v>0.18335572398233022</v>
      </c>
      <c r="U11">
        <v>0.24476780966744668</v>
      </c>
      <c r="V11">
        <v>0.59354843844343508</v>
      </c>
      <c r="W11">
        <v>0</v>
      </c>
      <c r="X11">
        <v>0</v>
      </c>
      <c r="Y11">
        <v>0.66170262788308098</v>
      </c>
      <c r="Z11">
        <v>0.31194138248547981</v>
      </c>
      <c r="AA11">
        <v>0.16242331611283509</v>
      </c>
      <c r="AB11">
        <v>0.13745648972679786</v>
      </c>
      <c r="AC11">
        <v>0.1211144888150535</v>
      </c>
      <c r="AD11">
        <v>0.12769344395807861</v>
      </c>
      <c r="AE11">
        <v>0.17409582404434334</v>
      </c>
      <c r="AF11">
        <v>0.37815155153877972</v>
      </c>
      <c r="AG11">
        <v>0</v>
      </c>
      <c r="AH11">
        <v>0</v>
      </c>
      <c r="AI11">
        <v>0</v>
      </c>
      <c r="AJ11">
        <v>0.62384000741832635</v>
      </c>
      <c r="AK11">
        <v>0.2773024008437493</v>
      </c>
      <c r="AL11">
        <v>0.21398691428773706</v>
      </c>
      <c r="AM11">
        <v>0.18949010419663806</v>
      </c>
      <c r="AN11">
        <v>0.23029428699753898</v>
      </c>
      <c r="AO11">
        <v>0.45881672443744387</v>
      </c>
      <c r="AP11">
        <v>0.93125691971962965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0.89698450229529192</v>
      </c>
      <c r="AX11">
        <v>0.21375009322350191</v>
      </c>
      <c r="AY11">
        <v>0.11126801810816207</v>
      </c>
      <c r="AZ11">
        <v>6.7771163185759736E-2</v>
      </c>
      <c r="BA11">
        <v>1.9705723486932163E-2</v>
      </c>
      <c r="BB11">
        <v>6.9019903937050195E-2</v>
      </c>
      <c r="BC11">
        <v>0</v>
      </c>
      <c r="BD11">
        <v>0</v>
      </c>
      <c r="BE11">
        <v>0</v>
      </c>
      <c r="BF11">
        <v>0.69532129571974177</v>
      </c>
      <c r="BG11">
        <v>0.27920278953329963</v>
      </c>
      <c r="BH11">
        <v>0.12898710902691818</v>
      </c>
      <c r="BI11">
        <v>8.2031270708523188E-2</v>
      </c>
      <c r="BJ11">
        <v>3.5536394121965693E-2</v>
      </c>
      <c r="BK11">
        <v>7.1288138987685825E-3</v>
      </c>
      <c r="BL11">
        <v>3.3056349878030175E-2</v>
      </c>
      <c r="BM11">
        <v>0.23821336025214809</v>
      </c>
      <c r="BN11">
        <v>0</v>
      </c>
      <c r="BO11">
        <v>0</v>
      </c>
      <c r="BP11">
        <v>0.46823672772329678</v>
      </c>
      <c r="BQ11">
        <v>0.18729444206667137</v>
      </c>
      <c r="BR11">
        <v>8.2537554945357139E-2</v>
      </c>
      <c r="BS11">
        <v>5.5748214663406029E-2</v>
      </c>
      <c r="BT11">
        <v>1.2908574066057096E-2</v>
      </c>
      <c r="BU11">
        <v>3.9362979055553061E-3</v>
      </c>
      <c r="BV11">
        <v>2.1788731973344033E-2</v>
      </c>
      <c r="BW11">
        <v>0.19031492744500469</v>
      </c>
      <c r="BX11">
        <v>0</v>
      </c>
      <c r="BY11">
        <v>0</v>
      </c>
      <c r="BZ11">
        <v>0</v>
      </c>
      <c r="CA11">
        <v>0.47477194569454928</v>
      </c>
      <c r="CB11">
        <v>0.17455676896597211</v>
      </c>
      <c r="CC11">
        <v>0.11894872318100756</v>
      </c>
      <c r="CD11">
        <v>2.1733560449691009E-2</v>
      </c>
      <c r="CE11">
        <v>1.0718730453161724E-2</v>
      </c>
      <c r="CF11">
        <v>5.2724108938796366E-2</v>
      </c>
      <c r="CG11">
        <v>8.5559891717310807E-2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3.0681406996873203E-2</v>
      </c>
      <c r="CR11">
        <v>0.12499122122203199</v>
      </c>
      <c r="CS11">
        <v>0.28795071551181156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1.4134322269794207E-2</v>
      </c>
      <c r="DA11">
        <v>5.6854309099044473E-2</v>
      </c>
      <c r="DB11">
        <v>9.453161694402587E-2</v>
      </c>
      <c r="DC11">
        <v>9.6035626181268208E-2</v>
      </c>
      <c r="DD11">
        <v>3.9841867173100592E-2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4.0395417867146226E-2</v>
      </c>
      <c r="DL11">
        <v>5.7297030561911877E-2</v>
      </c>
      <c r="DM11">
        <v>7.8433633958057553E-2</v>
      </c>
      <c r="DN11">
        <v>1.0353208658666945E-2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8.5994406470384574E-2</v>
      </c>
      <c r="DV11">
        <v>0.12496694178778134</v>
      </c>
      <c r="DW11">
        <v>0.23161707061299297</v>
      </c>
      <c r="DX11">
        <v>0.18093336868738216</v>
      </c>
      <c r="DY11">
        <v>0</v>
      </c>
      <c r="EA11" t="s">
        <v>538</v>
      </c>
      <c r="EB11">
        <v>0</v>
      </c>
      <c r="EC11">
        <v>0</v>
      </c>
      <c r="ED11">
        <v>1.2570138292288845E-3</v>
      </c>
      <c r="EE11">
        <v>0.12894200570906356</v>
      </c>
      <c r="EF11">
        <v>0.36284298247187557</v>
      </c>
      <c r="EG11">
        <v>0.43188511342215907</v>
      </c>
      <c r="EH11">
        <v>0.28291627410223624</v>
      </c>
      <c r="EI11">
        <v>4.4844226192783637E-2</v>
      </c>
      <c r="EJ11">
        <v>0</v>
      </c>
      <c r="EK11">
        <v>0</v>
      </c>
      <c r="EL11">
        <v>0</v>
      </c>
      <c r="EM11">
        <v>1.3131397840177215E-3</v>
      </c>
      <c r="EN11">
        <v>6.9530073411472479E-2</v>
      </c>
      <c r="EO11">
        <v>0.29700428282931474</v>
      </c>
      <c r="EP11">
        <v>0.47862929905383983</v>
      </c>
      <c r="EQ11">
        <v>0.50394786111950862</v>
      </c>
      <c r="ER11">
        <v>0.37757451602868108</v>
      </c>
      <c r="ES11">
        <v>0.16410284354735169</v>
      </c>
      <c r="ET11">
        <v>1.1205387724884306E-2</v>
      </c>
      <c r="EU11">
        <v>0</v>
      </c>
      <c r="EV11">
        <v>0</v>
      </c>
      <c r="EW11">
        <v>4.3140212344452613E-3</v>
      </c>
      <c r="EX11">
        <v>0.10794443327905437</v>
      </c>
      <c r="EY11">
        <v>0.3577300522615946</v>
      </c>
      <c r="EZ11">
        <v>0.52572107288592718</v>
      </c>
      <c r="FA11">
        <v>0.54653485848476091</v>
      </c>
      <c r="FB11">
        <v>0.43031137217768867</v>
      </c>
      <c r="FC11">
        <v>0.21760646011146415</v>
      </c>
      <c r="FD11">
        <v>3.1866364306949772E-2</v>
      </c>
      <c r="FE11">
        <v>0</v>
      </c>
      <c r="FF11">
        <v>0</v>
      </c>
      <c r="FG11">
        <v>0</v>
      </c>
      <c r="FH11">
        <v>2.2743036453572521E-2</v>
      </c>
      <c r="FI11">
        <v>0.19559428272213336</v>
      </c>
      <c r="FJ11">
        <v>0.37938008850008392</v>
      </c>
      <c r="FK11">
        <v>0.41786481928376057</v>
      </c>
      <c r="FL11">
        <v>0.28612196711783516</v>
      </c>
      <c r="FM11">
        <v>6.9922394324489365E-2</v>
      </c>
      <c r="FN11">
        <v>4.6088329462048565E-4</v>
      </c>
      <c r="FO11">
        <v>0</v>
      </c>
      <c r="FQ11" t="s">
        <v>538</v>
      </c>
      <c r="FR11" t="s">
        <v>127</v>
      </c>
      <c r="FS11" t="s">
        <v>128</v>
      </c>
      <c r="FT11">
        <v>0.5193562993129921</v>
      </c>
    </row>
    <row r="12" spans="2:176" x14ac:dyDescent="0.45">
      <c r="B12" t="s">
        <v>539</v>
      </c>
      <c r="C12" t="s">
        <v>123</v>
      </c>
      <c r="D12">
        <v>0</v>
      </c>
      <c r="E12">
        <v>0</v>
      </c>
      <c r="F12">
        <v>0.94922974662799597</v>
      </c>
      <c r="G12">
        <v>0.33587000817591006</v>
      </c>
      <c r="H12">
        <v>0.20780205556224876</v>
      </c>
      <c r="I12">
        <v>0.19844792824359503</v>
      </c>
      <c r="J12">
        <v>0.24258174840558716</v>
      </c>
      <c r="K12">
        <v>0.6358165287712817</v>
      </c>
      <c r="L12">
        <v>0</v>
      </c>
      <c r="M12">
        <v>0</v>
      </c>
      <c r="N12">
        <v>0</v>
      </c>
      <c r="O12">
        <v>0.81529799975633244</v>
      </c>
      <c r="P12">
        <v>0.39403425279476123</v>
      </c>
      <c r="Q12">
        <v>0.21885052773393787</v>
      </c>
      <c r="R12">
        <v>0.18494659195426458</v>
      </c>
      <c r="S12">
        <v>0.17287488610758164</v>
      </c>
      <c r="T12">
        <v>0.19401816530082255</v>
      </c>
      <c r="U12">
        <v>0.25718643812501846</v>
      </c>
      <c r="V12">
        <v>0.61775147794096119</v>
      </c>
      <c r="W12">
        <v>0</v>
      </c>
      <c r="X12">
        <v>0</v>
      </c>
      <c r="Y12">
        <v>0.64155946506694239</v>
      </c>
      <c r="Z12">
        <v>0.30661058594112062</v>
      </c>
      <c r="AA12">
        <v>0.18226645848680989</v>
      </c>
      <c r="AB12">
        <v>0.15251466479794315</v>
      </c>
      <c r="AC12">
        <v>0.13672535371203209</v>
      </c>
      <c r="AD12">
        <v>0.13398128803158318</v>
      </c>
      <c r="AE12">
        <v>0.18572442489490909</v>
      </c>
      <c r="AF12">
        <v>0.38939284126375279</v>
      </c>
      <c r="AG12">
        <v>0</v>
      </c>
      <c r="AH12">
        <v>0</v>
      </c>
      <c r="AI12">
        <v>0</v>
      </c>
      <c r="AJ12">
        <v>0.62139756607951591</v>
      </c>
      <c r="AK12">
        <v>0.29765156647880681</v>
      </c>
      <c r="AL12">
        <v>0.23539281075132287</v>
      </c>
      <c r="AM12">
        <v>0.22295459354418065</v>
      </c>
      <c r="AN12">
        <v>0.24963023558325559</v>
      </c>
      <c r="AO12">
        <v>0.49549330011554577</v>
      </c>
      <c r="AP12">
        <v>0.93657114554310406</v>
      </c>
      <c r="AQ12">
        <v>0</v>
      </c>
      <c r="AS12" t="s">
        <v>130</v>
      </c>
      <c r="AT12" t="s">
        <v>125</v>
      </c>
      <c r="AU12">
        <v>9.7891593078929667E-3</v>
      </c>
      <c r="AV12">
        <v>0</v>
      </c>
      <c r="AW12">
        <v>0</v>
      </c>
      <c r="AX12">
        <v>0</v>
      </c>
      <c r="AY12">
        <v>8.1273178193104322E-3</v>
      </c>
      <c r="AZ12">
        <v>1.5111936237105288E-3</v>
      </c>
      <c r="BA12">
        <v>8.6661138904625522E-3</v>
      </c>
      <c r="BB12">
        <v>2.5943851322686999E-2</v>
      </c>
      <c r="BC12">
        <v>3.3180812070012097E-2</v>
      </c>
      <c r="BD12">
        <v>1.7823429680543151E-2</v>
      </c>
      <c r="BE12">
        <v>4.5920246569934896E-2</v>
      </c>
      <c r="BF12">
        <v>5.8257723509948737E-3</v>
      </c>
      <c r="BG12">
        <v>1.2396584197468974E-2</v>
      </c>
      <c r="BH12">
        <v>3.1818132432235559E-2</v>
      </c>
      <c r="BI12">
        <v>2.138727354234746E-2</v>
      </c>
      <c r="BJ12">
        <v>4.6881080126348819E-2</v>
      </c>
      <c r="BK12">
        <v>3.9594924283110434E-2</v>
      </c>
      <c r="BL12">
        <v>4.4886485943011763E-2</v>
      </c>
      <c r="BM12">
        <v>5.758471967543332E-2</v>
      </c>
      <c r="BN12">
        <v>5.7742081948195849E-2</v>
      </c>
      <c r="BO12">
        <v>2.1511650576871103E-2</v>
      </c>
      <c r="BP12">
        <v>1.5491436689680602E-2</v>
      </c>
      <c r="BQ12">
        <v>2.2862214068682035E-2</v>
      </c>
      <c r="BR12">
        <v>6.3240980786718236E-3</v>
      </c>
      <c r="BS12">
        <v>1.8760628656324715E-2</v>
      </c>
      <c r="BT12">
        <v>5.2593000150335779E-2</v>
      </c>
      <c r="BU12">
        <v>4.9915559237715776E-2</v>
      </c>
      <c r="BV12">
        <v>3.925348517219767E-2</v>
      </c>
      <c r="BW12">
        <v>8.1836157932425754E-2</v>
      </c>
      <c r="BX12">
        <v>2.8386099628737421E-2</v>
      </c>
      <c r="BY12">
        <v>1.9174078847622181E-2</v>
      </c>
      <c r="BZ12">
        <v>1.1537468159411477E-2</v>
      </c>
      <c r="CA12">
        <v>6.6606732428846887E-3</v>
      </c>
      <c r="CB12">
        <v>8.509696375139186E-3</v>
      </c>
      <c r="CC12">
        <v>5.3624532537641309E-3</v>
      </c>
      <c r="CD12">
        <v>4.1715405480714984E-3</v>
      </c>
      <c r="CE12">
        <v>2.3129339768689638E-3</v>
      </c>
      <c r="CF12">
        <v>1.4317676989951235E-4</v>
      </c>
      <c r="CG12">
        <v>4.4123424559048925E-3</v>
      </c>
      <c r="CH12">
        <v>3.5144985239193766E-2</v>
      </c>
      <c r="CJ12" t="s">
        <v>130</v>
      </c>
      <c r="CK12" t="s">
        <v>126</v>
      </c>
      <c r="CL12">
        <v>6.3224376105338861E-2</v>
      </c>
      <c r="CM12">
        <v>3.5592715271111117E-2</v>
      </c>
      <c r="CN12">
        <v>1.7515676517582193E-2</v>
      </c>
      <c r="CO12">
        <v>1.0367079684191009E-2</v>
      </c>
      <c r="CP12">
        <v>0</v>
      </c>
      <c r="CQ12">
        <v>0</v>
      </c>
      <c r="CR12">
        <v>3.7253588895270959E-3</v>
      </c>
      <c r="CS12">
        <v>9.0728933175932471E-3</v>
      </c>
      <c r="CT12">
        <v>2.8820904286438402E-2</v>
      </c>
      <c r="CU12">
        <v>5.7162840286502759E-2</v>
      </c>
      <c r="CV12">
        <v>9.1567893188691768E-2</v>
      </c>
      <c r="CW12">
        <v>0.13430194793396444</v>
      </c>
      <c r="CX12">
        <v>9.9936751502479826E-2</v>
      </c>
      <c r="CY12">
        <v>6.6858691213760271E-2</v>
      </c>
      <c r="CZ12">
        <v>0.11063426233846346</v>
      </c>
      <c r="DA12">
        <v>6.7507397829202134E-2</v>
      </c>
      <c r="DB12">
        <v>2.7306581164763619E-2</v>
      </c>
      <c r="DC12">
        <v>1.1248481057802212E-2</v>
      </c>
      <c r="DD12">
        <v>3.4290219831546898E-2</v>
      </c>
      <c r="DE12">
        <v>6.2084846517735687E-2</v>
      </c>
      <c r="DF12">
        <v>4.0537258021288235E-2</v>
      </c>
      <c r="DG12">
        <v>4.3529813612760294E-2</v>
      </c>
      <c r="DH12">
        <v>4.5070958736382914E-2</v>
      </c>
      <c r="DI12">
        <v>4.7350489358584207E-2</v>
      </c>
      <c r="DJ12">
        <v>1.2813702822042047E-2</v>
      </c>
      <c r="DK12">
        <v>5.1886298972801661E-3</v>
      </c>
      <c r="DL12">
        <v>1.1771216809354461E-2</v>
      </c>
      <c r="DM12">
        <v>2.0763045551739329E-2</v>
      </c>
      <c r="DN12">
        <v>5.7447245793601628E-3</v>
      </c>
      <c r="DO12">
        <v>2.3010020374775727E-2</v>
      </c>
      <c r="DP12">
        <v>7.506311981348239E-2</v>
      </c>
      <c r="DQ12">
        <v>6.1764282888751965E-2</v>
      </c>
      <c r="DR12">
        <v>2.9584630679502205E-2</v>
      </c>
      <c r="DS12">
        <v>3.0617362138566615E-2</v>
      </c>
      <c r="DT12">
        <v>4.0076415386625992E-2</v>
      </c>
      <c r="DU12">
        <v>2.1958184291575561E-2</v>
      </c>
      <c r="DV12">
        <v>2.7559004329978449E-2</v>
      </c>
      <c r="DW12">
        <v>3.2681348631270063E-2</v>
      </c>
      <c r="DX12">
        <v>4.8779035816325929E-2</v>
      </c>
      <c r="DY12">
        <v>3.2516289772835889E-2</v>
      </c>
      <c r="EA12" t="s">
        <v>539</v>
      </c>
      <c r="EB12">
        <v>0</v>
      </c>
      <c r="EC12">
        <v>0</v>
      </c>
      <c r="ED12">
        <v>1.2216314968709868E-3</v>
      </c>
      <c r="EE12">
        <v>0.11601135044321272</v>
      </c>
      <c r="EF12">
        <v>0.32627473684123304</v>
      </c>
      <c r="EG12">
        <v>0.38975992344984606</v>
      </c>
      <c r="EH12">
        <v>0.24998623726053132</v>
      </c>
      <c r="EI12">
        <v>3.2857887400194997E-2</v>
      </c>
      <c r="EJ12">
        <v>0</v>
      </c>
      <c r="EK12">
        <v>0</v>
      </c>
      <c r="EL12">
        <v>0</v>
      </c>
      <c r="EM12">
        <v>1.6637536459457192E-3</v>
      </c>
      <c r="EN12">
        <v>7.1859979693852716E-2</v>
      </c>
      <c r="EO12">
        <v>0.28774128753828254</v>
      </c>
      <c r="EP12">
        <v>0.45856060657958631</v>
      </c>
      <c r="EQ12">
        <v>0.48727474996087816</v>
      </c>
      <c r="ER12">
        <v>0.35616560123660806</v>
      </c>
      <c r="ES12">
        <v>0.14972299112545309</v>
      </c>
      <c r="ET12">
        <v>9.255966301843813E-3</v>
      </c>
      <c r="EU12">
        <v>0</v>
      </c>
      <c r="EV12">
        <v>0</v>
      </c>
      <c r="EW12">
        <v>5.0087127279100276E-3</v>
      </c>
      <c r="EX12">
        <v>0.11122854553554075</v>
      </c>
      <c r="EY12">
        <v>0.34822877091155052</v>
      </c>
      <c r="EZ12">
        <v>0.50881130633151206</v>
      </c>
      <c r="FA12">
        <v>0.5333038939356044</v>
      </c>
      <c r="FB12">
        <v>0.42755287858220037</v>
      </c>
      <c r="FC12">
        <v>0.21042619777375315</v>
      </c>
      <c r="FD12">
        <v>2.790264367367146E-2</v>
      </c>
      <c r="FE12">
        <v>0</v>
      </c>
      <c r="FF12">
        <v>0</v>
      </c>
      <c r="FG12">
        <v>0</v>
      </c>
      <c r="FH12">
        <v>2.4528599870295684E-2</v>
      </c>
      <c r="FI12">
        <v>0.18649331785140655</v>
      </c>
      <c r="FJ12">
        <v>0.35468775231990179</v>
      </c>
      <c r="FK12">
        <v>0.38735887074125935</v>
      </c>
      <c r="FL12">
        <v>0.2626091227509304</v>
      </c>
      <c r="FM12">
        <v>6.2678078050563968E-2</v>
      </c>
      <c r="FN12">
        <v>2.9353765112837449E-4</v>
      </c>
      <c r="FO12">
        <v>0</v>
      </c>
      <c r="FQ12" t="s">
        <v>539</v>
      </c>
      <c r="FR12" t="s">
        <v>127</v>
      </c>
      <c r="FS12" t="s">
        <v>128</v>
      </c>
      <c r="FT12">
        <v>0.48632357123620173</v>
      </c>
    </row>
    <row r="13" spans="2:176" x14ac:dyDescent="0.45">
      <c r="B13" t="s">
        <v>540</v>
      </c>
      <c r="C13" t="s">
        <v>123</v>
      </c>
      <c r="D13">
        <v>0</v>
      </c>
      <c r="E13">
        <v>0</v>
      </c>
      <c r="F13">
        <v>0.97222222222222221</v>
      </c>
      <c r="G13">
        <v>0.39319332596164719</v>
      </c>
      <c r="H13">
        <v>0.25335513495969464</v>
      </c>
      <c r="I13">
        <v>0.24209769525237762</v>
      </c>
      <c r="J13">
        <v>0.29306011052162839</v>
      </c>
      <c r="K13">
        <v>0.6136033680674029</v>
      </c>
      <c r="L13">
        <v>0</v>
      </c>
      <c r="M13">
        <v>0</v>
      </c>
      <c r="N13">
        <v>0</v>
      </c>
      <c r="O13">
        <v>0.85520880625644646</v>
      </c>
      <c r="P13">
        <v>0.42517704324160976</v>
      </c>
      <c r="Q13">
        <v>0.24530240334964232</v>
      </c>
      <c r="R13">
        <v>0.21278849569809077</v>
      </c>
      <c r="S13">
        <v>0.19712920343770049</v>
      </c>
      <c r="T13">
        <v>0.21436892446033326</v>
      </c>
      <c r="U13">
        <v>0.25665756805912771</v>
      </c>
      <c r="V13">
        <v>0.58851228071777872</v>
      </c>
      <c r="W13">
        <v>0</v>
      </c>
      <c r="X13">
        <v>0</v>
      </c>
      <c r="Y13">
        <v>0.67657968173887406</v>
      </c>
      <c r="Z13">
        <v>0.32393657052111724</v>
      </c>
      <c r="AA13">
        <v>0.14879349636927869</v>
      </c>
      <c r="AB13">
        <v>0.13207693135946272</v>
      </c>
      <c r="AC13">
        <v>0.1250152663814352</v>
      </c>
      <c r="AD13">
        <v>0.11933584079834213</v>
      </c>
      <c r="AE13">
        <v>0.16397943609124965</v>
      </c>
      <c r="AF13">
        <v>0.3650489631915132</v>
      </c>
      <c r="AG13">
        <v>0</v>
      </c>
      <c r="AH13">
        <v>0</v>
      </c>
      <c r="AI13">
        <v>0</v>
      </c>
      <c r="AJ13">
        <v>0.66246029139897433</v>
      </c>
      <c r="AK13">
        <v>0.34348102214373211</v>
      </c>
      <c r="AL13">
        <v>0.26735606193970585</v>
      </c>
      <c r="AM13">
        <v>0.23401571623725559</v>
      </c>
      <c r="AN13">
        <v>0.26883680123555953</v>
      </c>
      <c r="AO13">
        <v>0.47703379869378271</v>
      </c>
      <c r="AP13">
        <v>0.93335814825971875</v>
      </c>
      <c r="AQ13">
        <v>0</v>
      </c>
      <c r="EA13" t="s">
        <v>540</v>
      </c>
      <c r="EB13">
        <v>0</v>
      </c>
      <c r="EC13">
        <v>0</v>
      </c>
      <c r="ED13">
        <v>4.8066159943514211E-4</v>
      </c>
      <c r="EE13">
        <v>9.7309065230651137E-2</v>
      </c>
      <c r="EF13">
        <v>0.29984144836574933</v>
      </c>
      <c r="EG13">
        <v>0.36373318538011928</v>
      </c>
      <c r="EH13">
        <v>0.23449474063689837</v>
      </c>
      <c r="EI13">
        <v>3.8962918149120014E-2</v>
      </c>
      <c r="EJ13">
        <v>0</v>
      </c>
      <c r="EK13">
        <v>0</v>
      </c>
      <c r="EL13">
        <v>0</v>
      </c>
      <c r="EM13">
        <v>1.0011171475472233E-3</v>
      </c>
      <c r="EN13">
        <v>5.9876030420949869E-2</v>
      </c>
      <c r="EO13">
        <v>0.26566831919928802</v>
      </c>
      <c r="EP13">
        <v>0.42636497022393877</v>
      </c>
      <c r="EQ13">
        <v>0.4512000202362017</v>
      </c>
      <c r="ER13">
        <v>0.33170956250568084</v>
      </c>
      <c r="ES13">
        <v>0.1494795863745631</v>
      </c>
      <c r="ET13">
        <v>1.2114134867354581E-2</v>
      </c>
      <c r="EU13">
        <v>0</v>
      </c>
      <c r="EV13">
        <v>0</v>
      </c>
      <c r="EW13">
        <v>3.8938918375278834E-3</v>
      </c>
      <c r="EX13">
        <v>0.10604018436597452</v>
      </c>
      <c r="EY13">
        <v>0.35580773899549095</v>
      </c>
      <c r="EZ13">
        <v>0.51731979422092389</v>
      </c>
      <c r="FA13">
        <v>0.5421095661062908</v>
      </c>
      <c r="FB13">
        <v>0.44661040362729526</v>
      </c>
      <c r="FC13">
        <v>0.2337488293304901</v>
      </c>
      <c r="FD13">
        <v>3.5837982134579852E-2</v>
      </c>
      <c r="FE13">
        <v>0</v>
      </c>
      <c r="FF13">
        <v>0</v>
      </c>
      <c r="FG13">
        <v>0</v>
      </c>
      <c r="FH13">
        <v>1.7898550594667165E-2</v>
      </c>
      <c r="FI13">
        <v>0.16456511092230522</v>
      </c>
      <c r="FJ13">
        <v>0.33478928466126595</v>
      </c>
      <c r="FK13">
        <v>0.37090913520858221</v>
      </c>
      <c r="FL13">
        <v>0.25503394021328135</v>
      </c>
      <c r="FM13">
        <v>6.7481541169028325E-2</v>
      </c>
      <c r="FN13">
        <v>6.8503194051348915E-4</v>
      </c>
      <c r="FO13">
        <v>0</v>
      </c>
      <c r="FQ13" t="s">
        <v>540</v>
      </c>
      <c r="FR13" t="s">
        <v>127</v>
      </c>
      <c r="FS13" t="s">
        <v>128</v>
      </c>
      <c r="FT13">
        <v>0.47792532365259238</v>
      </c>
    </row>
    <row r="14" spans="2:176" x14ac:dyDescent="0.45">
      <c r="B14" t="s">
        <v>541</v>
      </c>
      <c r="C14" t="s">
        <v>123</v>
      </c>
      <c r="D14">
        <v>0</v>
      </c>
      <c r="E14">
        <v>0</v>
      </c>
      <c r="F14">
        <v>0.97772318972635242</v>
      </c>
      <c r="G14">
        <v>0.37134539985421916</v>
      </c>
      <c r="H14">
        <v>0.23425423140220908</v>
      </c>
      <c r="I14">
        <v>0.21060181000262626</v>
      </c>
      <c r="J14">
        <v>0.2574261817150108</v>
      </c>
      <c r="K14">
        <v>0.50586623139977038</v>
      </c>
      <c r="L14">
        <v>0</v>
      </c>
      <c r="M14">
        <v>0</v>
      </c>
      <c r="N14">
        <v>0</v>
      </c>
      <c r="O14">
        <v>0.86402557785626544</v>
      </c>
      <c r="P14">
        <v>0.42185206753978238</v>
      </c>
      <c r="Q14">
        <v>0.24022948942116776</v>
      </c>
      <c r="R14">
        <v>0.19892919508195522</v>
      </c>
      <c r="S14">
        <v>0.17914706187901264</v>
      </c>
      <c r="T14">
        <v>0.19227303933055867</v>
      </c>
      <c r="U14">
        <v>0.24734918668099126</v>
      </c>
      <c r="V14">
        <v>0.58081488584340346</v>
      </c>
      <c r="W14">
        <v>0</v>
      </c>
      <c r="X14">
        <v>0</v>
      </c>
      <c r="Y14">
        <v>0.68465289545842767</v>
      </c>
      <c r="Z14">
        <v>0.32543938511888876</v>
      </c>
      <c r="AA14">
        <v>0.14280005960732306</v>
      </c>
      <c r="AB14">
        <v>0.11895241468220265</v>
      </c>
      <c r="AC14">
        <v>0.11069452338158269</v>
      </c>
      <c r="AD14">
        <v>0.12014851271115928</v>
      </c>
      <c r="AE14">
        <v>0.15922059948121231</v>
      </c>
      <c r="AF14">
        <v>0.36836019184199775</v>
      </c>
      <c r="AG14">
        <v>0</v>
      </c>
      <c r="AH14">
        <v>0</v>
      </c>
      <c r="AI14">
        <v>0</v>
      </c>
      <c r="AJ14">
        <v>0.65952937192749084</v>
      </c>
      <c r="AK14">
        <v>0.30396090476412235</v>
      </c>
      <c r="AL14">
        <v>0.22571188899017394</v>
      </c>
      <c r="AM14">
        <v>0.2044747637562277</v>
      </c>
      <c r="AN14">
        <v>0.24049436303936961</v>
      </c>
      <c r="AO14">
        <v>0.45402159878421355</v>
      </c>
      <c r="AP14">
        <v>0.92910417867178341</v>
      </c>
      <c r="AQ14">
        <v>0</v>
      </c>
      <c r="EA14" t="s">
        <v>541</v>
      </c>
      <c r="EB14">
        <v>0</v>
      </c>
      <c r="EC14">
        <v>0</v>
      </c>
      <c r="ED14">
        <v>4.9245316954508143E-4</v>
      </c>
      <c r="EE14">
        <v>0.10659945523457851</v>
      </c>
      <c r="EF14">
        <v>0.33467794796763811</v>
      </c>
      <c r="EG14">
        <v>0.41916438292177127</v>
      </c>
      <c r="EH14">
        <v>0.27562081057818777</v>
      </c>
      <c r="EI14">
        <v>6.0830435881959626E-2</v>
      </c>
      <c r="EJ14">
        <v>0</v>
      </c>
      <c r="EK14">
        <v>0</v>
      </c>
      <c r="EL14">
        <v>0</v>
      </c>
      <c r="EM14">
        <v>7.5310548992758841E-4</v>
      </c>
      <c r="EN14">
        <v>5.6830653764546754E-2</v>
      </c>
      <c r="EO14">
        <v>0.27245900933108747</v>
      </c>
      <c r="EP14">
        <v>0.44884364996491277</v>
      </c>
      <c r="EQ14">
        <v>0.48634517952333622</v>
      </c>
      <c r="ER14">
        <v>0.36960365965135367</v>
      </c>
      <c r="ES14">
        <v>0.17096033883826159</v>
      </c>
      <c r="ET14">
        <v>1.3545567004146098E-2</v>
      </c>
      <c r="EU14">
        <v>0</v>
      </c>
      <c r="EV14">
        <v>0</v>
      </c>
      <c r="EW14">
        <v>3.1984528361128852E-3</v>
      </c>
      <c r="EX14">
        <v>9.9544540318116326E-2</v>
      </c>
      <c r="EY14">
        <v>0.3580778374145826</v>
      </c>
      <c r="EZ14">
        <v>0.53718247723592416</v>
      </c>
      <c r="FA14">
        <v>0.57332499279241178</v>
      </c>
      <c r="FB14">
        <v>0.45693984061819209</v>
      </c>
      <c r="FC14">
        <v>0.2408452534916711</v>
      </c>
      <c r="FD14">
        <v>3.7288797587650239E-2</v>
      </c>
      <c r="FE14">
        <v>0</v>
      </c>
      <c r="FF14">
        <v>0</v>
      </c>
      <c r="FG14">
        <v>0</v>
      </c>
      <c r="FH14">
        <v>1.7301532340180604E-2</v>
      </c>
      <c r="FI14">
        <v>0.17723622722823648</v>
      </c>
      <c r="FJ14">
        <v>0.36535998905362299</v>
      </c>
      <c r="FK14">
        <v>0.41203335994298756</v>
      </c>
      <c r="FL14">
        <v>0.28573565363078546</v>
      </c>
      <c r="FM14">
        <v>7.5926441164298433E-2</v>
      </c>
      <c r="FN14">
        <v>8.2680628165440458E-4</v>
      </c>
      <c r="FO14">
        <v>0</v>
      </c>
      <c r="FQ14" t="s">
        <v>541</v>
      </c>
      <c r="FR14" t="s">
        <v>127</v>
      </c>
      <c r="FS14" t="s">
        <v>128</v>
      </c>
      <c r="FT14">
        <v>0.47986935119842289</v>
      </c>
    </row>
    <row r="15" spans="2:176" x14ac:dyDescent="0.45">
      <c r="B15" t="s">
        <v>542</v>
      </c>
      <c r="C15" t="s">
        <v>123</v>
      </c>
      <c r="D15">
        <v>0</v>
      </c>
      <c r="E15">
        <v>0</v>
      </c>
      <c r="F15">
        <v>0.93888888888888844</v>
      </c>
      <c r="G15">
        <v>0.30926555091785751</v>
      </c>
      <c r="H15">
        <v>0.19942322862117395</v>
      </c>
      <c r="I15">
        <v>0.18131660949570716</v>
      </c>
      <c r="J15">
        <v>0.2234304015900489</v>
      </c>
      <c r="K15">
        <v>0.6021204352956343</v>
      </c>
      <c r="L15">
        <v>0</v>
      </c>
      <c r="M15">
        <v>0</v>
      </c>
      <c r="N15">
        <v>0</v>
      </c>
      <c r="O15">
        <v>0.82095677395553113</v>
      </c>
      <c r="P15">
        <v>0.3864779549452601</v>
      </c>
      <c r="Q15">
        <v>0.21468481621864061</v>
      </c>
      <c r="R15">
        <v>0.17983928024859311</v>
      </c>
      <c r="S15">
        <v>0.17244108544944359</v>
      </c>
      <c r="T15">
        <v>0.19389436780017186</v>
      </c>
      <c r="U15">
        <v>0.25506658644051339</v>
      </c>
      <c r="V15">
        <v>0.63123044519059102</v>
      </c>
      <c r="W15">
        <v>0</v>
      </c>
      <c r="X15">
        <v>0</v>
      </c>
      <c r="Y15">
        <v>0.63379372584755411</v>
      </c>
      <c r="Z15">
        <v>0.25565761583043578</v>
      </c>
      <c r="AA15">
        <v>0.11563758218963373</v>
      </c>
      <c r="AB15">
        <v>8.6415445302673977E-2</v>
      </c>
      <c r="AC15">
        <v>8.6397518073410146E-2</v>
      </c>
      <c r="AD15">
        <v>0.10462571773219932</v>
      </c>
      <c r="AE15">
        <v>0.16898316624798751</v>
      </c>
      <c r="AF15">
        <v>0.39917016577278353</v>
      </c>
      <c r="AG15">
        <v>0</v>
      </c>
      <c r="AH15">
        <v>0</v>
      </c>
      <c r="AI15">
        <v>0</v>
      </c>
      <c r="AJ15">
        <v>0.61161301343306895</v>
      </c>
      <c r="AK15">
        <v>0.31239905021159126</v>
      </c>
      <c r="AL15">
        <v>0.23854416169167025</v>
      </c>
      <c r="AM15">
        <v>0.2411223992057962</v>
      </c>
      <c r="AN15">
        <v>0.27450154580914826</v>
      </c>
      <c r="AO15">
        <v>0.49606906887869945</v>
      </c>
      <c r="AP15">
        <v>0.93608407566483454</v>
      </c>
      <c r="AQ15">
        <v>0</v>
      </c>
      <c r="EA15" t="s">
        <v>542</v>
      </c>
      <c r="EB15">
        <v>0</v>
      </c>
      <c r="EC15">
        <v>0</v>
      </c>
      <c r="ED15">
        <v>2.1814551081217127E-3</v>
      </c>
      <c r="EE15">
        <v>0.18825099872015</v>
      </c>
      <c r="EF15">
        <v>0.42824181911705145</v>
      </c>
      <c r="EG15">
        <v>0.4764855292890921</v>
      </c>
      <c r="EH15">
        <v>0.31263734040462482</v>
      </c>
      <c r="EI15">
        <v>4.8633333166317655E-2</v>
      </c>
      <c r="EJ15">
        <v>0</v>
      </c>
      <c r="EK15">
        <v>0</v>
      </c>
      <c r="EL15">
        <v>0</v>
      </c>
      <c r="EM15">
        <v>2.0839445614014344E-3</v>
      </c>
      <c r="EN15">
        <v>8.722289395700368E-2</v>
      </c>
      <c r="EO15">
        <v>0.33614321040611683</v>
      </c>
      <c r="EP15">
        <v>0.49982867463148273</v>
      </c>
      <c r="EQ15">
        <v>0.48978894007799484</v>
      </c>
      <c r="ER15">
        <v>0.35722796447765248</v>
      </c>
      <c r="ES15">
        <v>0.15508050119258041</v>
      </c>
      <c r="ET15">
        <v>9.3519016092929869E-3</v>
      </c>
      <c r="EU15">
        <v>0</v>
      </c>
      <c r="EV15">
        <v>0</v>
      </c>
      <c r="EW15">
        <v>5.8990216970153456E-3</v>
      </c>
      <c r="EX15">
        <v>0.13205241091842423</v>
      </c>
      <c r="EY15">
        <v>0.39249217747421972</v>
      </c>
      <c r="EZ15">
        <v>0.54334489688575627</v>
      </c>
      <c r="FA15">
        <v>0.54249632783436896</v>
      </c>
      <c r="FB15">
        <v>0.41213862990862749</v>
      </c>
      <c r="FC15">
        <v>0.1995429125059355</v>
      </c>
      <c r="FD15">
        <v>2.6436841639813708E-2</v>
      </c>
      <c r="FE15">
        <v>0</v>
      </c>
      <c r="FF15">
        <v>0</v>
      </c>
      <c r="FG15">
        <v>0</v>
      </c>
      <c r="FH15">
        <v>3.3262386360165326E-2</v>
      </c>
      <c r="FI15">
        <v>0.23497675938786497</v>
      </c>
      <c r="FJ15">
        <v>0.41412181836265871</v>
      </c>
      <c r="FK15">
        <v>0.41442099394839432</v>
      </c>
      <c r="FL15">
        <v>0.27007014471641333</v>
      </c>
      <c r="FM15">
        <v>6.437225435429593E-2</v>
      </c>
      <c r="FN15">
        <v>2.3372784031417976E-4</v>
      </c>
      <c r="FO15">
        <v>0</v>
      </c>
      <c r="FQ15" t="s">
        <v>542</v>
      </c>
      <c r="FR15" t="s">
        <v>127</v>
      </c>
      <c r="FS15" t="s">
        <v>128</v>
      </c>
      <c r="FT15">
        <v>0.46362825156869275</v>
      </c>
    </row>
    <row r="16" spans="2:176" x14ac:dyDescent="0.45">
      <c r="B16" t="s">
        <v>543</v>
      </c>
      <c r="C16" t="s">
        <v>123</v>
      </c>
      <c r="D16">
        <v>0</v>
      </c>
      <c r="E16">
        <v>0</v>
      </c>
      <c r="F16">
        <v>0.94999999999999973</v>
      </c>
      <c r="G16">
        <v>0.31090479408213945</v>
      </c>
      <c r="H16">
        <v>0.18952494224986166</v>
      </c>
      <c r="I16">
        <v>0.16450479778375002</v>
      </c>
      <c r="J16">
        <v>0.20978908603517493</v>
      </c>
      <c r="K16">
        <v>0.57466802224275826</v>
      </c>
      <c r="L16">
        <v>0</v>
      </c>
      <c r="M16">
        <v>0</v>
      </c>
      <c r="N16">
        <v>0</v>
      </c>
      <c r="O16">
        <v>0.8416888870890038</v>
      </c>
      <c r="P16">
        <v>0.39361742783808357</v>
      </c>
      <c r="Q16">
        <v>0.22261726150047648</v>
      </c>
      <c r="R16">
        <v>0.18568826596320193</v>
      </c>
      <c r="S16">
        <v>0.1757541808369264</v>
      </c>
      <c r="T16">
        <v>0.19283862346766892</v>
      </c>
      <c r="U16">
        <v>0.24739156365809833</v>
      </c>
      <c r="V16">
        <v>0.60274499491950184</v>
      </c>
      <c r="W16">
        <v>0</v>
      </c>
      <c r="X16">
        <v>0</v>
      </c>
      <c r="Y16">
        <v>0.64644026654961861</v>
      </c>
      <c r="Z16">
        <v>0.26512870496651431</v>
      </c>
      <c r="AA16">
        <v>0.12245362464138226</v>
      </c>
      <c r="AB16">
        <v>8.6204180891933754E-2</v>
      </c>
      <c r="AC16">
        <v>7.8050032811147196E-2</v>
      </c>
      <c r="AD16">
        <v>9.2404289704176412E-2</v>
      </c>
      <c r="AE16">
        <v>0.15918451053490762</v>
      </c>
      <c r="AF16">
        <v>0.38885943078347485</v>
      </c>
      <c r="AG16">
        <v>0</v>
      </c>
      <c r="AH16">
        <v>0</v>
      </c>
      <c r="AI16">
        <v>0</v>
      </c>
      <c r="AJ16">
        <v>0.62070285158064065</v>
      </c>
      <c r="AK16">
        <v>0.31175745278824701</v>
      </c>
      <c r="AL16">
        <v>0.24436789330353334</v>
      </c>
      <c r="AM16">
        <v>0.23345692967718051</v>
      </c>
      <c r="AN16">
        <v>0.27499151132022837</v>
      </c>
      <c r="AO16">
        <v>0.46362614546147468</v>
      </c>
      <c r="AP16">
        <v>0.92710492894548913</v>
      </c>
      <c r="AQ16">
        <v>0</v>
      </c>
      <c r="EA16" t="s">
        <v>543</v>
      </c>
      <c r="EB16">
        <v>0</v>
      </c>
      <c r="EC16">
        <v>0</v>
      </c>
      <c r="ED16">
        <v>1.5547688784141335E-3</v>
      </c>
      <c r="EE16">
        <v>0.16873769701888278</v>
      </c>
      <c r="EF16">
        <v>0.41725039879305398</v>
      </c>
      <c r="EG16">
        <v>0.48587973839624399</v>
      </c>
      <c r="EH16">
        <v>0.32623672537094456</v>
      </c>
      <c r="EI16">
        <v>5.6464036619385836E-2</v>
      </c>
      <c r="EJ16">
        <v>0</v>
      </c>
      <c r="EK16">
        <v>0</v>
      </c>
      <c r="EL16">
        <v>0</v>
      </c>
      <c r="EM16">
        <v>1.8601287589792555E-3</v>
      </c>
      <c r="EN16">
        <v>8.1359817920980668E-2</v>
      </c>
      <c r="EO16">
        <v>0.32345863464013158</v>
      </c>
      <c r="EP16">
        <v>0.5028809726613479</v>
      </c>
      <c r="EQ16">
        <v>0.52274277391133239</v>
      </c>
      <c r="ER16">
        <v>0.39497166822110213</v>
      </c>
      <c r="ES16">
        <v>0.17919940667154372</v>
      </c>
      <c r="ET16">
        <v>1.1366454736631851E-2</v>
      </c>
      <c r="EU16">
        <v>0</v>
      </c>
      <c r="EV16">
        <v>0</v>
      </c>
      <c r="EW16">
        <v>5.1695045817165249E-3</v>
      </c>
      <c r="EX16">
        <v>0.12147586273263826</v>
      </c>
      <c r="EY16">
        <v>0.38457980562458061</v>
      </c>
      <c r="EZ16">
        <v>0.55602356686130283</v>
      </c>
      <c r="FA16">
        <v>0.57473325575643575</v>
      </c>
      <c r="FB16">
        <v>0.4494146288970205</v>
      </c>
      <c r="FC16">
        <v>0.22127267652326429</v>
      </c>
      <c r="FD16">
        <v>2.9752628186909328E-2</v>
      </c>
      <c r="FE16">
        <v>0</v>
      </c>
      <c r="FF16">
        <v>0</v>
      </c>
      <c r="FG16">
        <v>0</v>
      </c>
      <c r="FH16">
        <v>2.7920902274899233E-2</v>
      </c>
      <c r="FI16">
        <v>0.21106883884509173</v>
      </c>
      <c r="FJ16">
        <v>0.39172371590379634</v>
      </c>
      <c r="FK16">
        <v>0.41050560911524331</v>
      </c>
      <c r="FL16">
        <v>0.27623298314316441</v>
      </c>
      <c r="FM16">
        <v>7.1605344142866179E-2</v>
      </c>
      <c r="FN16">
        <v>3.2671011424663062E-4</v>
      </c>
      <c r="FO16">
        <v>0</v>
      </c>
      <c r="FQ16" t="s">
        <v>543</v>
      </c>
      <c r="FR16" t="s">
        <v>127</v>
      </c>
      <c r="FS16" t="s">
        <v>128</v>
      </c>
      <c r="FT16">
        <v>0.53065820366679051</v>
      </c>
    </row>
    <row r="17" spans="2:176" x14ac:dyDescent="0.45">
      <c r="B17" t="s">
        <v>544</v>
      </c>
      <c r="C17" t="s">
        <v>123</v>
      </c>
      <c r="D17">
        <v>0</v>
      </c>
      <c r="E17">
        <v>0</v>
      </c>
      <c r="F17">
        <v>0.93888888888888888</v>
      </c>
      <c r="G17">
        <v>0.29949919862717184</v>
      </c>
      <c r="H17">
        <v>0.17925070744923402</v>
      </c>
      <c r="I17">
        <v>0.16437929783740979</v>
      </c>
      <c r="J17">
        <v>0.21900868564063286</v>
      </c>
      <c r="K17">
        <v>0.61179461711292593</v>
      </c>
      <c r="L17">
        <v>0</v>
      </c>
      <c r="M17">
        <v>0</v>
      </c>
      <c r="N17">
        <v>0</v>
      </c>
      <c r="O17">
        <v>0.80410367921385928</v>
      </c>
      <c r="P17">
        <v>0.33432216985461399</v>
      </c>
      <c r="Q17">
        <v>0.17251989179064989</v>
      </c>
      <c r="R17">
        <v>0.12284198678488621</v>
      </c>
      <c r="S17">
        <v>0.12447715598215256</v>
      </c>
      <c r="T17">
        <v>0.15051821635334367</v>
      </c>
      <c r="U17">
        <v>0.22308924121317769</v>
      </c>
      <c r="V17">
        <v>0.61217519418295263</v>
      </c>
      <c r="W17">
        <v>0</v>
      </c>
      <c r="X17">
        <v>0</v>
      </c>
      <c r="Y17">
        <v>0.63132712094689536</v>
      </c>
      <c r="Z17">
        <v>0.25186243102774436</v>
      </c>
      <c r="AA17">
        <v>0.11823425848939982</v>
      </c>
      <c r="AB17">
        <v>8.9679844599970943E-2</v>
      </c>
      <c r="AC17">
        <v>9.5239021003785632E-2</v>
      </c>
      <c r="AD17">
        <v>0.11769173002087555</v>
      </c>
      <c r="AE17">
        <v>0.17525835505849416</v>
      </c>
      <c r="AF17">
        <v>0.40135096481288951</v>
      </c>
      <c r="AG17">
        <v>0</v>
      </c>
      <c r="AH17">
        <v>0</v>
      </c>
      <c r="AI17">
        <v>0</v>
      </c>
      <c r="AJ17">
        <v>0.58873129387223577</v>
      </c>
      <c r="AK17">
        <v>0.25979968971866152</v>
      </c>
      <c r="AL17">
        <v>0.17618328794367552</v>
      </c>
      <c r="AM17">
        <v>0.17569105893027878</v>
      </c>
      <c r="AN17">
        <v>0.22956555114305571</v>
      </c>
      <c r="AO17">
        <v>0.48981282008443777</v>
      </c>
      <c r="AP17">
        <v>0.94254257648351181</v>
      </c>
      <c r="AQ17">
        <v>0</v>
      </c>
      <c r="EA17" t="s">
        <v>544</v>
      </c>
      <c r="EB17">
        <v>0</v>
      </c>
      <c r="EC17">
        <v>0</v>
      </c>
      <c r="ED17">
        <v>2.584873856985177E-3</v>
      </c>
      <c r="EE17">
        <v>0.19547702013230811</v>
      </c>
      <c r="EF17">
        <v>0.47239143661418087</v>
      </c>
      <c r="EG17">
        <v>0.52915927860411527</v>
      </c>
      <c r="EH17">
        <v>0.33935508713022183</v>
      </c>
      <c r="EI17">
        <v>4.9108939925320248E-2</v>
      </c>
      <c r="EJ17">
        <v>0</v>
      </c>
      <c r="EK17">
        <v>0</v>
      </c>
      <c r="EL17">
        <v>0</v>
      </c>
      <c r="EM17">
        <v>3.0207893300868028E-3</v>
      </c>
      <c r="EN17">
        <v>0.10514757495761336</v>
      </c>
      <c r="EO17">
        <v>0.40171949843550514</v>
      </c>
      <c r="EP17">
        <v>0.61089161549623361</v>
      </c>
      <c r="EQ17">
        <v>0.60387857168264292</v>
      </c>
      <c r="ER17">
        <v>0.44274311106586983</v>
      </c>
      <c r="ES17">
        <v>0.19148004308064137</v>
      </c>
      <c r="ET17">
        <v>1.2343493785622906E-2</v>
      </c>
      <c r="EU17">
        <v>0</v>
      </c>
      <c r="EV17">
        <v>0</v>
      </c>
      <c r="EW17">
        <v>7.0034264091039947E-3</v>
      </c>
      <c r="EX17">
        <v>0.13875436408255978</v>
      </c>
      <c r="EY17">
        <v>0.41791539997411831</v>
      </c>
      <c r="EZ17">
        <v>0.57350490779696184</v>
      </c>
      <c r="FA17">
        <v>0.56692121364088854</v>
      </c>
      <c r="FB17">
        <v>0.41860595744187046</v>
      </c>
      <c r="FC17">
        <v>0.20275309282222051</v>
      </c>
      <c r="FD17">
        <v>2.7403456569633181E-2</v>
      </c>
      <c r="FE17">
        <v>0</v>
      </c>
      <c r="FF17">
        <v>0</v>
      </c>
      <c r="FG17">
        <v>0</v>
      </c>
      <c r="FH17">
        <v>3.4939031993257062E-2</v>
      </c>
      <c r="FI17">
        <v>0.26221699529111392</v>
      </c>
      <c r="FJ17">
        <v>0.48178717225044732</v>
      </c>
      <c r="FK17">
        <v>0.48779493848755162</v>
      </c>
      <c r="FL17">
        <v>0.31617765270724213</v>
      </c>
      <c r="FM17">
        <v>7.0304089479075904E-2</v>
      </c>
      <c r="FN17">
        <v>2.3931832241572975E-4</v>
      </c>
      <c r="FO17">
        <v>0</v>
      </c>
      <c r="FQ17" t="s">
        <v>544</v>
      </c>
      <c r="FR17" t="s">
        <v>127</v>
      </c>
      <c r="FS17" t="s">
        <v>128</v>
      </c>
      <c r="FT17">
        <v>0.48065165685068467</v>
      </c>
    </row>
    <row r="18" spans="2:176" x14ac:dyDescent="0.45">
      <c r="B18" t="s">
        <v>545</v>
      </c>
      <c r="C18" t="s">
        <v>123</v>
      </c>
      <c r="D18">
        <v>0</v>
      </c>
      <c r="E18">
        <v>0</v>
      </c>
      <c r="F18">
        <v>0.94831939313924041</v>
      </c>
      <c r="G18">
        <v>0.32980323956336716</v>
      </c>
      <c r="H18">
        <v>0.20857397376472248</v>
      </c>
      <c r="I18">
        <v>0.18052239506599344</v>
      </c>
      <c r="J18">
        <v>0.22791513388303375</v>
      </c>
      <c r="K18">
        <v>0.64638787913705198</v>
      </c>
      <c r="L18">
        <v>0</v>
      </c>
      <c r="M18">
        <v>0</v>
      </c>
      <c r="N18">
        <v>0</v>
      </c>
      <c r="O18">
        <v>0.80833182709091034</v>
      </c>
      <c r="P18">
        <v>0.35641858325724068</v>
      </c>
      <c r="Q18">
        <v>0.19257977222449321</v>
      </c>
      <c r="R18">
        <v>0.1457911881710218</v>
      </c>
      <c r="S18">
        <v>0.14920559697969213</v>
      </c>
      <c r="T18">
        <v>0.17589657461882771</v>
      </c>
      <c r="U18">
        <v>0.24609465606817985</v>
      </c>
      <c r="V18">
        <v>0.62233684589404947</v>
      </c>
      <c r="W18">
        <v>0</v>
      </c>
      <c r="X18">
        <v>0</v>
      </c>
      <c r="Y18">
        <v>0.6457807940427932</v>
      </c>
      <c r="Z18">
        <v>0.29092569528244883</v>
      </c>
      <c r="AA18">
        <v>0.16766785265074924</v>
      </c>
      <c r="AB18">
        <v>0.1335598837869004</v>
      </c>
      <c r="AC18">
        <v>0.1256229986176626</v>
      </c>
      <c r="AD18">
        <v>0.13585600189776739</v>
      </c>
      <c r="AE18">
        <v>0.19384545068461148</v>
      </c>
      <c r="AF18">
        <v>0.40712628186565641</v>
      </c>
      <c r="AG18">
        <v>0</v>
      </c>
      <c r="AH18">
        <v>0</v>
      </c>
      <c r="AI18">
        <v>0</v>
      </c>
      <c r="AJ18">
        <v>0.61352532863005838</v>
      </c>
      <c r="AK18">
        <v>0.26719820928658355</v>
      </c>
      <c r="AL18">
        <v>0.19097505247539445</v>
      </c>
      <c r="AM18">
        <v>0.18928890606865678</v>
      </c>
      <c r="AN18">
        <v>0.24046569888977418</v>
      </c>
      <c r="AO18">
        <v>0.49465099960804315</v>
      </c>
      <c r="AP18">
        <v>0.9418621168099397</v>
      </c>
      <c r="AQ18">
        <v>0</v>
      </c>
      <c r="EA18" t="s">
        <v>545</v>
      </c>
      <c r="EB18">
        <v>0</v>
      </c>
      <c r="EC18">
        <v>0</v>
      </c>
      <c r="ED18">
        <v>2.1699347895826416E-3</v>
      </c>
      <c r="EE18">
        <v>0.16340309095223615</v>
      </c>
      <c r="EF18">
        <v>0.4160451128826278</v>
      </c>
      <c r="EG18">
        <v>0.473230305214559</v>
      </c>
      <c r="EH18">
        <v>0.3010904848273751</v>
      </c>
      <c r="EI18">
        <v>4.0231745367545597E-2</v>
      </c>
      <c r="EJ18">
        <v>0</v>
      </c>
      <c r="EK18">
        <v>0</v>
      </c>
      <c r="EL18">
        <v>0</v>
      </c>
      <c r="EM18">
        <v>2.0288890904155625E-3</v>
      </c>
      <c r="EN18">
        <v>8.3535820986588266E-2</v>
      </c>
      <c r="EO18">
        <v>0.34055182825831265</v>
      </c>
      <c r="EP18">
        <v>0.53663675712902192</v>
      </c>
      <c r="EQ18">
        <v>0.54440382217874894</v>
      </c>
      <c r="ER18">
        <v>0.39159107287682615</v>
      </c>
      <c r="ES18">
        <v>0.1656334760196681</v>
      </c>
      <c r="ET18">
        <v>9.2241477415857028E-3</v>
      </c>
      <c r="EU18">
        <v>0</v>
      </c>
      <c r="EV18">
        <v>0</v>
      </c>
      <c r="EW18">
        <v>5.8987765305167526E-3</v>
      </c>
      <c r="EX18">
        <v>0.1216125508334791</v>
      </c>
      <c r="EY18">
        <v>0.37647847955562891</v>
      </c>
      <c r="EZ18">
        <v>0.53428045814961977</v>
      </c>
      <c r="FA18">
        <v>0.54788205249816802</v>
      </c>
      <c r="FB18">
        <v>0.42046188917049121</v>
      </c>
      <c r="FC18">
        <v>0.20198554574846622</v>
      </c>
      <c r="FD18">
        <v>2.6604471994071698E-2</v>
      </c>
      <c r="FE18">
        <v>0</v>
      </c>
      <c r="FF18">
        <v>0</v>
      </c>
      <c r="FG18">
        <v>0</v>
      </c>
      <c r="FH18">
        <v>2.8102105003804428E-2</v>
      </c>
      <c r="FI18">
        <v>0.22019542387427957</v>
      </c>
      <c r="FJ18">
        <v>0.41544059437618952</v>
      </c>
      <c r="FK18">
        <v>0.43409669850586757</v>
      </c>
      <c r="FL18">
        <v>0.28726857763749353</v>
      </c>
      <c r="FM18">
        <v>6.4824180168508758E-2</v>
      </c>
      <c r="FN18">
        <v>2.3625121188235166E-4</v>
      </c>
      <c r="FO18">
        <v>0</v>
      </c>
      <c r="FQ18" t="s">
        <v>545</v>
      </c>
      <c r="FR18" t="s">
        <v>127</v>
      </c>
      <c r="FS18" t="s">
        <v>128</v>
      </c>
      <c r="FT18">
        <v>0.46651982903845324</v>
      </c>
    </row>
    <row r="19" spans="2:176" x14ac:dyDescent="0.45">
      <c r="B19" t="s">
        <v>546</v>
      </c>
      <c r="C19" t="s">
        <v>123</v>
      </c>
      <c r="D19">
        <v>0</v>
      </c>
      <c r="E19">
        <v>0</v>
      </c>
      <c r="F19">
        <v>0.97774308107227781</v>
      </c>
      <c r="G19">
        <v>0.36575717011136261</v>
      </c>
      <c r="H19">
        <v>0.21656584096974851</v>
      </c>
      <c r="I19">
        <v>0.1965819737680799</v>
      </c>
      <c r="J19">
        <v>0.23626851487592149</v>
      </c>
      <c r="K19">
        <v>0.49248205753303281</v>
      </c>
      <c r="L19">
        <v>0</v>
      </c>
      <c r="M19">
        <v>0</v>
      </c>
      <c r="N19">
        <v>0</v>
      </c>
      <c r="O19">
        <v>0.86145382027881712</v>
      </c>
      <c r="P19">
        <v>0.42390477681166633</v>
      </c>
      <c r="Q19">
        <v>0.23172440143022588</v>
      </c>
      <c r="R19">
        <v>0.17572988745313692</v>
      </c>
      <c r="S19">
        <v>0.17400606345525541</v>
      </c>
      <c r="T19">
        <v>0.17728872536644533</v>
      </c>
      <c r="U19">
        <v>0.23860858916558222</v>
      </c>
      <c r="V19">
        <v>0.56654874833770119</v>
      </c>
      <c r="W19">
        <v>0</v>
      </c>
      <c r="X19">
        <v>0</v>
      </c>
      <c r="Y19">
        <v>0.68786298902373966</v>
      </c>
      <c r="Z19">
        <v>0.32282704448791794</v>
      </c>
      <c r="AA19">
        <v>0.14168595248605803</v>
      </c>
      <c r="AB19">
        <v>0.12088768030769616</v>
      </c>
      <c r="AC19">
        <v>0.11039573964692947</v>
      </c>
      <c r="AD19">
        <v>0.11679261487956219</v>
      </c>
      <c r="AE19">
        <v>0.16211510231862625</v>
      </c>
      <c r="AF19">
        <v>0.37052538410917873</v>
      </c>
      <c r="AG19">
        <v>0</v>
      </c>
      <c r="AH19">
        <v>0</v>
      </c>
      <c r="AI19">
        <v>0</v>
      </c>
      <c r="AJ19">
        <v>0.67369698001857636</v>
      </c>
      <c r="AK19">
        <v>0.28955896753487159</v>
      </c>
      <c r="AL19">
        <v>0.21773908143815371</v>
      </c>
      <c r="AM19">
        <v>0.2079887473867047</v>
      </c>
      <c r="AN19">
        <v>0.23535632083923108</v>
      </c>
      <c r="AO19">
        <v>0.44695766878973142</v>
      </c>
      <c r="AP19">
        <v>0.92756907692961899</v>
      </c>
      <c r="AQ19">
        <v>0</v>
      </c>
      <c r="EA19" t="s">
        <v>546</v>
      </c>
      <c r="EB19">
        <v>0</v>
      </c>
      <c r="EC19">
        <v>0</v>
      </c>
      <c r="ED19">
        <v>8.6324548958538472E-4</v>
      </c>
      <c r="EE19">
        <v>0.13512315331484867</v>
      </c>
      <c r="EF19">
        <v>0.39533057831603369</v>
      </c>
      <c r="EG19">
        <v>0.47271292508844776</v>
      </c>
      <c r="EH19">
        <v>0.31789253056554373</v>
      </c>
      <c r="EI19">
        <v>7.215600339751535E-2</v>
      </c>
      <c r="EJ19">
        <v>0</v>
      </c>
      <c r="EK19">
        <v>0</v>
      </c>
      <c r="EL19">
        <v>0</v>
      </c>
      <c r="EM19">
        <v>7.4857187731386344E-4</v>
      </c>
      <c r="EN19">
        <v>6.0291711364089902E-2</v>
      </c>
      <c r="EO19">
        <v>0.29056033597242392</v>
      </c>
      <c r="EP19">
        <v>0.48448790658368623</v>
      </c>
      <c r="EQ19">
        <v>0.5162896606262557</v>
      </c>
      <c r="ER19">
        <v>0.40818036700961002</v>
      </c>
      <c r="ES19">
        <v>0.18410360497867689</v>
      </c>
      <c r="ET19">
        <v>1.412508753494901E-2</v>
      </c>
      <c r="EU19">
        <v>0</v>
      </c>
      <c r="EV19">
        <v>0</v>
      </c>
      <c r="EW19">
        <v>2.9994795136701448E-3</v>
      </c>
      <c r="EX19">
        <v>0.10146776527821</v>
      </c>
      <c r="EY19">
        <v>0.36880482536370079</v>
      </c>
      <c r="EZ19">
        <v>0.54520903611558036</v>
      </c>
      <c r="FA19">
        <v>0.56844308385679032</v>
      </c>
      <c r="FB19">
        <v>0.44836941033741895</v>
      </c>
      <c r="FC19">
        <v>0.23419927393516851</v>
      </c>
      <c r="FD19">
        <v>3.7176400335640764E-2</v>
      </c>
      <c r="FE19">
        <v>0</v>
      </c>
      <c r="FF19">
        <v>0</v>
      </c>
      <c r="FG19">
        <v>0</v>
      </c>
      <c r="FH19">
        <v>1.9507860524964449E-2</v>
      </c>
      <c r="FI19">
        <v>0.19735986012008758</v>
      </c>
      <c r="FJ19">
        <v>0.39687270417645332</v>
      </c>
      <c r="FK19">
        <v>0.43676166583467974</v>
      </c>
      <c r="FL19">
        <v>0.30723484079106983</v>
      </c>
      <c r="FM19">
        <v>8.2144969752210861E-2</v>
      </c>
      <c r="FN19">
        <v>8.2358413965175287E-4</v>
      </c>
      <c r="FO19">
        <v>0</v>
      </c>
      <c r="FQ19" t="s">
        <v>546</v>
      </c>
      <c r="FR19" t="s">
        <v>127</v>
      </c>
      <c r="FS19" t="s">
        <v>128</v>
      </c>
      <c r="FT19">
        <v>0.51014194623709008</v>
      </c>
    </row>
    <row r="20" spans="2:176" x14ac:dyDescent="0.45">
      <c r="B20" t="s">
        <v>547</v>
      </c>
      <c r="C20" t="s">
        <v>123</v>
      </c>
      <c r="D20">
        <v>0</v>
      </c>
      <c r="E20">
        <v>0</v>
      </c>
      <c r="F20">
        <v>0.96626742290852619</v>
      </c>
      <c r="G20">
        <v>0.32007056812160184</v>
      </c>
      <c r="H20">
        <v>0.19356481629166017</v>
      </c>
      <c r="I20">
        <v>0.17710933391334577</v>
      </c>
      <c r="J20">
        <v>0.21891047377126044</v>
      </c>
      <c r="K20">
        <v>0.52333727426079901</v>
      </c>
      <c r="L20">
        <v>0</v>
      </c>
      <c r="M20">
        <v>0</v>
      </c>
      <c r="N20">
        <v>0</v>
      </c>
      <c r="O20">
        <v>0.82908290594304557</v>
      </c>
      <c r="P20">
        <v>0.37974562825634167</v>
      </c>
      <c r="Q20">
        <v>0.19054979674159056</v>
      </c>
      <c r="R20">
        <v>0.15547493345769325</v>
      </c>
      <c r="S20">
        <v>0.15086027063561502</v>
      </c>
      <c r="T20">
        <v>0.16815982920167055</v>
      </c>
      <c r="U20">
        <v>0.23476827407395068</v>
      </c>
      <c r="V20">
        <v>0.57556368560598581</v>
      </c>
      <c r="W20">
        <v>0</v>
      </c>
      <c r="X20">
        <v>0</v>
      </c>
      <c r="Y20">
        <v>0.66090584805925245</v>
      </c>
      <c r="Z20">
        <v>0.30065560624413867</v>
      </c>
      <c r="AA20">
        <v>0.1467483815734838</v>
      </c>
      <c r="AB20">
        <v>0.11506867746002374</v>
      </c>
      <c r="AC20">
        <v>0.11394845398651401</v>
      </c>
      <c r="AD20">
        <v>0.12599434758735584</v>
      </c>
      <c r="AE20">
        <v>0.16692906641159611</v>
      </c>
      <c r="AF20">
        <v>0.37737464910288077</v>
      </c>
      <c r="AG20">
        <v>0</v>
      </c>
      <c r="AH20">
        <v>0</v>
      </c>
      <c r="AI20">
        <v>0</v>
      </c>
      <c r="AJ20">
        <v>0.6335996834929869</v>
      </c>
      <c r="AK20">
        <v>0.25958368760405304</v>
      </c>
      <c r="AL20">
        <v>0.18615196636725789</v>
      </c>
      <c r="AM20">
        <v>0.17174236026641798</v>
      </c>
      <c r="AN20">
        <v>0.21498956586551654</v>
      </c>
      <c r="AO20">
        <v>0.44464261705283453</v>
      </c>
      <c r="AP20">
        <v>0.92390749233706015</v>
      </c>
      <c r="AQ20">
        <v>0</v>
      </c>
      <c r="EA20" t="s">
        <v>547</v>
      </c>
      <c r="EB20">
        <v>0</v>
      </c>
      <c r="EC20">
        <v>0</v>
      </c>
      <c r="ED20">
        <v>1.2831129787538433E-3</v>
      </c>
      <c r="EE20">
        <v>0.16247026704798717</v>
      </c>
      <c r="EF20">
        <v>0.43817553084559618</v>
      </c>
      <c r="EG20">
        <v>0.51548181104221102</v>
      </c>
      <c r="EH20">
        <v>0.34314930006634187</v>
      </c>
      <c r="EI20">
        <v>6.3946439095030533E-2</v>
      </c>
      <c r="EJ20">
        <v>0</v>
      </c>
      <c r="EK20">
        <v>0</v>
      </c>
      <c r="EL20">
        <v>0</v>
      </c>
      <c r="EM20">
        <v>1.6214310677869507E-3</v>
      </c>
      <c r="EN20">
        <v>8.2086252626338729E-2</v>
      </c>
      <c r="EO20">
        <v>0.34835830167255749</v>
      </c>
      <c r="EP20">
        <v>0.56211069663390534</v>
      </c>
      <c r="EQ20">
        <v>0.59082339059222544</v>
      </c>
      <c r="ER20">
        <v>0.45683202936212275</v>
      </c>
      <c r="ES20">
        <v>0.20591321811926253</v>
      </c>
      <c r="ET20">
        <v>1.5356369956796406E-2</v>
      </c>
      <c r="EU20">
        <v>0</v>
      </c>
      <c r="EV20">
        <v>0</v>
      </c>
      <c r="EW20">
        <v>4.5273646195788152E-3</v>
      </c>
      <c r="EX20">
        <v>0.11330194122180978</v>
      </c>
      <c r="EY20">
        <v>0.38372324020786069</v>
      </c>
      <c r="EZ20">
        <v>0.56894784059001935</v>
      </c>
      <c r="FA20">
        <v>0.58233340929204147</v>
      </c>
      <c r="FB20">
        <v>0.44752885459395947</v>
      </c>
      <c r="FC20">
        <v>0.23000994020686347</v>
      </c>
      <c r="FD20">
        <v>3.5320046920271214E-2</v>
      </c>
      <c r="FE20">
        <v>0</v>
      </c>
      <c r="FF20">
        <v>0</v>
      </c>
      <c r="FG20">
        <v>0</v>
      </c>
      <c r="FH20">
        <v>2.5958387638341972E-2</v>
      </c>
      <c r="FI20">
        <v>0.23421537740639567</v>
      </c>
      <c r="FJ20">
        <v>0.44129249087119837</v>
      </c>
      <c r="FK20">
        <v>0.48151911385321861</v>
      </c>
      <c r="FL20">
        <v>0.32998365248913353</v>
      </c>
      <c r="FM20">
        <v>8.164227339663227E-2</v>
      </c>
      <c r="FN20">
        <v>5.3394047221241999E-4</v>
      </c>
      <c r="FO20">
        <v>0</v>
      </c>
      <c r="FQ20" t="s">
        <v>547</v>
      </c>
      <c r="FR20" t="s">
        <v>127</v>
      </c>
      <c r="FS20" t="s">
        <v>128</v>
      </c>
      <c r="FT20">
        <v>0.54912558238461218</v>
      </c>
    </row>
    <row r="21" spans="2:176" x14ac:dyDescent="0.45">
      <c r="B21" t="s">
        <v>548</v>
      </c>
      <c r="C21" t="s">
        <v>123</v>
      </c>
      <c r="D21">
        <v>0.45315531938780657</v>
      </c>
      <c r="E21">
        <v>0.45436727869555449</v>
      </c>
      <c r="F21">
        <v>0.43954513649306132</v>
      </c>
      <c r="G21">
        <v>0.45189357854874346</v>
      </c>
      <c r="H21">
        <v>0.46672145218617972</v>
      </c>
      <c r="I21">
        <v>0.47210532803679645</v>
      </c>
      <c r="J21">
        <v>0.46284708464606511</v>
      </c>
      <c r="K21">
        <v>0.43405030752868251</v>
      </c>
      <c r="L21">
        <v>0.41687167173319584</v>
      </c>
      <c r="M21">
        <v>0.42697487739278711</v>
      </c>
      <c r="N21">
        <v>0.45606714545849197</v>
      </c>
      <c r="O21">
        <v>0.45117848412401151</v>
      </c>
      <c r="P21">
        <v>0.46334479196042971</v>
      </c>
      <c r="Q21">
        <v>0.48663484436928328</v>
      </c>
      <c r="R21">
        <v>0.45986434097794554</v>
      </c>
      <c r="S21">
        <v>0.41326923433195439</v>
      </c>
      <c r="T21">
        <v>0.40280726189367067</v>
      </c>
      <c r="U21">
        <v>0.39586002981294699</v>
      </c>
      <c r="V21">
        <v>0.41738561472371621</v>
      </c>
      <c r="W21">
        <v>0.44983242073483848</v>
      </c>
      <c r="X21">
        <v>0.40218695530055826</v>
      </c>
      <c r="Y21">
        <v>0.43662996588143521</v>
      </c>
      <c r="Z21">
        <v>0.47405768304922302</v>
      </c>
      <c r="AA21">
        <v>0.49197946964549222</v>
      </c>
      <c r="AB21">
        <v>0.47723160747162091</v>
      </c>
      <c r="AC21">
        <v>0.43222122334408841</v>
      </c>
      <c r="AD21">
        <v>0.39248672464466189</v>
      </c>
      <c r="AE21">
        <v>0.39318256449300221</v>
      </c>
      <c r="AF21">
        <v>0.37061136340502343</v>
      </c>
      <c r="AG21">
        <v>0.38594082157745796</v>
      </c>
      <c r="AH21">
        <v>0.40115883293492199</v>
      </c>
      <c r="AI21">
        <v>0.43753446126129181</v>
      </c>
      <c r="AJ21">
        <v>0.47151479951528846</v>
      </c>
      <c r="AK21">
        <v>0.48909421709626316</v>
      </c>
      <c r="AL21">
        <v>0.50086125701963691</v>
      </c>
      <c r="AM21">
        <v>0.50413819898637524</v>
      </c>
      <c r="AN21">
        <v>0.48922368014167661</v>
      </c>
      <c r="AO21">
        <v>0.45843489857387404</v>
      </c>
      <c r="AP21">
        <v>0.43957167927582719</v>
      </c>
      <c r="AQ21">
        <v>0.40529283689726253</v>
      </c>
      <c r="EA21" t="s">
        <v>548</v>
      </c>
      <c r="EB21">
        <v>0.11285152314851682</v>
      </c>
      <c r="EC21">
        <v>0.11142317885791676</v>
      </c>
      <c r="ED21">
        <v>0.11003031951840966</v>
      </c>
      <c r="EE21">
        <v>0.10256858831271529</v>
      </c>
      <c r="EF21">
        <v>8.4783485741354525E-2</v>
      </c>
      <c r="EG21">
        <v>8.6354255849599007E-2</v>
      </c>
      <c r="EH21">
        <v>0.10377542819025823</v>
      </c>
      <c r="EI21">
        <v>0.11728516759596662</v>
      </c>
      <c r="EJ21">
        <v>0.12732343620413708</v>
      </c>
      <c r="EK21">
        <v>0.12510790159856833</v>
      </c>
      <c r="EL21">
        <v>7.0285278169498977E-2</v>
      </c>
      <c r="EM21">
        <v>6.5378866414033357E-2</v>
      </c>
      <c r="EN21">
        <v>6.3744699767203594E-2</v>
      </c>
      <c r="EO21">
        <v>6.4116777678187326E-2</v>
      </c>
      <c r="EP21">
        <v>6.1283500729705731E-2</v>
      </c>
      <c r="EQ21">
        <v>7.9120975860860199E-2</v>
      </c>
      <c r="ER21">
        <v>8.7829538948742833E-2</v>
      </c>
      <c r="ES21">
        <v>8.0933090629633109E-2</v>
      </c>
      <c r="ET21">
        <v>7.7162768966366493E-2</v>
      </c>
      <c r="EU21">
        <v>7.7487915123313447E-2</v>
      </c>
      <c r="EV21">
        <v>5.1913623614287328E-2</v>
      </c>
      <c r="EW21">
        <v>4.3226644861177825E-2</v>
      </c>
      <c r="EX21">
        <v>3.5639738228106267E-2</v>
      </c>
      <c r="EY21">
        <v>3.7162053121668891E-2</v>
      </c>
      <c r="EZ21">
        <v>3.3751838574180903E-2</v>
      </c>
      <c r="FA21">
        <v>4.870094937707662E-2</v>
      </c>
      <c r="FB21">
        <v>5.9960967257527795E-2</v>
      </c>
      <c r="FC21">
        <v>6.0697990879618927E-2</v>
      </c>
      <c r="FD21">
        <v>5.6104505452347679E-2</v>
      </c>
      <c r="FE21">
        <v>5.5438340964652867E-2</v>
      </c>
      <c r="FF21">
        <v>0.11580426028192781</v>
      </c>
      <c r="FG21">
        <v>0.12543117819394875</v>
      </c>
      <c r="FH21">
        <v>0.13475034195305471</v>
      </c>
      <c r="FI21">
        <v>0.13258717859491378</v>
      </c>
      <c r="FJ21">
        <v>0.11991937940039642</v>
      </c>
      <c r="FK21">
        <v>0.13100071032505975</v>
      </c>
      <c r="FL21">
        <v>0.12864289324408254</v>
      </c>
      <c r="FM21">
        <v>0.11648344071031866</v>
      </c>
      <c r="FN21">
        <v>0.11617989091530115</v>
      </c>
      <c r="FO21">
        <v>0.12062276788175297</v>
      </c>
      <c r="FQ21" t="s">
        <v>548</v>
      </c>
      <c r="FR21" t="s">
        <v>127</v>
      </c>
      <c r="FS21" t="s">
        <v>128</v>
      </c>
      <c r="FT21">
        <v>0.13242756733977859</v>
      </c>
    </row>
    <row r="22" spans="2:176" x14ac:dyDescent="0.45">
      <c r="B22" t="s">
        <v>549</v>
      </c>
      <c r="C22" t="s">
        <v>123</v>
      </c>
      <c r="D22">
        <v>0.46364117017023854</v>
      </c>
      <c r="E22">
        <v>0.47813434135541771</v>
      </c>
      <c r="F22">
        <v>0.47508068352697697</v>
      </c>
      <c r="G22">
        <v>0.49302504658960039</v>
      </c>
      <c r="H22">
        <v>0.48459807616878992</v>
      </c>
      <c r="I22">
        <v>0.49536486440131261</v>
      </c>
      <c r="J22">
        <v>0.4788623848167286</v>
      </c>
      <c r="K22">
        <v>0.45240986177491144</v>
      </c>
      <c r="L22">
        <v>0.44231377776889758</v>
      </c>
      <c r="M22">
        <v>0.45226360563168511</v>
      </c>
      <c r="N22">
        <v>0.43784162213109917</v>
      </c>
      <c r="O22">
        <v>0.46623330832919363</v>
      </c>
      <c r="P22">
        <v>0.47012184307846988</v>
      </c>
      <c r="Q22">
        <v>0.47802615633563261</v>
      </c>
      <c r="R22">
        <v>0.46640785583087951</v>
      </c>
      <c r="S22">
        <v>0.43710150459053349</v>
      </c>
      <c r="T22">
        <v>0.40073477812725306</v>
      </c>
      <c r="U22">
        <v>0.37458835484421654</v>
      </c>
      <c r="V22">
        <v>0.39347667140901982</v>
      </c>
      <c r="W22">
        <v>0.41924067063420295</v>
      </c>
      <c r="X22">
        <v>0.40135748590612685</v>
      </c>
      <c r="Y22">
        <v>0.43848242728105352</v>
      </c>
      <c r="Z22">
        <v>0.48689215463160285</v>
      </c>
      <c r="AA22">
        <v>0.50875992337563847</v>
      </c>
      <c r="AB22">
        <v>0.46298318928973914</v>
      </c>
      <c r="AC22">
        <v>0.4200197220164652</v>
      </c>
      <c r="AD22">
        <v>0.38258532645418386</v>
      </c>
      <c r="AE22">
        <v>0.37473419526632118</v>
      </c>
      <c r="AF22">
        <v>0.35061566078166806</v>
      </c>
      <c r="AG22">
        <v>0.36541573801950655</v>
      </c>
      <c r="AH22">
        <v>0.39810722089393635</v>
      </c>
      <c r="AI22">
        <v>0.41621737880648513</v>
      </c>
      <c r="AJ22">
        <v>0.43214392091173115</v>
      </c>
      <c r="AK22">
        <v>0.46048271511809791</v>
      </c>
      <c r="AL22">
        <v>0.47670339310913351</v>
      </c>
      <c r="AM22">
        <v>0.48158221647862981</v>
      </c>
      <c r="AN22">
        <v>0.46442868071846838</v>
      </c>
      <c r="AO22">
        <v>0.42165334537837262</v>
      </c>
      <c r="AP22">
        <v>0.40677614250853483</v>
      </c>
      <c r="AQ22">
        <v>0.39490052171732332</v>
      </c>
      <c r="EA22" t="s">
        <v>549</v>
      </c>
      <c r="EB22">
        <v>0.22435857147754482</v>
      </c>
      <c r="EC22">
        <v>0.21634400791824898</v>
      </c>
      <c r="ED22">
        <v>0.2168889974218069</v>
      </c>
      <c r="EE22">
        <v>0.20836204247963097</v>
      </c>
      <c r="EF22">
        <v>0.17205364371960361</v>
      </c>
      <c r="EG22">
        <v>0.17244659776657095</v>
      </c>
      <c r="EH22">
        <v>0.19217689939477067</v>
      </c>
      <c r="EI22">
        <v>0.21473749806690548</v>
      </c>
      <c r="EJ22">
        <v>0.23833444948152949</v>
      </c>
      <c r="EK22">
        <v>0.2409424771477158</v>
      </c>
      <c r="EL22">
        <v>0.13660549832173907</v>
      </c>
      <c r="EM22">
        <v>0.132756181648406</v>
      </c>
      <c r="EN22">
        <v>0.12976463127542165</v>
      </c>
      <c r="EO22">
        <v>0.12325103949304954</v>
      </c>
      <c r="EP22">
        <v>0.10155343222710222</v>
      </c>
      <c r="EQ22">
        <v>0.12178534264524427</v>
      </c>
      <c r="ER22">
        <v>0.13379100549449821</v>
      </c>
      <c r="ES22">
        <v>0.12445177483681144</v>
      </c>
      <c r="ET22">
        <v>0.13475849777308252</v>
      </c>
      <c r="EU22">
        <v>0.14238186743265638</v>
      </c>
      <c r="EV22">
        <v>9.8807228836939542E-2</v>
      </c>
      <c r="EW22">
        <v>8.4778342495986217E-2</v>
      </c>
      <c r="EX22">
        <v>7.0451372180326391E-2</v>
      </c>
      <c r="EY22">
        <v>6.744520427309908E-2</v>
      </c>
      <c r="EZ22">
        <v>6.0857219043258658E-2</v>
      </c>
      <c r="FA22">
        <v>7.6257941451014791E-2</v>
      </c>
      <c r="FB22">
        <v>8.9775096974335611E-2</v>
      </c>
      <c r="FC22">
        <v>9.929219231961052E-2</v>
      </c>
      <c r="FD22">
        <v>9.4570667729662411E-2</v>
      </c>
      <c r="FE22">
        <v>9.6632879240053662E-2</v>
      </c>
      <c r="FF22">
        <v>0.22836544141736251</v>
      </c>
      <c r="FG22">
        <v>0.22441544057033791</v>
      </c>
      <c r="FH22">
        <v>0.22738073995991887</v>
      </c>
      <c r="FI22">
        <v>0.21798703847273898</v>
      </c>
      <c r="FJ22">
        <v>0.1996993747396538</v>
      </c>
      <c r="FK22">
        <v>0.20661366000902009</v>
      </c>
      <c r="FL22">
        <v>0.20511296679071345</v>
      </c>
      <c r="FM22">
        <v>0.19719473450191338</v>
      </c>
      <c r="FN22">
        <v>0.2040990963834082</v>
      </c>
      <c r="FO22">
        <v>0.22014304461220327</v>
      </c>
      <c r="FQ22" t="s">
        <v>549</v>
      </c>
      <c r="FR22" t="s">
        <v>127</v>
      </c>
      <c r="FS22" t="s">
        <v>128</v>
      </c>
      <c r="FT22">
        <v>0.23853997596694779</v>
      </c>
    </row>
    <row r="23" spans="2:176" x14ac:dyDescent="0.45">
      <c r="B23" t="s">
        <v>550</v>
      </c>
      <c r="C23" t="s">
        <v>123</v>
      </c>
      <c r="D23">
        <v>0.48257982959247359</v>
      </c>
      <c r="E23">
        <v>0.50139571049824772</v>
      </c>
      <c r="F23">
        <v>0.50805945912668316</v>
      </c>
      <c r="G23">
        <v>0.52667128296023524</v>
      </c>
      <c r="H23">
        <v>0.50998664366802204</v>
      </c>
      <c r="I23">
        <v>0.50848583447979334</v>
      </c>
      <c r="J23">
        <v>0.50358361354033021</v>
      </c>
      <c r="K23">
        <v>0.48574427651554275</v>
      </c>
      <c r="L23">
        <v>0.47215740809245155</v>
      </c>
      <c r="M23">
        <v>0.48621507291071048</v>
      </c>
      <c r="N23">
        <v>0.464391767879613</v>
      </c>
      <c r="O23">
        <v>0.45450006772656398</v>
      </c>
      <c r="P23">
        <v>0.48233922474749791</v>
      </c>
      <c r="Q23">
        <v>0.52628742606473089</v>
      </c>
      <c r="R23">
        <v>0.50679209977280826</v>
      </c>
      <c r="S23">
        <v>0.47042827194680165</v>
      </c>
      <c r="T23">
        <v>0.42982861355986463</v>
      </c>
      <c r="U23">
        <v>0.40343739795711681</v>
      </c>
      <c r="V23">
        <v>0.4151939422516458</v>
      </c>
      <c r="W23">
        <v>0.43648828135345236</v>
      </c>
      <c r="X23">
        <v>0.43693324589417271</v>
      </c>
      <c r="Y23">
        <v>0.45556999888731925</v>
      </c>
      <c r="Z23">
        <v>0.50204753490256326</v>
      </c>
      <c r="AA23">
        <v>0.5293801725054349</v>
      </c>
      <c r="AB23">
        <v>0.47514386842176431</v>
      </c>
      <c r="AC23">
        <v>0.42836157130587449</v>
      </c>
      <c r="AD23">
        <v>0.4078591574806395</v>
      </c>
      <c r="AE23">
        <v>0.39417846979391652</v>
      </c>
      <c r="AF23">
        <v>0.40125337384396031</v>
      </c>
      <c r="AG23">
        <v>0.39018274243737122</v>
      </c>
      <c r="AH23">
        <v>0.43846776201929138</v>
      </c>
      <c r="AI23">
        <v>0.48256086036596518</v>
      </c>
      <c r="AJ23">
        <v>0.50871336271333822</v>
      </c>
      <c r="AK23">
        <v>0.53557709693545441</v>
      </c>
      <c r="AL23">
        <v>0.52020346894283453</v>
      </c>
      <c r="AM23">
        <v>0.51174069325451188</v>
      </c>
      <c r="AN23">
        <v>0.49480731608196216</v>
      </c>
      <c r="AO23">
        <v>0.46748356012432135</v>
      </c>
      <c r="AP23">
        <v>0.44510447959074978</v>
      </c>
      <c r="AQ23">
        <v>0.43548678196857654</v>
      </c>
      <c r="EA23" t="s">
        <v>550</v>
      </c>
      <c r="EB23">
        <v>0.12985698651729358</v>
      </c>
      <c r="EC23">
        <v>0.12454108378280782</v>
      </c>
      <c r="ED23">
        <v>0.12761349144210626</v>
      </c>
      <c r="EE23">
        <v>0.1260059583679928</v>
      </c>
      <c r="EF23">
        <v>0.10189777123224404</v>
      </c>
      <c r="EG23">
        <v>0.10895253493605803</v>
      </c>
      <c r="EH23">
        <v>0.12284694286839416</v>
      </c>
      <c r="EI23">
        <v>0.13141426570558298</v>
      </c>
      <c r="EJ23">
        <v>0.14058145289050622</v>
      </c>
      <c r="EK23">
        <v>0.14539523300870011</v>
      </c>
      <c r="EL23">
        <v>7.8095392151432033E-2</v>
      </c>
      <c r="EM23">
        <v>7.1250595805948877E-2</v>
      </c>
      <c r="EN23">
        <v>7.2193239690892849E-2</v>
      </c>
      <c r="EO23">
        <v>7.539518240525428E-2</v>
      </c>
      <c r="EP23">
        <v>6.7477138097392919E-2</v>
      </c>
      <c r="EQ23">
        <v>8.8494542980460333E-2</v>
      </c>
      <c r="ER23">
        <v>0.10201723202835242</v>
      </c>
      <c r="ES23">
        <v>8.7543257651344422E-2</v>
      </c>
      <c r="ET23">
        <v>8.5956144352878808E-2</v>
      </c>
      <c r="EU23">
        <v>8.8123837226927557E-2</v>
      </c>
      <c r="EV23">
        <v>5.3768802118872333E-2</v>
      </c>
      <c r="EW23">
        <v>4.5059417833766456E-2</v>
      </c>
      <c r="EX23">
        <v>3.9840640669116627E-2</v>
      </c>
      <c r="EY23">
        <v>4.5747792632344339E-2</v>
      </c>
      <c r="EZ23">
        <v>4.3417347944974295E-2</v>
      </c>
      <c r="FA23">
        <v>5.9225270758717037E-2</v>
      </c>
      <c r="FB23">
        <v>6.8622937239959589E-2</v>
      </c>
      <c r="FC23">
        <v>6.7323140611457027E-2</v>
      </c>
      <c r="FD23">
        <v>6.0276509918090283E-2</v>
      </c>
      <c r="FE23">
        <v>5.6034158209197063E-2</v>
      </c>
      <c r="FF23">
        <v>0.13269755089563409</v>
      </c>
      <c r="FG23">
        <v>0.12998456331379302</v>
      </c>
      <c r="FH23">
        <v>0.14065658672876491</v>
      </c>
      <c r="FI23">
        <v>0.14487734552572615</v>
      </c>
      <c r="FJ23">
        <v>0.13231801281294242</v>
      </c>
      <c r="FK23">
        <v>0.14389134553110144</v>
      </c>
      <c r="FL23">
        <v>0.14794127108109603</v>
      </c>
      <c r="FM23">
        <v>0.13671912846429232</v>
      </c>
      <c r="FN23">
        <v>0.12831842409226799</v>
      </c>
      <c r="FO23">
        <v>0.13043858156703247</v>
      </c>
      <c r="FQ23" t="s">
        <v>550</v>
      </c>
      <c r="FR23" t="s">
        <v>127</v>
      </c>
      <c r="FS23" t="s">
        <v>128</v>
      </c>
      <c r="FT23">
        <v>0.1468002704256163</v>
      </c>
    </row>
    <row r="24" spans="2:176" x14ac:dyDescent="0.45">
      <c r="B24" t="s">
        <v>551</v>
      </c>
      <c r="C24" t="s">
        <v>123</v>
      </c>
      <c r="D24">
        <v>0.45861230355473087</v>
      </c>
      <c r="E24">
        <v>0.48924417104754736</v>
      </c>
      <c r="F24">
        <v>0.50557228569513235</v>
      </c>
      <c r="G24">
        <v>0.52871058737494725</v>
      </c>
      <c r="H24">
        <v>0.55252668713819331</v>
      </c>
      <c r="I24">
        <v>0.54006436951147907</v>
      </c>
      <c r="J24">
        <v>0.50268757114093632</v>
      </c>
      <c r="K24">
        <v>0.46159441907099041</v>
      </c>
      <c r="L24">
        <v>0.44740913433513241</v>
      </c>
      <c r="M24">
        <v>0.45468581086958143</v>
      </c>
      <c r="N24">
        <v>0.40081055967110096</v>
      </c>
      <c r="O24">
        <v>0.41794002771426164</v>
      </c>
      <c r="P24">
        <v>0.47538756458574244</v>
      </c>
      <c r="Q24">
        <v>0.52371418670426706</v>
      </c>
      <c r="R24">
        <v>0.5310336833462167</v>
      </c>
      <c r="S24">
        <v>0.46750179691740329</v>
      </c>
      <c r="T24">
        <v>0.42231219131313491</v>
      </c>
      <c r="U24">
        <v>0.39318545790403314</v>
      </c>
      <c r="V24">
        <v>0.39388871942750742</v>
      </c>
      <c r="W24">
        <v>0.41392862752040105</v>
      </c>
      <c r="X24">
        <v>0.39911369787691564</v>
      </c>
      <c r="Y24">
        <v>0.40317178566399986</v>
      </c>
      <c r="Z24">
        <v>0.45151275911929917</v>
      </c>
      <c r="AA24">
        <v>0.48493408045441444</v>
      </c>
      <c r="AB24">
        <v>0.44051087892277435</v>
      </c>
      <c r="AC24">
        <v>0.44964960044248525</v>
      </c>
      <c r="AD24">
        <v>0.41672910853283496</v>
      </c>
      <c r="AE24">
        <v>0.37405000853797649</v>
      </c>
      <c r="AF24">
        <v>0.37272808475180458</v>
      </c>
      <c r="AG24">
        <v>0.36584328575902808</v>
      </c>
      <c r="AH24">
        <v>0.46763240449090571</v>
      </c>
      <c r="AI24">
        <v>0.49357840011507015</v>
      </c>
      <c r="AJ24">
        <v>0.49961945246162076</v>
      </c>
      <c r="AK24">
        <v>0.52245017448231978</v>
      </c>
      <c r="AL24">
        <v>0.51758439730023797</v>
      </c>
      <c r="AM24">
        <v>0.49506903618546066</v>
      </c>
      <c r="AN24">
        <v>0.48640153523147001</v>
      </c>
      <c r="AO24">
        <v>0.46049893711235912</v>
      </c>
      <c r="AP24">
        <v>0.43298054724673563</v>
      </c>
      <c r="AQ24">
        <v>0.41665151103617398</v>
      </c>
      <c r="EA24" t="s">
        <v>551</v>
      </c>
      <c r="EB24">
        <v>0.17329704134518073</v>
      </c>
      <c r="EC24">
        <v>0.16910702962971602</v>
      </c>
      <c r="ED24">
        <v>0.17633535335836414</v>
      </c>
      <c r="EE24">
        <v>0.17364942004464359</v>
      </c>
      <c r="EF24">
        <v>0.14928674430896838</v>
      </c>
      <c r="EG24">
        <v>0.15862318657131658</v>
      </c>
      <c r="EH24">
        <v>0.16276199903287408</v>
      </c>
      <c r="EI24">
        <v>0.17518750469510755</v>
      </c>
      <c r="EJ24">
        <v>0.19755616975663642</v>
      </c>
      <c r="EK24">
        <v>0.19466576295930685</v>
      </c>
      <c r="EL24">
        <v>0.12252703875293146</v>
      </c>
      <c r="EM24">
        <v>0.11633695100887131</v>
      </c>
      <c r="EN24">
        <v>0.11402216597470334</v>
      </c>
      <c r="EO24">
        <v>0.11176794544798727</v>
      </c>
      <c r="EP24">
        <v>9.913756131794324E-2</v>
      </c>
      <c r="EQ24">
        <v>0.11844139370647178</v>
      </c>
      <c r="ER24">
        <v>0.1308487036262902</v>
      </c>
      <c r="ES24">
        <v>0.12288927908419915</v>
      </c>
      <c r="ET24">
        <v>0.12686872655530865</v>
      </c>
      <c r="EU24">
        <v>0.13541447662367095</v>
      </c>
      <c r="EV24">
        <v>9.4737631060010957E-2</v>
      </c>
      <c r="EW24">
        <v>7.4277578424105581E-2</v>
      </c>
      <c r="EX24">
        <v>5.9932606032183998E-2</v>
      </c>
      <c r="EY24">
        <v>6.7819308592057176E-2</v>
      </c>
      <c r="EZ24">
        <v>6.8874568118506271E-2</v>
      </c>
      <c r="FA24">
        <v>8.5320345582896029E-2</v>
      </c>
      <c r="FB24">
        <v>8.4194026212334516E-2</v>
      </c>
      <c r="FC24">
        <v>8.6725251491019589E-2</v>
      </c>
      <c r="FD24">
        <v>8.5522950077733112E-2</v>
      </c>
      <c r="FE24">
        <v>9.7491585992469001E-2</v>
      </c>
      <c r="FF24">
        <v>0.17930022177521834</v>
      </c>
      <c r="FG24">
        <v>0.17399467135892138</v>
      </c>
      <c r="FH24">
        <v>0.17069754344897325</v>
      </c>
      <c r="FI24">
        <v>0.17351526216793151</v>
      </c>
      <c r="FJ24">
        <v>0.15763819042930974</v>
      </c>
      <c r="FK24">
        <v>0.17496499710570468</v>
      </c>
      <c r="FL24">
        <v>0.17876614985033193</v>
      </c>
      <c r="FM24">
        <v>0.17810204307993893</v>
      </c>
      <c r="FN24">
        <v>0.17290052393026609</v>
      </c>
      <c r="FO24">
        <v>0.17371210230739562</v>
      </c>
      <c r="FQ24" t="s">
        <v>551</v>
      </c>
      <c r="FR24" t="s">
        <v>127</v>
      </c>
      <c r="FS24" t="s">
        <v>128</v>
      </c>
      <c r="FT24">
        <v>0.19458904565027396</v>
      </c>
    </row>
    <row r="25" spans="2:176" x14ac:dyDescent="0.45">
      <c r="B25" t="s">
        <v>552</v>
      </c>
      <c r="C25" t="s">
        <v>123</v>
      </c>
      <c r="D25">
        <v>0.46690390354223971</v>
      </c>
      <c r="E25">
        <v>0.46811857220385183</v>
      </c>
      <c r="F25">
        <v>0.46737506930602252</v>
      </c>
      <c r="G25">
        <v>0.49919066065456152</v>
      </c>
      <c r="H25">
        <v>0.50425033431027699</v>
      </c>
      <c r="I25">
        <v>0.5189766413922785</v>
      </c>
      <c r="J25">
        <v>0.5048039777758313</v>
      </c>
      <c r="K25">
        <v>0.48685378301122417</v>
      </c>
      <c r="L25">
        <v>0.47627822182358459</v>
      </c>
      <c r="M25">
        <v>0.49289668504529083</v>
      </c>
      <c r="N25">
        <v>0.42943970813917531</v>
      </c>
      <c r="O25">
        <v>0.43106242496873015</v>
      </c>
      <c r="P25">
        <v>0.47889375190368361</v>
      </c>
      <c r="Q25">
        <v>0.54079328167210894</v>
      </c>
      <c r="R25">
        <v>0.54715010052558455</v>
      </c>
      <c r="S25">
        <v>0.46623552834530246</v>
      </c>
      <c r="T25">
        <v>0.41478436917401429</v>
      </c>
      <c r="U25">
        <v>0.40685850216476477</v>
      </c>
      <c r="V25">
        <v>0.39337768708766091</v>
      </c>
      <c r="W25">
        <v>0.40832165331006226</v>
      </c>
      <c r="X25">
        <v>0.40072989014504939</v>
      </c>
      <c r="Y25">
        <v>0.38184420193625535</v>
      </c>
      <c r="Z25">
        <v>0.41399007534929555</v>
      </c>
      <c r="AA25">
        <v>0.48550432533986076</v>
      </c>
      <c r="AB25">
        <v>0.45963831719682074</v>
      </c>
      <c r="AC25">
        <v>0.47953104340933123</v>
      </c>
      <c r="AD25">
        <v>0.44183500864359337</v>
      </c>
      <c r="AE25">
        <v>0.361879725026786</v>
      </c>
      <c r="AF25">
        <v>0.37975045782795197</v>
      </c>
      <c r="AG25">
        <v>0.368855515921306</v>
      </c>
      <c r="AH25">
        <v>0.47736144338005398</v>
      </c>
      <c r="AI25">
        <v>0.51089771186425115</v>
      </c>
      <c r="AJ25">
        <v>0.51536163991272377</v>
      </c>
      <c r="AK25">
        <v>0.54780639229631656</v>
      </c>
      <c r="AL25">
        <v>0.53720281686963478</v>
      </c>
      <c r="AM25">
        <v>0.52521966328856096</v>
      </c>
      <c r="AN25">
        <v>0.51194539852591348</v>
      </c>
      <c r="AO25">
        <v>0.50457911658116239</v>
      </c>
      <c r="AP25">
        <v>0.49589254522248655</v>
      </c>
      <c r="AQ25">
        <v>0.46248329363090418</v>
      </c>
      <c r="EA25" t="s">
        <v>552</v>
      </c>
      <c r="EB25">
        <v>0.11474916928809964</v>
      </c>
      <c r="EC25">
        <v>0.10763513876720228</v>
      </c>
      <c r="ED25">
        <v>0.10954149164285304</v>
      </c>
      <c r="EE25">
        <v>0.11378037305678138</v>
      </c>
      <c r="EF25">
        <v>9.4334280414558533E-2</v>
      </c>
      <c r="EG25">
        <v>0.1071848969861296</v>
      </c>
      <c r="EH25">
        <v>0.11485254990014558</v>
      </c>
      <c r="EI25">
        <v>0.11876813114957056</v>
      </c>
      <c r="EJ25">
        <v>0.13026821680444603</v>
      </c>
      <c r="EK25">
        <v>0.13500766746130669</v>
      </c>
      <c r="EL25">
        <v>7.9339475783205632E-2</v>
      </c>
      <c r="EM25">
        <v>7.1403700692589278E-2</v>
      </c>
      <c r="EN25">
        <v>7.5456857562328325E-2</v>
      </c>
      <c r="EO25">
        <v>7.5305314596651282E-2</v>
      </c>
      <c r="EP25">
        <v>6.5910730142723362E-2</v>
      </c>
      <c r="EQ25">
        <v>8.2384575156459541E-2</v>
      </c>
      <c r="ER25">
        <v>8.9237039885357139E-2</v>
      </c>
      <c r="ES25">
        <v>8.6970484063899872E-2</v>
      </c>
      <c r="ET25">
        <v>8.2766547006980065E-2</v>
      </c>
      <c r="EU25">
        <v>8.442033958229897E-2</v>
      </c>
      <c r="EV25">
        <v>5.3636638102192512E-2</v>
      </c>
      <c r="EW25">
        <v>3.9607850451315957E-2</v>
      </c>
      <c r="EX25">
        <v>3.0875707879085498E-2</v>
      </c>
      <c r="EY25">
        <v>3.6715100533911027E-2</v>
      </c>
      <c r="EZ25">
        <v>4.1101714157064081E-2</v>
      </c>
      <c r="FA25">
        <v>5.8486781000164745E-2</v>
      </c>
      <c r="FB25">
        <v>6.5639652771452631E-2</v>
      </c>
      <c r="FC25">
        <v>5.778291793894428E-2</v>
      </c>
      <c r="FD25">
        <v>6.0803831438533962E-2</v>
      </c>
      <c r="FE25">
        <v>5.5001528304326683E-2</v>
      </c>
      <c r="FF25">
        <v>0.1106248610223142</v>
      </c>
      <c r="FG25">
        <v>0.10794521045454031</v>
      </c>
      <c r="FH25">
        <v>0.107734837231564</v>
      </c>
      <c r="FI25">
        <v>0.10846467242207747</v>
      </c>
      <c r="FJ25">
        <v>9.9412702891980759E-2</v>
      </c>
      <c r="FK25">
        <v>0.12082571125075037</v>
      </c>
      <c r="FL25">
        <v>0.1234122194390703</v>
      </c>
      <c r="FM25">
        <v>0.12089934714962371</v>
      </c>
      <c r="FN25">
        <v>0.11453215357499545</v>
      </c>
      <c r="FO25">
        <v>0.10705956292719045</v>
      </c>
      <c r="FQ25" t="s">
        <v>552</v>
      </c>
      <c r="FR25" t="s">
        <v>127</v>
      </c>
      <c r="FS25" t="s">
        <v>128</v>
      </c>
      <c r="FT25">
        <v>0.13389823084127986</v>
      </c>
    </row>
    <row r="26" spans="2:176" x14ac:dyDescent="0.45">
      <c r="B26" t="s">
        <v>553</v>
      </c>
      <c r="C26" t="s">
        <v>123</v>
      </c>
      <c r="D26">
        <v>0.52822076568998755</v>
      </c>
      <c r="E26">
        <v>0.52106180604250274</v>
      </c>
      <c r="F26">
        <v>0.51070142377692029</v>
      </c>
      <c r="G26">
        <v>0.54184448187544243</v>
      </c>
      <c r="H26">
        <v>0.54159236374631925</v>
      </c>
      <c r="I26">
        <v>0.54772742818581899</v>
      </c>
      <c r="J26">
        <v>0.54342633807574658</v>
      </c>
      <c r="K26">
        <v>0.53708262559158726</v>
      </c>
      <c r="L26">
        <v>0.52401064713665246</v>
      </c>
      <c r="M26">
        <v>0.53110324739536974</v>
      </c>
      <c r="N26">
        <v>0.41932552718717692</v>
      </c>
      <c r="O26">
        <v>0.42732839626395647</v>
      </c>
      <c r="P26">
        <v>0.45920157966068664</v>
      </c>
      <c r="Q26">
        <v>0.51913946455901772</v>
      </c>
      <c r="R26">
        <v>0.5382660648266836</v>
      </c>
      <c r="S26">
        <v>0.4832459968725743</v>
      </c>
      <c r="T26">
        <v>0.44005028821546049</v>
      </c>
      <c r="U26">
        <v>0.41132261822330107</v>
      </c>
      <c r="V26">
        <v>0.41704652042814411</v>
      </c>
      <c r="W26">
        <v>0.42476446612643687</v>
      </c>
      <c r="X26">
        <v>0.41163448481152309</v>
      </c>
      <c r="Y26">
        <v>0.41882932424682223</v>
      </c>
      <c r="Z26">
        <v>0.44154827611115788</v>
      </c>
      <c r="AA26">
        <v>0.49246419111545492</v>
      </c>
      <c r="AB26">
        <v>0.46282393063027949</v>
      </c>
      <c r="AC26">
        <v>0.48515182095331927</v>
      </c>
      <c r="AD26">
        <v>0.47827366775279812</v>
      </c>
      <c r="AE26">
        <v>0.41327226904058439</v>
      </c>
      <c r="AF26">
        <v>0.44152481987303771</v>
      </c>
      <c r="AG26">
        <v>0.43720035870034712</v>
      </c>
      <c r="AH26">
        <v>0.48383570652450231</v>
      </c>
      <c r="AI26">
        <v>0.52014818645553884</v>
      </c>
      <c r="AJ26">
        <v>0.52212005237389569</v>
      </c>
      <c r="AK26">
        <v>0.5476308329715126</v>
      </c>
      <c r="AL26">
        <v>0.53061928870916575</v>
      </c>
      <c r="AM26">
        <v>0.53676457496930374</v>
      </c>
      <c r="AN26">
        <v>0.5341575972286664</v>
      </c>
      <c r="AO26">
        <v>0.5171614082721141</v>
      </c>
      <c r="AP26">
        <v>0.49358591269223623</v>
      </c>
      <c r="AQ26">
        <v>0.4723790502238352</v>
      </c>
      <c r="EA26" t="s">
        <v>553</v>
      </c>
      <c r="EB26">
        <v>0.10570726503281751</v>
      </c>
      <c r="EC26">
        <v>9.6587983364265204E-2</v>
      </c>
      <c r="ED26">
        <v>9.4194734320303217E-2</v>
      </c>
      <c r="EE26">
        <v>9.5856263154807192E-2</v>
      </c>
      <c r="EF26">
        <v>7.5671668727106109E-2</v>
      </c>
      <c r="EG26">
        <v>9.4043358384321138E-2</v>
      </c>
      <c r="EH26">
        <v>0.10433978895307519</v>
      </c>
      <c r="EI26">
        <v>0.10809859682986926</v>
      </c>
      <c r="EJ26">
        <v>0.11480720046674833</v>
      </c>
      <c r="EK26">
        <v>0.11975359082118504</v>
      </c>
      <c r="EL26">
        <v>8.3622615722149768E-2</v>
      </c>
      <c r="EM26">
        <v>6.8853008041396213E-2</v>
      </c>
      <c r="EN26">
        <v>6.8669782254247649E-2</v>
      </c>
      <c r="EO26">
        <v>7.1567127087568544E-2</v>
      </c>
      <c r="EP26">
        <v>6.2634086324301869E-2</v>
      </c>
      <c r="EQ26">
        <v>8.0814019039161911E-2</v>
      </c>
      <c r="ER26">
        <v>8.9436161806351389E-2</v>
      </c>
      <c r="ES26">
        <v>9.1760464273924619E-2</v>
      </c>
      <c r="ET26">
        <v>8.9839712875444719E-2</v>
      </c>
      <c r="EU26">
        <v>8.8446469535035474E-2</v>
      </c>
      <c r="EV26">
        <v>6.2502742958958663E-2</v>
      </c>
      <c r="EW26">
        <v>4.4569381379836195E-2</v>
      </c>
      <c r="EX26">
        <v>3.209728924000798E-2</v>
      </c>
      <c r="EY26">
        <v>3.6465828329117198E-2</v>
      </c>
      <c r="EZ26">
        <v>4.3744457313669438E-2</v>
      </c>
      <c r="FA26">
        <v>5.7759727293159813E-2</v>
      </c>
      <c r="FB26">
        <v>6.856182322561559E-2</v>
      </c>
      <c r="FC26">
        <v>5.6422698190663534E-2</v>
      </c>
      <c r="FD26">
        <v>5.3460556768898285E-2</v>
      </c>
      <c r="FE26">
        <v>6.0332101782820981E-2</v>
      </c>
      <c r="FF26">
        <v>8.9365703869191418E-2</v>
      </c>
      <c r="FG26">
        <v>8.7269388197455555E-2</v>
      </c>
      <c r="FH26">
        <v>8.4520686772181192E-2</v>
      </c>
      <c r="FI26">
        <v>8.3475219329836994E-2</v>
      </c>
      <c r="FJ26">
        <v>7.8238913214351002E-2</v>
      </c>
      <c r="FK26">
        <v>0.10473863436049874</v>
      </c>
      <c r="FL26">
        <v>0.10800862473763198</v>
      </c>
      <c r="FM26">
        <v>0.10599252116606714</v>
      </c>
      <c r="FN26">
        <v>0.10790967700585907</v>
      </c>
      <c r="FO26">
        <v>9.7932396942302727E-2</v>
      </c>
      <c r="FQ26" t="s">
        <v>553</v>
      </c>
      <c r="FR26" t="s">
        <v>127</v>
      </c>
      <c r="FS26" t="s">
        <v>128</v>
      </c>
      <c r="FT26">
        <v>0.11868855034829014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2DAF-A551-475B-9590-A8F5E7047875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region=CHE")</f>
        <v>~TFM_DINS-AT: region=CHE</v>
      </c>
      <c r="H9" t="str">
        <f>IF(A11="x","DeActivated","~TFM_DINS-AT: region=CHE")</f>
        <v>~TFM_DINS-AT: region=CHE</v>
      </c>
      <c r="L9" t="str">
        <f>IF(A11="x","DeActivated","~TFM_DINS-AT: region=CHE")</f>
        <v>~TFM_DINS-AT: region=CHE</v>
      </c>
      <c r="P9" t="str">
        <f>IF(A11="x","DeActivated","~TFM_INS-AT: region=CHE")</f>
        <v>~TFM_INS-AT: region=CHE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3.8978728984101263E-2</v>
      </c>
      <c r="P11">
        <v>2020</v>
      </c>
      <c r="Q11" t="s">
        <v>214</v>
      </c>
      <c r="R11">
        <v>0.27886666666666665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0.10949561329358004</v>
      </c>
      <c r="P12">
        <v>2020</v>
      </c>
      <c r="Q12" t="s">
        <v>216</v>
      </c>
      <c r="R12">
        <v>0.28170000000000001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0.1063619420152313</v>
      </c>
      <c r="P13">
        <v>2020</v>
      </c>
      <c r="Q13" t="s">
        <v>217</v>
      </c>
      <c r="R13">
        <v>0.3746666666666667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8.0348050001846971E-2</v>
      </c>
      <c r="P14">
        <v>2020</v>
      </c>
      <c r="Q14" t="s">
        <v>218</v>
      </c>
      <c r="R14">
        <v>0.30306666666666665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6.5447667976937351E-2</v>
      </c>
      <c r="P15">
        <v>2021</v>
      </c>
      <c r="Q15" t="s">
        <v>214</v>
      </c>
      <c r="R15">
        <v>0.26756666666666667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7.0969736708833775E-2</v>
      </c>
      <c r="P16">
        <v>2021</v>
      </c>
      <c r="Q16" t="s">
        <v>216</v>
      </c>
      <c r="R16">
        <v>0.24306666666666668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7.1395698462860091E-2</v>
      </c>
      <c r="P17">
        <v>2021</v>
      </c>
      <c r="Q17" t="s">
        <v>217</v>
      </c>
      <c r="R17">
        <v>0.4190666666666667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5.6224391048615097E-2</v>
      </c>
      <c r="P18">
        <v>2021</v>
      </c>
      <c r="Q18" t="s">
        <v>218</v>
      </c>
      <c r="R18">
        <v>0.25446666666666667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7.1737702120903135E-2</v>
      </c>
      <c r="P19">
        <v>2022</v>
      </c>
      <c r="Q19" t="s">
        <v>214</v>
      </c>
      <c r="R19">
        <v>0.22466666666666668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9.3021713143904616E-2</v>
      </c>
      <c r="P20">
        <v>2022</v>
      </c>
      <c r="Q20" t="s">
        <v>216</v>
      </c>
      <c r="R20">
        <v>0.23303333333333334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0.11433374709379374</v>
      </c>
      <c r="P21">
        <v>2022</v>
      </c>
      <c r="Q21" t="s">
        <v>217</v>
      </c>
      <c r="R21">
        <v>0.31319999999999998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0.18750899784775088</v>
      </c>
      <c r="P22">
        <v>2022</v>
      </c>
      <c r="Q22" t="s">
        <v>218</v>
      </c>
      <c r="R22">
        <v>0.22989999999999999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0.14054469942405778</v>
      </c>
      <c r="P23">
        <v>2025</v>
      </c>
      <c r="Q23" t="s">
        <v>214</v>
      </c>
      <c r="R23">
        <v>0.27063333333333334</v>
      </c>
      <c r="S23" t="s">
        <v>215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0.12212138830607455</v>
      </c>
      <c r="P24">
        <v>2025</v>
      </c>
      <c r="Q24" t="s">
        <v>216</v>
      </c>
      <c r="R24">
        <v>0.24250000000000002</v>
      </c>
      <c r="S24" t="s">
        <v>215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0.12961474275480311</v>
      </c>
      <c r="P25">
        <v>2025</v>
      </c>
      <c r="Q25" t="s">
        <v>217</v>
      </c>
      <c r="R25">
        <v>0.3755</v>
      </c>
      <c r="S25" t="s">
        <v>215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0.1374526595226746</v>
      </c>
      <c r="P26">
        <v>2025</v>
      </c>
      <c r="Q26" t="s">
        <v>218</v>
      </c>
      <c r="R26">
        <v>0.26706666666666667</v>
      </c>
      <c r="S26" t="s">
        <v>215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0.14486892444484423</v>
      </c>
      <c r="P27">
        <v>2026</v>
      </c>
      <c r="Q27" t="s">
        <v>214</v>
      </c>
      <c r="R27">
        <v>0.25423333333333331</v>
      </c>
      <c r="S27" t="s">
        <v>215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0.14224866944435033</v>
      </c>
      <c r="P28">
        <v>2026</v>
      </c>
      <c r="Q28" t="s">
        <v>216</v>
      </c>
      <c r="R28">
        <v>0.25123333333333331</v>
      </c>
      <c r="S28" t="s">
        <v>215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0.15503284403944284</v>
      </c>
      <c r="P29">
        <v>2026</v>
      </c>
      <c r="Q29" t="s">
        <v>217</v>
      </c>
      <c r="R29">
        <v>0.38090000000000002</v>
      </c>
      <c r="S29" t="s">
        <v>215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0.14562954118554972</v>
      </c>
      <c r="P30">
        <v>2026</v>
      </c>
      <c r="Q30" t="s">
        <v>218</v>
      </c>
      <c r="R30">
        <v>0.28516666666666673</v>
      </c>
      <c r="S30" t="s">
        <v>215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0.15025172903994011</v>
      </c>
      <c r="P31">
        <v>2027</v>
      </c>
      <c r="Q31" t="s">
        <v>214</v>
      </c>
      <c r="R31">
        <v>0.2477</v>
      </c>
      <c r="S31" t="s">
        <v>215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0.11406999193307166</v>
      </c>
      <c r="P32">
        <v>2027</v>
      </c>
      <c r="Q32" t="s">
        <v>216</v>
      </c>
      <c r="R32">
        <v>0.2392</v>
      </c>
      <c r="S32" t="s">
        <v>215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0.10990791950405887</v>
      </c>
      <c r="P33">
        <v>2027</v>
      </c>
      <c r="Q33" t="s">
        <v>217</v>
      </c>
      <c r="R33">
        <v>0.38573333333333332</v>
      </c>
      <c r="S33" t="s">
        <v>215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8.4337216637695667E-2</v>
      </c>
      <c r="P34">
        <v>2027</v>
      </c>
      <c r="Q34" t="s">
        <v>218</v>
      </c>
      <c r="R34">
        <v>0.25596666666666668</v>
      </c>
      <c r="S34" t="s">
        <v>215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9.1635945869246616E-2</v>
      </c>
      <c r="P35">
        <v>2028</v>
      </c>
      <c r="Q35" t="s">
        <v>214</v>
      </c>
      <c r="R35">
        <v>0.32486666666666664</v>
      </c>
      <c r="S35" t="s">
        <v>215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0.11045752036990231</v>
      </c>
      <c r="P36">
        <v>2028</v>
      </c>
      <c r="Q36" t="s">
        <v>216</v>
      </c>
      <c r="R36">
        <v>0.29109999999999997</v>
      </c>
      <c r="S36" t="s">
        <v>215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0.11176633290922178</v>
      </c>
      <c r="P37">
        <v>2028</v>
      </c>
      <c r="Q37" t="s">
        <v>217</v>
      </c>
      <c r="R37">
        <v>0.42703333333333332</v>
      </c>
      <c r="S37" t="s">
        <v>215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0.10806921557497051</v>
      </c>
      <c r="P38">
        <v>2028</v>
      </c>
      <c r="Q38" t="s">
        <v>218</v>
      </c>
      <c r="R38">
        <v>0.30716666666666664</v>
      </c>
      <c r="S38" t="s">
        <v>215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9.394838899141722E-2</v>
      </c>
      <c r="P39">
        <v>2029</v>
      </c>
      <c r="Q39" t="s">
        <v>214</v>
      </c>
      <c r="R39">
        <v>0.30339999999999995</v>
      </c>
      <c r="S39" t="s">
        <v>215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8.2783337737402762E-2</v>
      </c>
      <c r="P40">
        <v>2029</v>
      </c>
      <c r="Q40" t="s">
        <v>216</v>
      </c>
      <c r="R40">
        <v>0.31763333333333338</v>
      </c>
      <c r="S40" t="s">
        <v>215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0.13565789721044275</v>
      </c>
      <c r="P41">
        <v>2029</v>
      </c>
      <c r="Q41" t="s">
        <v>217</v>
      </c>
      <c r="R41">
        <v>0.47700000000000004</v>
      </c>
      <c r="S41" t="s">
        <v>215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0.21392063052322596</v>
      </c>
      <c r="P42">
        <v>2029</v>
      </c>
      <c r="Q42" t="s">
        <v>218</v>
      </c>
      <c r="R42">
        <v>0.31646666666666667</v>
      </c>
      <c r="S42" t="s">
        <v>215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0.18886651540544741</v>
      </c>
      <c r="P43">
        <v>2030</v>
      </c>
      <c r="Q43" t="s">
        <v>214</v>
      </c>
      <c r="R43">
        <v>0.3370333333333333</v>
      </c>
      <c r="S43" t="s">
        <v>215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0.1551980578872687</v>
      </c>
      <c r="P44">
        <v>2030</v>
      </c>
      <c r="Q44" t="s">
        <v>216</v>
      </c>
      <c r="R44">
        <v>0.30336666666666662</v>
      </c>
      <c r="S44" t="s">
        <v>215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0.16031497102860826</v>
      </c>
      <c r="P45">
        <v>2030</v>
      </c>
      <c r="Q45" t="s">
        <v>217</v>
      </c>
      <c r="R45">
        <v>0.43579999999999997</v>
      </c>
      <c r="S45" t="s">
        <v>215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0.16575510556023532</v>
      </c>
      <c r="P46">
        <v>2030</v>
      </c>
      <c r="Q46" t="s">
        <v>218</v>
      </c>
      <c r="R46">
        <v>0.32066666666666666</v>
      </c>
      <c r="S46" t="s">
        <v>215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0.17294013188742685</v>
      </c>
      <c r="P47">
        <v>2031</v>
      </c>
      <c r="Q47" t="s">
        <v>214</v>
      </c>
      <c r="R47">
        <v>0.31226666666666669</v>
      </c>
      <c r="S47" t="s">
        <v>215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0.16898869949173179</v>
      </c>
      <c r="P48">
        <v>2031</v>
      </c>
      <c r="Q48" t="s">
        <v>216</v>
      </c>
      <c r="R48">
        <v>0.29086666666666666</v>
      </c>
      <c r="S48" t="s">
        <v>215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0.1802299876230804</v>
      </c>
      <c r="P49">
        <v>2031</v>
      </c>
      <c r="Q49" t="s">
        <v>217</v>
      </c>
      <c r="R49">
        <v>0.42646666666666661</v>
      </c>
      <c r="S49" t="s">
        <v>215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0.15781083557429443</v>
      </c>
      <c r="P50">
        <v>2031</v>
      </c>
      <c r="Q50" t="s">
        <v>218</v>
      </c>
      <c r="R50">
        <v>0.31440000000000001</v>
      </c>
      <c r="S50" t="s">
        <v>215</v>
      </c>
    </row>
    <row r="51" spans="3:19" x14ac:dyDescent="0.45">
      <c r="H51" t="s">
        <v>219</v>
      </c>
      <c r="I51" t="s">
        <v>5</v>
      </c>
      <c r="P51">
        <v>2032</v>
      </c>
      <c r="Q51" t="s">
        <v>214</v>
      </c>
      <c r="R51">
        <v>0.30156666666666671</v>
      </c>
      <c r="S51" t="s">
        <v>215</v>
      </c>
    </row>
    <row r="52" spans="3:19" x14ac:dyDescent="0.45">
      <c r="H52" t="s">
        <v>219</v>
      </c>
      <c r="I52" t="s">
        <v>9</v>
      </c>
      <c r="P52">
        <v>2032</v>
      </c>
      <c r="Q52" t="s">
        <v>216</v>
      </c>
      <c r="R52">
        <v>0.29353333333333337</v>
      </c>
      <c r="S52" t="s">
        <v>215</v>
      </c>
    </row>
    <row r="53" spans="3:19" x14ac:dyDescent="0.45">
      <c r="H53" t="s">
        <v>219</v>
      </c>
      <c r="I53" t="s">
        <v>10</v>
      </c>
      <c r="P53">
        <v>2032</v>
      </c>
      <c r="Q53" t="s">
        <v>217</v>
      </c>
      <c r="R53">
        <v>0.42680000000000001</v>
      </c>
      <c r="S53" t="s">
        <v>215</v>
      </c>
    </row>
    <row r="54" spans="3:19" x14ac:dyDescent="0.45">
      <c r="H54" t="s">
        <v>219</v>
      </c>
      <c r="I54" t="s">
        <v>11</v>
      </c>
      <c r="P54">
        <v>2032</v>
      </c>
      <c r="Q54" t="s">
        <v>218</v>
      </c>
      <c r="R54">
        <v>0.33200000000000002</v>
      </c>
      <c r="S54" t="s">
        <v>215</v>
      </c>
    </row>
    <row r="55" spans="3:19" x14ac:dyDescent="0.45">
      <c r="H55" t="s">
        <v>219</v>
      </c>
      <c r="I55" t="s">
        <v>12</v>
      </c>
      <c r="P55">
        <v>2033</v>
      </c>
      <c r="Q55" t="s">
        <v>214</v>
      </c>
      <c r="R55">
        <v>0.32</v>
      </c>
      <c r="S55" t="s">
        <v>215</v>
      </c>
    </row>
    <row r="56" spans="3:19" x14ac:dyDescent="0.45">
      <c r="H56" t="s">
        <v>219</v>
      </c>
      <c r="I56" t="s">
        <v>13</v>
      </c>
      <c r="P56">
        <v>2033</v>
      </c>
      <c r="Q56" t="s">
        <v>216</v>
      </c>
      <c r="R56">
        <v>0.31209999999999999</v>
      </c>
      <c r="S56" t="s">
        <v>215</v>
      </c>
    </row>
    <row r="57" spans="3:19" x14ac:dyDescent="0.45">
      <c r="H57" t="s">
        <v>219</v>
      </c>
      <c r="I57" t="s">
        <v>14</v>
      </c>
      <c r="P57">
        <v>2033</v>
      </c>
      <c r="Q57" t="s">
        <v>217</v>
      </c>
      <c r="R57">
        <v>0.4205666666666667</v>
      </c>
      <c r="S57" t="s">
        <v>215</v>
      </c>
    </row>
    <row r="58" spans="3:19" x14ac:dyDescent="0.45">
      <c r="H58" t="s">
        <v>219</v>
      </c>
      <c r="I58" t="s">
        <v>15</v>
      </c>
      <c r="P58">
        <v>2033</v>
      </c>
      <c r="Q58" t="s">
        <v>218</v>
      </c>
      <c r="R58">
        <v>0.36043333333333333</v>
      </c>
      <c r="S58" t="s">
        <v>215</v>
      </c>
    </row>
    <row r="59" spans="3:19" x14ac:dyDescent="0.45">
      <c r="H59" t="s">
        <v>219</v>
      </c>
      <c r="I59" t="s">
        <v>16</v>
      </c>
      <c r="P59">
        <v>2034</v>
      </c>
      <c r="Q59" t="s">
        <v>214</v>
      </c>
      <c r="R59">
        <v>0.33906666666666663</v>
      </c>
      <c r="S59" t="s">
        <v>215</v>
      </c>
    </row>
    <row r="60" spans="3:19" x14ac:dyDescent="0.45">
      <c r="H60" t="s">
        <v>219</v>
      </c>
      <c r="I60" t="s">
        <v>17</v>
      </c>
      <c r="P60">
        <v>2034</v>
      </c>
      <c r="Q60" t="s">
        <v>216</v>
      </c>
      <c r="R60">
        <v>0.31573333333333337</v>
      </c>
      <c r="S60" t="s">
        <v>215</v>
      </c>
    </row>
    <row r="61" spans="3:19" x14ac:dyDescent="0.45">
      <c r="H61" t="s">
        <v>219</v>
      </c>
      <c r="I61" t="s">
        <v>18</v>
      </c>
      <c r="P61">
        <v>2034</v>
      </c>
      <c r="Q61" t="s">
        <v>217</v>
      </c>
      <c r="R61">
        <v>0.43836666666666663</v>
      </c>
      <c r="S61" t="s">
        <v>215</v>
      </c>
    </row>
    <row r="62" spans="3:19" x14ac:dyDescent="0.45">
      <c r="H62" t="s">
        <v>219</v>
      </c>
      <c r="I62" t="s">
        <v>19</v>
      </c>
      <c r="P62">
        <v>2034</v>
      </c>
      <c r="Q62" t="s">
        <v>218</v>
      </c>
      <c r="R62">
        <v>0.32313333333333333</v>
      </c>
      <c r="S62" t="s">
        <v>215</v>
      </c>
    </row>
    <row r="63" spans="3:19" x14ac:dyDescent="0.45">
      <c r="H63" t="s">
        <v>219</v>
      </c>
      <c r="I63" t="s">
        <v>20</v>
      </c>
      <c r="P63">
        <v>2035</v>
      </c>
      <c r="Q63" t="s">
        <v>214</v>
      </c>
      <c r="R63">
        <v>0.30623333333333336</v>
      </c>
      <c r="S63" t="s">
        <v>215</v>
      </c>
    </row>
    <row r="64" spans="3:19" x14ac:dyDescent="0.45">
      <c r="H64" t="s">
        <v>219</v>
      </c>
      <c r="I64" t="s">
        <v>21</v>
      </c>
      <c r="P64">
        <v>2035</v>
      </c>
      <c r="Q64" t="s">
        <v>216</v>
      </c>
      <c r="R64">
        <v>0.30863333333333332</v>
      </c>
      <c r="S64" t="s">
        <v>215</v>
      </c>
    </row>
    <row r="65" spans="8:19" x14ac:dyDescent="0.45">
      <c r="H65" t="s">
        <v>219</v>
      </c>
      <c r="I65" t="s">
        <v>22</v>
      </c>
      <c r="P65">
        <v>2035</v>
      </c>
      <c r="Q65" t="s">
        <v>217</v>
      </c>
      <c r="R65">
        <v>0.45033333333333331</v>
      </c>
      <c r="S65" t="s">
        <v>215</v>
      </c>
    </row>
    <row r="66" spans="8:19" x14ac:dyDescent="0.45">
      <c r="H66" t="s">
        <v>219</v>
      </c>
      <c r="I66" t="s">
        <v>23</v>
      </c>
      <c r="P66">
        <v>2035</v>
      </c>
      <c r="Q66" t="s">
        <v>218</v>
      </c>
      <c r="R66">
        <v>0.33080000000000004</v>
      </c>
      <c r="S66" t="s">
        <v>215</v>
      </c>
    </row>
    <row r="67" spans="8:19" x14ac:dyDescent="0.45">
      <c r="H67" t="s">
        <v>219</v>
      </c>
      <c r="I67" t="s">
        <v>24</v>
      </c>
      <c r="P67">
        <v>2036</v>
      </c>
      <c r="Q67" t="s">
        <v>214</v>
      </c>
      <c r="R67">
        <v>0.29430000000000001</v>
      </c>
      <c r="S67" t="s">
        <v>215</v>
      </c>
    </row>
    <row r="68" spans="8:19" x14ac:dyDescent="0.45">
      <c r="H68" t="s">
        <v>219</v>
      </c>
      <c r="I68" t="s">
        <v>25</v>
      </c>
      <c r="P68">
        <v>2036</v>
      </c>
      <c r="Q68" t="s">
        <v>216</v>
      </c>
      <c r="R68">
        <v>0.29450000000000004</v>
      </c>
      <c r="S68" t="s">
        <v>215</v>
      </c>
    </row>
    <row r="69" spans="8:19" x14ac:dyDescent="0.45">
      <c r="H69" t="s">
        <v>219</v>
      </c>
      <c r="I69" t="s">
        <v>26</v>
      </c>
      <c r="P69">
        <v>2036</v>
      </c>
      <c r="Q69" t="s">
        <v>217</v>
      </c>
      <c r="R69">
        <v>0.46523333333333333</v>
      </c>
      <c r="S69" t="s">
        <v>215</v>
      </c>
    </row>
    <row r="70" spans="8:19" x14ac:dyDescent="0.45">
      <c r="H70" t="s">
        <v>219</v>
      </c>
      <c r="I70" t="s">
        <v>27</v>
      </c>
      <c r="P70">
        <v>2036</v>
      </c>
      <c r="Q70" t="s">
        <v>218</v>
      </c>
      <c r="R70">
        <v>0.35376666666666673</v>
      </c>
      <c r="S70" t="s">
        <v>215</v>
      </c>
    </row>
    <row r="71" spans="8:19" x14ac:dyDescent="0.45">
      <c r="H71" t="s">
        <v>219</v>
      </c>
      <c r="I71" t="s">
        <v>28</v>
      </c>
      <c r="P71">
        <v>2037</v>
      </c>
      <c r="Q71" t="s">
        <v>214</v>
      </c>
      <c r="R71">
        <v>0.28873333333333334</v>
      </c>
      <c r="S71" t="s">
        <v>215</v>
      </c>
    </row>
    <row r="72" spans="8:19" x14ac:dyDescent="0.45">
      <c r="H72" t="s">
        <v>219</v>
      </c>
      <c r="I72" t="s">
        <v>29</v>
      </c>
      <c r="P72">
        <v>2037</v>
      </c>
      <c r="Q72" t="s">
        <v>216</v>
      </c>
      <c r="R72">
        <v>0.30249999999999999</v>
      </c>
      <c r="S72" t="s">
        <v>215</v>
      </c>
    </row>
    <row r="73" spans="8:19" x14ac:dyDescent="0.45">
      <c r="H73" t="s">
        <v>219</v>
      </c>
      <c r="I73" t="s">
        <v>30</v>
      </c>
      <c r="P73">
        <v>2037</v>
      </c>
      <c r="Q73" t="s">
        <v>217</v>
      </c>
      <c r="R73">
        <v>0.4767333333333334</v>
      </c>
      <c r="S73" t="s">
        <v>215</v>
      </c>
    </row>
    <row r="74" spans="8:19" x14ac:dyDescent="0.45">
      <c r="H74" t="s">
        <v>219</v>
      </c>
      <c r="I74" t="s">
        <v>31</v>
      </c>
      <c r="P74">
        <v>2037</v>
      </c>
      <c r="Q74" t="s">
        <v>218</v>
      </c>
      <c r="R74">
        <v>0.29883333333333334</v>
      </c>
      <c r="S74" t="s">
        <v>215</v>
      </c>
    </row>
    <row r="75" spans="8:19" x14ac:dyDescent="0.45">
      <c r="H75" t="s">
        <v>219</v>
      </c>
      <c r="I75" t="s">
        <v>32</v>
      </c>
      <c r="P75">
        <v>2038</v>
      </c>
      <c r="Q75" t="s">
        <v>214</v>
      </c>
      <c r="R75">
        <v>0.30343333333333328</v>
      </c>
      <c r="S75" t="s">
        <v>215</v>
      </c>
    </row>
    <row r="76" spans="8:19" x14ac:dyDescent="0.45">
      <c r="H76" t="s">
        <v>219</v>
      </c>
      <c r="I76" t="s">
        <v>33</v>
      </c>
      <c r="P76">
        <v>2038</v>
      </c>
      <c r="Q76" t="s">
        <v>216</v>
      </c>
      <c r="R76">
        <v>0.3031666666666667</v>
      </c>
      <c r="S76" t="s">
        <v>215</v>
      </c>
    </row>
    <row r="77" spans="8:19" x14ac:dyDescent="0.45">
      <c r="H77" t="s">
        <v>219</v>
      </c>
      <c r="I77" t="s">
        <v>34</v>
      </c>
      <c r="P77">
        <v>2038</v>
      </c>
      <c r="Q77" t="s">
        <v>217</v>
      </c>
      <c r="R77">
        <v>0.44563333333333333</v>
      </c>
      <c r="S77" t="s">
        <v>215</v>
      </c>
    </row>
    <row r="78" spans="8:19" x14ac:dyDescent="0.45">
      <c r="H78" t="s">
        <v>219</v>
      </c>
      <c r="I78" t="s">
        <v>35</v>
      </c>
      <c r="P78">
        <v>2038</v>
      </c>
      <c r="Q78" t="s">
        <v>218</v>
      </c>
      <c r="R78">
        <v>0.30160000000000003</v>
      </c>
      <c r="S78" t="s">
        <v>215</v>
      </c>
    </row>
    <row r="79" spans="8:19" x14ac:dyDescent="0.45">
      <c r="H79" t="s">
        <v>219</v>
      </c>
      <c r="I79" t="s">
        <v>36</v>
      </c>
      <c r="P79">
        <v>2039</v>
      </c>
      <c r="Q79" t="s">
        <v>214</v>
      </c>
      <c r="R79">
        <v>0.29550000000000004</v>
      </c>
      <c r="S79" t="s">
        <v>215</v>
      </c>
    </row>
    <row r="80" spans="8:19" x14ac:dyDescent="0.45">
      <c r="H80" t="s">
        <v>219</v>
      </c>
      <c r="I80" t="s">
        <v>37</v>
      </c>
      <c r="P80">
        <v>2039</v>
      </c>
      <c r="Q80" t="s">
        <v>216</v>
      </c>
      <c r="R80">
        <v>0.31726666666666664</v>
      </c>
      <c r="S80" t="s">
        <v>215</v>
      </c>
    </row>
    <row r="81" spans="8:19" x14ac:dyDescent="0.45">
      <c r="H81" t="s">
        <v>219</v>
      </c>
      <c r="I81" t="s">
        <v>38</v>
      </c>
      <c r="P81">
        <v>2039</v>
      </c>
      <c r="Q81" t="s">
        <v>217</v>
      </c>
      <c r="R81">
        <v>0.45233333333333342</v>
      </c>
      <c r="S81" t="s">
        <v>215</v>
      </c>
    </row>
    <row r="82" spans="8:19" x14ac:dyDescent="0.45">
      <c r="H82" t="s">
        <v>219</v>
      </c>
      <c r="I82" t="s">
        <v>39</v>
      </c>
      <c r="P82">
        <v>2039</v>
      </c>
      <c r="Q82" t="s">
        <v>218</v>
      </c>
      <c r="R82">
        <v>0.35156666666666664</v>
      </c>
      <c r="S82" t="s">
        <v>215</v>
      </c>
    </row>
    <row r="83" spans="8:19" x14ac:dyDescent="0.45">
      <c r="H83" t="s">
        <v>219</v>
      </c>
      <c r="I83" t="s">
        <v>40</v>
      </c>
      <c r="P83">
        <v>2040</v>
      </c>
      <c r="Q83" t="s">
        <v>214</v>
      </c>
      <c r="R83">
        <v>0.33436666666666665</v>
      </c>
      <c r="S83" t="s">
        <v>215</v>
      </c>
    </row>
    <row r="84" spans="8:19" x14ac:dyDescent="0.45">
      <c r="H84" t="s">
        <v>219</v>
      </c>
      <c r="I84" t="s">
        <v>41</v>
      </c>
      <c r="P84">
        <v>2040</v>
      </c>
      <c r="Q84" t="s">
        <v>216</v>
      </c>
      <c r="R84">
        <v>0.3133333333333333</v>
      </c>
      <c r="S84" t="s">
        <v>215</v>
      </c>
    </row>
    <row r="85" spans="8:19" x14ac:dyDescent="0.45">
      <c r="H85" t="s">
        <v>219</v>
      </c>
      <c r="I85" t="s">
        <v>42</v>
      </c>
      <c r="P85">
        <v>2040</v>
      </c>
      <c r="Q85" t="s">
        <v>217</v>
      </c>
      <c r="R85">
        <v>0.44163333333333332</v>
      </c>
      <c r="S85" t="s">
        <v>215</v>
      </c>
    </row>
    <row r="86" spans="8:19" x14ac:dyDescent="0.45">
      <c r="H86" t="s">
        <v>219</v>
      </c>
      <c r="I86" t="s">
        <v>43</v>
      </c>
      <c r="P86">
        <v>2040</v>
      </c>
      <c r="Q86" t="s">
        <v>218</v>
      </c>
      <c r="R86">
        <v>0.32726666666666665</v>
      </c>
      <c r="S86" t="s">
        <v>215</v>
      </c>
    </row>
    <row r="87" spans="8:19" x14ac:dyDescent="0.45">
      <c r="H87" t="s">
        <v>219</v>
      </c>
      <c r="I87" t="s">
        <v>44</v>
      </c>
      <c r="P87">
        <v>2041</v>
      </c>
      <c r="Q87" t="s">
        <v>214</v>
      </c>
      <c r="R87">
        <v>0.26833333333333331</v>
      </c>
      <c r="S87" t="s">
        <v>215</v>
      </c>
    </row>
    <row r="88" spans="8:19" x14ac:dyDescent="0.45">
      <c r="H88" t="s">
        <v>219</v>
      </c>
      <c r="I88" t="s">
        <v>45</v>
      </c>
      <c r="P88">
        <v>2041</v>
      </c>
      <c r="Q88" t="s">
        <v>216</v>
      </c>
      <c r="R88">
        <v>0.24863333333333335</v>
      </c>
      <c r="S88" t="s">
        <v>215</v>
      </c>
    </row>
    <row r="89" spans="8:19" x14ac:dyDescent="0.45">
      <c r="H89" t="s">
        <v>219</v>
      </c>
      <c r="I89" t="s">
        <v>46</v>
      </c>
      <c r="P89">
        <v>2041</v>
      </c>
      <c r="Q89" t="s">
        <v>217</v>
      </c>
      <c r="R89">
        <v>0.37976666666666664</v>
      </c>
      <c r="S89" t="s">
        <v>215</v>
      </c>
    </row>
    <row r="90" spans="8:19" x14ac:dyDescent="0.45">
      <c r="H90" t="s">
        <v>219</v>
      </c>
      <c r="I90" t="s">
        <v>47</v>
      </c>
      <c r="P90">
        <v>2041</v>
      </c>
      <c r="Q90" t="s">
        <v>218</v>
      </c>
      <c r="R90">
        <v>0.29486666666666667</v>
      </c>
      <c r="S90" t="s">
        <v>215</v>
      </c>
    </row>
    <row r="91" spans="8:19" x14ac:dyDescent="0.45">
      <c r="P91">
        <v>2042</v>
      </c>
      <c r="Q91" t="s">
        <v>214</v>
      </c>
      <c r="R91">
        <v>0.28086666666666665</v>
      </c>
      <c r="S91" t="s">
        <v>215</v>
      </c>
    </row>
    <row r="92" spans="8:19" x14ac:dyDescent="0.45">
      <c r="P92">
        <v>2042</v>
      </c>
      <c r="Q92" t="s">
        <v>216</v>
      </c>
      <c r="R92">
        <v>0.26903333333333329</v>
      </c>
      <c r="S92" t="s">
        <v>215</v>
      </c>
    </row>
    <row r="93" spans="8:19" x14ac:dyDescent="0.45">
      <c r="P93">
        <v>2042</v>
      </c>
      <c r="Q93" t="s">
        <v>217</v>
      </c>
      <c r="R93">
        <v>0.35136666666666666</v>
      </c>
      <c r="S93" t="s">
        <v>215</v>
      </c>
    </row>
    <row r="94" spans="8:19" x14ac:dyDescent="0.45">
      <c r="P94">
        <v>2042</v>
      </c>
      <c r="Q94" t="s">
        <v>218</v>
      </c>
      <c r="R94">
        <v>0.28950000000000004</v>
      </c>
      <c r="S94" t="s">
        <v>215</v>
      </c>
    </row>
    <row r="95" spans="8:19" x14ac:dyDescent="0.45">
      <c r="P95">
        <v>2043</v>
      </c>
      <c r="Q95" t="s">
        <v>214</v>
      </c>
      <c r="R95">
        <v>0.23933333333333331</v>
      </c>
      <c r="S95" t="s">
        <v>215</v>
      </c>
    </row>
    <row r="96" spans="8:19" x14ac:dyDescent="0.45">
      <c r="P96">
        <v>2043</v>
      </c>
      <c r="Q96" t="s">
        <v>216</v>
      </c>
      <c r="R96">
        <v>0.26860000000000001</v>
      </c>
      <c r="S96" t="s">
        <v>215</v>
      </c>
    </row>
    <row r="97" spans="16:19" x14ac:dyDescent="0.45">
      <c r="P97">
        <v>2043</v>
      </c>
      <c r="Q97" t="s">
        <v>217</v>
      </c>
      <c r="R97">
        <v>0.39793333333333331</v>
      </c>
      <c r="S97" t="s">
        <v>215</v>
      </c>
    </row>
    <row r="98" spans="16:19" x14ac:dyDescent="0.45">
      <c r="P98">
        <v>2043</v>
      </c>
      <c r="Q98" t="s">
        <v>218</v>
      </c>
      <c r="R98">
        <v>0.28143333333333337</v>
      </c>
      <c r="S98" t="s">
        <v>215</v>
      </c>
    </row>
    <row r="99" spans="16:19" x14ac:dyDescent="0.45">
      <c r="P99">
        <v>2044</v>
      </c>
      <c r="Q99" t="s">
        <v>214</v>
      </c>
      <c r="R99">
        <v>0.25036666666666668</v>
      </c>
      <c r="S99" t="s">
        <v>215</v>
      </c>
    </row>
    <row r="100" spans="16:19" x14ac:dyDescent="0.45">
      <c r="P100">
        <v>2044</v>
      </c>
      <c r="Q100" t="s">
        <v>216</v>
      </c>
      <c r="R100">
        <v>0.23653333333333335</v>
      </c>
      <c r="S100" t="s">
        <v>215</v>
      </c>
    </row>
    <row r="101" spans="16:19" x14ac:dyDescent="0.45">
      <c r="P101">
        <v>2044</v>
      </c>
      <c r="Q101" t="s">
        <v>217</v>
      </c>
      <c r="R101">
        <v>0.35213333333333335</v>
      </c>
      <c r="S101" t="s">
        <v>215</v>
      </c>
    </row>
    <row r="102" spans="16:19" x14ac:dyDescent="0.45">
      <c r="P102">
        <v>2044</v>
      </c>
      <c r="Q102" t="s">
        <v>218</v>
      </c>
      <c r="R102">
        <v>0.25033333333333335</v>
      </c>
      <c r="S102" t="s">
        <v>215</v>
      </c>
    </row>
    <row r="103" spans="16:19" x14ac:dyDescent="0.45">
      <c r="P103">
        <v>2045</v>
      </c>
      <c r="Q103" t="s">
        <v>214</v>
      </c>
      <c r="R103">
        <v>0.23963333333333336</v>
      </c>
      <c r="S103" t="s">
        <v>215</v>
      </c>
    </row>
    <row r="104" spans="16:19" x14ac:dyDescent="0.45">
      <c r="P104">
        <v>2045</v>
      </c>
      <c r="Q104" t="s">
        <v>216</v>
      </c>
      <c r="R104">
        <v>0.1895</v>
      </c>
      <c r="S104" t="s">
        <v>215</v>
      </c>
    </row>
    <row r="105" spans="16:19" x14ac:dyDescent="0.45">
      <c r="P105">
        <v>2045</v>
      </c>
      <c r="Q105" t="s">
        <v>217</v>
      </c>
      <c r="R105">
        <v>0.31506666666666666</v>
      </c>
      <c r="S105" t="s">
        <v>215</v>
      </c>
    </row>
    <row r="106" spans="16:19" x14ac:dyDescent="0.45">
      <c r="P106">
        <v>2045</v>
      </c>
      <c r="Q106" t="s">
        <v>218</v>
      </c>
      <c r="R106">
        <v>0.26883333333333331</v>
      </c>
      <c r="S106" t="s">
        <v>215</v>
      </c>
    </row>
    <row r="107" spans="16:19" x14ac:dyDescent="0.45">
      <c r="P107">
        <v>2046</v>
      </c>
      <c r="Q107" t="s">
        <v>214</v>
      </c>
      <c r="R107">
        <v>0.23703333333333335</v>
      </c>
      <c r="S107" t="s">
        <v>215</v>
      </c>
    </row>
    <row r="108" spans="16:19" x14ac:dyDescent="0.45">
      <c r="P108">
        <v>2046</v>
      </c>
      <c r="Q108" t="s">
        <v>216</v>
      </c>
      <c r="R108">
        <v>0.25363333333333332</v>
      </c>
      <c r="S108" t="s">
        <v>215</v>
      </c>
    </row>
    <row r="109" spans="16:19" x14ac:dyDescent="0.45">
      <c r="P109">
        <v>2046</v>
      </c>
      <c r="Q109" t="s">
        <v>217</v>
      </c>
      <c r="R109">
        <v>0.32749999999999996</v>
      </c>
      <c r="S109" t="s">
        <v>215</v>
      </c>
    </row>
    <row r="110" spans="16:19" x14ac:dyDescent="0.45">
      <c r="P110">
        <v>2046</v>
      </c>
      <c r="Q110" t="s">
        <v>218</v>
      </c>
      <c r="R110">
        <v>0.24226666666666666</v>
      </c>
      <c r="S110" t="s">
        <v>215</v>
      </c>
    </row>
    <row r="111" spans="16:19" x14ac:dyDescent="0.45">
      <c r="P111">
        <v>2047</v>
      </c>
      <c r="Q111" t="s">
        <v>214</v>
      </c>
      <c r="R111">
        <v>0.25503333333333339</v>
      </c>
      <c r="S111" t="s">
        <v>215</v>
      </c>
    </row>
    <row r="112" spans="16:19" x14ac:dyDescent="0.45">
      <c r="P112">
        <v>2047</v>
      </c>
      <c r="Q112" t="s">
        <v>216</v>
      </c>
      <c r="R112">
        <v>0.21560000000000001</v>
      </c>
      <c r="S112" t="s">
        <v>215</v>
      </c>
    </row>
    <row r="113" spans="16:19" x14ac:dyDescent="0.45">
      <c r="P113">
        <v>2047</v>
      </c>
      <c r="Q113" t="s">
        <v>217</v>
      </c>
      <c r="R113">
        <v>0.34299999999999997</v>
      </c>
      <c r="S113" t="s">
        <v>215</v>
      </c>
    </row>
    <row r="114" spans="16:19" x14ac:dyDescent="0.45">
      <c r="P114">
        <v>2047</v>
      </c>
      <c r="Q114" t="s">
        <v>218</v>
      </c>
      <c r="R114">
        <v>0.25123333333333331</v>
      </c>
      <c r="S114" t="s">
        <v>215</v>
      </c>
    </row>
    <row r="115" spans="16:19" x14ac:dyDescent="0.45">
      <c r="P115">
        <v>2048</v>
      </c>
      <c r="Q115" t="s">
        <v>214</v>
      </c>
      <c r="R115">
        <v>0.23673333333333335</v>
      </c>
      <c r="S115" t="s">
        <v>215</v>
      </c>
    </row>
    <row r="116" spans="16:19" x14ac:dyDescent="0.45">
      <c r="P116">
        <v>2048</v>
      </c>
      <c r="Q116" t="s">
        <v>216</v>
      </c>
      <c r="R116">
        <v>0.20416666666666669</v>
      </c>
      <c r="S116" t="s">
        <v>215</v>
      </c>
    </row>
    <row r="117" spans="16:19" x14ac:dyDescent="0.45">
      <c r="P117">
        <v>2048</v>
      </c>
      <c r="Q117" t="s">
        <v>217</v>
      </c>
      <c r="R117">
        <v>0.32236666666666663</v>
      </c>
      <c r="S117" t="s">
        <v>215</v>
      </c>
    </row>
    <row r="118" spans="16:19" x14ac:dyDescent="0.45">
      <c r="P118">
        <v>2048</v>
      </c>
      <c r="Q118" t="s">
        <v>218</v>
      </c>
      <c r="R118">
        <v>0.24769999999999995</v>
      </c>
      <c r="S118" t="s">
        <v>215</v>
      </c>
    </row>
    <row r="119" spans="16:19" x14ac:dyDescent="0.45">
      <c r="P119">
        <v>2049</v>
      </c>
      <c r="Q119" t="s">
        <v>214</v>
      </c>
      <c r="R119">
        <v>0.26119999999999999</v>
      </c>
      <c r="S119" t="s">
        <v>215</v>
      </c>
    </row>
    <row r="120" spans="16:19" x14ac:dyDescent="0.45">
      <c r="P120">
        <v>2049</v>
      </c>
      <c r="Q120" t="s">
        <v>216</v>
      </c>
      <c r="R120">
        <v>0.21596666666666667</v>
      </c>
      <c r="S120" t="s">
        <v>215</v>
      </c>
    </row>
    <row r="121" spans="16:19" x14ac:dyDescent="0.45">
      <c r="P121">
        <v>2049</v>
      </c>
      <c r="Q121" t="s">
        <v>217</v>
      </c>
      <c r="R121">
        <v>0.36830000000000002</v>
      </c>
      <c r="S121" t="s">
        <v>215</v>
      </c>
    </row>
    <row r="122" spans="16:19" x14ac:dyDescent="0.45">
      <c r="P122">
        <v>2049</v>
      </c>
      <c r="Q122" t="s">
        <v>218</v>
      </c>
      <c r="R122">
        <v>0.22373333333333334</v>
      </c>
      <c r="S122" t="s">
        <v>215</v>
      </c>
    </row>
    <row r="123" spans="16:19" x14ac:dyDescent="0.45">
      <c r="P123">
        <v>2050</v>
      </c>
      <c r="Q123" t="s">
        <v>214</v>
      </c>
      <c r="R123">
        <v>0.27733333333333332</v>
      </c>
      <c r="S123" t="s">
        <v>215</v>
      </c>
    </row>
    <row r="124" spans="16:19" x14ac:dyDescent="0.45">
      <c r="P124">
        <v>2050</v>
      </c>
      <c r="Q124" t="s">
        <v>216</v>
      </c>
      <c r="R124">
        <v>0.22936666666666669</v>
      </c>
      <c r="S124" t="s">
        <v>215</v>
      </c>
    </row>
    <row r="125" spans="16:19" x14ac:dyDescent="0.45">
      <c r="P125">
        <v>2050</v>
      </c>
      <c r="Q125" t="s">
        <v>217</v>
      </c>
      <c r="R125">
        <v>0.39503333333333329</v>
      </c>
      <c r="S125" t="s">
        <v>215</v>
      </c>
    </row>
    <row r="126" spans="16:19" x14ac:dyDescent="0.45">
      <c r="P126">
        <v>2050</v>
      </c>
      <c r="Q126" t="s">
        <v>218</v>
      </c>
      <c r="R126">
        <v>0.25829999999999997</v>
      </c>
      <c r="S126" t="s">
        <v>215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8E8E-82AE-4B16-ABA1-55D8078E1A16}">
  <dimension ref="B9:O9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region=ITA")</f>
        <v>~TFM_DINS-AT: region=ITA</v>
      </c>
      <c r="G9" t="str">
        <f>IF(A11="x","DeActivated","~TFM_DINS-AT: region=ITA")</f>
        <v>~TFM_DINS-AT: region=ITA</v>
      </c>
      <c r="L9" t="str">
        <f>IF(A11="x","DeActivated","~TFM_DINS-AT: region=ITA")</f>
        <v>~TFM_DINS-AT: region=ITA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554</v>
      </c>
      <c r="C11" t="s">
        <v>5</v>
      </c>
      <c r="D11">
        <v>0</v>
      </c>
      <c r="E11" t="s">
        <v>6</v>
      </c>
      <c r="G11" t="s">
        <v>555</v>
      </c>
      <c r="H11" t="s">
        <v>5</v>
      </c>
      <c r="I11">
        <v>6.646241549128927E-2</v>
      </c>
      <c r="J11" t="s">
        <v>6</v>
      </c>
      <c r="L11" t="s">
        <v>556</v>
      </c>
      <c r="M11" t="s">
        <v>5</v>
      </c>
      <c r="N11">
        <v>6.5295586444556103E-2</v>
      </c>
      <c r="O11" t="s">
        <v>6</v>
      </c>
    </row>
    <row r="12" spans="2:15" x14ac:dyDescent="0.45">
      <c r="B12" t="s">
        <v>554</v>
      </c>
      <c r="C12" t="s">
        <v>9</v>
      </c>
      <c r="D12">
        <v>0</v>
      </c>
      <c r="E12" t="s">
        <v>6</v>
      </c>
      <c r="G12" t="s">
        <v>555</v>
      </c>
      <c r="H12" t="s">
        <v>9</v>
      </c>
      <c r="I12">
        <v>2.5063296759170288E-2</v>
      </c>
      <c r="J12" t="s">
        <v>6</v>
      </c>
      <c r="L12" t="s">
        <v>556</v>
      </c>
      <c r="M12" t="s">
        <v>9</v>
      </c>
      <c r="N12">
        <v>2.6755815306371424E-2</v>
      </c>
      <c r="O12" t="s">
        <v>6</v>
      </c>
    </row>
    <row r="13" spans="2:15" x14ac:dyDescent="0.45">
      <c r="B13" t="s">
        <v>554</v>
      </c>
      <c r="C13" t="s">
        <v>10</v>
      </c>
      <c r="D13">
        <v>3.7882464448753126E-4</v>
      </c>
      <c r="E13" t="s">
        <v>6</v>
      </c>
      <c r="G13" t="s">
        <v>555</v>
      </c>
      <c r="H13" t="s">
        <v>10</v>
      </c>
      <c r="I13">
        <v>2.4643796197645056E-2</v>
      </c>
      <c r="J13" t="s">
        <v>6</v>
      </c>
      <c r="L13" t="s">
        <v>556</v>
      </c>
      <c r="M13" t="s">
        <v>10</v>
      </c>
      <c r="N13">
        <v>2.5938478130313556E-2</v>
      </c>
      <c r="O13" t="s">
        <v>6</v>
      </c>
    </row>
    <row r="14" spans="2:15" x14ac:dyDescent="0.45">
      <c r="B14" t="s">
        <v>554</v>
      </c>
      <c r="C14" t="s">
        <v>11</v>
      </c>
      <c r="D14">
        <v>2.2671289907478673E-2</v>
      </c>
      <c r="E14" t="s">
        <v>6</v>
      </c>
      <c r="G14" t="s">
        <v>555</v>
      </c>
      <c r="H14" t="s">
        <v>11</v>
      </c>
      <c r="I14">
        <v>2.2210885905451047E-2</v>
      </c>
      <c r="J14" t="s">
        <v>6</v>
      </c>
      <c r="L14" t="s">
        <v>556</v>
      </c>
      <c r="M14" t="s">
        <v>11</v>
      </c>
      <c r="N14">
        <v>2.474289917389607E-2</v>
      </c>
      <c r="O14" t="s">
        <v>6</v>
      </c>
    </row>
    <row r="15" spans="2:15" x14ac:dyDescent="0.45">
      <c r="B15" t="s">
        <v>554</v>
      </c>
      <c r="C15" t="s">
        <v>12</v>
      </c>
      <c r="D15">
        <v>5.0166390107013972E-2</v>
      </c>
      <c r="E15" t="s">
        <v>6</v>
      </c>
      <c r="G15" t="s">
        <v>555</v>
      </c>
      <c r="H15" t="s">
        <v>12</v>
      </c>
      <c r="I15">
        <v>2.0247035493118404E-2</v>
      </c>
      <c r="J15" t="s">
        <v>6</v>
      </c>
      <c r="L15" t="s">
        <v>556</v>
      </c>
      <c r="M15" t="s">
        <v>12</v>
      </c>
      <c r="N15">
        <v>2.6705951674682711E-2</v>
      </c>
      <c r="O15" t="s">
        <v>6</v>
      </c>
    </row>
    <row r="16" spans="2:15" x14ac:dyDescent="0.45">
      <c r="B16" t="s">
        <v>554</v>
      </c>
      <c r="C16" t="s">
        <v>13</v>
      </c>
      <c r="D16">
        <v>5.5434476647446725E-2</v>
      </c>
      <c r="E16" t="s">
        <v>6</v>
      </c>
      <c r="G16" t="s">
        <v>555</v>
      </c>
      <c r="H16" t="s">
        <v>13</v>
      </c>
      <c r="I16">
        <v>2.1320251747578213E-2</v>
      </c>
      <c r="J16" t="s">
        <v>6</v>
      </c>
      <c r="L16" t="s">
        <v>556</v>
      </c>
      <c r="M16" t="s">
        <v>13</v>
      </c>
      <c r="N16">
        <v>2.8594839108999202E-2</v>
      </c>
      <c r="O16" t="s">
        <v>6</v>
      </c>
    </row>
    <row r="17" spans="2:15" x14ac:dyDescent="0.45">
      <c r="B17" t="s">
        <v>554</v>
      </c>
      <c r="C17" t="s">
        <v>14</v>
      </c>
      <c r="D17">
        <v>3.7368059848531116E-2</v>
      </c>
      <c r="E17" t="s">
        <v>6</v>
      </c>
      <c r="G17" t="s">
        <v>555</v>
      </c>
      <c r="H17" t="s">
        <v>14</v>
      </c>
      <c r="I17">
        <v>2.1799168658998697E-2</v>
      </c>
      <c r="J17" t="s">
        <v>6</v>
      </c>
      <c r="L17" t="s">
        <v>556</v>
      </c>
      <c r="M17" t="s">
        <v>14</v>
      </c>
      <c r="N17">
        <v>2.9639199178748677E-2</v>
      </c>
      <c r="O17" t="s">
        <v>6</v>
      </c>
    </row>
    <row r="18" spans="2:15" x14ac:dyDescent="0.45">
      <c r="B18" t="s">
        <v>554</v>
      </c>
      <c r="C18" t="s">
        <v>15</v>
      </c>
      <c r="D18">
        <v>8.4542081197506048E-3</v>
      </c>
      <c r="E18" t="s">
        <v>6</v>
      </c>
      <c r="G18" t="s">
        <v>555</v>
      </c>
      <c r="H18" t="s">
        <v>15</v>
      </c>
      <c r="I18">
        <v>2.2534689990322355E-2</v>
      </c>
      <c r="J18" t="s">
        <v>6</v>
      </c>
      <c r="L18" t="s">
        <v>556</v>
      </c>
      <c r="M18" t="s">
        <v>15</v>
      </c>
      <c r="N18">
        <v>2.9044023424238626E-2</v>
      </c>
      <c r="O18" t="s">
        <v>6</v>
      </c>
    </row>
    <row r="19" spans="2:15" x14ac:dyDescent="0.45">
      <c r="B19" t="s">
        <v>554</v>
      </c>
      <c r="C19" t="s">
        <v>16</v>
      </c>
      <c r="D19">
        <v>0</v>
      </c>
      <c r="E19" t="s">
        <v>6</v>
      </c>
      <c r="G19" t="s">
        <v>555</v>
      </c>
      <c r="H19" t="s">
        <v>16</v>
      </c>
      <c r="I19">
        <v>2.4258607455600184E-2</v>
      </c>
      <c r="J19" t="s">
        <v>6</v>
      </c>
      <c r="L19" t="s">
        <v>556</v>
      </c>
      <c r="M19" t="s">
        <v>16</v>
      </c>
      <c r="N19">
        <v>2.8301894624049556E-2</v>
      </c>
      <c r="O19" t="s">
        <v>6</v>
      </c>
    </row>
    <row r="20" spans="2:15" x14ac:dyDescent="0.45">
      <c r="B20" t="s">
        <v>554</v>
      </c>
      <c r="C20" t="s">
        <v>17</v>
      </c>
      <c r="D20">
        <v>0</v>
      </c>
      <c r="E20" t="s">
        <v>6</v>
      </c>
      <c r="G20" t="s">
        <v>555</v>
      </c>
      <c r="H20" t="s">
        <v>17</v>
      </c>
      <c r="I20">
        <v>3.7561129393499176E-2</v>
      </c>
      <c r="J20" t="s">
        <v>6</v>
      </c>
      <c r="L20" t="s">
        <v>556</v>
      </c>
      <c r="M20" t="s">
        <v>17</v>
      </c>
      <c r="N20">
        <v>3.978186242840772E-2</v>
      </c>
      <c r="O20" t="s">
        <v>6</v>
      </c>
    </row>
    <row r="21" spans="2:15" x14ac:dyDescent="0.45">
      <c r="B21" t="s">
        <v>554</v>
      </c>
      <c r="C21" t="s">
        <v>18</v>
      </c>
      <c r="D21">
        <v>0</v>
      </c>
      <c r="E21" t="s">
        <v>6</v>
      </c>
      <c r="G21" t="s">
        <v>555</v>
      </c>
      <c r="H21" t="s">
        <v>18</v>
      </c>
      <c r="I21">
        <v>5.6197534637527163E-2</v>
      </c>
      <c r="J21" t="s">
        <v>6</v>
      </c>
      <c r="L21" t="s">
        <v>556</v>
      </c>
      <c r="M21" t="s">
        <v>18</v>
      </c>
      <c r="N21">
        <v>6.4823514185150977E-2</v>
      </c>
      <c r="O21" t="s">
        <v>6</v>
      </c>
    </row>
    <row r="22" spans="2:15" x14ac:dyDescent="0.45">
      <c r="B22" t="s">
        <v>554</v>
      </c>
      <c r="C22" t="s">
        <v>19</v>
      </c>
      <c r="D22">
        <v>9.0968007181234679E-5</v>
      </c>
      <c r="E22" t="s">
        <v>6</v>
      </c>
      <c r="G22" t="s">
        <v>555</v>
      </c>
      <c r="H22" t="s">
        <v>19</v>
      </c>
      <c r="I22">
        <v>2.359778172849715E-2</v>
      </c>
      <c r="J22" t="s">
        <v>6</v>
      </c>
      <c r="L22" t="s">
        <v>556</v>
      </c>
      <c r="M22" t="s">
        <v>19</v>
      </c>
      <c r="N22">
        <v>2.3751753780394194E-2</v>
      </c>
      <c r="O22" t="s">
        <v>6</v>
      </c>
    </row>
    <row r="23" spans="2:15" x14ac:dyDescent="0.45">
      <c r="B23" t="s">
        <v>554</v>
      </c>
      <c r="C23" t="s">
        <v>20</v>
      </c>
      <c r="D23">
        <v>1.0780275668205571E-2</v>
      </c>
      <c r="E23" t="s">
        <v>6</v>
      </c>
      <c r="G23" t="s">
        <v>555</v>
      </c>
      <c r="H23" t="s">
        <v>20</v>
      </c>
      <c r="I23">
        <v>2.2801254498523039E-2</v>
      </c>
      <c r="J23" t="s">
        <v>6</v>
      </c>
      <c r="L23" t="s">
        <v>556</v>
      </c>
      <c r="M23" t="s">
        <v>20</v>
      </c>
      <c r="N23">
        <v>2.3209225639093483E-2</v>
      </c>
      <c r="O23" t="s">
        <v>6</v>
      </c>
    </row>
    <row r="24" spans="2:15" x14ac:dyDescent="0.45">
      <c r="B24" t="s">
        <v>554</v>
      </c>
      <c r="C24" t="s">
        <v>21</v>
      </c>
      <c r="D24">
        <v>4.4227233589920922E-2</v>
      </c>
      <c r="E24" t="s">
        <v>6</v>
      </c>
      <c r="G24" t="s">
        <v>555</v>
      </c>
      <c r="H24" t="s">
        <v>21</v>
      </c>
      <c r="I24">
        <v>2.0645390274471275E-2</v>
      </c>
      <c r="J24" t="s">
        <v>6</v>
      </c>
      <c r="L24" t="s">
        <v>556</v>
      </c>
      <c r="M24" t="s">
        <v>21</v>
      </c>
      <c r="N24">
        <v>2.3955845900507356E-2</v>
      </c>
      <c r="O24" t="s">
        <v>6</v>
      </c>
    </row>
    <row r="25" spans="2:15" x14ac:dyDescent="0.45">
      <c r="B25" t="s">
        <v>554</v>
      </c>
      <c r="C25" t="s">
        <v>22</v>
      </c>
      <c r="D25">
        <v>6.8424625750679591E-2</v>
      </c>
      <c r="E25" t="s">
        <v>6</v>
      </c>
      <c r="G25" t="s">
        <v>555</v>
      </c>
      <c r="H25" t="s">
        <v>22</v>
      </c>
      <c r="I25">
        <v>1.8102342150895716E-2</v>
      </c>
      <c r="J25" t="s">
        <v>6</v>
      </c>
      <c r="L25" t="s">
        <v>556</v>
      </c>
      <c r="M25" t="s">
        <v>22</v>
      </c>
      <c r="N25">
        <v>2.5124051422107045E-2</v>
      </c>
      <c r="O25" t="s">
        <v>6</v>
      </c>
    </row>
    <row r="26" spans="2:15" x14ac:dyDescent="0.45">
      <c r="B26" t="s">
        <v>554</v>
      </c>
      <c r="C26" t="s">
        <v>23</v>
      </c>
      <c r="D26">
        <v>7.2967960551615377E-2</v>
      </c>
      <c r="E26" t="s">
        <v>6</v>
      </c>
      <c r="G26" t="s">
        <v>555</v>
      </c>
      <c r="H26" t="s">
        <v>23</v>
      </c>
      <c r="I26">
        <v>2.0638431725266214E-2</v>
      </c>
      <c r="J26" t="s">
        <v>6</v>
      </c>
      <c r="L26" t="s">
        <v>556</v>
      </c>
      <c r="M26" t="s">
        <v>23</v>
      </c>
      <c r="N26">
        <v>2.8399480757085711E-2</v>
      </c>
      <c r="O26" t="s">
        <v>6</v>
      </c>
    </row>
    <row r="27" spans="2:15" x14ac:dyDescent="0.45">
      <c r="B27" t="s">
        <v>554</v>
      </c>
      <c r="C27" t="s">
        <v>24</v>
      </c>
      <c r="D27">
        <v>5.80715561605986E-2</v>
      </c>
      <c r="E27" t="s">
        <v>6</v>
      </c>
      <c r="G27" t="s">
        <v>555</v>
      </c>
      <c r="H27" t="s">
        <v>24</v>
      </c>
      <c r="I27">
        <v>2.1775076258570825E-2</v>
      </c>
      <c r="J27" t="s">
        <v>6</v>
      </c>
      <c r="L27" t="s">
        <v>556</v>
      </c>
      <c r="M27" t="s">
        <v>24</v>
      </c>
      <c r="N27">
        <v>2.8690073582984383E-2</v>
      </c>
      <c r="O27" t="s">
        <v>6</v>
      </c>
    </row>
    <row r="28" spans="2:15" x14ac:dyDescent="0.45">
      <c r="B28" t="s">
        <v>554</v>
      </c>
      <c r="C28" t="s">
        <v>25</v>
      </c>
      <c r="D28">
        <v>2.5616961542818849E-2</v>
      </c>
      <c r="E28" t="s">
        <v>6</v>
      </c>
      <c r="G28" t="s">
        <v>555</v>
      </c>
      <c r="H28" t="s">
        <v>25</v>
      </c>
      <c r="I28">
        <v>2.0349937458279354E-2</v>
      </c>
      <c r="J28" t="s">
        <v>6</v>
      </c>
      <c r="L28" t="s">
        <v>556</v>
      </c>
      <c r="M28" t="s">
        <v>25</v>
      </c>
      <c r="N28">
        <v>2.7862278572420164E-2</v>
      </c>
      <c r="O28" t="s">
        <v>6</v>
      </c>
    </row>
    <row r="29" spans="2:15" x14ac:dyDescent="0.45">
      <c r="B29" t="s">
        <v>554</v>
      </c>
      <c r="C29" t="s">
        <v>26</v>
      </c>
      <c r="D29">
        <v>9.6891852108939888E-4</v>
      </c>
      <c r="E29" t="s">
        <v>6</v>
      </c>
      <c r="G29" t="s">
        <v>555</v>
      </c>
      <c r="H29" t="s">
        <v>26</v>
      </c>
      <c r="I29">
        <v>2.0955495182965637E-2</v>
      </c>
      <c r="J29" t="s">
        <v>6</v>
      </c>
      <c r="L29" t="s">
        <v>556</v>
      </c>
      <c r="M29" t="s">
        <v>26</v>
      </c>
      <c r="N29">
        <v>2.7296817184123551E-2</v>
      </c>
      <c r="O29" t="s">
        <v>6</v>
      </c>
    </row>
    <row r="30" spans="2:15" x14ac:dyDescent="0.45">
      <c r="B30" t="s">
        <v>554</v>
      </c>
      <c r="C30" t="s">
        <v>27</v>
      </c>
      <c r="D30">
        <v>0</v>
      </c>
      <c r="E30" t="s">
        <v>6</v>
      </c>
      <c r="G30" t="s">
        <v>555</v>
      </c>
      <c r="H30" t="s">
        <v>27</v>
      </c>
      <c r="I30">
        <v>3.269539012795844E-2</v>
      </c>
      <c r="J30" t="s">
        <v>6</v>
      </c>
      <c r="L30" t="s">
        <v>556</v>
      </c>
      <c r="M30" t="s">
        <v>27</v>
      </c>
      <c r="N30">
        <v>4.0729294091038551E-2</v>
      </c>
      <c r="O30" t="s">
        <v>6</v>
      </c>
    </row>
    <row r="31" spans="2:15" x14ac:dyDescent="0.45">
      <c r="B31" t="s">
        <v>554</v>
      </c>
      <c r="C31" t="s">
        <v>28</v>
      </c>
      <c r="D31">
        <v>0</v>
      </c>
      <c r="E31" t="s">
        <v>6</v>
      </c>
      <c r="G31" t="s">
        <v>555</v>
      </c>
      <c r="H31" t="s">
        <v>28</v>
      </c>
      <c r="I31">
        <v>3.9563986514662336E-2</v>
      </c>
      <c r="J31" t="s">
        <v>6</v>
      </c>
      <c r="L31" t="s">
        <v>556</v>
      </c>
      <c r="M31" t="s">
        <v>28</v>
      </c>
      <c r="N31">
        <v>4.2144160079123312E-2</v>
      </c>
      <c r="O31" t="s">
        <v>6</v>
      </c>
    </row>
    <row r="32" spans="2:15" x14ac:dyDescent="0.45">
      <c r="B32" t="s">
        <v>554</v>
      </c>
      <c r="C32" t="s">
        <v>29</v>
      </c>
      <c r="D32">
        <v>2.6746389933440383E-4</v>
      </c>
      <c r="E32" t="s">
        <v>6</v>
      </c>
      <c r="G32" t="s">
        <v>555</v>
      </c>
      <c r="H32" t="s">
        <v>29</v>
      </c>
      <c r="I32">
        <v>1.6410462768343376E-2</v>
      </c>
      <c r="J32" t="s">
        <v>6</v>
      </c>
      <c r="L32" t="s">
        <v>556</v>
      </c>
      <c r="M32" t="s">
        <v>29</v>
      </c>
      <c r="N32">
        <v>1.6388083911783917E-2</v>
      </c>
      <c r="O32" t="s">
        <v>6</v>
      </c>
    </row>
    <row r="33" spans="2:15" x14ac:dyDescent="0.45">
      <c r="B33" t="s">
        <v>554</v>
      </c>
      <c r="C33" t="s">
        <v>30</v>
      </c>
      <c r="D33">
        <v>1.5117479923670197E-2</v>
      </c>
      <c r="E33" t="s">
        <v>6</v>
      </c>
      <c r="G33" t="s">
        <v>555</v>
      </c>
      <c r="H33" t="s">
        <v>30</v>
      </c>
      <c r="I33">
        <v>1.3301931020571306E-2</v>
      </c>
      <c r="J33" t="s">
        <v>6</v>
      </c>
      <c r="L33" t="s">
        <v>556</v>
      </c>
      <c r="M33" t="s">
        <v>30</v>
      </c>
      <c r="N33">
        <v>1.396029090779753E-2</v>
      </c>
      <c r="O33" t="s">
        <v>6</v>
      </c>
    </row>
    <row r="34" spans="2:15" x14ac:dyDescent="0.45">
      <c r="B34" t="s">
        <v>554</v>
      </c>
      <c r="C34" t="s">
        <v>31</v>
      </c>
      <c r="D34">
        <v>5.1206383223310351E-2</v>
      </c>
      <c r="E34" t="s">
        <v>6</v>
      </c>
      <c r="G34" t="s">
        <v>555</v>
      </c>
      <c r="H34" t="s">
        <v>31</v>
      </c>
      <c r="I34">
        <v>1.1378706796783943E-2</v>
      </c>
      <c r="J34" t="s">
        <v>6</v>
      </c>
      <c r="L34" t="s">
        <v>556</v>
      </c>
      <c r="M34" t="s">
        <v>31</v>
      </c>
      <c r="N34">
        <v>1.1975538723711644E-2</v>
      </c>
      <c r="O34" t="s">
        <v>6</v>
      </c>
    </row>
    <row r="35" spans="2:15" x14ac:dyDescent="0.45">
      <c r="B35" t="s">
        <v>554</v>
      </c>
      <c r="C35" t="s">
        <v>32</v>
      </c>
      <c r="D35">
        <v>7.467923695943654E-2</v>
      </c>
      <c r="E35" t="s">
        <v>6</v>
      </c>
      <c r="G35" t="s">
        <v>555</v>
      </c>
      <c r="H35" t="s">
        <v>32</v>
      </c>
      <c r="I35">
        <v>8.968675377969075E-3</v>
      </c>
      <c r="J35" t="s">
        <v>6</v>
      </c>
      <c r="L35" t="s">
        <v>556</v>
      </c>
      <c r="M35" t="s">
        <v>32</v>
      </c>
      <c r="N35">
        <v>1.1618601304204834E-2</v>
      </c>
      <c r="O35" t="s">
        <v>6</v>
      </c>
    </row>
    <row r="36" spans="2:15" x14ac:dyDescent="0.45">
      <c r="B36" t="s">
        <v>554</v>
      </c>
      <c r="C36" t="s">
        <v>33</v>
      </c>
      <c r="D36">
        <v>7.7985786851144601E-2</v>
      </c>
      <c r="E36" t="s">
        <v>6</v>
      </c>
      <c r="G36" t="s">
        <v>555</v>
      </c>
      <c r="H36" t="s">
        <v>33</v>
      </c>
      <c r="I36">
        <v>1.1625134107994707E-2</v>
      </c>
      <c r="J36" t="s">
        <v>6</v>
      </c>
      <c r="L36" t="s">
        <v>556</v>
      </c>
      <c r="M36" t="s">
        <v>33</v>
      </c>
      <c r="N36">
        <v>1.1311224430399417E-2</v>
      </c>
      <c r="O36" t="s">
        <v>6</v>
      </c>
    </row>
    <row r="37" spans="2:15" x14ac:dyDescent="0.45">
      <c r="B37" t="s">
        <v>554</v>
      </c>
      <c r="C37" t="s">
        <v>34</v>
      </c>
      <c r="D37">
        <v>6.2793783156121344E-2</v>
      </c>
      <c r="E37" t="s">
        <v>6</v>
      </c>
      <c r="G37" t="s">
        <v>555</v>
      </c>
      <c r="H37" t="s">
        <v>34</v>
      </c>
      <c r="I37">
        <v>1.2940708235088456E-2</v>
      </c>
      <c r="J37" t="s">
        <v>6</v>
      </c>
      <c r="L37" t="s">
        <v>556</v>
      </c>
      <c r="M37" t="s">
        <v>34</v>
      </c>
      <c r="N37">
        <v>1.0775991682167739E-2</v>
      </c>
      <c r="O37" t="s">
        <v>6</v>
      </c>
    </row>
    <row r="38" spans="2:15" x14ac:dyDescent="0.45">
      <c r="B38" t="s">
        <v>554</v>
      </c>
      <c r="C38" t="s">
        <v>35</v>
      </c>
      <c r="D38">
        <v>3.1160554806359153E-2</v>
      </c>
      <c r="E38" t="s">
        <v>6</v>
      </c>
      <c r="G38" t="s">
        <v>555</v>
      </c>
      <c r="H38" t="s">
        <v>35</v>
      </c>
      <c r="I38">
        <v>9.9886050726486712E-3</v>
      </c>
      <c r="J38" t="s">
        <v>6</v>
      </c>
      <c r="L38" t="s">
        <v>556</v>
      </c>
      <c r="M38" t="s">
        <v>35</v>
      </c>
      <c r="N38">
        <v>1.1113356496928179E-2</v>
      </c>
      <c r="O38" t="s">
        <v>6</v>
      </c>
    </row>
    <row r="39" spans="2:15" x14ac:dyDescent="0.45">
      <c r="B39" t="s">
        <v>554</v>
      </c>
      <c r="C39" t="s">
        <v>36</v>
      </c>
      <c r="D39">
        <v>2.8491927879074467E-3</v>
      </c>
      <c r="E39" t="s">
        <v>6</v>
      </c>
      <c r="G39" t="s">
        <v>555</v>
      </c>
      <c r="H39" t="s">
        <v>36</v>
      </c>
      <c r="I39">
        <v>8.6751621955710994E-3</v>
      </c>
      <c r="J39" t="s">
        <v>6</v>
      </c>
      <c r="L39" t="s">
        <v>556</v>
      </c>
      <c r="M39" t="s">
        <v>36</v>
      </c>
      <c r="N39">
        <v>1.3365364959026786E-2</v>
      </c>
      <c r="O39" t="s">
        <v>6</v>
      </c>
    </row>
    <row r="40" spans="2:15" x14ac:dyDescent="0.45">
      <c r="B40" t="s">
        <v>554</v>
      </c>
      <c r="C40" t="s">
        <v>37</v>
      </c>
      <c r="D40">
        <v>0</v>
      </c>
      <c r="E40" t="s">
        <v>6</v>
      </c>
      <c r="G40" t="s">
        <v>555</v>
      </c>
      <c r="H40" t="s">
        <v>37</v>
      </c>
      <c r="I40">
        <v>1.5747887623127378E-2</v>
      </c>
      <c r="J40" t="s">
        <v>6</v>
      </c>
      <c r="L40" t="s">
        <v>556</v>
      </c>
      <c r="M40" t="s">
        <v>37</v>
      </c>
      <c r="N40">
        <v>2.2774478137970233E-2</v>
      </c>
      <c r="O40" t="s">
        <v>6</v>
      </c>
    </row>
    <row r="41" spans="2:15" x14ac:dyDescent="0.45">
      <c r="B41" t="s">
        <v>554</v>
      </c>
      <c r="C41" t="s">
        <v>38</v>
      </c>
      <c r="D41">
        <v>0</v>
      </c>
      <c r="E41" t="s">
        <v>6</v>
      </c>
      <c r="G41" t="s">
        <v>555</v>
      </c>
      <c r="H41" t="s">
        <v>38</v>
      </c>
      <c r="I41">
        <v>7.0624306934003803E-2</v>
      </c>
      <c r="J41" t="s">
        <v>6</v>
      </c>
      <c r="L41" t="s">
        <v>556</v>
      </c>
      <c r="M41" t="s">
        <v>38</v>
      </c>
      <c r="N41">
        <v>4.0371772022967434E-2</v>
      </c>
      <c r="O41" t="s">
        <v>6</v>
      </c>
    </row>
    <row r="42" spans="2:15" x14ac:dyDescent="0.45">
      <c r="B42" t="s">
        <v>554</v>
      </c>
      <c r="C42" t="s">
        <v>39</v>
      </c>
      <c r="D42">
        <v>0</v>
      </c>
      <c r="E42" t="s">
        <v>6</v>
      </c>
      <c r="G42" t="s">
        <v>555</v>
      </c>
      <c r="H42" t="s">
        <v>39</v>
      </c>
      <c r="I42">
        <v>2.7230221356998971E-2</v>
      </c>
      <c r="J42" t="s">
        <v>6</v>
      </c>
      <c r="L42" t="s">
        <v>556</v>
      </c>
      <c r="M42" t="s">
        <v>39</v>
      </c>
      <c r="N42">
        <v>1.4853507739130434E-2</v>
      </c>
      <c r="O42" t="s">
        <v>6</v>
      </c>
    </row>
    <row r="43" spans="2:15" x14ac:dyDescent="0.45">
      <c r="B43" t="s">
        <v>554</v>
      </c>
      <c r="C43" t="s">
        <v>40</v>
      </c>
      <c r="D43">
        <v>5.5664109818394448E-3</v>
      </c>
      <c r="E43" t="s">
        <v>6</v>
      </c>
      <c r="G43" t="s">
        <v>555</v>
      </c>
      <c r="H43" t="s">
        <v>40</v>
      </c>
      <c r="I43">
        <v>2.6488202759022816E-2</v>
      </c>
      <c r="J43" t="s">
        <v>6</v>
      </c>
      <c r="L43" t="s">
        <v>556</v>
      </c>
      <c r="M43" t="s">
        <v>40</v>
      </c>
      <c r="N43">
        <v>1.4603015421962826E-2</v>
      </c>
      <c r="O43" t="s">
        <v>6</v>
      </c>
    </row>
    <row r="44" spans="2:15" x14ac:dyDescent="0.45">
      <c r="B44" t="s">
        <v>554</v>
      </c>
      <c r="C44" t="s">
        <v>41</v>
      </c>
      <c r="D44">
        <v>3.8614158276499791E-2</v>
      </c>
      <c r="E44" t="s">
        <v>6</v>
      </c>
      <c r="G44" t="s">
        <v>555</v>
      </c>
      <c r="H44" t="s">
        <v>41</v>
      </c>
      <c r="I44">
        <v>2.4082162799771944E-2</v>
      </c>
      <c r="J44" t="s">
        <v>6</v>
      </c>
      <c r="L44" t="s">
        <v>556</v>
      </c>
      <c r="M44" t="s">
        <v>41</v>
      </c>
      <c r="N44">
        <v>1.5612513691996071E-2</v>
      </c>
      <c r="O44" t="s">
        <v>6</v>
      </c>
    </row>
    <row r="45" spans="2:15" x14ac:dyDescent="0.45">
      <c r="B45" t="s">
        <v>554</v>
      </c>
      <c r="C45" t="s">
        <v>42</v>
      </c>
      <c r="D45">
        <v>6.3691008830681475E-2</v>
      </c>
      <c r="E45" t="s">
        <v>6</v>
      </c>
      <c r="G45" t="s">
        <v>555</v>
      </c>
      <c r="H45" t="s">
        <v>42</v>
      </c>
      <c r="I45">
        <v>2.2964444050144455E-2</v>
      </c>
      <c r="J45" t="s">
        <v>6</v>
      </c>
      <c r="L45" t="s">
        <v>556</v>
      </c>
      <c r="M45" t="s">
        <v>42</v>
      </c>
      <c r="N45">
        <v>1.6663818125514696E-2</v>
      </c>
      <c r="O45" t="s">
        <v>6</v>
      </c>
    </row>
    <row r="46" spans="2:15" x14ac:dyDescent="0.45">
      <c r="B46" t="s">
        <v>554</v>
      </c>
      <c r="C46" t="s">
        <v>43</v>
      </c>
      <c r="D46">
        <v>6.483415420327962E-2</v>
      </c>
      <c r="E46" t="s">
        <v>6</v>
      </c>
      <c r="G46" t="s">
        <v>555</v>
      </c>
      <c r="H46" t="s">
        <v>43</v>
      </c>
      <c r="I46">
        <v>2.3990135358884813E-2</v>
      </c>
      <c r="J46" t="s">
        <v>6</v>
      </c>
      <c r="L46" t="s">
        <v>556</v>
      </c>
      <c r="M46" t="s">
        <v>43</v>
      </c>
      <c r="N46">
        <v>1.6936138919434358E-2</v>
      </c>
      <c r="O46" t="s">
        <v>6</v>
      </c>
    </row>
    <row r="47" spans="2:15" x14ac:dyDescent="0.45">
      <c r="B47" t="s">
        <v>554</v>
      </c>
      <c r="C47" t="s">
        <v>44</v>
      </c>
      <c r="D47">
        <v>4.4025196791894178E-2</v>
      </c>
      <c r="E47" t="s">
        <v>6</v>
      </c>
      <c r="G47" t="s">
        <v>555</v>
      </c>
      <c r="H47" t="s">
        <v>44</v>
      </c>
      <c r="I47">
        <v>2.3853480498094725E-2</v>
      </c>
      <c r="J47" t="s">
        <v>6</v>
      </c>
      <c r="L47" t="s">
        <v>556</v>
      </c>
      <c r="M47" t="s">
        <v>44</v>
      </c>
      <c r="N47">
        <v>1.763095813627253E-2</v>
      </c>
      <c r="O47" t="s">
        <v>6</v>
      </c>
    </row>
    <row r="48" spans="2:15" x14ac:dyDescent="0.45">
      <c r="B48" t="s">
        <v>554</v>
      </c>
      <c r="C48" t="s">
        <v>45</v>
      </c>
      <c r="D48">
        <v>1.155970635797432E-2</v>
      </c>
      <c r="E48" t="s">
        <v>6</v>
      </c>
      <c r="G48" t="s">
        <v>555</v>
      </c>
      <c r="H48" t="s">
        <v>45</v>
      </c>
      <c r="I48">
        <v>2.3990332743494904E-2</v>
      </c>
      <c r="J48" t="s">
        <v>6</v>
      </c>
      <c r="L48" t="s">
        <v>556</v>
      </c>
      <c r="M48" t="s">
        <v>45</v>
      </c>
      <c r="N48">
        <v>1.7328527589466809E-2</v>
      </c>
      <c r="O48" t="s">
        <v>6</v>
      </c>
    </row>
    <row r="49" spans="2:15" x14ac:dyDescent="0.45">
      <c r="B49" t="s">
        <v>554</v>
      </c>
      <c r="C49" t="s">
        <v>46</v>
      </c>
      <c r="D49">
        <v>2.7733883730196921E-5</v>
      </c>
      <c r="E49" t="s">
        <v>6</v>
      </c>
      <c r="G49" t="s">
        <v>555</v>
      </c>
      <c r="H49" t="s">
        <v>46</v>
      </c>
      <c r="I49">
        <v>2.4543598980962311E-2</v>
      </c>
      <c r="J49" t="s">
        <v>6</v>
      </c>
      <c r="L49" t="s">
        <v>556</v>
      </c>
      <c r="M49" t="s">
        <v>46</v>
      </c>
      <c r="N49">
        <v>1.6333104987276248E-2</v>
      </c>
      <c r="O49" t="s">
        <v>6</v>
      </c>
    </row>
    <row r="50" spans="2:15" x14ac:dyDescent="0.45">
      <c r="B50" t="s">
        <v>554</v>
      </c>
      <c r="C50" t="s">
        <v>47</v>
      </c>
      <c r="D50">
        <v>0</v>
      </c>
      <c r="E50" t="s">
        <v>6</v>
      </c>
      <c r="G50" t="s">
        <v>555</v>
      </c>
      <c r="H50" t="s">
        <v>47</v>
      </c>
      <c r="I50">
        <v>3.9771943670231409E-2</v>
      </c>
      <c r="J50" t="s">
        <v>6</v>
      </c>
      <c r="L50" t="s">
        <v>556</v>
      </c>
      <c r="M50" t="s">
        <v>47</v>
      </c>
      <c r="N50">
        <v>2.5596668123700192E-2</v>
      </c>
      <c r="O50" t="s">
        <v>6</v>
      </c>
    </row>
    <row r="51" spans="2:15" x14ac:dyDescent="0.45">
      <c r="B51" t="s">
        <v>557</v>
      </c>
      <c r="C51" t="s">
        <v>5</v>
      </c>
      <c r="D51">
        <v>0</v>
      </c>
      <c r="E51" t="s">
        <v>6</v>
      </c>
      <c r="G51" t="s">
        <v>558</v>
      </c>
      <c r="H51" t="s">
        <v>5</v>
      </c>
      <c r="I51">
        <v>5.755592064911412E-2</v>
      </c>
      <c r="J51" t="s">
        <v>6</v>
      </c>
      <c r="L51" t="s">
        <v>559</v>
      </c>
      <c r="M51" t="s">
        <v>5</v>
      </c>
      <c r="N51">
        <v>6.4350899299616515E-2</v>
      </c>
      <c r="O51" t="s">
        <v>6</v>
      </c>
    </row>
    <row r="52" spans="2:15" x14ac:dyDescent="0.45">
      <c r="B52" t="s">
        <v>557</v>
      </c>
      <c r="C52" t="s">
        <v>9</v>
      </c>
      <c r="D52">
        <v>0</v>
      </c>
      <c r="E52" t="s">
        <v>6</v>
      </c>
      <c r="G52" t="s">
        <v>558</v>
      </c>
      <c r="H52" t="s">
        <v>9</v>
      </c>
      <c r="I52">
        <v>2.1988705292376114E-2</v>
      </c>
      <c r="J52" t="s">
        <v>6</v>
      </c>
      <c r="L52" t="s">
        <v>559</v>
      </c>
      <c r="M52" t="s">
        <v>9</v>
      </c>
      <c r="N52">
        <v>2.4774119289538744E-2</v>
      </c>
      <c r="O52" t="s">
        <v>6</v>
      </c>
    </row>
    <row r="53" spans="2:15" x14ac:dyDescent="0.45">
      <c r="B53" t="s">
        <v>557</v>
      </c>
      <c r="C53" t="s">
        <v>10</v>
      </c>
      <c r="D53">
        <v>3.9575753734439511E-4</v>
      </c>
      <c r="E53" t="s">
        <v>6</v>
      </c>
      <c r="G53" t="s">
        <v>558</v>
      </c>
      <c r="H53" t="s">
        <v>10</v>
      </c>
      <c r="I53">
        <v>2.2365135413408298E-2</v>
      </c>
      <c r="J53" t="s">
        <v>6</v>
      </c>
      <c r="L53" t="s">
        <v>559</v>
      </c>
      <c r="M53" t="s">
        <v>10</v>
      </c>
      <c r="N53">
        <v>2.3628111057343592E-2</v>
      </c>
      <c r="O53" t="s">
        <v>6</v>
      </c>
    </row>
    <row r="54" spans="2:15" x14ac:dyDescent="0.45">
      <c r="B54" t="s">
        <v>557</v>
      </c>
      <c r="C54" t="s">
        <v>11</v>
      </c>
      <c r="D54">
        <v>2.1737569327976582E-2</v>
      </c>
      <c r="E54" t="s">
        <v>6</v>
      </c>
      <c r="G54" t="s">
        <v>558</v>
      </c>
      <c r="H54" t="s">
        <v>11</v>
      </c>
      <c r="I54">
        <v>2.0052596343683986E-2</v>
      </c>
      <c r="J54" t="s">
        <v>6</v>
      </c>
      <c r="L54" t="s">
        <v>559</v>
      </c>
      <c r="M54" t="s">
        <v>11</v>
      </c>
      <c r="N54">
        <v>2.3189818349121882E-2</v>
      </c>
      <c r="O54" t="s">
        <v>6</v>
      </c>
    </row>
    <row r="55" spans="2:15" x14ac:dyDescent="0.45">
      <c r="B55" t="s">
        <v>557</v>
      </c>
      <c r="C55" t="s">
        <v>12</v>
      </c>
      <c r="D55">
        <v>5.0810410026779759E-2</v>
      </c>
      <c r="E55" t="s">
        <v>6</v>
      </c>
      <c r="G55" t="s">
        <v>558</v>
      </c>
      <c r="H55" t="s">
        <v>12</v>
      </c>
      <c r="I55">
        <v>1.6421424738604657E-2</v>
      </c>
      <c r="J55" t="s">
        <v>6</v>
      </c>
      <c r="L55" t="s">
        <v>559</v>
      </c>
      <c r="M55" t="s">
        <v>12</v>
      </c>
      <c r="N55">
        <v>2.4605010861865381E-2</v>
      </c>
      <c r="O55" t="s">
        <v>6</v>
      </c>
    </row>
    <row r="56" spans="2:15" x14ac:dyDescent="0.45">
      <c r="B56" t="s">
        <v>557</v>
      </c>
      <c r="C56" t="s">
        <v>13</v>
      </c>
      <c r="D56">
        <v>5.6162134359475341E-2</v>
      </c>
      <c r="E56" t="s">
        <v>6</v>
      </c>
      <c r="G56" t="s">
        <v>558</v>
      </c>
      <c r="H56" t="s">
        <v>13</v>
      </c>
      <c r="I56">
        <v>1.7974309963315827E-2</v>
      </c>
      <c r="J56" t="s">
        <v>6</v>
      </c>
      <c r="L56" t="s">
        <v>559</v>
      </c>
      <c r="M56" t="s">
        <v>13</v>
      </c>
      <c r="N56">
        <v>2.4988789314109881E-2</v>
      </c>
      <c r="O56" t="s">
        <v>6</v>
      </c>
    </row>
    <row r="57" spans="2:15" x14ac:dyDescent="0.45">
      <c r="B57" t="s">
        <v>557</v>
      </c>
      <c r="C57" t="s">
        <v>14</v>
      </c>
      <c r="D57">
        <v>3.7616939279544799E-2</v>
      </c>
      <c r="E57" t="s">
        <v>6</v>
      </c>
      <c r="G57" t="s">
        <v>558</v>
      </c>
      <c r="H57" t="s">
        <v>14</v>
      </c>
      <c r="I57">
        <v>1.885124799777297E-2</v>
      </c>
      <c r="J57" t="s">
        <v>6</v>
      </c>
      <c r="L57" t="s">
        <v>559</v>
      </c>
      <c r="M57" t="s">
        <v>14</v>
      </c>
      <c r="N57">
        <v>2.5314975667540963E-2</v>
      </c>
      <c r="O57" t="s">
        <v>6</v>
      </c>
    </row>
    <row r="58" spans="2:15" x14ac:dyDescent="0.45">
      <c r="B58" t="s">
        <v>557</v>
      </c>
      <c r="C58" t="s">
        <v>15</v>
      </c>
      <c r="D58">
        <v>8.2369740039707935E-3</v>
      </c>
      <c r="E58" t="s">
        <v>6</v>
      </c>
      <c r="G58" t="s">
        <v>558</v>
      </c>
      <c r="H58" t="s">
        <v>15</v>
      </c>
      <c r="I58">
        <v>2.204333874225109E-2</v>
      </c>
      <c r="J58" t="s">
        <v>6</v>
      </c>
      <c r="L58" t="s">
        <v>559</v>
      </c>
      <c r="M58" t="s">
        <v>15</v>
      </c>
      <c r="N58">
        <v>2.6086736495752348E-2</v>
      </c>
      <c r="O58" t="s">
        <v>6</v>
      </c>
    </row>
    <row r="59" spans="2:15" x14ac:dyDescent="0.45">
      <c r="B59" t="s">
        <v>557</v>
      </c>
      <c r="C59" t="s">
        <v>16</v>
      </c>
      <c r="D59">
        <v>0</v>
      </c>
      <c r="E59" t="s">
        <v>6</v>
      </c>
      <c r="G59" t="s">
        <v>558</v>
      </c>
      <c r="H59" t="s">
        <v>16</v>
      </c>
      <c r="I59">
        <v>2.3321380882007362E-2</v>
      </c>
      <c r="J59" t="s">
        <v>6</v>
      </c>
      <c r="L59" t="s">
        <v>559</v>
      </c>
      <c r="M59" t="s">
        <v>16</v>
      </c>
      <c r="N59">
        <v>2.6650975344710774E-2</v>
      </c>
      <c r="O59" t="s">
        <v>6</v>
      </c>
    </row>
    <row r="60" spans="2:15" x14ac:dyDescent="0.45">
      <c r="B60" t="s">
        <v>557</v>
      </c>
      <c r="C60" t="s">
        <v>17</v>
      </c>
      <c r="D60">
        <v>0</v>
      </c>
      <c r="E60" t="s">
        <v>6</v>
      </c>
      <c r="G60" t="s">
        <v>558</v>
      </c>
      <c r="H60" t="s">
        <v>17</v>
      </c>
      <c r="I60">
        <v>3.4050775215605886E-2</v>
      </c>
      <c r="J60" t="s">
        <v>6</v>
      </c>
      <c r="L60" t="s">
        <v>559</v>
      </c>
      <c r="M60" t="s">
        <v>17</v>
      </c>
      <c r="N60">
        <v>3.9724786052434707E-2</v>
      </c>
      <c r="O60" t="s">
        <v>6</v>
      </c>
    </row>
    <row r="61" spans="2:15" x14ac:dyDescent="0.45">
      <c r="B61" t="s">
        <v>557</v>
      </c>
      <c r="C61" t="s">
        <v>18</v>
      </c>
      <c r="D61">
        <v>0</v>
      </c>
      <c r="E61" t="s">
        <v>6</v>
      </c>
      <c r="G61" t="s">
        <v>558</v>
      </c>
      <c r="H61" t="s">
        <v>18</v>
      </c>
      <c r="I61">
        <v>7.2495542268156604E-2</v>
      </c>
      <c r="J61" t="s">
        <v>6</v>
      </c>
      <c r="L61" t="s">
        <v>559</v>
      </c>
      <c r="M61" t="s">
        <v>18</v>
      </c>
      <c r="N61">
        <v>6.5331211910226977E-2</v>
      </c>
      <c r="O61" t="s">
        <v>6</v>
      </c>
    </row>
    <row r="62" spans="2:15" x14ac:dyDescent="0.45">
      <c r="B62" t="s">
        <v>557</v>
      </c>
      <c r="C62" t="s">
        <v>19</v>
      </c>
      <c r="D62">
        <v>1.0098449333530172E-4</v>
      </c>
      <c r="E62" t="s">
        <v>6</v>
      </c>
      <c r="G62" t="s">
        <v>558</v>
      </c>
      <c r="H62" t="s">
        <v>19</v>
      </c>
      <c r="I62">
        <v>2.7439029623042566E-2</v>
      </c>
      <c r="J62" t="s">
        <v>6</v>
      </c>
      <c r="L62" t="s">
        <v>559</v>
      </c>
      <c r="M62" t="s">
        <v>19</v>
      </c>
      <c r="N62">
        <v>2.4112716031283881E-2</v>
      </c>
      <c r="O62" t="s">
        <v>6</v>
      </c>
    </row>
    <row r="63" spans="2:15" x14ac:dyDescent="0.45">
      <c r="B63" t="s">
        <v>557</v>
      </c>
      <c r="C63" t="s">
        <v>20</v>
      </c>
      <c r="D63">
        <v>1.0399239023619646E-2</v>
      </c>
      <c r="E63" t="s">
        <v>6</v>
      </c>
      <c r="G63" t="s">
        <v>558</v>
      </c>
      <c r="H63" t="s">
        <v>20</v>
      </c>
      <c r="I63">
        <v>2.1573309515758012E-2</v>
      </c>
      <c r="J63" t="s">
        <v>6</v>
      </c>
      <c r="L63" t="s">
        <v>559</v>
      </c>
      <c r="M63" t="s">
        <v>20</v>
      </c>
      <c r="N63">
        <v>2.2574651075005524E-2</v>
      </c>
      <c r="O63" t="s">
        <v>6</v>
      </c>
    </row>
    <row r="64" spans="2:15" x14ac:dyDescent="0.45">
      <c r="B64" t="s">
        <v>557</v>
      </c>
      <c r="C64" t="s">
        <v>21</v>
      </c>
      <c r="D64">
        <v>4.2565103040353935E-2</v>
      </c>
      <c r="E64" t="s">
        <v>6</v>
      </c>
      <c r="G64" t="s">
        <v>558</v>
      </c>
      <c r="H64" t="s">
        <v>21</v>
      </c>
      <c r="I64">
        <v>1.8820182903724739E-2</v>
      </c>
      <c r="J64" t="s">
        <v>6</v>
      </c>
      <c r="L64" t="s">
        <v>559</v>
      </c>
      <c r="M64" t="s">
        <v>21</v>
      </c>
      <c r="N64">
        <v>2.1613712988349819E-2</v>
      </c>
      <c r="O64" t="s">
        <v>6</v>
      </c>
    </row>
    <row r="65" spans="2:15" x14ac:dyDescent="0.45">
      <c r="B65" t="s">
        <v>557</v>
      </c>
      <c r="C65" t="s">
        <v>22</v>
      </c>
      <c r="D65">
        <v>6.680137108842589E-2</v>
      </c>
      <c r="E65" t="s">
        <v>6</v>
      </c>
      <c r="G65" t="s">
        <v>558</v>
      </c>
      <c r="H65" t="s">
        <v>22</v>
      </c>
      <c r="I65">
        <v>1.7636386216925953E-2</v>
      </c>
      <c r="J65" t="s">
        <v>6</v>
      </c>
      <c r="L65" t="s">
        <v>559</v>
      </c>
      <c r="M65" t="s">
        <v>22</v>
      </c>
      <c r="N65">
        <v>2.1384671321353223E-2</v>
      </c>
      <c r="O65" t="s">
        <v>6</v>
      </c>
    </row>
    <row r="66" spans="2:15" x14ac:dyDescent="0.45">
      <c r="B66" t="s">
        <v>557</v>
      </c>
      <c r="C66" t="s">
        <v>23</v>
      </c>
      <c r="D66">
        <v>7.25971546476957E-2</v>
      </c>
      <c r="E66" t="s">
        <v>6</v>
      </c>
      <c r="G66" t="s">
        <v>558</v>
      </c>
      <c r="H66" t="s">
        <v>23</v>
      </c>
      <c r="I66">
        <v>2.0772590223103491E-2</v>
      </c>
      <c r="J66" t="s">
        <v>6</v>
      </c>
      <c r="L66" t="s">
        <v>559</v>
      </c>
      <c r="M66" t="s">
        <v>23</v>
      </c>
      <c r="N66">
        <v>2.2439461235613758E-2</v>
      </c>
      <c r="O66" t="s">
        <v>6</v>
      </c>
    </row>
    <row r="67" spans="2:15" x14ac:dyDescent="0.45">
      <c r="B67" t="s">
        <v>557</v>
      </c>
      <c r="C67" t="s">
        <v>24</v>
      </c>
      <c r="D67">
        <v>5.7450935277830871E-2</v>
      </c>
      <c r="E67" t="s">
        <v>6</v>
      </c>
      <c r="G67" t="s">
        <v>558</v>
      </c>
      <c r="H67" t="s">
        <v>24</v>
      </c>
      <c r="I67">
        <v>2.507301657301347E-2</v>
      </c>
      <c r="J67" t="s">
        <v>6</v>
      </c>
      <c r="L67" t="s">
        <v>559</v>
      </c>
      <c r="M67" t="s">
        <v>24</v>
      </c>
      <c r="N67">
        <v>2.3344581407644654E-2</v>
      </c>
      <c r="O67" t="s">
        <v>6</v>
      </c>
    </row>
    <row r="68" spans="2:15" x14ac:dyDescent="0.45">
      <c r="B68" t="s">
        <v>557</v>
      </c>
      <c r="C68" t="s">
        <v>25</v>
      </c>
      <c r="D68">
        <v>2.528522075312983E-2</v>
      </c>
      <c r="E68" t="s">
        <v>6</v>
      </c>
      <c r="G68" t="s">
        <v>558</v>
      </c>
      <c r="H68" t="s">
        <v>25</v>
      </c>
      <c r="I68">
        <v>2.7493075462458112E-2</v>
      </c>
      <c r="J68" t="s">
        <v>6</v>
      </c>
      <c r="L68" t="s">
        <v>559</v>
      </c>
      <c r="M68" t="s">
        <v>25</v>
      </c>
      <c r="N68">
        <v>2.4301775395346711E-2</v>
      </c>
      <c r="O68" t="s">
        <v>6</v>
      </c>
    </row>
    <row r="69" spans="2:15" x14ac:dyDescent="0.45">
      <c r="B69" t="s">
        <v>557</v>
      </c>
      <c r="C69" t="s">
        <v>26</v>
      </c>
      <c r="D69">
        <v>9.9093817585831209E-4</v>
      </c>
      <c r="E69" t="s">
        <v>6</v>
      </c>
      <c r="G69" t="s">
        <v>558</v>
      </c>
      <c r="H69" t="s">
        <v>26</v>
      </c>
      <c r="I69">
        <v>3.1002929175660447E-2</v>
      </c>
      <c r="J69" t="s">
        <v>6</v>
      </c>
      <c r="L69" t="s">
        <v>559</v>
      </c>
      <c r="M69" t="s">
        <v>26</v>
      </c>
      <c r="N69">
        <v>2.5698666724722954E-2</v>
      </c>
      <c r="O69" t="s">
        <v>6</v>
      </c>
    </row>
    <row r="70" spans="2:15" x14ac:dyDescent="0.45">
      <c r="B70" t="s">
        <v>557</v>
      </c>
      <c r="C70" t="s">
        <v>27</v>
      </c>
      <c r="D70">
        <v>0</v>
      </c>
      <c r="E70" t="s">
        <v>6</v>
      </c>
      <c r="G70" t="s">
        <v>558</v>
      </c>
      <c r="H70" t="s">
        <v>27</v>
      </c>
      <c r="I70">
        <v>4.39255440724955E-2</v>
      </c>
      <c r="J70" t="s">
        <v>6</v>
      </c>
      <c r="L70" t="s">
        <v>559</v>
      </c>
      <c r="M70" t="s">
        <v>27</v>
      </c>
      <c r="N70">
        <v>3.9519300297802248E-2</v>
      </c>
      <c r="O70" t="s">
        <v>6</v>
      </c>
    </row>
    <row r="71" spans="2:15" x14ac:dyDescent="0.45">
      <c r="B71" t="s">
        <v>557</v>
      </c>
      <c r="C71" t="s">
        <v>28</v>
      </c>
      <c r="D71">
        <v>0</v>
      </c>
      <c r="E71" t="s">
        <v>6</v>
      </c>
      <c r="G71" t="s">
        <v>558</v>
      </c>
      <c r="H71" t="s">
        <v>28</v>
      </c>
      <c r="I71">
        <v>4.3287836240230776E-2</v>
      </c>
      <c r="J71" t="s">
        <v>6</v>
      </c>
      <c r="L71" t="s">
        <v>559</v>
      </c>
      <c r="M71" t="s">
        <v>28</v>
      </c>
      <c r="N71">
        <v>4.4972125216382712E-2</v>
      </c>
      <c r="O71" t="s">
        <v>6</v>
      </c>
    </row>
    <row r="72" spans="2:15" x14ac:dyDescent="0.45">
      <c r="B72" t="s">
        <v>557</v>
      </c>
      <c r="C72" t="s">
        <v>29</v>
      </c>
      <c r="D72">
        <v>3.2023368516403668E-4</v>
      </c>
      <c r="E72" t="s">
        <v>6</v>
      </c>
      <c r="G72" t="s">
        <v>558</v>
      </c>
      <c r="H72" t="s">
        <v>29</v>
      </c>
      <c r="I72">
        <v>1.4993843041120947E-2</v>
      </c>
      <c r="J72" t="s">
        <v>6</v>
      </c>
      <c r="L72" t="s">
        <v>559</v>
      </c>
      <c r="M72" t="s">
        <v>29</v>
      </c>
      <c r="N72">
        <v>1.9491652119381014E-2</v>
      </c>
      <c r="O72" t="s">
        <v>6</v>
      </c>
    </row>
    <row r="73" spans="2:15" x14ac:dyDescent="0.45">
      <c r="B73" t="s">
        <v>557</v>
      </c>
      <c r="C73" t="s">
        <v>30</v>
      </c>
      <c r="D73">
        <v>1.5608851994700437E-2</v>
      </c>
      <c r="E73" t="s">
        <v>6</v>
      </c>
      <c r="G73" t="s">
        <v>558</v>
      </c>
      <c r="H73" t="s">
        <v>30</v>
      </c>
      <c r="I73">
        <v>9.5886690974588615E-3</v>
      </c>
      <c r="J73" t="s">
        <v>6</v>
      </c>
      <c r="L73" t="s">
        <v>559</v>
      </c>
      <c r="M73" t="s">
        <v>30</v>
      </c>
      <c r="N73">
        <v>1.7648562765707632E-2</v>
      </c>
      <c r="O73" t="s">
        <v>6</v>
      </c>
    </row>
    <row r="74" spans="2:15" x14ac:dyDescent="0.45">
      <c r="B74" t="s">
        <v>557</v>
      </c>
      <c r="C74" t="s">
        <v>31</v>
      </c>
      <c r="D74">
        <v>5.2837605693905776E-2</v>
      </c>
      <c r="E74" t="s">
        <v>6</v>
      </c>
      <c r="G74" t="s">
        <v>558</v>
      </c>
      <c r="H74" t="s">
        <v>31</v>
      </c>
      <c r="I74">
        <v>9.4785406877458036E-3</v>
      </c>
      <c r="J74" t="s">
        <v>6</v>
      </c>
      <c r="L74" t="s">
        <v>559</v>
      </c>
      <c r="M74" t="s">
        <v>31</v>
      </c>
      <c r="N74">
        <v>1.5059592392193734E-2</v>
      </c>
      <c r="O74" t="s">
        <v>6</v>
      </c>
    </row>
    <row r="75" spans="2:15" x14ac:dyDescent="0.45">
      <c r="B75" t="s">
        <v>557</v>
      </c>
      <c r="C75" t="s">
        <v>32</v>
      </c>
      <c r="D75">
        <v>7.6950666909042106E-2</v>
      </c>
      <c r="E75" t="s">
        <v>6</v>
      </c>
      <c r="G75" t="s">
        <v>558</v>
      </c>
      <c r="H75" t="s">
        <v>32</v>
      </c>
      <c r="I75">
        <v>8.5857026793767881E-3</v>
      </c>
      <c r="J75" t="s">
        <v>6</v>
      </c>
      <c r="L75" t="s">
        <v>559</v>
      </c>
      <c r="M75" t="s">
        <v>32</v>
      </c>
      <c r="N75">
        <v>1.419557684770098E-2</v>
      </c>
      <c r="O75" t="s">
        <v>6</v>
      </c>
    </row>
    <row r="76" spans="2:15" x14ac:dyDescent="0.45">
      <c r="B76" t="s">
        <v>557</v>
      </c>
      <c r="C76" t="s">
        <v>33</v>
      </c>
      <c r="D76">
        <v>8.0335742108287714E-2</v>
      </c>
      <c r="E76" t="s">
        <v>6</v>
      </c>
      <c r="G76" t="s">
        <v>558</v>
      </c>
      <c r="H76" t="s">
        <v>33</v>
      </c>
      <c r="I76">
        <v>1.0042644150731618E-2</v>
      </c>
      <c r="J76" t="s">
        <v>6</v>
      </c>
      <c r="L76" t="s">
        <v>559</v>
      </c>
      <c r="M76" t="s">
        <v>33</v>
      </c>
      <c r="N76">
        <v>1.3462769387628781E-2</v>
      </c>
      <c r="O76" t="s">
        <v>6</v>
      </c>
    </row>
    <row r="77" spans="2:15" x14ac:dyDescent="0.45">
      <c r="B77" t="s">
        <v>557</v>
      </c>
      <c r="C77" t="s">
        <v>34</v>
      </c>
      <c r="D77">
        <v>6.385857750349605E-2</v>
      </c>
      <c r="E77" t="s">
        <v>6</v>
      </c>
      <c r="G77" t="s">
        <v>558</v>
      </c>
      <c r="H77" t="s">
        <v>34</v>
      </c>
      <c r="I77">
        <v>1.0515469786389673E-2</v>
      </c>
      <c r="J77" t="s">
        <v>6</v>
      </c>
      <c r="L77" t="s">
        <v>559</v>
      </c>
      <c r="M77" t="s">
        <v>34</v>
      </c>
      <c r="N77">
        <v>1.3932579269208246E-2</v>
      </c>
      <c r="O77" t="s">
        <v>6</v>
      </c>
    </row>
    <row r="78" spans="2:15" x14ac:dyDescent="0.45">
      <c r="B78" t="s">
        <v>557</v>
      </c>
      <c r="C78" t="s">
        <v>35</v>
      </c>
      <c r="D78">
        <v>3.1427787788041207E-2</v>
      </c>
      <c r="E78" t="s">
        <v>6</v>
      </c>
      <c r="G78" t="s">
        <v>558</v>
      </c>
      <c r="H78" t="s">
        <v>35</v>
      </c>
      <c r="I78">
        <v>1.1391427835125346E-2</v>
      </c>
      <c r="J78" t="s">
        <v>6</v>
      </c>
      <c r="L78" t="s">
        <v>559</v>
      </c>
      <c r="M78" t="s">
        <v>35</v>
      </c>
      <c r="N78">
        <v>1.4602108558435365E-2</v>
      </c>
      <c r="O78" t="s">
        <v>6</v>
      </c>
    </row>
    <row r="79" spans="2:15" x14ac:dyDescent="0.45">
      <c r="B79" t="s">
        <v>557</v>
      </c>
      <c r="C79" t="s">
        <v>36</v>
      </c>
      <c r="D79">
        <v>3.0199339597457332E-3</v>
      </c>
      <c r="E79" t="s">
        <v>6</v>
      </c>
      <c r="G79" t="s">
        <v>558</v>
      </c>
      <c r="H79" t="s">
        <v>36</v>
      </c>
      <c r="I79">
        <v>1.4778195302129583E-2</v>
      </c>
      <c r="J79" t="s">
        <v>6</v>
      </c>
      <c r="L79" t="s">
        <v>559</v>
      </c>
      <c r="M79" t="s">
        <v>36</v>
      </c>
      <c r="N79">
        <v>1.5669462327241576E-2</v>
      </c>
      <c r="O79" t="s">
        <v>6</v>
      </c>
    </row>
    <row r="80" spans="2:15" x14ac:dyDescent="0.45">
      <c r="B80" t="s">
        <v>557</v>
      </c>
      <c r="C80" t="s">
        <v>37</v>
      </c>
      <c r="D80">
        <v>0</v>
      </c>
      <c r="E80" t="s">
        <v>6</v>
      </c>
      <c r="G80" t="s">
        <v>558</v>
      </c>
      <c r="H80" t="s">
        <v>37</v>
      </c>
      <c r="I80">
        <v>2.6066400826963383E-2</v>
      </c>
      <c r="J80" t="s">
        <v>6</v>
      </c>
      <c r="L80" t="s">
        <v>559</v>
      </c>
      <c r="M80" t="s">
        <v>37</v>
      </c>
      <c r="N80">
        <v>2.3562394046477232E-2</v>
      </c>
      <c r="O80" t="s">
        <v>6</v>
      </c>
    </row>
    <row r="81" spans="2:15" x14ac:dyDescent="0.45">
      <c r="B81" t="s">
        <v>557</v>
      </c>
      <c r="C81" t="s">
        <v>38</v>
      </c>
      <c r="D81">
        <v>0</v>
      </c>
      <c r="E81" t="s">
        <v>6</v>
      </c>
      <c r="G81" t="s">
        <v>558</v>
      </c>
      <c r="H81" t="s">
        <v>38</v>
      </c>
      <c r="I81">
        <v>6.4024298716511566E-2</v>
      </c>
      <c r="J81" t="s">
        <v>6</v>
      </c>
      <c r="L81" t="s">
        <v>559</v>
      </c>
      <c r="M81" t="s">
        <v>38</v>
      </c>
      <c r="N81">
        <v>4.5580919103724471E-2</v>
      </c>
      <c r="O81" t="s">
        <v>6</v>
      </c>
    </row>
    <row r="82" spans="2:15" x14ac:dyDescent="0.45">
      <c r="B82" t="s">
        <v>557</v>
      </c>
      <c r="C82" t="s">
        <v>39</v>
      </c>
      <c r="D82">
        <v>0</v>
      </c>
      <c r="E82" t="s">
        <v>6</v>
      </c>
      <c r="G82" t="s">
        <v>558</v>
      </c>
      <c r="H82" t="s">
        <v>39</v>
      </c>
      <c r="I82">
        <v>2.5424326633917044E-2</v>
      </c>
      <c r="J82" t="s">
        <v>6</v>
      </c>
      <c r="L82" t="s">
        <v>559</v>
      </c>
      <c r="M82" t="s">
        <v>39</v>
      </c>
      <c r="N82">
        <v>1.7098736498098527E-2</v>
      </c>
      <c r="O82" t="s">
        <v>6</v>
      </c>
    </row>
    <row r="83" spans="2:15" x14ac:dyDescent="0.45">
      <c r="B83" t="s">
        <v>557</v>
      </c>
      <c r="C83" t="s">
        <v>40</v>
      </c>
      <c r="D83">
        <v>5.3603656587971763E-3</v>
      </c>
      <c r="E83" t="s">
        <v>6</v>
      </c>
      <c r="G83" t="s">
        <v>558</v>
      </c>
      <c r="H83" t="s">
        <v>40</v>
      </c>
      <c r="I83">
        <v>2.2950744385140352E-2</v>
      </c>
      <c r="J83" t="s">
        <v>6</v>
      </c>
      <c r="L83" t="s">
        <v>559</v>
      </c>
      <c r="M83" t="s">
        <v>40</v>
      </c>
      <c r="N83">
        <v>1.7335527559082981E-2</v>
      </c>
      <c r="O83" t="s">
        <v>6</v>
      </c>
    </row>
    <row r="84" spans="2:15" x14ac:dyDescent="0.45">
      <c r="B84" t="s">
        <v>557</v>
      </c>
      <c r="C84" t="s">
        <v>41</v>
      </c>
      <c r="D84">
        <v>3.7365266116651544E-2</v>
      </c>
      <c r="E84" t="s">
        <v>6</v>
      </c>
      <c r="G84" t="s">
        <v>558</v>
      </c>
      <c r="H84" t="s">
        <v>41</v>
      </c>
      <c r="I84">
        <v>1.88174270678335E-2</v>
      </c>
      <c r="J84" t="s">
        <v>6</v>
      </c>
      <c r="L84" t="s">
        <v>559</v>
      </c>
      <c r="M84" t="s">
        <v>41</v>
      </c>
      <c r="N84">
        <v>1.7197636114203826E-2</v>
      </c>
      <c r="O84" t="s">
        <v>6</v>
      </c>
    </row>
    <row r="85" spans="2:15" x14ac:dyDescent="0.45">
      <c r="B85" t="s">
        <v>557</v>
      </c>
      <c r="C85" t="s">
        <v>42</v>
      </c>
      <c r="D85">
        <v>6.3292884400933502E-2</v>
      </c>
      <c r="E85" t="s">
        <v>6</v>
      </c>
      <c r="G85" t="s">
        <v>558</v>
      </c>
      <c r="H85" t="s">
        <v>42</v>
      </c>
      <c r="I85">
        <v>1.6058925393900234E-2</v>
      </c>
      <c r="J85" t="s">
        <v>6</v>
      </c>
      <c r="L85" t="s">
        <v>559</v>
      </c>
      <c r="M85" t="s">
        <v>42</v>
      </c>
      <c r="N85">
        <v>1.6200460260942476E-2</v>
      </c>
      <c r="O85" t="s">
        <v>6</v>
      </c>
    </row>
    <row r="86" spans="2:15" x14ac:dyDescent="0.45">
      <c r="B86" t="s">
        <v>557</v>
      </c>
      <c r="C86" t="s">
        <v>43</v>
      </c>
      <c r="D86">
        <v>6.3902248421745425E-2</v>
      </c>
      <c r="E86" t="s">
        <v>6</v>
      </c>
      <c r="G86" t="s">
        <v>558</v>
      </c>
      <c r="H86" t="s">
        <v>43</v>
      </c>
      <c r="I86">
        <v>1.7315231571202697E-2</v>
      </c>
      <c r="J86" t="s">
        <v>6</v>
      </c>
      <c r="L86" t="s">
        <v>559</v>
      </c>
      <c r="M86" t="s">
        <v>43</v>
      </c>
      <c r="N86">
        <v>1.6412467300615335E-2</v>
      </c>
      <c r="O86" t="s">
        <v>6</v>
      </c>
    </row>
    <row r="87" spans="2:15" x14ac:dyDescent="0.45">
      <c r="B87" t="s">
        <v>557</v>
      </c>
      <c r="C87" t="s">
        <v>44</v>
      </c>
      <c r="D87">
        <v>4.31480105398208E-2</v>
      </c>
      <c r="E87" t="s">
        <v>6</v>
      </c>
      <c r="G87" t="s">
        <v>558</v>
      </c>
      <c r="H87" t="s">
        <v>44</v>
      </c>
      <c r="I87">
        <v>2.0232860682188526E-2</v>
      </c>
      <c r="J87" t="s">
        <v>6</v>
      </c>
      <c r="L87" t="s">
        <v>559</v>
      </c>
      <c r="M87" t="s">
        <v>44</v>
      </c>
      <c r="N87">
        <v>1.7247736662009704E-2</v>
      </c>
      <c r="O87" t="s">
        <v>6</v>
      </c>
    </row>
    <row r="88" spans="2:15" x14ac:dyDescent="0.45">
      <c r="B88" t="s">
        <v>557</v>
      </c>
      <c r="C88" t="s">
        <v>45</v>
      </c>
      <c r="D88">
        <v>1.1388906328809898E-2</v>
      </c>
      <c r="E88" t="s">
        <v>6</v>
      </c>
      <c r="G88" t="s">
        <v>558</v>
      </c>
      <c r="H88" t="s">
        <v>45</v>
      </c>
      <c r="I88">
        <v>2.5048377337576488E-2</v>
      </c>
      <c r="J88" t="s">
        <v>6</v>
      </c>
      <c r="L88" t="s">
        <v>559</v>
      </c>
      <c r="M88" t="s">
        <v>45</v>
      </c>
      <c r="N88">
        <v>1.8462729316179715E-2</v>
      </c>
      <c r="O88" t="s">
        <v>6</v>
      </c>
    </row>
    <row r="89" spans="2:15" x14ac:dyDescent="0.45">
      <c r="B89" t="s">
        <v>557</v>
      </c>
      <c r="C89" t="s">
        <v>46</v>
      </c>
      <c r="D89">
        <v>3.21878555156622E-5</v>
      </c>
      <c r="E89" t="s">
        <v>6</v>
      </c>
      <c r="G89" t="s">
        <v>558</v>
      </c>
      <c r="H89" t="s">
        <v>46</v>
      </c>
      <c r="I89">
        <v>2.9264270782693686E-2</v>
      </c>
      <c r="J89" t="s">
        <v>6</v>
      </c>
      <c r="L89" t="s">
        <v>559</v>
      </c>
      <c r="M89" t="s">
        <v>46</v>
      </c>
      <c r="N89">
        <v>1.9154750435602989E-2</v>
      </c>
      <c r="O89" t="s">
        <v>6</v>
      </c>
    </row>
    <row r="90" spans="2:15" x14ac:dyDescent="0.45">
      <c r="B90" t="s">
        <v>557</v>
      </c>
      <c r="C90" t="s">
        <v>47</v>
      </c>
      <c r="D90">
        <v>0</v>
      </c>
      <c r="E90" t="s">
        <v>6</v>
      </c>
      <c r="G90" t="s">
        <v>558</v>
      </c>
      <c r="H90" t="s">
        <v>47</v>
      </c>
      <c r="I90">
        <v>4.127836650928101E-2</v>
      </c>
      <c r="J90" t="s">
        <v>6</v>
      </c>
      <c r="L90" t="s">
        <v>559</v>
      </c>
      <c r="M90" t="s">
        <v>47</v>
      </c>
      <c r="N90">
        <v>2.9077243699796751E-2</v>
      </c>
      <c r="O90" t="s">
        <v>6</v>
      </c>
    </row>
    <row r="91" spans="2:15" x14ac:dyDescent="0.45">
      <c r="B91" t="s">
        <v>560</v>
      </c>
      <c r="C91" t="s">
        <v>5</v>
      </c>
      <c r="D91">
        <v>0</v>
      </c>
      <c r="E91" t="s">
        <v>6</v>
      </c>
      <c r="G91" t="s">
        <v>561</v>
      </c>
      <c r="H91" t="s">
        <v>5</v>
      </c>
      <c r="I91">
        <v>5.9785695530221665E-2</v>
      </c>
      <c r="J91" t="s">
        <v>6</v>
      </c>
      <c r="L91" t="s">
        <v>562</v>
      </c>
      <c r="M91" t="s">
        <v>5</v>
      </c>
      <c r="N91">
        <v>5.9383533553210258E-2</v>
      </c>
      <c r="O91" t="s">
        <v>6</v>
      </c>
    </row>
    <row r="92" spans="2:15" x14ac:dyDescent="0.45">
      <c r="B92" t="s">
        <v>560</v>
      </c>
      <c r="C92" t="s">
        <v>9</v>
      </c>
      <c r="D92">
        <v>0</v>
      </c>
      <c r="E92" t="s">
        <v>6</v>
      </c>
      <c r="G92" t="s">
        <v>561</v>
      </c>
      <c r="H92" t="s">
        <v>9</v>
      </c>
      <c r="I92">
        <v>2.3811607170574137E-2</v>
      </c>
      <c r="J92" t="s">
        <v>6</v>
      </c>
      <c r="L92" t="s">
        <v>562</v>
      </c>
      <c r="M92" t="s">
        <v>9</v>
      </c>
      <c r="N92">
        <v>2.3619694701024055E-2</v>
      </c>
      <c r="O92" t="s">
        <v>6</v>
      </c>
    </row>
    <row r="93" spans="2:15" x14ac:dyDescent="0.45">
      <c r="B93" t="s">
        <v>560</v>
      </c>
      <c r="C93" t="s">
        <v>10</v>
      </c>
      <c r="D93">
        <v>1.8298433018863088E-3</v>
      </c>
      <c r="E93" t="s">
        <v>6</v>
      </c>
      <c r="G93" t="s">
        <v>561</v>
      </c>
      <c r="H93" t="s">
        <v>10</v>
      </c>
      <c r="I93">
        <v>2.5005929472483965E-2</v>
      </c>
      <c r="J93" t="s">
        <v>6</v>
      </c>
      <c r="L93" t="s">
        <v>562</v>
      </c>
      <c r="M93" t="s">
        <v>10</v>
      </c>
      <c r="N93">
        <v>2.3850377988913655E-2</v>
      </c>
      <c r="O93" t="s">
        <v>6</v>
      </c>
    </row>
    <row r="94" spans="2:15" x14ac:dyDescent="0.45">
      <c r="B94" t="s">
        <v>560</v>
      </c>
      <c r="C94" t="s">
        <v>11</v>
      </c>
      <c r="D94">
        <v>2.7214436060883637E-2</v>
      </c>
      <c r="E94" t="s">
        <v>6</v>
      </c>
      <c r="G94" t="s">
        <v>561</v>
      </c>
      <c r="H94" t="s">
        <v>11</v>
      </c>
      <c r="I94">
        <v>2.4470579943252475E-2</v>
      </c>
      <c r="J94" t="s">
        <v>6</v>
      </c>
      <c r="L94" t="s">
        <v>562</v>
      </c>
      <c r="M94" t="s">
        <v>11</v>
      </c>
      <c r="N94">
        <v>2.3864919786269988E-2</v>
      </c>
      <c r="O94" t="s">
        <v>6</v>
      </c>
    </row>
    <row r="95" spans="2:15" x14ac:dyDescent="0.45">
      <c r="B95" t="s">
        <v>560</v>
      </c>
      <c r="C95" t="s">
        <v>12</v>
      </c>
      <c r="D95">
        <v>5.135171911027786E-2</v>
      </c>
      <c r="E95" t="s">
        <v>6</v>
      </c>
      <c r="G95" t="s">
        <v>561</v>
      </c>
      <c r="H95" t="s">
        <v>12</v>
      </c>
      <c r="I95">
        <v>2.5541704308034242E-2</v>
      </c>
      <c r="J95" t="s">
        <v>6</v>
      </c>
      <c r="L95" t="s">
        <v>562</v>
      </c>
      <c r="M95" t="s">
        <v>12</v>
      </c>
      <c r="N95">
        <v>2.3228782988658086E-2</v>
      </c>
      <c r="O95" t="s">
        <v>6</v>
      </c>
    </row>
    <row r="96" spans="2:15" x14ac:dyDescent="0.45">
      <c r="B96" t="s">
        <v>560</v>
      </c>
      <c r="C96" t="s">
        <v>13</v>
      </c>
      <c r="D96">
        <v>5.3848569526034888E-2</v>
      </c>
      <c r="E96" t="s">
        <v>6</v>
      </c>
      <c r="G96" t="s">
        <v>561</v>
      </c>
      <c r="H96" t="s">
        <v>13</v>
      </c>
      <c r="I96">
        <v>2.7350647017743548E-2</v>
      </c>
      <c r="J96" t="s">
        <v>6</v>
      </c>
      <c r="L96" t="s">
        <v>562</v>
      </c>
      <c r="M96" t="s">
        <v>13</v>
      </c>
      <c r="N96">
        <v>2.3481203089709517E-2</v>
      </c>
      <c r="O96" t="s">
        <v>6</v>
      </c>
    </row>
    <row r="97" spans="2:15" x14ac:dyDescent="0.45">
      <c r="B97" t="s">
        <v>560</v>
      </c>
      <c r="C97" t="s">
        <v>14</v>
      </c>
      <c r="D97">
        <v>3.4516246939435641E-2</v>
      </c>
      <c r="E97" t="s">
        <v>6</v>
      </c>
      <c r="G97" t="s">
        <v>561</v>
      </c>
      <c r="H97" t="s">
        <v>14</v>
      </c>
      <c r="I97">
        <v>2.7331389396936766E-2</v>
      </c>
      <c r="J97" t="s">
        <v>6</v>
      </c>
      <c r="L97" t="s">
        <v>562</v>
      </c>
      <c r="M97" t="s">
        <v>14</v>
      </c>
      <c r="N97">
        <v>2.3717323415211062E-2</v>
      </c>
      <c r="O97" t="s">
        <v>6</v>
      </c>
    </row>
    <row r="98" spans="2:15" x14ac:dyDescent="0.45">
      <c r="B98" t="s">
        <v>560</v>
      </c>
      <c r="C98" t="s">
        <v>15</v>
      </c>
      <c r="D98">
        <v>6.3935992934594787E-3</v>
      </c>
      <c r="E98" t="s">
        <v>6</v>
      </c>
      <c r="G98" t="s">
        <v>561</v>
      </c>
      <c r="H98" t="s">
        <v>15</v>
      </c>
      <c r="I98">
        <v>2.7679585146799163E-2</v>
      </c>
      <c r="J98" t="s">
        <v>6</v>
      </c>
      <c r="L98" t="s">
        <v>562</v>
      </c>
      <c r="M98" t="s">
        <v>15</v>
      </c>
      <c r="N98">
        <v>2.413291058295856E-2</v>
      </c>
      <c r="O98" t="s">
        <v>6</v>
      </c>
    </row>
    <row r="99" spans="2:15" x14ac:dyDescent="0.45">
      <c r="B99" t="s">
        <v>560</v>
      </c>
      <c r="C99" t="s">
        <v>16</v>
      </c>
      <c r="D99">
        <v>0</v>
      </c>
      <c r="E99" t="s">
        <v>6</v>
      </c>
      <c r="G99" t="s">
        <v>561</v>
      </c>
      <c r="H99" t="s">
        <v>16</v>
      </c>
      <c r="I99">
        <v>2.6336083433411994E-2</v>
      </c>
      <c r="J99" t="s">
        <v>6</v>
      </c>
      <c r="L99" t="s">
        <v>562</v>
      </c>
      <c r="M99" t="s">
        <v>16</v>
      </c>
      <c r="N99">
        <v>2.4009758338178769E-2</v>
      </c>
      <c r="O99" t="s">
        <v>6</v>
      </c>
    </row>
    <row r="100" spans="2:15" x14ac:dyDescent="0.45">
      <c r="B100" t="s">
        <v>560</v>
      </c>
      <c r="C100" t="s">
        <v>17</v>
      </c>
      <c r="D100">
        <v>0</v>
      </c>
      <c r="E100" t="s">
        <v>6</v>
      </c>
      <c r="G100" t="s">
        <v>561</v>
      </c>
      <c r="H100" t="s">
        <v>17</v>
      </c>
      <c r="I100">
        <v>3.7246527475600873E-2</v>
      </c>
      <c r="J100" t="s">
        <v>6</v>
      </c>
      <c r="L100" t="s">
        <v>562</v>
      </c>
      <c r="M100" t="s">
        <v>17</v>
      </c>
      <c r="N100">
        <v>3.4956478771815395E-2</v>
      </c>
      <c r="O100" t="s">
        <v>6</v>
      </c>
    </row>
    <row r="101" spans="2:15" x14ac:dyDescent="0.45">
      <c r="B101" t="s">
        <v>560</v>
      </c>
      <c r="C101" t="s">
        <v>18</v>
      </c>
      <c r="D101">
        <v>0</v>
      </c>
      <c r="E101" t="s">
        <v>6</v>
      </c>
      <c r="G101" t="s">
        <v>561</v>
      </c>
      <c r="H101" t="s">
        <v>18</v>
      </c>
      <c r="I101">
        <v>5.7799736214539772E-2</v>
      </c>
      <c r="J101" t="s">
        <v>6</v>
      </c>
      <c r="L101" t="s">
        <v>562</v>
      </c>
      <c r="M101" t="s">
        <v>18</v>
      </c>
      <c r="N101">
        <v>6.1607207908805875E-2</v>
      </c>
      <c r="O101" t="s">
        <v>6</v>
      </c>
    </row>
    <row r="102" spans="2:15" x14ac:dyDescent="0.45">
      <c r="B102" t="s">
        <v>560</v>
      </c>
      <c r="C102" t="s">
        <v>19</v>
      </c>
      <c r="D102">
        <v>2.0413933142042056E-4</v>
      </c>
      <c r="E102" t="s">
        <v>6</v>
      </c>
      <c r="G102" t="s">
        <v>561</v>
      </c>
      <c r="H102" t="s">
        <v>19</v>
      </c>
      <c r="I102">
        <v>2.2844494677464713E-2</v>
      </c>
      <c r="J102" t="s">
        <v>6</v>
      </c>
      <c r="L102" t="s">
        <v>562</v>
      </c>
      <c r="M102" t="s">
        <v>19</v>
      </c>
      <c r="N102">
        <v>2.3139509177283437E-2</v>
      </c>
      <c r="O102" t="s">
        <v>6</v>
      </c>
    </row>
    <row r="103" spans="2:15" x14ac:dyDescent="0.45">
      <c r="B103" t="s">
        <v>560</v>
      </c>
      <c r="C103" t="s">
        <v>20</v>
      </c>
      <c r="D103">
        <v>1.452524748427881E-2</v>
      </c>
      <c r="E103" t="s">
        <v>6</v>
      </c>
      <c r="G103" t="s">
        <v>561</v>
      </c>
      <c r="H103" t="s">
        <v>20</v>
      </c>
      <c r="I103">
        <v>2.3888781264592061E-2</v>
      </c>
      <c r="J103" t="s">
        <v>6</v>
      </c>
      <c r="L103" t="s">
        <v>562</v>
      </c>
      <c r="M103" t="s">
        <v>20</v>
      </c>
      <c r="N103">
        <v>2.1675682592011886E-2</v>
      </c>
      <c r="O103" t="s">
        <v>6</v>
      </c>
    </row>
    <row r="104" spans="2:15" x14ac:dyDescent="0.45">
      <c r="B104" t="s">
        <v>560</v>
      </c>
      <c r="C104" t="s">
        <v>21</v>
      </c>
      <c r="D104">
        <v>5.0084734986062952E-2</v>
      </c>
      <c r="E104" t="s">
        <v>6</v>
      </c>
      <c r="G104" t="s">
        <v>561</v>
      </c>
      <c r="H104" t="s">
        <v>21</v>
      </c>
      <c r="I104">
        <v>2.7846868772225204E-2</v>
      </c>
      <c r="J104" t="s">
        <v>6</v>
      </c>
      <c r="L104" t="s">
        <v>562</v>
      </c>
      <c r="M104" t="s">
        <v>21</v>
      </c>
      <c r="N104">
        <v>1.9543381445950886E-2</v>
      </c>
      <c r="O104" t="s">
        <v>6</v>
      </c>
    </row>
    <row r="105" spans="2:15" x14ac:dyDescent="0.45">
      <c r="B105" t="s">
        <v>560</v>
      </c>
      <c r="C105" t="s">
        <v>22</v>
      </c>
      <c r="D105">
        <v>7.2408275086721333E-2</v>
      </c>
      <c r="E105" t="s">
        <v>6</v>
      </c>
      <c r="G105" t="s">
        <v>561</v>
      </c>
      <c r="H105" t="s">
        <v>22</v>
      </c>
      <c r="I105">
        <v>3.1070091900488109E-2</v>
      </c>
      <c r="J105" t="s">
        <v>6</v>
      </c>
      <c r="L105" t="s">
        <v>562</v>
      </c>
      <c r="M105" t="s">
        <v>22</v>
      </c>
      <c r="N105">
        <v>1.8265809654862648E-2</v>
      </c>
      <c r="O105" t="s">
        <v>6</v>
      </c>
    </row>
    <row r="106" spans="2:15" x14ac:dyDescent="0.45">
      <c r="B106" t="s">
        <v>560</v>
      </c>
      <c r="C106" t="s">
        <v>23</v>
      </c>
      <c r="D106">
        <v>7.4710708829519384E-2</v>
      </c>
      <c r="E106" t="s">
        <v>6</v>
      </c>
      <c r="G106" t="s">
        <v>561</v>
      </c>
      <c r="H106" t="s">
        <v>23</v>
      </c>
      <c r="I106">
        <v>3.5895789152453401E-2</v>
      </c>
      <c r="J106" t="s">
        <v>6</v>
      </c>
      <c r="L106" t="s">
        <v>562</v>
      </c>
      <c r="M106" t="s">
        <v>23</v>
      </c>
      <c r="N106">
        <v>2.2099353598891237E-2</v>
      </c>
      <c r="O106" t="s">
        <v>6</v>
      </c>
    </row>
    <row r="107" spans="2:15" x14ac:dyDescent="0.45">
      <c r="B107" t="s">
        <v>560</v>
      </c>
      <c r="C107" t="s">
        <v>24</v>
      </c>
      <c r="D107">
        <v>5.6190728514524696E-2</v>
      </c>
      <c r="E107" t="s">
        <v>6</v>
      </c>
      <c r="G107" t="s">
        <v>561</v>
      </c>
      <c r="H107" t="s">
        <v>24</v>
      </c>
      <c r="I107">
        <v>3.6704531855937216E-2</v>
      </c>
      <c r="J107" t="s">
        <v>6</v>
      </c>
      <c r="L107" t="s">
        <v>562</v>
      </c>
      <c r="M107" t="s">
        <v>24</v>
      </c>
      <c r="N107">
        <v>2.6706728246140669E-2</v>
      </c>
      <c r="O107" t="s">
        <v>6</v>
      </c>
    </row>
    <row r="108" spans="2:15" x14ac:dyDescent="0.45">
      <c r="B108" t="s">
        <v>560</v>
      </c>
      <c r="C108" t="s">
        <v>25</v>
      </c>
      <c r="D108">
        <v>2.1465115893360472E-2</v>
      </c>
      <c r="E108" t="s">
        <v>6</v>
      </c>
      <c r="G108" t="s">
        <v>561</v>
      </c>
      <c r="H108" t="s">
        <v>25</v>
      </c>
      <c r="I108">
        <v>3.4090226471503601E-2</v>
      </c>
      <c r="J108" t="s">
        <v>6</v>
      </c>
      <c r="L108" t="s">
        <v>562</v>
      </c>
      <c r="M108" t="s">
        <v>25</v>
      </c>
      <c r="N108">
        <v>2.8955981993369125E-2</v>
      </c>
      <c r="O108" t="s">
        <v>6</v>
      </c>
    </row>
    <row r="109" spans="2:15" x14ac:dyDescent="0.45">
      <c r="B109" t="s">
        <v>560</v>
      </c>
      <c r="C109" t="s">
        <v>26</v>
      </c>
      <c r="D109">
        <v>4.4423614092567107E-4</v>
      </c>
      <c r="E109" t="s">
        <v>6</v>
      </c>
      <c r="G109" t="s">
        <v>561</v>
      </c>
      <c r="H109" t="s">
        <v>26</v>
      </c>
      <c r="I109">
        <v>3.0282018984299715E-2</v>
      </c>
      <c r="J109" t="s">
        <v>6</v>
      </c>
      <c r="L109" t="s">
        <v>562</v>
      </c>
      <c r="M109" t="s">
        <v>26</v>
      </c>
      <c r="N109">
        <v>2.9142754183193981E-2</v>
      </c>
      <c r="O109" t="s">
        <v>6</v>
      </c>
    </row>
    <row r="110" spans="2:15" x14ac:dyDescent="0.45">
      <c r="B110" t="s">
        <v>560</v>
      </c>
      <c r="C110" t="s">
        <v>27</v>
      </c>
      <c r="D110">
        <v>0</v>
      </c>
      <c r="E110" t="s">
        <v>6</v>
      </c>
      <c r="G110" t="s">
        <v>561</v>
      </c>
      <c r="H110" t="s">
        <v>27</v>
      </c>
      <c r="I110">
        <v>3.9479846551503592E-2</v>
      </c>
      <c r="J110" t="s">
        <v>6</v>
      </c>
      <c r="L110" t="s">
        <v>562</v>
      </c>
      <c r="M110" t="s">
        <v>27</v>
      </c>
      <c r="N110">
        <v>3.9106022982340116E-2</v>
      </c>
      <c r="O110" t="s">
        <v>6</v>
      </c>
    </row>
    <row r="111" spans="2:15" x14ac:dyDescent="0.45">
      <c r="B111" t="s">
        <v>560</v>
      </c>
      <c r="C111" t="s">
        <v>28</v>
      </c>
      <c r="D111">
        <v>0</v>
      </c>
      <c r="E111" t="s">
        <v>6</v>
      </c>
      <c r="G111" t="s">
        <v>561</v>
      </c>
      <c r="H111" t="s">
        <v>28</v>
      </c>
      <c r="I111">
        <v>1.738822320410937E-2</v>
      </c>
      <c r="J111" t="s">
        <v>6</v>
      </c>
      <c r="L111" t="s">
        <v>562</v>
      </c>
      <c r="M111" t="s">
        <v>28</v>
      </c>
      <c r="N111">
        <v>3.6276136145698419E-2</v>
      </c>
      <c r="O111" t="s">
        <v>6</v>
      </c>
    </row>
    <row r="112" spans="2:15" x14ac:dyDescent="0.45">
      <c r="B112" t="s">
        <v>560</v>
      </c>
      <c r="C112" t="s">
        <v>29</v>
      </c>
      <c r="D112">
        <v>4.8194056504223591E-4</v>
      </c>
      <c r="E112" t="s">
        <v>6</v>
      </c>
      <c r="G112" t="s">
        <v>561</v>
      </c>
      <c r="H112" t="s">
        <v>29</v>
      </c>
      <c r="I112">
        <v>6.5639511258777502E-3</v>
      </c>
      <c r="J112" t="s">
        <v>6</v>
      </c>
      <c r="L112" t="s">
        <v>562</v>
      </c>
      <c r="M112" t="s">
        <v>29</v>
      </c>
      <c r="N112">
        <v>1.4813710334194527E-2</v>
      </c>
      <c r="O112" t="s">
        <v>6</v>
      </c>
    </row>
    <row r="113" spans="2:15" x14ac:dyDescent="0.45">
      <c r="B113" t="s">
        <v>560</v>
      </c>
      <c r="C113" t="s">
        <v>30</v>
      </c>
      <c r="D113">
        <v>1.8685516233934673E-2</v>
      </c>
      <c r="E113" t="s">
        <v>6</v>
      </c>
      <c r="G113" t="s">
        <v>561</v>
      </c>
      <c r="H113" t="s">
        <v>30</v>
      </c>
      <c r="I113">
        <v>4.9329341011928058E-3</v>
      </c>
      <c r="J113" t="s">
        <v>6</v>
      </c>
      <c r="L113" t="s">
        <v>562</v>
      </c>
      <c r="M113" t="s">
        <v>30</v>
      </c>
      <c r="N113">
        <v>1.3542797163643502E-2</v>
      </c>
      <c r="O113" t="s">
        <v>6</v>
      </c>
    </row>
    <row r="114" spans="2:15" x14ac:dyDescent="0.45">
      <c r="B114" t="s">
        <v>560</v>
      </c>
      <c r="C114" t="s">
        <v>31</v>
      </c>
      <c r="D114">
        <v>5.4499531489325875E-2</v>
      </c>
      <c r="E114" t="s">
        <v>6</v>
      </c>
      <c r="G114" t="s">
        <v>561</v>
      </c>
      <c r="H114" t="s">
        <v>31</v>
      </c>
      <c r="I114">
        <v>5.1613592258935651E-3</v>
      </c>
      <c r="J114" t="s">
        <v>6</v>
      </c>
      <c r="L114" t="s">
        <v>562</v>
      </c>
      <c r="M114" t="s">
        <v>31</v>
      </c>
      <c r="N114">
        <v>1.2576681598403481E-2</v>
      </c>
      <c r="O114" t="s">
        <v>6</v>
      </c>
    </row>
    <row r="115" spans="2:15" x14ac:dyDescent="0.45">
      <c r="B115" t="s">
        <v>560</v>
      </c>
      <c r="C115" t="s">
        <v>32</v>
      </c>
      <c r="D115">
        <v>7.59539493282433E-2</v>
      </c>
      <c r="E115" t="s">
        <v>6</v>
      </c>
      <c r="G115" t="s">
        <v>561</v>
      </c>
      <c r="H115" t="s">
        <v>32</v>
      </c>
      <c r="I115">
        <v>7.7322264228046004E-3</v>
      </c>
      <c r="J115" t="s">
        <v>6</v>
      </c>
      <c r="L115" t="s">
        <v>562</v>
      </c>
      <c r="M115" t="s">
        <v>32</v>
      </c>
      <c r="N115">
        <v>1.2348814340245526E-2</v>
      </c>
      <c r="O115" t="s">
        <v>6</v>
      </c>
    </row>
    <row r="116" spans="2:15" x14ac:dyDescent="0.45">
      <c r="B116" t="s">
        <v>560</v>
      </c>
      <c r="C116" t="s">
        <v>33</v>
      </c>
      <c r="D116">
        <v>7.7805007158585154E-2</v>
      </c>
      <c r="E116" t="s">
        <v>6</v>
      </c>
      <c r="G116" t="s">
        <v>561</v>
      </c>
      <c r="H116" t="s">
        <v>33</v>
      </c>
      <c r="I116">
        <v>1.4480121485822482E-2</v>
      </c>
      <c r="J116" t="s">
        <v>6</v>
      </c>
      <c r="L116" t="s">
        <v>562</v>
      </c>
      <c r="M116" t="s">
        <v>33</v>
      </c>
      <c r="N116">
        <v>1.4367148652845864E-2</v>
      </c>
      <c r="O116" t="s">
        <v>6</v>
      </c>
    </row>
    <row r="117" spans="2:15" x14ac:dyDescent="0.45">
      <c r="B117" t="s">
        <v>560</v>
      </c>
      <c r="C117" t="s">
        <v>34</v>
      </c>
      <c r="D117">
        <v>6.0139912840352978E-2</v>
      </c>
      <c r="E117" t="s">
        <v>6</v>
      </c>
      <c r="G117" t="s">
        <v>561</v>
      </c>
      <c r="H117" t="s">
        <v>34</v>
      </c>
      <c r="I117">
        <v>1.8490368036995924E-2</v>
      </c>
      <c r="J117" t="s">
        <v>6</v>
      </c>
      <c r="L117" t="s">
        <v>562</v>
      </c>
      <c r="M117" t="s">
        <v>34</v>
      </c>
      <c r="N117">
        <v>1.7152123260848653E-2</v>
      </c>
      <c r="O117" t="s">
        <v>6</v>
      </c>
    </row>
    <row r="118" spans="2:15" x14ac:dyDescent="0.45">
      <c r="B118" t="s">
        <v>560</v>
      </c>
      <c r="C118" t="s">
        <v>35</v>
      </c>
      <c r="D118">
        <v>2.6285366382741933E-2</v>
      </c>
      <c r="E118" t="s">
        <v>6</v>
      </c>
      <c r="G118" t="s">
        <v>561</v>
      </c>
      <c r="H118" t="s">
        <v>35</v>
      </c>
      <c r="I118">
        <v>1.6649824414844274E-2</v>
      </c>
      <c r="J118" t="s">
        <v>6</v>
      </c>
      <c r="L118" t="s">
        <v>562</v>
      </c>
      <c r="M118" t="s">
        <v>35</v>
      </c>
      <c r="N118">
        <v>1.8444920770811724E-2</v>
      </c>
      <c r="O118" t="s">
        <v>6</v>
      </c>
    </row>
    <row r="119" spans="2:15" x14ac:dyDescent="0.45">
      <c r="B119" t="s">
        <v>560</v>
      </c>
      <c r="C119" t="s">
        <v>36</v>
      </c>
      <c r="D119">
        <v>1.3371417342727808E-3</v>
      </c>
      <c r="E119" t="s">
        <v>6</v>
      </c>
      <c r="G119" t="s">
        <v>561</v>
      </c>
      <c r="H119" t="s">
        <v>36</v>
      </c>
      <c r="I119">
        <v>1.0754640322491972E-2</v>
      </c>
      <c r="J119" t="s">
        <v>6</v>
      </c>
      <c r="L119" t="s">
        <v>562</v>
      </c>
      <c r="M119" t="s">
        <v>36</v>
      </c>
      <c r="N119">
        <v>1.8633928237164157E-2</v>
      </c>
      <c r="O119" t="s">
        <v>6</v>
      </c>
    </row>
    <row r="120" spans="2:15" x14ac:dyDescent="0.45">
      <c r="B120" t="s">
        <v>560</v>
      </c>
      <c r="C120" t="s">
        <v>37</v>
      </c>
      <c r="D120">
        <v>0</v>
      </c>
      <c r="E120" t="s">
        <v>6</v>
      </c>
      <c r="G120" t="s">
        <v>561</v>
      </c>
      <c r="H120" t="s">
        <v>37</v>
      </c>
      <c r="I120">
        <v>1.0851782123141597E-2</v>
      </c>
      <c r="J120" t="s">
        <v>6</v>
      </c>
      <c r="L120" t="s">
        <v>562</v>
      </c>
      <c r="M120" t="s">
        <v>37</v>
      </c>
      <c r="N120">
        <v>2.6860817316821377E-2</v>
      </c>
      <c r="O120" t="s">
        <v>6</v>
      </c>
    </row>
    <row r="121" spans="2:15" x14ac:dyDescent="0.45">
      <c r="B121" t="s">
        <v>560</v>
      </c>
      <c r="C121" t="s">
        <v>38</v>
      </c>
      <c r="D121">
        <v>0</v>
      </c>
      <c r="E121" t="s">
        <v>6</v>
      </c>
      <c r="G121" t="s">
        <v>561</v>
      </c>
      <c r="H121" t="s">
        <v>38</v>
      </c>
      <c r="I121">
        <v>4.3261938657767347E-2</v>
      </c>
      <c r="J121" t="s">
        <v>6</v>
      </c>
      <c r="L121" t="s">
        <v>562</v>
      </c>
      <c r="M121" t="s">
        <v>38</v>
      </c>
      <c r="N121">
        <v>4.7602138834401016E-2</v>
      </c>
      <c r="O121" t="s">
        <v>6</v>
      </c>
    </row>
    <row r="122" spans="2:15" x14ac:dyDescent="0.45">
      <c r="B122" t="s">
        <v>560</v>
      </c>
      <c r="C122" t="s">
        <v>39</v>
      </c>
      <c r="D122">
        <v>0</v>
      </c>
      <c r="E122" t="s">
        <v>6</v>
      </c>
      <c r="G122" t="s">
        <v>561</v>
      </c>
      <c r="H122" t="s">
        <v>39</v>
      </c>
      <c r="I122">
        <v>1.72730208292423E-2</v>
      </c>
      <c r="J122" t="s">
        <v>6</v>
      </c>
      <c r="L122" t="s">
        <v>562</v>
      </c>
      <c r="M122" t="s">
        <v>39</v>
      </c>
      <c r="N122">
        <v>1.8220517106366952E-2</v>
      </c>
      <c r="O122" t="s">
        <v>6</v>
      </c>
    </row>
    <row r="123" spans="2:15" x14ac:dyDescent="0.45">
      <c r="B123" t="s">
        <v>560</v>
      </c>
      <c r="C123" t="s">
        <v>40</v>
      </c>
      <c r="D123">
        <v>8.1703969327717868E-3</v>
      </c>
      <c r="E123" t="s">
        <v>6</v>
      </c>
      <c r="G123" t="s">
        <v>561</v>
      </c>
      <c r="H123" t="s">
        <v>40</v>
      </c>
      <c r="I123">
        <v>1.7212051152661684E-2</v>
      </c>
      <c r="J123" t="s">
        <v>6</v>
      </c>
      <c r="L123" t="s">
        <v>562</v>
      </c>
      <c r="M123" t="s">
        <v>40</v>
      </c>
      <c r="N123">
        <v>1.8659664911801467E-2</v>
      </c>
      <c r="O123" t="s">
        <v>6</v>
      </c>
    </row>
    <row r="124" spans="2:15" x14ac:dyDescent="0.45">
      <c r="B124" t="s">
        <v>560</v>
      </c>
      <c r="C124" t="s">
        <v>41</v>
      </c>
      <c r="D124">
        <v>4.0684694594750097E-2</v>
      </c>
      <c r="E124" t="s">
        <v>6</v>
      </c>
      <c r="G124" t="s">
        <v>561</v>
      </c>
      <c r="H124" t="s">
        <v>41</v>
      </c>
      <c r="I124">
        <v>1.736153364782993E-2</v>
      </c>
      <c r="J124" t="s">
        <v>6</v>
      </c>
      <c r="L124" t="s">
        <v>562</v>
      </c>
      <c r="M124" t="s">
        <v>41</v>
      </c>
      <c r="N124">
        <v>1.7919632786331866E-2</v>
      </c>
      <c r="O124" t="s">
        <v>6</v>
      </c>
    </row>
    <row r="125" spans="2:15" x14ac:dyDescent="0.45">
      <c r="B125" t="s">
        <v>560</v>
      </c>
      <c r="C125" t="s">
        <v>42</v>
      </c>
      <c r="D125">
        <v>6.1787654654779478E-2</v>
      </c>
      <c r="E125" t="s">
        <v>6</v>
      </c>
      <c r="G125" t="s">
        <v>561</v>
      </c>
      <c r="H125" t="s">
        <v>42</v>
      </c>
      <c r="I125">
        <v>1.9823287136423531E-2</v>
      </c>
      <c r="J125" t="s">
        <v>6</v>
      </c>
      <c r="L125" t="s">
        <v>562</v>
      </c>
      <c r="M125" t="s">
        <v>42</v>
      </c>
      <c r="N125">
        <v>1.71476127437965E-2</v>
      </c>
      <c r="O125" t="s">
        <v>6</v>
      </c>
    </row>
    <row r="126" spans="2:15" x14ac:dyDescent="0.45">
      <c r="B126" t="s">
        <v>560</v>
      </c>
      <c r="C126" t="s">
        <v>43</v>
      </c>
      <c r="D126">
        <v>6.1247573159179967E-2</v>
      </c>
      <c r="E126" t="s">
        <v>6</v>
      </c>
      <c r="G126" t="s">
        <v>561</v>
      </c>
      <c r="H126" t="s">
        <v>43</v>
      </c>
      <c r="I126">
        <v>2.3761789796610516E-2</v>
      </c>
      <c r="J126" t="s">
        <v>6</v>
      </c>
      <c r="L126" t="s">
        <v>562</v>
      </c>
      <c r="M126" t="s">
        <v>43</v>
      </c>
      <c r="N126">
        <v>1.8929588684304187E-2</v>
      </c>
      <c r="O126" t="s">
        <v>6</v>
      </c>
    </row>
    <row r="127" spans="2:15" x14ac:dyDescent="0.45">
      <c r="B127" t="s">
        <v>560</v>
      </c>
      <c r="C127" t="s">
        <v>44</v>
      </c>
      <c r="D127">
        <v>3.9442237146519322E-2</v>
      </c>
      <c r="E127" t="s">
        <v>6</v>
      </c>
      <c r="G127" t="s">
        <v>561</v>
      </c>
      <c r="H127" t="s">
        <v>44</v>
      </c>
      <c r="I127">
        <v>2.5191511319516337E-2</v>
      </c>
      <c r="J127" t="s">
        <v>6</v>
      </c>
      <c r="L127" t="s">
        <v>562</v>
      </c>
      <c r="M127" t="s">
        <v>44</v>
      </c>
      <c r="N127">
        <v>2.1694487103983043E-2</v>
      </c>
      <c r="O127" t="s">
        <v>6</v>
      </c>
    </row>
    <row r="128" spans="2:15" x14ac:dyDescent="0.45">
      <c r="B128" t="s">
        <v>560</v>
      </c>
      <c r="C128" t="s">
        <v>45</v>
      </c>
      <c r="D128">
        <v>8.2897115952231572E-3</v>
      </c>
      <c r="E128" t="s">
        <v>6</v>
      </c>
      <c r="G128" t="s">
        <v>561</v>
      </c>
      <c r="H128" t="s">
        <v>45</v>
      </c>
      <c r="I128">
        <v>2.4612625444340716E-2</v>
      </c>
      <c r="J128" t="s">
        <v>6</v>
      </c>
      <c r="L128" t="s">
        <v>562</v>
      </c>
      <c r="M128" t="s">
        <v>45</v>
      </c>
      <c r="N128">
        <v>2.335232093369757E-2</v>
      </c>
      <c r="O128" t="s">
        <v>6</v>
      </c>
    </row>
    <row r="129" spans="2:15" x14ac:dyDescent="0.45">
      <c r="B129" t="s">
        <v>560</v>
      </c>
      <c r="C129" t="s">
        <v>46</v>
      </c>
      <c r="D129">
        <v>1.7656854839235105E-6</v>
      </c>
      <c r="E129" t="s">
        <v>6</v>
      </c>
      <c r="G129" t="s">
        <v>561</v>
      </c>
      <c r="H129" t="s">
        <v>46</v>
      </c>
      <c r="I129">
        <v>2.2592460332172819E-2</v>
      </c>
      <c r="J129" t="s">
        <v>6</v>
      </c>
      <c r="L129" t="s">
        <v>562</v>
      </c>
      <c r="M129" t="s">
        <v>46</v>
      </c>
      <c r="N129">
        <v>2.3908909336870524E-2</v>
      </c>
      <c r="O129" t="s">
        <v>6</v>
      </c>
    </row>
    <row r="130" spans="2:15" x14ac:dyDescent="0.45">
      <c r="B130" t="s">
        <v>560</v>
      </c>
      <c r="C130" t="s">
        <v>47</v>
      </c>
      <c r="D130">
        <v>0</v>
      </c>
      <c r="E130" t="s">
        <v>6</v>
      </c>
      <c r="G130" t="s">
        <v>561</v>
      </c>
      <c r="H130" t="s">
        <v>47</v>
      </c>
      <c r="I130">
        <v>3.1442216480191895E-2</v>
      </c>
      <c r="J130" t="s">
        <v>6</v>
      </c>
      <c r="L130" t="s">
        <v>562</v>
      </c>
      <c r="M130" t="s">
        <v>47</v>
      </c>
      <c r="N130">
        <v>3.3060634738974123E-2</v>
      </c>
      <c r="O130" t="s">
        <v>6</v>
      </c>
    </row>
    <row r="131" spans="2:15" x14ac:dyDescent="0.45">
      <c r="B131" t="s">
        <v>563</v>
      </c>
      <c r="C131" t="s">
        <v>5</v>
      </c>
      <c r="D131">
        <v>0</v>
      </c>
      <c r="E131" t="s">
        <v>6</v>
      </c>
      <c r="G131" t="s">
        <v>564</v>
      </c>
      <c r="H131" t="s">
        <v>5</v>
      </c>
      <c r="I131">
        <v>6.5936606456529295E-2</v>
      </c>
      <c r="J131" t="s">
        <v>6</v>
      </c>
      <c r="L131" t="s">
        <v>565</v>
      </c>
      <c r="M131" t="s">
        <v>5</v>
      </c>
      <c r="N131">
        <v>5.9336658912685317E-2</v>
      </c>
      <c r="O131" t="s">
        <v>6</v>
      </c>
    </row>
    <row r="132" spans="2:15" x14ac:dyDescent="0.45">
      <c r="B132" t="s">
        <v>563</v>
      </c>
      <c r="C132" t="s">
        <v>9</v>
      </c>
      <c r="D132">
        <v>0</v>
      </c>
      <c r="E132" t="s">
        <v>6</v>
      </c>
      <c r="G132" t="s">
        <v>564</v>
      </c>
      <c r="H132" t="s">
        <v>9</v>
      </c>
      <c r="I132">
        <v>2.7583741980296957E-2</v>
      </c>
      <c r="J132" t="s">
        <v>6</v>
      </c>
      <c r="L132" t="s">
        <v>565</v>
      </c>
      <c r="M132" t="s">
        <v>9</v>
      </c>
      <c r="N132">
        <v>2.2621286348941713E-2</v>
      </c>
      <c r="O132" t="s">
        <v>6</v>
      </c>
    </row>
    <row r="133" spans="2:15" x14ac:dyDescent="0.45">
      <c r="B133" t="s">
        <v>563</v>
      </c>
      <c r="C133" t="s">
        <v>10</v>
      </c>
      <c r="D133">
        <v>3.5314159630892802E-3</v>
      </c>
      <c r="E133" t="s">
        <v>6</v>
      </c>
      <c r="G133" t="s">
        <v>564</v>
      </c>
      <c r="H133" t="s">
        <v>10</v>
      </c>
      <c r="I133">
        <v>2.8285070964556541E-2</v>
      </c>
      <c r="J133" t="s">
        <v>6</v>
      </c>
      <c r="L133" t="s">
        <v>565</v>
      </c>
      <c r="M133" t="s">
        <v>10</v>
      </c>
      <c r="N133">
        <v>2.1965027303874615E-2</v>
      </c>
      <c r="O133" t="s">
        <v>6</v>
      </c>
    </row>
    <row r="134" spans="2:15" x14ac:dyDescent="0.45">
      <c r="B134" t="s">
        <v>563</v>
      </c>
      <c r="C134" t="s">
        <v>11</v>
      </c>
      <c r="D134">
        <v>3.21584055300735E-2</v>
      </c>
      <c r="E134" t="s">
        <v>6</v>
      </c>
      <c r="G134" t="s">
        <v>564</v>
      </c>
      <c r="H134" t="s">
        <v>11</v>
      </c>
      <c r="I134">
        <v>2.7509522482097714E-2</v>
      </c>
      <c r="J134" t="s">
        <v>6</v>
      </c>
      <c r="L134" t="s">
        <v>565</v>
      </c>
      <c r="M134" t="s">
        <v>11</v>
      </c>
      <c r="N134">
        <v>2.1848054004805172E-2</v>
      </c>
      <c r="O134" t="s">
        <v>6</v>
      </c>
    </row>
    <row r="135" spans="2:15" x14ac:dyDescent="0.45">
      <c r="B135" t="s">
        <v>563</v>
      </c>
      <c r="C135" t="s">
        <v>12</v>
      </c>
      <c r="D135">
        <v>5.5586942251822251E-2</v>
      </c>
      <c r="E135" t="s">
        <v>6</v>
      </c>
      <c r="G135" t="s">
        <v>564</v>
      </c>
      <c r="H135" t="s">
        <v>12</v>
      </c>
      <c r="I135">
        <v>2.5634379758039075E-2</v>
      </c>
      <c r="J135" t="s">
        <v>6</v>
      </c>
      <c r="L135" t="s">
        <v>565</v>
      </c>
      <c r="M135" t="s">
        <v>12</v>
      </c>
      <c r="N135">
        <v>2.1771116698908955E-2</v>
      </c>
      <c r="O135" t="s">
        <v>6</v>
      </c>
    </row>
    <row r="136" spans="2:15" x14ac:dyDescent="0.45">
      <c r="B136" t="s">
        <v>563</v>
      </c>
      <c r="C136" t="s">
        <v>13</v>
      </c>
      <c r="D136">
        <v>5.4096984222157654E-2</v>
      </c>
      <c r="E136" t="s">
        <v>6</v>
      </c>
      <c r="G136" t="s">
        <v>564</v>
      </c>
      <c r="H136" t="s">
        <v>13</v>
      </c>
      <c r="I136">
        <v>2.4992864618807304E-2</v>
      </c>
      <c r="J136" t="s">
        <v>6</v>
      </c>
      <c r="L136" t="s">
        <v>565</v>
      </c>
      <c r="M136" t="s">
        <v>13</v>
      </c>
      <c r="N136">
        <v>2.1635700650119095E-2</v>
      </c>
      <c r="O136" t="s">
        <v>6</v>
      </c>
    </row>
    <row r="137" spans="2:15" x14ac:dyDescent="0.45">
      <c r="B137" t="s">
        <v>563</v>
      </c>
      <c r="C137" t="s">
        <v>14</v>
      </c>
      <c r="D137">
        <v>3.3341023301724462E-2</v>
      </c>
      <c r="E137" t="s">
        <v>6</v>
      </c>
      <c r="G137" t="s">
        <v>564</v>
      </c>
      <c r="H137" t="s">
        <v>14</v>
      </c>
      <c r="I137">
        <v>2.4585330944059923E-2</v>
      </c>
      <c r="J137" t="s">
        <v>6</v>
      </c>
      <c r="L137" t="s">
        <v>565</v>
      </c>
      <c r="M137" t="s">
        <v>14</v>
      </c>
      <c r="N137">
        <v>2.2290820674750189E-2</v>
      </c>
      <c r="O137" t="s">
        <v>6</v>
      </c>
    </row>
    <row r="138" spans="2:15" x14ac:dyDescent="0.45">
      <c r="B138" t="s">
        <v>563</v>
      </c>
      <c r="C138" t="s">
        <v>15</v>
      </c>
      <c r="D138">
        <v>5.4292867195004499E-3</v>
      </c>
      <c r="E138" t="s">
        <v>6</v>
      </c>
      <c r="G138" t="s">
        <v>564</v>
      </c>
      <c r="H138" t="s">
        <v>15</v>
      </c>
      <c r="I138">
        <v>2.4943537652862374E-2</v>
      </c>
      <c r="J138" t="s">
        <v>6</v>
      </c>
      <c r="L138" t="s">
        <v>565</v>
      </c>
      <c r="M138" t="s">
        <v>15</v>
      </c>
      <c r="N138">
        <v>2.2868332813393635E-2</v>
      </c>
      <c r="O138" t="s">
        <v>6</v>
      </c>
    </row>
    <row r="139" spans="2:15" x14ac:dyDescent="0.45">
      <c r="B139" t="s">
        <v>563</v>
      </c>
      <c r="C139" t="s">
        <v>16</v>
      </c>
      <c r="D139">
        <v>0</v>
      </c>
      <c r="E139" t="s">
        <v>6</v>
      </c>
      <c r="G139" t="s">
        <v>564</v>
      </c>
      <c r="H139" t="s">
        <v>16</v>
      </c>
      <c r="I139">
        <v>2.4217105507005642E-2</v>
      </c>
      <c r="J139" t="s">
        <v>6</v>
      </c>
      <c r="L139" t="s">
        <v>565</v>
      </c>
      <c r="M139" t="s">
        <v>16</v>
      </c>
      <c r="N139">
        <v>2.3356988955181242E-2</v>
      </c>
      <c r="O139" t="s">
        <v>6</v>
      </c>
    </row>
    <row r="140" spans="2:15" x14ac:dyDescent="0.45">
      <c r="B140" t="s">
        <v>563</v>
      </c>
      <c r="C140" t="s">
        <v>17</v>
      </c>
      <c r="D140">
        <v>0</v>
      </c>
      <c r="E140" t="s">
        <v>6</v>
      </c>
      <c r="G140" t="s">
        <v>564</v>
      </c>
      <c r="H140" t="s">
        <v>17</v>
      </c>
      <c r="I140">
        <v>3.7328537683137528E-2</v>
      </c>
      <c r="J140" t="s">
        <v>6</v>
      </c>
      <c r="L140" t="s">
        <v>565</v>
      </c>
      <c r="M140" t="s">
        <v>17</v>
      </c>
      <c r="N140">
        <v>3.5238801395787334E-2</v>
      </c>
      <c r="O140" t="s">
        <v>6</v>
      </c>
    </row>
    <row r="141" spans="2:15" x14ac:dyDescent="0.45">
      <c r="B141" t="s">
        <v>563</v>
      </c>
      <c r="C141" t="s">
        <v>18</v>
      </c>
      <c r="D141">
        <v>0</v>
      </c>
      <c r="E141" t="s">
        <v>6</v>
      </c>
      <c r="G141" t="s">
        <v>564</v>
      </c>
      <c r="H141" t="s">
        <v>18</v>
      </c>
      <c r="I141">
        <v>5.0625621327308808E-2</v>
      </c>
      <c r="J141" t="s">
        <v>6</v>
      </c>
      <c r="L141" t="s">
        <v>565</v>
      </c>
      <c r="M141" t="s">
        <v>18</v>
      </c>
      <c r="N141">
        <v>6.6869856086306675E-2</v>
      </c>
      <c r="O141" t="s">
        <v>6</v>
      </c>
    </row>
    <row r="142" spans="2:15" x14ac:dyDescent="0.45">
      <c r="B142" t="s">
        <v>563</v>
      </c>
      <c r="C142" t="s">
        <v>19</v>
      </c>
      <c r="D142">
        <v>3.406033083129569E-4</v>
      </c>
      <c r="E142" t="s">
        <v>6</v>
      </c>
      <c r="G142" t="s">
        <v>564</v>
      </c>
      <c r="H142" t="s">
        <v>19</v>
      </c>
      <c r="I142">
        <v>2.3042923075711007E-2</v>
      </c>
      <c r="J142" t="s">
        <v>6</v>
      </c>
      <c r="L142" t="s">
        <v>565</v>
      </c>
      <c r="M142" t="s">
        <v>19</v>
      </c>
      <c r="N142">
        <v>2.4706402119387294E-2</v>
      </c>
      <c r="O142" t="s">
        <v>6</v>
      </c>
    </row>
    <row r="143" spans="2:15" x14ac:dyDescent="0.45">
      <c r="B143" t="s">
        <v>563</v>
      </c>
      <c r="C143" t="s">
        <v>20</v>
      </c>
      <c r="D143">
        <v>1.7335819408326889E-2</v>
      </c>
      <c r="E143" t="s">
        <v>6</v>
      </c>
      <c r="G143" t="s">
        <v>564</v>
      </c>
      <c r="H143" t="s">
        <v>20</v>
      </c>
      <c r="I143">
        <v>2.4906617164517465E-2</v>
      </c>
      <c r="J143" t="s">
        <v>6</v>
      </c>
      <c r="L143" t="s">
        <v>565</v>
      </c>
      <c r="M143" t="s">
        <v>20</v>
      </c>
      <c r="N143">
        <v>2.3061591736451531E-2</v>
      </c>
      <c r="O143" t="s">
        <v>6</v>
      </c>
    </row>
    <row r="144" spans="2:15" x14ac:dyDescent="0.45">
      <c r="B144" t="s">
        <v>563</v>
      </c>
      <c r="C144" t="s">
        <v>21</v>
      </c>
      <c r="D144">
        <v>5.4006473353298605E-2</v>
      </c>
      <c r="E144" t="s">
        <v>6</v>
      </c>
      <c r="G144" t="s">
        <v>564</v>
      </c>
      <c r="H144" t="s">
        <v>21</v>
      </c>
      <c r="I144">
        <v>2.597733923356366E-2</v>
      </c>
      <c r="J144" t="s">
        <v>6</v>
      </c>
      <c r="L144" t="s">
        <v>565</v>
      </c>
      <c r="M144" t="s">
        <v>21</v>
      </c>
      <c r="N144">
        <v>2.192867104395177E-2</v>
      </c>
      <c r="O144" t="s">
        <v>6</v>
      </c>
    </row>
    <row r="145" spans="2:15" x14ac:dyDescent="0.45">
      <c r="B145" t="s">
        <v>563</v>
      </c>
      <c r="C145" t="s">
        <v>22</v>
      </c>
      <c r="D145">
        <v>7.3683574136085186E-2</v>
      </c>
      <c r="E145" t="s">
        <v>6</v>
      </c>
      <c r="G145" t="s">
        <v>564</v>
      </c>
      <c r="H145" t="s">
        <v>22</v>
      </c>
      <c r="I145">
        <v>2.5211783146857E-2</v>
      </c>
      <c r="J145" t="s">
        <v>6</v>
      </c>
      <c r="L145" t="s">
        <v>565</v>
      </c>
      <c r="M145" t="s">
        <v>22</v>
      </c>
      <c r="N145">
        <v>2.0084764525747444E-2</v>
      </c>
      <c r="O145" t="s">
        <v>6</v>
      </c>
    </row>
    <row r="146" spans="2:15" x14ac:dyDescent="0.45">
      <c r="B146" t="s">
        <v>563</v>
      </c>
      <c r="C146" t="s">
        <v>23</v>
      </c>
      <c r="D146">
        <v>7.2219476881611205E-2</v>
      </c>
      <c r="E146" t="s">
        <v>6</v>
      </c>
      <c r="G146" t="s">
        <v>564</v>
      </c>
      <c r="H146" t="s">
        <v>23</v>
      </c>
      <c r="I146">
        <v>2.6588472817754758E-2</v>
      </c>
      <c r="J146" t="s">
        <v>6</v>
      </c>
      <c r="L146" t="s">
        <v>565</v>
      </c>
      <c r="M146" t="s">
        <v>23</v>
      </c>
      <c r="N146">
        <v>2.1260020737562304E-2</v>
      </c>
      <c r="O146" t="s">
        <v>6</v>
      </c>
    </row>
    <row r="147" spans="2:15" x14ac:dyDescent="0.45">
      <c r="B147" t="s">
        <v>563</v>
      </c>
      <c r="C147" t="s">
        <v>24</v>
      </c>
      <c r="D147">
        <v>5.2988775427289303E-2</v>
      </c>
      <c r="E147" t="s">
        <v>6</v>
      </c>
      <c r="G147" t="s">
        <v>564</v>
      </c>
      <c r="H147" t="s">
        <v>24</v>
      </c>
      <c r="I147">
        <v>2.667848299690434E-2</v>
      </c>
      <c r="J147" t="s">
        <v>6</v>
      </c>
      <c r="L147" t="s">
        <v>565</v>
      </c>
      <c r="M147" t="s">
        <v>24</v>
      </c>
      <c r="N147">
        <v>2.3439857450587458E-2</v>
      </c>
      <c r="O147" t="s">
        <v>6</v>
      </c>
    </row>
    <row r="148" spans="2:15" x14ac:dyDescent="0.45">
      <c r="B148" t="s">
        <v>563</v>
      </c>
      <c r="C148" t="s">
        <v>25</v>
      </c>
      <c r="D148">
        <v>1.8728468637420857E-2</v>
      </c>
      <c r="E148" t="s">
        <v>6</v>
      </c>
      <c r="G148" t="s">
        <v>564</v>
      </c>
      <c r="H148" t="s">
        <v>25</v>
      </c>
      <c r="I148">
        <v>2.584584007521315E-2</v>
      </c>
      <c r="J148" t="s">
        <v>6</v>
      </c>
      <c r="L148" t="s">
        <v>565</v>
      </c>
      <c r="M148" t="s">
        <v>25</v>
      </c>
      <c r="N148">
        <v>2.5570997384446115E-2</v>
      </c>
      <c r="O148" t="s">
        <v>6</v>
      </c>
    </row>
    <row r="149" spans="2:15" x14ac:dyDescent="0.45">
      <c r="B149" t="s">
        <v>563</v>
      </c>
      <c r="C149" t="s">
        <v>26</v>
      </c>
      <c r="D149">
        <v>2.8621151323504791E-4</v>
      </c>
      <c r="E149" t="s">
        <v>6</v>
      </c>
      <c r="G149" t="s">
        <v>564</v>
      </c>
      <c r="H149" t="s">
        <v>26</v>
      </c>
      <c r="I149">
        <v>2.3571948496685573E-2</v>
      </c>
      <c r="J149" t="s">
        <v>6</v>
      </c>
      <c r="L149" t="s">
        <v>565</v>
      </c>
      <c r="M149" t="s">
        <v>26</v>
      </c>
      <c r="N149">
        <v>2.7023063297384152E-2</v>
      </c>
      <c r="O149" t="s">
        <v>6</v>
      </c>
    </row>
    <row r="150" spans="2:15" x14ac:dyDescent="0.45">
      <c r="B150" t="s">
        <v>563</v>
      </c>
      <c r="C150" t="s">
        <v>27</v>
      </c>
      <c r="D150">
        <v>0</v>
      </c>
      <c r="E150" t="s">
        <v>6</v>
      </c>
      <c r="G150" t="s">
        <v>564</v>
      </c>
      <c r="H150" t="s">
        <v>27</v>
      </c>
      <c r="I150">
        <v>3.2659140407084251E-2</v>
      </c>
      <c r="J150" t="s">
        <v>6</v>
      </c>
      <c r="L150" t="s">
        <v>565</v>
      </c>
      <c r="M150" t="s">
        <v>27</v>
      </c>
      <c r="N150">
        <v>4.0612175170254707E-2</v>
      </c>
      <c r="O150" t="s">
        <v>6</v>
      </c>
    </row>
    <row r="151" spans="2:15" x14ac:dyDescent="0.45">
      <c r="B151" t="s">
        <v>563</v>
      </c>
      <c r="C151" t="s">
        <v>28</v>
      </c>
      <c r="D151">
        <v>0</v>
      </c>
      <c r="E151" t="s">
        <v>6</v>
      </c>
      <c r="G151" t="s">
        <v>564</v>
      </c>
      <c r="H151" t="s">
        <v>28</v>
      </c>
      <c r="I151">
        <v>2.3028510257269763E-2</v>
      </c>
      <c r="J151" t="s">
        <v>6</v>
      </c>
      <c r="L151" t="s">
        <v>565</v>
      </c>
      <c r="M151" t="s">
        <v>28</v>
      </c>
      <c r="N151">
        <v>4.5696865245307451E-2</v>
      </c>
      <c r="O151" t="s">
        <v>6</v>
      </c>
    </row>
    <row r="152" spans="2:15" x14ac:dyDescent="0.45">
      <c r="B152" t="s">
        <v>563</v>
      </c>
      <c r="C152" t="s">
        <v>29</v>
      </c>
      <c r="D152">
        <v>7.1395122303107234E-4</v>
      </c>
      <c r="E152" t="s">
        <v>6</v>
      </c>
      <c r="G152" t="s">
        <v>564</v>
      </c>
      <c r="H152" t="s">
        <v>29</v>
      </c>
      <c r="I152">
        <v>1.0208649203755037E-2</v>
      </c>
      <c r="J152" t="s">
        <v>6</v>
      </c>
      <c r="L152" t="s">
        <v>565</v>
      </c>
      <c r="M152" t="s">
        <v>29</v>
      </c>
      <c r="N152">
        <v>1.7778895398208077E-2</v>
      </c>
      <c r="O152" t="s">
        <v>6</v>
      </c>
    </row>
    <row r="153" spans="2:15" x14ac:dyDescent="0.45">
      <c r="B153" t="s">
        <v>563</v>
      </c>
      <c r="C153" t="s">
        <v>30</v>
      </c>
      <c r="D153">
        <v>2.1582929870791023E-2</v>
      </c>
      <c r="E153" t="s">
        <v>6</v>
      </c>
      <c r="G153" t="s">
        <v>564</v>
      </c>
      <c r="H153" t="s">
        <v>30</v>
      </c>
      <c r="I153">
        <v>8.4128367671257587E-3</v>
      </c>
      <c r="J153" t="s">
        <v>6</v>
      </c>
      <c r="L153" t="s">
        <v>565</v>
      </c>
      <c r="M153" t="s">
        <v>30</v>
      </c>
      <c r="N153">
        <v>1.5702579867104285E-2</v>
      </c>
      <c r="O153" t="s">
        <v>6</v>
      </c>
    </row>
    <row r="154" spans="2:15" x14ac:dyDescent="0.45">
      <c r="B154" t="s">
        <v>563</v>
      </c>
      <c r="C154" t="s">
        <v>31</v>
      </c>
      <c r="D154">
        <v>5.7175718755449682E-2</v>
      </c>
      <c r="E154" t="s">
        <v>6</v>
      </c>
      <c r="G154" t="s">
        <v>564</v>
      </c>
      <c r="H154" t="s">
        <v>31</v>
      </c>
      <c r="I154">
        <v>7.1026938458219136E-3</v>
      </c>
      <c r="J154" t="s">
        <v>6</v>
      </c>
      <c r="L154" t="s">
        <v>565</v>
      </c>
      <c r="M154" t="s">
        <v>31</v>
      </c>
      <c r="N154">
        <v>1.370008434821009E-2</v>
      </c>
      <c r="O154" t="s">
        <v>6</v>
      </c>
    </row>
    <row r="155" spans="2:15" x14ac:dyDescent="0.45">
      <c r="B155" t="s">
        <v>563</v>
      </c>
      <c r="C155" t="s">
        <v>32</v>
      </c>
      <c r="D155">
        <v>7.5645321862608583E-2</v>
      </c>
      <c r="E155" t="s">
        <v>6</v>
      </c>
      <c r="G155" t="s">
        <v>564</v>
      </c>
      <c r="H155" t="s">
        <v>32</v>
      </c>
      <c r="I155">
        <v>6.5169334398062859E-3</v>
      </c>
      <c r="J155" t="s">
        <v>6</v>
      </c>
      <c r="L155" t="s">
        <v>565</v>
      </c>
      <c r="M155" t="s">
        <v>32</v>
      </c>
      <c r="N155">
        <v>1.3518420660431924E-2</v>
      </c>
      <c r="O155" t="s">
        <v>6</v>
      </c>
    </row>
    <row r="156" spans="2:15" x14ac:dyDescent="0.45">
      <c r="B156" t="s">
        <v>563</v>
      </c>
      <c r="C156" t="s">
        <v>33</v>
      </c>
      <c r="D156">
        <v>7.3346971812508432E-2</v>
      </c>
      <c r="E156" t="s">
        <v>6</v>
      </c>
      <c r="G156" t="s">
        <v>564</v>
      </c>
      <c r="H156" t="s">
        <v>33</v>
      </c>
      <c r="I156">
        <v>1.0210399619136001E-2</v>
      </c>
      <c r="J156" t="s">
        <v>6</v>
      </c>
      <c r="L156" t="s">
        <v>565</v>
      </c>
      <c r="M156" t="s">
        <v>33</v>
      </c>
      <c r="N156">
        <v>1.5841296842662594E-2</v>
      </c>
      <c r="O156" t="s">
        <v>6</v>
      </c>
    </row>
    <row r="157" spans="2:15" x14ac:dyDescent="0.45">
      <c r="B157" t="s">
        <v>563</v>
      </c>
      <c r="C157" t="s">
        <v>34</v>
      </c>
      <c r="D157">
        <v>5.3900755080498866E-2</v>
      </c>
      <c r="E157" t="s">
        <v>6</v>
      </c>
      <c r="G157" t="s">
        <v>564</v>
      </c>
      <c r="H157" t="s">
        <v>34</v>
      </c>
      <c r="I157">
        <v>1.405037798718874E-2</v>
      </c>
      <c r="J157" t="s">
        <v>6</v>
      </c>
      <c r="L157" t="s">
        <v>565</v>
      </c>
      <c r="M157" t="s">
        <v>34</v>
      </c>
      <c r="N157">
        <v>1.871029288466973E-2</v>
      </c>
      <c r="O157" t="s">
        <v>6</v>
      </c>
    </row>
    <row r="158" spans="2:15" x14ac:dyDescent="0.45">
      <c r="B158" t="s">
        <v>563</v>
      </c>
      <c r="C158" t="s">
        <v>35</v>
      </c>
      <c r="D158">
        <v>2.2526570884556129E-2</v>
      </c>
      <c r="E158" t="s">
        <v>6</v>
      </c>
      <c r="G158" t="s">
        <v>564</v>
      </c>
      <c r="H158" t="s">
        <v>35</v>
      </c>
      <c r="I158">
        <v>1.390066419355122E-2</v>
      </c>
      <c r="J158" t="s">
        <v>6</v>
      </c>
      <c r="L158" t="s">
        <v>565</v>
      </c>
      <c r="M158" t="s">
        <v>35</v>
      </c>
      <c r="N158">
        <v>1.9390610331374954E-2</v>
      </c>
      <c r="O158" t="s">
        <v>6</v>
      </c>
    </row>
    <row r="159" spans="2:15" x14ac:dyDescent="0.45">
      <c r="B159" t="s">
        <v>563</v>
      </c>
      <c r="C159" t="s">
        <v>36</v>
      </c>
      <c r="D159">
        <v>9.6003102410642668E-4</v>
      </c>
      <c r="E159" t="s">
        <v>6</v>
      </c>
      <c r="G159" t="s">
        <v>564</v>
      </c>
      <c r="H159" t="s">
        <v>36</v>
      </c>
      <c r="I159">
        <v>1.18277271527136E-2</v>
      </c>
      <c r="J159" t="s">
        <v>6</v>
      </c>
      <c r="L159" t="s">
        <v>565</v>
      </c>
      <c r="M159" t="s">
        <v>36</v>
      </c>
      <c r="N159">
        <v>1.8594278242663503E-2</v>
      </c>
      <c r="O159" t="s">
        <v>6</v>
      </c>
    </row>
    <row r="160" spans="2:15" x14ac:dyDescent="0.45">
      <c r="B160" t="s">
        <v>563</v>
      </c>
      <c r="C160" t="s">
        <v>37</v>
      </c>
      <c r="D160">
        <v>0</v>
      </c>
      <c r="E160" t="s">
        <v>6</v>
      </c>
      <c r="G160" t="s">
        <v>564</v>
      </c>
      <c r="H160" t="s">
        <v>37</v>
      </c>
      <c r="I160">
        <v>1.4116144364798276E-2</v>
      </c>
      <c r="J160" t="s">
        <v>6</v>
      </c>
      <c r="L160" t="s">
        <v>565</v>
      </c>
      <c r="M160" t="s">
        <v>37</v>
      </c>
      <c r="N160">
        <v>2.5932248816253771E-2</v>
      </c>
      <c r="O160" t="s">
        <v>6</v>
      </c>
    </row>
    <row r="161" spans="2:15" x14ac:dyDescent="0.45">
      <c r="B161" t="s">
        <v>563</v>
      </c>
      <c r="C161" t="s">
        <v>38</v>
      </c>
      <c r="D161">
        <v>0</v>
      </c>
      <c r="E161" t="s">
        <v>6</v>
      </c>
      <c r="G161" t="s">
        <v>564</v>
      </c>
      <c r="H161" t="s">
        <v>38</v>
      </c>
      <c r="I161">
        <v>5.5768526253151596E-2</v>
      </c>
      <c r="J161" t="s">
        <v>6</v>
      </c>
      <c r="L161" t="s">
        <v>565</v>
      </c>
      <c r="M161" t="s">
        <v>38</v>
      </c>
      <c r="N161">
        <v>4.7204213956317971E-2</v>
      </c>
      <c r="O161" t="s">
        <v>6</v>
      </c>
    </row>
    <row r="162" spans="2:15" x14ac:dyDescent="0.45">
      <c r="B162" t="s">
        <v>563</v>
      </c>
      <c r="C162" t="s">
        <v>39</v>
      </c>
      <c r="D162">
        <v>0</v>
      </c>
      <c r="E162" t="s">
        <v>6</v>
      </c>
      <c r="G162" t="s">
        <v>564</v>
      </c>
      <c r="H162" t="s">
        <v>39</v>
      </c>
      <c r="I162">
        <v>2.3592510841255035E-2</v>
      </c>
      <c r="J162" t="s">
        <v>6</v>
      </c>
      <c r="L162" t="s">
        <v>565</v>
      </c>
      <c r="M162" t="s">
        <v>39</v>
      </c>
      <c r="N162">
        <v>1.8606838701807345E-2</v>
      </c>
      <c r="O162" t="s">
        <v>6</v>
      </c>
    </row>
    <row r="163" spans="2:15" x14ac:dyDescent="0.45">
      <c r="B163" t="s">
        <v>563</v>
      </c>
      <c r="C163" t="s">
        <v>40</v>
      </c>
      <c r="D163">
        <v>1.0121682546489546E-2</v>
      </c>
      <c r="E163" t="s">
        <v>6</v>
      </c>
      <c r="G163" t="s">
        <v>564</v>
      </c>
      <c r="H163" t="s">
        <v>40</v>
      </c>
      <c r="I163">
        <v>2.3263850559740191E-2</v>
      </c>
      <c r="J163" t="s">
        <v>6</v>
      </c>
      <c r="L163" t="s">
        <v>565</v>
      </c>
      <c r="M163" t="s">
        <v>40</v>
      </c>
      <c r="N163">
        <v>1.8636725942917369E-2</v>
      </c>
      <c r="O163" t="s">
        <v>6</v>
      </c>
    </row>
    <row r="164" spans="2:15" x14ac:dyDescent="0.45">
      <c r="B164" t="s">
        <v>563</v>
      </c>
      <c r="C164" t="s">
        <v>41</v>
      </c>
      <c r="D164">
        <v>4.3547467101854011E-2</v>
      </c>
      <c r="E164" t="s">
        <v>6</v>
      </c>
      <c r="G164" t="s">
        <v>564</v>
      </c>
      <c r="H164" t="s">
        <v>41</v>
      </c>
      <c r="I164">
        <v>2.3047775929975964E-2</v>
      </c>
      <c r="J164" t="s">
        <v>6</v>
      </c>
      <c r="L164" t="s">
        <v>565</v>
      </c>
      <c r="M164" t="s">
        <v>41</v>
      </c>
      <c r="N164">
        <v>1.8113320252133639E-2</v>
      </c>
      <c r="O164" t="s">
        <v>6</v>
      </c>
    </row>
    <row r="165" spans="2:15" x14ac:dyDescent="0.45">
      <c r="B165" t="s">
        <v>563</v>
      </c>
      <c r="C165" t="s">
        <v>42</v>
      </c>
      <c r="D165">
        <v>6.3055012224197918E-2</v>
      </c>
      <c r="E165" t="s">
        <v>6</v>
      </c>
      <c r="G165" t="s">
        <v>564</v>
      </c>
      <c r="H165" t="s">
        <v>42</v>
      </c>
      <c r="I165">
        <v>2.2629261259895606E-2</v>
      </c>
      <c r="J165" t="s">
        <v>6</v>
      </c>
      <c r="L165" t="s">
        <v>565</v>
      </c>
      <c r="M165" t="s">
        <v>42</v>
      </c>
      <c r="N165">
        <v>1.6854923373474998E-2</v>
      </c>
      <c r="O165" t="s">
        <v>6</v>
      </c>
    </row>
    <row r="166" spans="2:15" x14ac:dyDescent="0.45">
      <c r="B166" t="s">
        <v>563</v>
      </c>
      <c r="C166" t="s">
        <v>43</v>
      </c>
      <c r="D166">
        <v>5.9951723639598546E-2</v>
      </c>
      <c r="E166" t="s">
        <v>6</v>
      </c>
      <c r="G166" t="s">
        <v>564</v>
      </c>
      <c r="H166" t="s">
        <v>43</v>
      </c>
      <c r="I166">
        <v>2.4846615084845619E-2</v>
      </c>
      <c r="J166" t="s">
        <v>6</v>
      </c>
      <c r="L166" t="s">
        <v>565</v>
      </c>
      <c r="M166" t="s">
        <v>43</v>
      </c>
      <c r="N166">
        <v>1.7492730046677962E-2</v>
      </c>
      <c r="O166" t="s">
        <v>6</v>
      </c>
    </row>
    <row r="167" spans="2:15" x14ac:dyDescent="0.45">
      <c r="B167" t="s">
        <v>563</v>
      </c>
      <c r="C167" t="s">
        <v>44</v>
      </c>
      <c r="D167">
        <v>3.696421455184077E-2</v>
      </c>
      <c r="E167" t="s">
        <v>6</v>
      </c>
      <c r="G167" t="s">
        <v>564</v>
      </c>
      <c r="H167" t="s">
        <v>44</v>
      </c>
      <c r="I167">
        <v>2.5378486310471144E-2</v>
      </c>
      <c r="J167" t="s">
        <v>6</v>
      </c>
      <c r="L167" t="s">
        <v>565</v>
      </c>
      <c r="M167" t="s">
        <v>44</v>
      </c>
      <c r="N167">
        <v>1.9287099006661469E-2</v>
      </c>
      <c r="O167" t="s">
        <v>6</v>
      </c>
    </row>
    <row r="168" spans="2:15" x14ac:dyDescent="0.45">
      <c r="B168" t="s">
        <v>563</v>
      </c>
      <c r="C168" t="s">
        <v>45</v>
      </c>
      <c r="D168">
        <v>6.7741887685201386E-3</v>
      </c>
      <c r="E168" t="s">
        <v>6</v>
      </c>
      <c r="G168" t="s">
        <v>564</v>
      </c>
      <c r="H168" t="s">
        <v>45</v>
      </c>
      <c r="I168">
        <v>2.5538083970068393E-2</v>
      </c>
      <c r="J168" t="s">
        <v>6</v>
      </c>
      <c r="L168" t="s">
        <v>565</v>
      </c>
      <c r="M168" t="s">
        <v>45</v>
      </c>
      <c r="N168">
        <v>2.0570423184614058E-2</v>
      </c>
      <c r="O168" t="s">
        <v>6</v>
      </c>
    </row>
    <row r="169" spans="2:15" x14ac:dyDescent="0.45">
      <c r="B169" t="s">
        <v>563</v>
      </c>
      <c r="C169" t="s">
        <v>46</v>
      </c>
      <c r="D169">
        <v>0</v>
      </c>
      <c r="E169" t="s">
        <v>6</v>
      </c>
      <c r="G169" t="s">
        <v>564</v>
      </c>
      <c r="H169" t="s">
        <v>46</v>
      </c>
      <c r="I169">
        <v>2.5237441269180302E-2</v>
      </c>
      <c r="J169" t="s">
        <v>6</v>
      </c>
      <c r="L169" t="s">
        <v>565</v>
      </c>
      <c r="M169" t="s">
        <v>46</v>
      </c>
      <c r="N169">
        <v>2.0496646766095854E-2</v>
      </c>
      <c r="O169" t="s">
        <v>6</v>
      </c>
    </row>
    <row r="170" spans="2:15" x14ac:dyDescent="0.45">
      <c r="B170" t="s">
        <v>563</v>
      </c>
      <c r="C170" t="s">
        <v>47</v>
      </c>
      <c r="D170">
        <v>0</v>
      </c>
      <c r="E170" t="s">
        <v>6</v>
      </c>
      <c r="G170" t="s">
        <v>564</v>
      </c>
      <c r="H170" t="s">
        <v>47</v>
      </c>
      <c r="I170">
        <v>3.519764490126133E-2</v>
      </c>
      <c r="J170" t="s">
        <v>6</v>
      </c>
      <c r="L170" t="s">
        <v>565</v>
      </c>
      <c r="M170" t="s">
        <v>47</v>
      </c>
      <c r="N170">
        <v>3.0381318821883677E-2</v>
      </c>
      <c r="O170" t="s">
        <v>6</v>
      </c>
    </row>
    <row r="171" spans="2:15" x14ac:dyDescent="0.45">
      <c r="B171" t="s">
        <v>566</v>
      </c>
      <c r="C171" t="s">
        <v>5</v>
      </c>
      <c r="D171">
        <v>0</v>
      </c>
      <c r="E171" t="s">
        <v>6</v>
      </c>
      <c r="G171" t="s">
        <v>567</v>
      </c>
      <c r="H171" t="s">
        <v>5</v>
      </c>
      <c r="I171">
        <v>6.7027859276889326E-2</v>
      </c>
      <c r="J171" t="s">
        <v>6</v>
      </c>
      <c r="L171" t="s">
        <v>568</v>
      </c>
      <c r="M171" t="s">
        <v>5</v>
      </c>
      <c r="N171">
        <v>6.0467244736051577E-2</v>
      </c>
      <c r="O171" t="s">
        <v>6</v>
      </c>
    </row>
    <row r="172" spans="2:15" x14ac:dyDescent="0.45">
      <c r="B172" t="s">
        <v>566</v>
      </c>
      <c r="C172" t="s">
        <v>9</v>
      </c>
      <c r="D172">
        <v>0</v>
      </c>
      <c r="E172" t="s">
        <v>6</v>
      </c>
      <c r="G172" t="s">
        <v>567</v>
      </c>
      <c r="H172" t="s">
        <v>9</v>
      </c>
      <c r="I172">
        <v>2.7403183644212334E-2</v>
      </c>
      <c r="J172" t="s">
        <v>6</v>
      </c>
      <c r="L172" t="s">
        <v>568</v>
      </c>
      <c r="M172" t="s">
        <v>9</v>
      </c>
      <c r="N172">
        <v>2.4104119904702893E-2</v>
      </c>
      <c r="O172" t="s">
        <v>6</v>
      </c>
    </row>
    <row r="173" spans="2:15" x14ac:dyDescent="0.45">
      <c r="B173" t="s">
        <v>566</v>
      </c>
      <c r="C173" t="s">
        <v>10</v>
      </c>
      <c r="D173">
        <v>3.7989632296443103E-3</v>
      </c>
      <c r="E173" t="s">
        <v>6</v>
      </c>
      <c r="G173" t="s">
        <v>567</v>
      </c>
      <c r="H173" t="s">
        <v>10</v>
      </c>
      <c r="I173">
        <v>2.6868749135026702E-2</v>
      </c>
      <c r="J173" t="s">
        <v>6</v>
      </c>
      <c r="L173" t="s">
        <v>568</v>
      </c>
      <c r="M173" t="s">
        <v>10</v>
      </c>
      <c r="N173">
        <v>2.4374533886993392E-2</v>
      </c>
      <c r="O173" t="s">
        <v>6</v>
      </c>
    </row>
    <row r="174" spans="2:15" x14ac:dyDescent="0.45">
      <c r="B174" t="s">
        <v>566</v>
      </c>
      <c r="C174" t="s">
        <v>11</v>
      </c>
      <c r="D174">
        <v>3.2484163124743157E-2</v>
      </c>
      <c r="E174" t="s">
        <v>6</v>
      </c>
      <c r="G174" t="s">
        <v>567</v>
      </c>
      <c r="H174" t="s">
        <v>11</v>
      </c>
      <c r="I174">
        <v>2.5676590018686433E-2</v>
      </c>
      <c r="J174" t="s">
        <v>6</v>
      </c>
      <c r="L174" t="s">
        <v>568</v>
      </c>
      <c r="M174" t="s">
        <v>11</v>
      </c>
      <c r="N174">
        <v>2.4507901833904801E-2</v>
      </c>
      <c r="O174" t="s">
        <v>6</v>
      </c>
    </row>
    <row r="175" spans="2:15" x14ac:dyDescent="0.45">
      <c r="B175" t="s">
        <v>566</v>
      </c>
      <c r="C175" t="s">
        <v>12</v>
      </c>
      <c r="D175">
        <v>5.432479759177615E-2</v>
      </c>
      <c r="E175" t="s">
        <v>6</v>
      </c>
      <c r="G175" t="s">
        <v>567</v>
      </c>
      <c r="H175" t="s">
        <v>12</v>
      </c>
      <c r="I175">
        <v>2.3489680258173527E-2</v>
      </c>
      <c r="J175" t="s">
        <v>6</v>
      </c>
      <c r="L175" t="s">
        <v>568</v>
      </c>
      <c r="M175" t="s">
        <v>12</v>
      </c>
      <c r="N175">
        <v>2.2330018230542582E-2</v>
      </c>
      <c r="O175" t="s">
        <v>6</v>
      </c>
    </row>
    <row r="176" spans="2:15" x14ac:dyDescent="0.45">
      <c r="B176" t="s">
        <v>566</v>
      </c>
      <c r="C176" t="s">
        <v>13</v>
      </c>
      <c r="D176">
        <v>5.2268768435387906E-2</v>
      </c>
      <c r="E176" t="s">
        <v>6</v>
      </c>
      <c r="G176" t="s">
        <v>567</v>
      </c>
      <c r="H176" t="s">
        <v>13</v>
      </c>
      <c r="I176">
        <v>2.4726374016089452E-2</v>
      </c>
      <c r="J176" t="s">
        <v>6</v>
      </c>
      <c r="L176" t="s">
        <v>568</v>
      </c>
      <c r="M176" t="s">
        <v>13</v>
      </c>
      <c r="N176">
        <v>2.1913062537447642E-2</v>
      </c>
      <c r="O176" t="s">
        <v>6</v>
      </c>
    </row>
    <row r="177" spans="2:15" x14ac:dyDescent="0.45">
      <c r="B177" t="s">
        <v>566</v>
      </c>
      <c r="C177" t="s">
        <v>14</v>
      </c>
      <c r="D177">
        <v>3.0289077025032203E-2</v>
      </c>
      <c r="E177" t="s">
        <v>6</v>
      </c>
      <c r="G177" t="s">
        <v>567</v>
      </c>
      <c r="H177" t="s">
        <v>14</v>
      </c>
      <c r="I177">
        <v>2.5895137570485421E-2</v>
      </c>
      <c r="J177" t="s">
        <v>6</v>
      </c>
      <c r="L177" t="s">
        <v>568</v>
      </c>
      <c r="M177" t="s">
        <v>14</v>
      </c>
      <c r="N177">
        <v>2.2781392415482677E-2</v>
      </c>
      <c r="O177" t="s">
        <v>6</v>
      </c>
    </row>
    <row r="178" spans="2:15" x14ac:dyDescent="0.45">
      <c r="B178" t="s">
        <v>566</v>
      </c>
      <c r="C178" t="s">
        <v>15</v>
      </c>
      <c r="D178">
        <v>3.5917678159027907E-3</v>
      </c>
      <c r="E178" t="s">
        <v>6</v>
      </c>
      <c r="G178" t="s">
        <v>567</v>
      </c>
      <c r="H178" t="s">
        <v>15</v>
      </c>
      <c r="I178">
        <v>2.7111208689525202E-2</v>
      </c>
      <c r="J178" t="s">
        <v>6</v>
      </c>
      <c r="L178" t="s">
        <v>568</v>
      </c>
      <c r="M178" t="s">
        <v>15</v>
      </c>
      <c r="N178">
        <v>2.4257476016975119E-2</v>
      </c>
      <c r="O178" t="s">
        <v>6</v>
      </c>
    </row>
    <row r="179" spans="2:15" x14ac:dyDescent="0.45">
      <c r="B179" t="s">
        <v>566</v>
      </c>
      <c r="C179" t="s">
        <v>16</v>
      </c>
      <c r="D179">
        <v>0</v>
      </c>
      <c r="E179" t="s">
        <v>6</v>
      </c>
      <c r="G179" t="s">
        <v>567</v>
      </c>
      <c r="H179" t="s">
        <v>16</v>
      </c>
      <c r="I179">
        <v>2.7483983614649644E-2</v>
      </c>
      <c r="J179" t="s">
        <v>6</v>
      </c>
      <c r="L179" t="s">
        <v>568</v>
      </c>
      <c r="M179" t="s">
        <v>16</v>
      </c>
      <c r="N179">
        <v>2.4327877298438254E-2</v>
      </c>
      <c r="O179" t="s">
        <v>6</v>
      </c>
    </row>
    <row r="180" spans="2:15" x14ac:dyDescent="0.45">
      <c r="B180" t="s">
        <v>566</v>
      </c>
      <c r="C180" t="s">
        <v>17</v>
      </c>
      <c r="D180">
        <v>0</v>
      </c>
      <c r="E180" t="s">
        <v>6</v>
      </c>
      <c r="G180" t="s">
        <v>567</v>
      </c>
      <c r="H180" t="s">
        <v>17</v>
      </c>
      <c r="I180">
        <v>4.0458946585755211E-2</v>
      </c>
      <c r="J180" t="s">
        <v>6</v>
      </c>
      <c r="L180" t="s">
        <v>568</v>
      </c>
      <c r="M180" t="s">
        <v>17</v>
      </c>
      <c r="N180">
        <v>3.4990190977104638E-2</v>
      </c>
      <c r="O180" t="s">
        <v>6</v>
      </c>
    </row>
    <row r="181" spans="2:15" x14ac:dyDescent="0.45">
      <c r="B181" t="s">
        <v>566</v>
      </c>
      <c r="C181" t="s">
        <v>18</v>
      </c>
      <c r="D181">
        <v>0</v>
      </c>
      <c r="E181" t="s">
        <v>6</v>
      </c>
      <c r="G181" t="s">
        <v>567</v>
      </c>
      <c r="H181" t="s">
        <v>18</v>
      </c>
      <c r="I181">
        <v>5.699353263410574E-2</v>
      </c>
      <c r="J181" t="s">
        <v>6</v>
      </c>
      <c r="L181" t="s">
        <v>568</v>
      </c>
      <c r="M181" t="s">
        <v>18</v>
      </c>
      <c r="N181">
        <v>6.194525420714151E-2</v>
      </c>
      <c r="O181" t="s">
        <v>6</v>
      </c>
    </row>
    <row r="182" spans="2:15" x14ac:dyDescent="0.45">
      <c r="B182" t="s">
        <v>566</v>
      </c>
      <c r="C182" t="s">
        <v>19</v>
      </c>
      <c r="D182">
        <v>5.1826005647827007E-4</v>
      </c>
      <c r="E182" t="s">
        <v>6</v>
      </c>
      <c r="G182" t="s">
        <v>567</v>
      </c>
      <c r="H182" t="s">
        <v>19</v>
      </c>
      <c r="I182">
        <v>2.2862180976435019E-2</v>
      </c>
      <c r="J182" t="s">
        <v>6</v>
      </c>
      <c r="L182" t="s">
        <v>568</v>
      </c>
      <c r="M182" t="s">
        <v>19</v>
      </c>
      <c r="N182">
        <v>2.4073851488784135E-2</v>
      </c>
      <c r="O182" t="s">
        <v>6</v>
      </c>
    </row>
    <row r="183" spans="2:15" x14ac:dyDescent="0.45">
      <c r="B183" t="s">
        <v>566</v>
      </c>
      <c r="C183" t="s">
        <v>20</v>
      </c>
      <c r="D183">
        <v>1.9436864159060305E-2</v>
      </c>
      <c r="E183" t="s">
        <v>6</v>
      </c>
      <c r="G183" t="s">
        <v>567</v>
      </c>
      <c r="H183" t="s">
        <v>20</v>
      </c>
      <c r="I183">
        <v>2.313145976344011E-2</v>
      </c>
      <c r="J183" t="s">
        <v>6</v>
      </c>
      <c r="L183" t="s">
        <v>568</v>
      </c>
      <c r="M183" t="s">
        <v>20</v>
      </c>
      <c r="N183">
        <v>2.3487997257807869E-2</v>
      </c>
      <c r="O183" t="s">
        <v>6</v>
      </c>
    </row>
    <row r="184" spans="2:15" x14ac:dyDescent="0.45">
      <c r="B184" t="s">
        <v>566</v>
      </c>
      <c r="C184" t="s">
        <v>21</v>
      </c>
      <c r="D184">
        <v>5.5282101411537117E-2</v>
      </c>
      <c r="E184" t="s">
        <v>6</v>
      </c>
      <c r="G184" t="s">
        <v>567</v>
      </c>
      <c r="H184" t="s">
        <v>21</v>
      </c>
      <c r="I184">
        <v>2.2920628784282374E-2</v>
      </c>
      <c r="J184" t="s">
        <v>6</v>
      </c>
      <c r="L184" t="s">
        <v>568</v>
      </c>
      <c r="M184" t="s">
        <v>21</v>
      </c>
      <c r="N184">
        <v>2.2103474802338294E-2</v>
      </c>
      <c r="O184" t="s">
        <v>6</v>
      </c>
    </row>
    <row r="185" spans="2:15" x14ac:dyDescent="0.45">
      <c r="B185" t="s">
        <v>566</v>
      </c>
      <c r="C185" t="s">
        <v>22</v>
      </c>
      <c r="D185">
        <v>7.5087042265150949E-2</v>
      </c>
      <c r="E185" t="s">
        <v>6</v>
      </c>
      <c r="G185" t="s">
        <v>567</v>
      </c>
      <c r="H185" t="s">
        <v>22</v>
      </c>
      <c r="I185">
        <v>2.3224121213814251E-2</v>
      </c>
      <c r="J185" t="s">
        <v>6</v>
      </c>
      <c r="L185" t="s">
        <v>568</v>
      </c>
      <c r="M185" t="s">
        <v>22</v>
      </c>
      <c r="N185">
        <v>1.9933610414839577E-2</v>
      </c>
      <c r="O185" t="s">
        <v>6</v>
      </c>
    </row>
    <row r="186" spans="2:15" x14ac:dyDescent="0.45">
      <c r="B186" t="s">
        <v>566</v>
      </c>
      <c r="C186" t="s">
        <v>23</v>
      </c>
      <c r="D186">
        <v>7.3083678175664218E-2</v>
      </c>
      <c r="E186" t="s">
        <v>6</v>
      </c>
      <c r="G186" t="s">
        <v>567</v>
      </c>
      <c r="H186" t="s">
        <v>23</v>
      </c>
      <c r="I186">
        <v>2.5671505837792086E-2</v>
      </c>
      <c r="J186" t="s">
        <v>6</v>
      </c>
      <c r="L186" t="s">
        <v>568</v>
      </c>
      <c r="M186" t="s">
        <v>23</v>
      </c>
      <c r="N186">
        <v>2.2469963671684856E-2</v>
      </c>
      <c r="O186" t="s">
        <v>6</v>
      </c>
    </row>
    <row r="187" spans="2:15" x14ac:dyDescent="0.45">
      <c r="B187" t="s">
        <v>566</v>
      </c>
      <c r="C187" t="s">
        <v>24</v>
      </c>
      <c r="D187">
        <v>5.1309685746013307E-2</v>
      </c>
      <c r="E187" t="s">
        <v>6</v>
      </c>
      <c r="G187" t="s">
        <v>567</v>
      </c>
      <c r="H187" t="s">
        <v>24</v>
      </c>
      <c r="I187">
        <v>2.6593660282081204E-2</v>
      </c>
      <c r="J187" t="s">
        <v>6</v>
      </c>
      <c r="L187" t="s">
        <v>568</v>
      </c>
      <c r="M187" t="s">
        <v>24</v>
      </c>
      <c r="N187">
        <v>2.4806322712025274E-2</v>
      </c>
      <c r="O187" t="s">
        <v>6</v>
      </c>
    </row>
    <row r="188" spans="2:15" x14ac:dyDescent="0.45">
      <c r="B188" t="s">
        <v>566</v>
      </c>
      <c r="C188" t="s">
        <v>25</v>
      </c>
      <c r="D188">
        <v>1.6455465336432738E-2</v>
      </c>
      <c r="E188" t="s">
        <v>6</v>
      </c>
      <c r="G188" t="s">
        <v>567</v>
      </c>
      <c r="H188" t="s">
        <v>25</v>
      </c>
      <c r="I188">
        <v>2.4614740677001083E-2</v>
      </c>
      <c r="J188" t="s">
        <v>6</v>
      </c>
      <c r="L188" t="s">
        <v>568</v>
      </c>
      <c r="M188" t="s">
        <v>25</v>
      </c>
      <c r="N188">
        <v>2.7047695592869379E-2</v>
      </c>
      <c r="O188" t="s">
        <v>6</v>
      </c>
    </row>
    <row r="189" spans="2:15" x14ac:dyDescent="0.45">
      <c r="B189" t="s">
        <v>566</v>
      </c>
      <c r="C189" t="s">
        <v>26</v>
      </c>
      <c r="D189">
        <v>2.1938060069151796E-4</v>
      </c>
      <c r="E189" t="s">
        <v>6</v>
      </c>
      <c r="G189" t="s">
        <v>567</v>
      </c>
      <c r="H189" t="s">
        <v>26</v>
      </c>
      <c r="I189">
        <v>2.3163143297268738E-2</v>
      </c>
      <c r="J189" t="s">
        <v>6</v>
      </c>
      <c r="L189" t="s">
        <v>568</v>
      </c>
      <c r="M189" t="s">
        <v>26</v>
      </c>
      <c r="N189">
        <v>2.6665663197591866E-2</v>
      </c>
      <c r="O189" t="s">
        <v>6</v>
      </c>
    </row>
    <row r="190" spans="2:15" x14ac:dyDescent="0.45">
      <c r="B190" t="s">
        <v>566</v>
      </c>
      <c r="C190" t="s">
        <v>27</v>
      </c>
      <c r="D190">
        <v>0</v>
      </c>
      <c r="E190" t="s">
        <v>6</v>
      </c>
      <c r="G190" t="s">
        <v>567</v>
      </c>
      <c r="H190" t="s">
        <v>27</v>
      </c>
      <c r="I190">
        <v>3.2567047427430426E-2</v>
      </c>
      <c r="J190" t="s">
        <v>6</v>
      </c>
      <c r="L190" t="s">
        <v>568</v>
      </c>
      <c r="M190" t="s">
        <v>27</v>
      </c>
      <c r="N190">
        <v>3.7692005426016979E-2</v>
      </c>
      <c r="O190" t="s">
        <v>6</v>
      </c>
    </row>
    <row r="191" spans="2:15" x14ac:dyDescent="0.45">
      <c r="B191" t="s">
        <v>566</v>
      </c>
      <c r="C191" t="s">
        <v>28</v>
      </c>
      <c r="D191">
        <v>0</v>
      </c>
      <c r="E191" t="s">
        <v>6</v>
      </c>
      <c r="G191" t="s">
        <v>567</v>
      </c>
      <c r="H191" t="s">
        <v>28</v>
      </c>
      <c r="I191">
        <v>2.0850840991375786E-2</v>
      </c>
      <c r="J191" t="s">
        <v>6</v>
      </c>
      <c r="L191" t="s">
        <v>568</v>
      </c>
      <c r="M191" t="s">
        <v>28</v>
      </c>
      <c r="N191">
        <v>3.4968408904395357E-2</v>
      </c>
      <c r="O191" t="s">
        <v>6</v>
      </c>
    </row>
    <row r="192" spans="2:15" x14ac:dyDescent="0.45">
      <c r="B192" t="s">
        <v>566</v>
      </c>
      <c r="C192" t="s">
        <v>29</v>
      </c>
      <c r="D192">
        <v>1.0336767712623165E-3</v>
      </c>
      <c r="E192" t="s">
        <v>6</v>
      </c>
      <c r="G192" t="s">
        <v>567</v>
      </c>
      <c r="H192" t="s">
        <v>29</v>
      </c>
      <c r="I192">
        <v>9.4364439738516964E-3</v>
      </c>
      <c r="J192" t="s">
        <v>6</v>
      </c>
      <c r="L192" t="s">
        <v>568</v>
      </c>
      <c r="M192" t="s">
        <v>29</v>
      </c>
      <c r="N192">
        <v>1.4387680184232927E-2</v>
      </c>
      <c r="O192" t="s">
        <v>6</v>
      </c>
    </row>
    <row r="193" spans="2:15" x14ac:dyDescent="0.45">
      <c r="B193" t="s">
        <v>566</v>
      </c>
      <c r="C193" t="s">
        <v>30</v>
      </c>
      <c r="D193">
        <v>2.4264359582330263E-2</v>
      </c>
      <c r="E193" t="s">
        <v>6</v>
      </c>
      <c r="G193" t="s">
        <v>567</v>
      </c>
      <c r="H193" t="s">
        <v>30</v>
      </c>
      <c r="I193">
        <v>9.1351306991578514E-3</v>
      </c>
      <c r="J193" t="s">
        <v>6</v>
      </c>
      <c r="L193" t="s">
        <v>568</v>
      </c>
      <c r="M193" t="s">
        <v>30</v>
      </c>
      <c r="N193">
        <v>1.4085302728629815E-2</v>
      </c>
      <c r="O193" t="s">
        <v>6</v>
      </c>
    </row>
    <row r="194" spans="2:15" x14ac:dyDescent="0.45">
      <c r="B194" t="s">
        <v>566</v>
      </c>
      <c r="C194" t="s">
        <v>31</v>
      </c>
      <c r="D194">
        <v>5.9666407549110984E-2</v>
      </c>
      <c r="E194" t="s">
        <v>6</v>
      </c>
      <c r="G194" t="s">
        <v>567</v>
      </c>
      <c r="H194" t="s">
        <v>31</v>
      </c>
      <c r="I194">
        <v>9.3165990331158643E-3</v>
      </c>
      <c r="J194" t="s">
        <v>6</v>
      </c>
      <c r="L194" t="s">
        <v>568</v>
      </c>
      <c r="M194" t="s">
        <v>31</v>
      </c>
      <c r="N194">
        <v>1.3036660092779985E-2</v>
      </c>
      <c r="O194" t="s">
        <v>6</v>
      </c>
    </row>
    <row r="195" spans="2:15" x14ac:dyDescent="0.45">
      <c r="B195" t="s">
        <v>566</v>
      </c>
      <c r="C195" t="s">
        <v>32</v>
      </c>
      <c r="D195">
        <v>7.7741048054735015E-2</v>
      </c>
      <c r="E195" t="s">
        <v>6</v>
      </c>
      <c r="G195" t="s">
        <v>567</v>
      </c>
      <c r="H195" t="s">
        <v>32</v>
      </c>
      <c r="I195">
        <v>9.791320996756293E-3</v>
      </c>
      <c r="J195" t="s">
        <v>6</v>
      </c>
      <c r="L195" t="s">
        <v>568</v>
      </c>
      <c r="M195" t="s">
        <v>32</v>
      </c>
      <c r="N195">
        <v>1.0068945649554607E-2</v>
      </c>
      <c r="O195" t="s">
        <v>6</v>
      </c>
    </row>
    <row r="196" spans="2:15" x14ac:dyDescent="0.45">
      <c r="B196" t="s">
        <v>566</v>
      </c>
      <c r="C196" t="s">
        <v>33</v>
      </c>
      <c r="D196">
        <v>7.4848354784295926E-2</v>
      </c>
      <c r="E196" t="s">
        <v>6</v>
      </c>
      <c r="G196" t="s">
        <v>567</v>
      </c>
      <c r="H196" t="s">
        <v>33</v>
      </c>
      <c r="I196">
        <v>1.1089853681354008E-2</v>
      </c>
      <c r="J196" t="s">
        <v>6</v>
      </c>
      <c r="L196" t="s">
        <v>568</v>
      </c>
      <c r="M196" t="s">
        <v>33</v>
      </c>
      <c r="N196">
        <v>1.1319466461921951E-2</v>
      </c>
      <c r="O196" t="s">
        <v>6</v>
      </c>
    </row>
    <row r="197" spans="2:15" x14ac:dyDescent="0.45">
      <c r="B197" t="s">
        <v>566</v>
      </c>
      <c r="C197" t="s">
        <v>34</v>
      </c>
      <c r="D197">
        <v>5.4267249561409645E-2</v>
      </c>
      <c r="E197" t="s">
        <v>6</v>
      </c>
      <c r="G197" t="s">
        <v>567</v>
      </c>
      <c r="H197" t="s">
        <v>34</v>
      </c>
      <c r="I197">
        <v>1.0392044717646504E-2</v>
      </c>
      <c r="J197" t="s">
        <v>6</v>
      </c>
      <c r="L197" t="s">
        <v>568</v>
      </c>
      <c r="M197" t="s">
        <v>34</v>
      </c>
      <c r="N197">
        <v>1.4023951540155373E-2</v>
      </c>
      <c r="O197" t="s">
        <v>6</v>
      </c>
    </row>
    <row r="198" spans="2:15" x14ac:dyDescent="0.45">
      <c r="B198" t="s">
        <v>566</v>
      </c>
      <c r="C198" t="s">
        <v>35</v>
      </c>
      <c r="D198">
        <v>2.1292547271040997E-2</v>
      </c>
      <c r="E198" t="s">
        <v>6</v>
      </c>
      <c r="G198" t="s">
        <v>567</v>
      </c>
      <c r="H198" t="s">
        <v>35</v>
      </c>
      <c r="I198">
        <v>7.8953125822401951E-3</v>
      </c>
      <c r="J198" t="s">
        <v>6</v>
      </c>
      <c r="L198" t="s">
        <v>568</v>
      </c>
      <c r="M198" t="s">
        <v>35</v>
      </c>
      <c r="N198">
        <v>1.5865114346209509E-2</v>
      </c>
      <c r="O198" t="s">
        <v>6</v>
      </c>
    </row>
    <row r="199" spans="2:15" x14ac:dyDescent="0.45">
      <c r="B199" t="s">
        <v>566</v>
      </c>
      <c r="C199" t="s">
        <v>36</v>
      </c>
      <c r="D199">
        <v>8.3600704975477207E-4</v>
      </c>
      <c r="E199" t="s">
        <v>6</v>
      </c>
      <c r="G199" t="s">
        <v>567</v>
      </c>
      <c r="H199" t="s">
        <v>36</v>
      </c>
      <c r="I199">
        <v>6.6558222582012282E-3</v>
      </c>
      <c r="J199" t="s">
        <v>6</v>
      </c>
      <c r="L199" t="s">
        <v>568</v>
      </c>
      <c r="M199" t="s">
        <v>36</v>
      </c>
      <c r="N199">
        <v>1.6188093196870725E-2</v>
      </c>
      <c r="O199" t="s">
        <v>6</v>
      </c>
    </row>
    <row r="200" spans="2:15" x14ac:dyDescent="0.45">
      <c r="B200" t="s">
        <v>566</v>
      </c>
      <c r="C200" t="s">
        <v>37</v>
      </c>
      <c r="D200">
        <v>0</v>
      </c>
      <c r="E200" t="s">
        <v>6</v>
      </c>
      <c r="G200" t="s">
        <v>567</v>
      </c>
      <c r="H200" t="s">
        <v>37</v>
      </c>
      <c r="I200">
        <v>1.035787506740044E-2</v>
      </c>
      <c r="J200" t="s">
        <v>6</v>
      </c>
      <c r="L200" t="s">
        <v>568</v>
      </c>
      <c r="M200" t="s">
        <v>37</v>
      </c>
      <c r="N200">
        <v>2.290496701172905E-2</v>
      </c>
      <c r="O200" t="s">
        <v>6</v>
      </c>
    </row>
    <row r="201" spans="2:15" x14ac:dyDescent="0.45">
      <c r="B201" t="s">
        <v>566</v>
      </c>
      <c r="C201" t="s">
        <v>38</v>
      </c>
      <c r="D201">
        <v>0</v>
      </c>
      <c r="E201" t="s">
        <v>6</v>
      </c>
      <c r="G201" t="s">
        <v>567</v>
      </c>
      <c r="H201" t="s">
        <v>38</v>
      </c>
      <c r="I201">
        <v>6.151566194046261E-2</v>
      </c>
      <c r="J201" t="s">
        <v>6</v>
      </c>
      <c r="L201" t="s">
        <v>568</v>
      </c>
      <c r="M201" t="s">
        <v>38</v>
      </c>
      <c r="N201">
        <v>5.3177107611335768E-2</v>
      </c>
      <c r="O201" t="s">
        <v>6</v>
      </c>
    </row>
    <row r="202" spans="2:15" x14ac:dyDescent="0.45">
      <c r="B202" t="s">
        <v>566</v>
      </c>
      <c r="C202" t="s">
        <v>39</v>
      </c>
      <c r="D202">
        <v>1.1784106420140699E-7</v>
      </c>
      <c r="E202" t="s">
        <v>6</v>
      </c>
      <c r="G202" t="s">
        <v>567</v>
      </c>
      <c r="H202" t="s">
        <v>39</v>
      </c>
      <c r="I202">
        <v>2.4010430143989212E-2</v>
      </c>
      <c r="J202" t="s">
        <v>6</v>
      </c>
      <c r="L202" t="s">
        <v>568</v>
      </c>
      <c r="M202" t="s">
        <v>39</v>
      </c>
      <c r="N202">
        <v>2.1219656605696333E-2</v>
      </c>
      <c r="O202" t="s">
        <v>6</v>
      </c>
    </row>
    <row r="203" spans="2:15" x14ac:dyDescent="0.45">
      <c r="B203" t="s">
        <v>566</v>
      </c>
      <c r="C203" t="s">
        <v>40</v>
      </c>
      <c r="D203">
        <v>1.2115694972028818E-2</v>
      </c>
      <c r="E203" t="s">
        <v>6</v>
      </c>
      <c r="G203" t="s">
        <v>567</v>
      </c>
      <c r="H203" t="s">
        <v>40</v>
      </c>
      <c r="I203">
        <v>2.3709136543645204E-2</v>
      </c>
      <c r="J203" t="s">
        <v>6</v>
      </c>
      <c r="L203" t="s">
        <v>568</v>
      </c>
      <c r="M203" t="s">
        <v>40</v>
      </c>
      <c r="N203">
        <v>2.1574934446670409E-2</v>
      </c>
      <c r="O203" t="s">
        <v>6</v>
      </c>
    </row>
    <row r="204" spans="2:15" x14ac:dyDescent="0.45">
      <c r="B204" t="s">
        <v>566</v>
      </c>
      <c r="C204" t="s">
        <v>41</v>
      </c>
      <c r="D204">
        <v>4.5240675416843401E-2</v>
      </c>
      <c r="E204" t="s">
        <v>6</v>
      </c>
      <c r="G204" t="s">
        <v>567</v>
      </c>
      <c r="H204" t="s">
        <v>41</v>
      </c>
      <c r="I204">
        <v>2.3952869087947814E-2</v>
      </c>
      <c r="J204" t="s">
        <v>6</v>
      </c>
      <c r="L204" t="s">
        <v>568</v>
      </c>
      <c r="M204" t="s">
        <v>41</v>
      </c>
      <c r="N204">
        <v>2.2014685374021025E-2</v>
      </c>
      <c r="O204" t="s">
        <v>6</v>
      </c>
    </row>
    <row r="205" spans="2:15" x14ac:dyDescent="0.45">
      <c r="B205" t="s">
        <v>566</v>
      </c>
      <c r="C205" t="s">
        <v>42</v>
      </c>
      <c r="D205">
        <v>6.3311081659900917E-2</v>
      </c>
      <c r="E205" t="s">
        <v>6</v>
      </c>
      <c r="G205" t="s">
        <v>567</v>
      </c>
      <c r="H205" t="s">
        <v>42</v>
      </c>
      <c r="I205">
        <v>2.3141336114604675E-2</v>
      </c>
      <c r="J205" t="s">
        <v>6</v>
      </c>
      <c r="L205" t="s">
        <v>568</v>
      </c>
      <c r="M205" t="s">
        <v>42</v>
      </c>
      <c r="N205">
        <v>2.0381532151171982E-2</v>
      </c>
      <c r="O205" t="s">
        <v>6</v>
      </c>
    </row>
    <row r="206" spans="2:15" x14ac:dyDescent="0.45">
      <c r="B206" t="s">
        <v>566</v>
      </c>
      <c r="C206" t="s">
        <v>43</v>
      </c>
      <c r="D206">
        <v>5.7843815780237201E-2</v>
      </c>
      <c r="E206" t="s">
        <v>6</v>
      </c>
      <c r="G206" t="s">
        <v>567</v>
      </c>
      <c r="H206" t="s">
        <v>43</v>
      </c>
      <c r="I206">
        <v>2.5412620910715993E-2</v>
      </c>
      <c r="J206" t="s">
        <v>6</v>
      </c>
      <c r="L206" t="s">
        <v>568</v>
      </c>
      <c r="M206" t="s">
        <v>43</v>
      </c>
      <c r="N206">
        <v>2.0550497921402851E-2</v>
      </c>
      <c r="O206" t="s">
        <v>6</v>
      </c>
    </row>
    <row r="207" spans="2:15" x14ac:dyDescent="0.45">
      <c r="B207" t="s">
        <v>566</v>
      </c>
      <c r="C207" t="s">
        <v>44</v>
      </c>
      <c r="D207">
        <v>3.4030328433773224E-2</v>
      </c>
      <c r="E207" t="s">
        <v>6</v>
      </c>
      <c r="G207" t="s">
        <v>567</v>
      </c>
      <c r="H207" t="s">
        <v>44</v>
      </c>
      <c r="I207">
        <v>2.5998576665475167E-2</v>
      </c>
      <c r="J207" t="s">
        <v>6</v>
      </c>
      <c r="L207" t="s">
        <v>568</v>
      </c>
      <c r="M207" t="s">
        <v>44</v>
      </c>
      <c r="N207">
        <v>2.0737735577880483E-2</v>
      </c>
      <c r="O207" t="s">
        <v>6</v>
      </c>
    </row>
    <row r="208" spans="2:15" x14ac:dyDescent="0.45">
      <c r="B208" t="s">
        <v>566</v>
      </c>
      <c r="C208" t="s">
        <v>45</v>
      </c>
      <c r="D208">
        <v>5.3586202986995743E-3</v>
      </c>
      <c r="E208" t="s">
        <v>6</v>
      </c>
      <c r="G208" t="s">
        <v>567</v>
      </c>
      <c r="H208" t="s">
        <v>45</v>
      </c>
      <c r="I208">
        <v>2.5616298162429749E-2</v>
      </c>
      <c r="J208" t="s">
        <v>6</v>
      </c>
      <c r="L208" t="s">
        <v>568</v>
      </c>
      <c r="M208" t="s">
        <v>45</v>
      </c>
      <c r="N208">
        <v>2.2083650758332157E-2</v>
      </c>
      <c r="O208" t="s">
        <v>6</v>
      </c>
    </row>
    <row r="209" spans="2:15" x14ac:dyDescent="0.45">
      <c r="B209" t="s">
        <v>566</v>
      </c>
      <c r="C209" t="s">
        <v>46</v>
      </c>
      <c r="D209">
        <v>0</v>
      </c>
      <c r="E209" t="s">
        <v>6</v>
      </c>
      <c r="G209" t="s">
        <v>567</v>
      </c>
      <c r="H209" t="s">
        <v>46</v>
      </c>
      <c r="I209">
        <v>2.5002189116591095E-2</v>
      </c>
      <c r="J209" t="s">
        <v>6</v>
      </c>
      <c r="L209" t="s">
        <v>568</v>
      </c>
      <c r="M209" t="s">
        <v>46</v>
      </c>
      <c r="N209">
        <v>2.2934821988173267E-2</v>
      </c>
      <c r="O209" t="s">
        <v>6</v>
      </c>
    </row>
    <row r="210" spans="2:15" x14ac:dyDescent="0.45">
      <c r="B210" t="s">
        <v>566</v>
      </c>
      <c r="C210" t="s">
        <v>47</v>
      </c>
      <c r="D210">
        <v>0</v>
      </c>
      <c r="E210" t="s">
        <v>6</v>
      </c>
      <c r="G210" t="s">
        <v>567</v>
      </c>
      <c r="H210" t="s">
        <v>47</v>
      </c>
      <c r="I210">
        <v>3.8835903609892669E-2</v>
      </c>
      <c r="J210" t="s">
        <v>6</v>
      </c>
      <c r="L210" t="s">
        <v>568</v>
      </c>
      <c r="M210" t="s">
        <v>47</v>
      </c>
      <c r="N210">
        <v>3.4197130840091447E-2</v>
      </c>
      <c r="O210" t="s">
        <v>6</v>
      </c>
    </row>
    <row r="211" spans="2:15" x14ac:dyDescent="0.45">
      <c r="B211" t="s">
        <v>569</v>
      </c>
      <c r="C211" t="s">
        <v>5</v>
      </c>
      <c r="D211">
        <v>0</v>
      </c>
      <c r="E211" t="s">
        <v>6</v>
      </c>
      <c r="G211" t="s">
        <v>570</v>
      </c>
      <c r="H211" t="s">
        <v>5</v>
      </c>
      <c r="I211">
        <v>5.9878657058111885E-2</v>
      </c>
      <c r="J211" t="s">
        <v>6</v>
      </c>
      <c r="L211" t="s">
        <v>571</v>
      </c>
      <c r="M211" t="s">
        <v>5</v>
      </c>
      <c r="N211">
        <v>6.2662518243413137E-2</v>
      </c>
      <c r="O211" t="s">
        <v>6</v>
      </c>
    </row>
    <row r="212" spans="2:15" x14ac:dyDescent="0.45">
      <c r="B212" t="s">
        <v>569</v>
      </c>
      <c r="C212" t="s">
        <v>9</v>
      </c>
      <c r="D212">
        <v>0</v>
      </c>
      <c r="E212" t="s">
        <v>6</v>
      </c>
      <c r="G212" t="s">
        <v>570</v>
      </c>
      <c r="H212" t="s">
        <v>9</v>
      </c>
      <c r="I212">
        <v>2.6400969967718547E-2</v>
      </c>
      <c r="J212" t="s">
        <v>6</v>
      </c>
      <c r="L212" t="s">
        <v>571</v>
      </c>
      <c r="M212" t="s">
        <v>9</v>
      </c>
      <c r="N212">
        <v>2.5337131613496398E-2</v>
      </c>
      <c r="O212" t="s">
        <v>6</v>
      </c>
    </row>
    <row r="213" spans="2:15" x14ac:dyDescent="0.45">
      <c r="B213" t="s">
        <v>569</v>
      </c>
      <c r="C213" t="s">
        <v>10</v>
      </c>
      <c r="D213">
        <v>1.6330667551228847E-3</v>
      </c>
      <c r="E213" t="s">
        <v>6</v>
      </c>
      <c r="G213" t="s">
        <v>570</v>
      </c>
      <c r="H213" t="s">
        <v>10</v>
      </c>
      <c r="I213">
        <v>2.6259160844535587E-2</v>
      </c>
      <c r="J213" t="s">
        <v>6</v>
      </c>
      <c r="L213" t="s">
        <v>571</v>
      </c>
      <c r="M213" t="s">
        <v>10</v>
      </c>
      <c r="N213">
        <v>2.5628888495699262E-2</v>
      </c>
      <c r="O213" t="s">
        <v>6</v>
      </c>
    </row>
    <row r="214" spans="2:15" x14ac:dyDescent="0.45">
      <c r="B214" t="s">
        <v>569</v>
      </c>
      <c r="C214" t="s">
        <v>11</v>
      </c>
      <c r="D214">
        <v>2.7200255201552483E-2</v>
      </c>
      <c r="E214" t="s">
        <v>6</v>
      </c>
      <c r="G214" t="s">
        <v>570</v>
      </c>
      <c r="H214" t="s">
        <v>11</v>
      </c>
      <c r="I214">
        <v>2.2738889640419448E-2</v>
      </c>
      <c r="J214" t="s">
        <v>6</v>
      </c>
      <c r="L214" t="s">
        <v>571</v>
      </c>
      <c r="M214" t="s">
        <v>11</v>
      </c>
      <c r="N214">
        <v>2.5509437869377993E-2</v>
      </c>
      <c r="O214" t="s">
        <v>6</v>
      </c>
    </row>
    <row r="215" spans="2:15" x14ac:dyDescent="0.45">
      <c r="B215" t="s">
        <v>569</v>
      </c>
      <c r="C215" t="s">
        <v>12</v>
      </c>
      <c r="D215">
        <v>5.22909153948731E-2</v>
      </c>
      <c r="E215" t="s">
        <v>6</v>
      </c>
      <c r="G215" t="s">
        <v>570</v>
      </c>
      <c r="H215" t="s">
        <v>12</v>
      </c>
      <c r="I215">
        <v>2.2088522423064166E-2</v>
      </c>
      <c r="J215" t="s">
        <v>6</v>
      </c>
      <c r="L215" t="s">
        <v>571</v>
      </c>
      <c r="M215" t="s">
        <v>12</v>
      </c>
      <c r="N215">
        <v>2.4002316311899096E-2</v>
      </c>
      <c r="O215" t="s">
        <v>6</v>
      </c>
    </row>
    <row r="216" spans="2:15" x14ac:dyDescent="0.45">
      <c r="B216" t="s">
        <v>569</v>
      </c>
      <c r="C216" t="s">
        <v>13</v>
      </c>
      <c r="D216">
        <v>5.2015575414970233E-2</v>
      </c>
      <c r="E216" t="s">
        <v>6</v>
      </c>
      <c r="G216" t="s">
        <v>570</v>
      </c>
      <c r="H216" t="s">
        <v>13</v>
      </c>
      <c r="I216">
        <v>2.4198218742279742E-2</v>
      </c>
      <c r="J216" t="s">
        <v>6</v>
      </c>
      <c r="L216" t="s">
        <v>571</v>
      </c>
      <c r="M216" t="s">
        <v>13</v>
      </c>
      <c r="N216">
        <v>2.2846259785363542E-2</v>
      </c>
      <c r="O216" t="s">
        <v>6</v>
      </c>
    </row>
    <row r="217" spans="2:15" x14ac:dyDescent="0.45">
      <c r="B217" t="s">
        <v>569</v>
      </c>
      <c r="C217" t="s">
        <v>14</v>
      </c>
      <c r="D217">
        <v>3.140201196162995E-2</v>
      </c>
      <c r="E217" t="s">
        <v>6</v>
      </c>
      <c r="G217" t="s">
        <v>570</v>
      </c>
      <c r="H217" t="s">
        <v>14</v>
      </c>
      <c r="I217">
        <v>2.3987392734217884E-2</v>
      </c>
      <c r="J217" t="s">
        <v>6</v>
      </c>
      <c r="L217" t="s">
        <v>571</v>
      </c>
      <c r="M217" t="s">
        <v>14</v>
      </c>
      <c r="N217">
        <v>2.316181552430073E-2</v>
      </c>
      <c r="O217" t="s">
        <v>6</v>
      </c>
    </row>
    <row r="218" spans="2:15" x14ac:dyDescent="0.45">
      <c r="B218" t="s">
        <v>569</v>
      </c>
      <c r="C218" t="s">
        <v>15</v>
      </c>
      <c r="D218">
        <v>3.9083460160847846E-3</v>
      </c>
      <c r="E218" t="s">
        <v>6</v>
      </c>
      <c r="G218" t="s">
        <v>570</v>
      </c>
      <c r="H218" t="s">
        <v>15</v>
      </c>
      <c r="I218">
        <v>2.2308782694350566E-2</v>
      </c>
      <c r="J218" t="s">
        <v>6</v>
      </c>
      <c r="L218" t="s">
        <v>571</v>
      </c>
      <c r="M218" t="s">
        <v>15</v>
      </c>
      <c r="N218">
        <v>2.4079541049724727E-2</v>
      </c>
      <c r="O218" t="s">
        <v>6</v>
      </c>
    </row>
    <row r="219" spans="2:15" x14ac:dyDescent="0.45">
      <c r="B219" t="s">
        <v>569</v>
      </c>
      <c r="C219" t="s">
        <v>16</v>
      </c>
      <c r="D219">
        <v>0</v>
      </c>
      <c r="E219" t="s">
        <v>6</v>
      </c>
      <c r="G219" t="s">
        <v>570</v>
      </c>
      <c r="H219" t="s">
        <v>16</v>
      </c>
      <c r="I219">
        <v>2.0870487552008515E-2</v>
      </c>
      <c r="J219" t="s">
        <v>6</v>
      </c>
      <c r="L219" t="s">
        <v>571</v>
      </c>
      <c r="M219" t="s">
        <v>16</v>
      </c>
      <c r="N219">
        <v>2.4365806539192725E-2</v>
      </c>
      <c r="O219" t="s">
        <v>6</v>
      </c>
    </row>
    <row r="220" spans="2:15" x14ac:dyDescent="0.45">
      <c r="B220" t="s">
        <v>569</v>
      </c>
      <c r="C220" t="s">
        <v>17</v>
      </c>
      <c r="D220">
        <v>0</v>
      </c>
      <c r="E220" t="s">
        <v>6</v>
      </c>
      <c r="G220" t="s">
        <v>570</v>
      </c>
      <c r="H220" t="s">
        <v>17</v>
      </c>
      <c r="I220">
        <v>3.1159778995331365E-2</v>
      </c>
      <c r="J220" t="s">
        <v>6</v>
      </c>
      <c r="L220" t="s">
        <v>571</v>
      </c>
      <c r="M220" t="s">
        <v>17</v>
      </c>
      <c r="N220">
        <v>3.646749750651386E-2</v>
      </c>
      <c r="O220" t="s">
        <v>6</v>
      </c>
    </row>
    <row r="221" spans="2:15" x14ac:dyDescent="0.45">
      <c r="B221" t="s">
        <v>569</v>
      </c>
      <c r="C221" t="s">
        <v>18</v>
      </c>
      <c r="D221">
        <v>0</v>
      </c>
      <c r="E221" t="s">
        <v>6</v>
      </c>
      <c r="G221" t="s">
        <v>570</v>
      </c>
      <c r="H221" t="s">
        <v>18</v>
      </c>
      <c r="I221">
        <v>5.3532050119252689E-2</v>
      </c>
      <c r="J221" t="s">
        <v>6</v>
      </c>
      <c r="L221" t="s">
        <v>571</v>
      </c>
      <c r="M221" t="s">
        <v>18</v>
      </c>
      <c r="N221">
        <v>5.4998409964276893E-2</v>
      </c>
      <c r="O221" t="s">
        <v>6</v>
      </c>
    </row>
    <row r="222" spans="2:15" x14ac:dyDescent="0.45">
      <c r="B222" t="s">
        <v>569</v>
      </c>
      <c r="C222" t="s">
        <v>19</v>
      </c>
      <c r="D222">
        <v>4.4121107334589425E-4</v>
      </c>
      <c r="E222" t="s">
        <v>6</v>
      </c>
      <c r="G222" t="s">
        <v>570</v>
      </c>
      <c r="H222" t="s">
        <v>19</v>
      </c>
      <c r="I222">
        <v>2.3996433958834343E-2</v>
      </c>
      <c r="J222" t="s">
        <v>6</v>
      </c>
      <c r="L222" t="s">
        <v>571</v>
      </c>
      <c r="M222" t="s">
        <v>19</v>
      </c>
      <c r="N222">
        <v>2.4143200306004836E-2</v>
      </c>
      <c r="O222" t="s">
        <v>6</v>
      </c>
    </row>
    <row r="223" spans="2:15" x14ac:dyDescent="0.45">
      <c r="B223" t="s">
        <v>569</v>
      </c>
      <c r="C223" t="s">
        <v>20</v>
      </c>
      <c r="D223">
        <v>1.655415159784069E-2</v>
      </c>
      <c r="E223" t="s">
        <v>6</v>
      </c>
      <c r="G223" t="s">
        <v>570</v>
      </c>
      <c r="H223" t="s">
        <v>20</v>
      </c>
      <c r="I223">
        <v>2.5387834136610696E-2</v>
      </c>
      <c r="J223" t="s">
        <v>6</v>
      </c>
      <c r="L223" t="s">
        <v>571</v>
      </c>
      <c r="M223" t="s">
        <v>20</v>
      </c>
      <c r="N223">
        <v>2.5451284267090757E-2</v>
      </c>
      <c r="O223" t="s">
        <v>6</v>
      </c>
    </row>
    <row r="224" spans="2:15" x14ac:dyDescent="0.45">
      <c r="B224" t="s">
        <v>569</v>
      </c>
      <c r="C224" t="s">
        <v>21</v>
      </c>
      <c r="D224">
        <v>5.241582073026696E-2</v>
      </c>
      <c r="E224" t="s">
        <v>6</v>
      </c>
      <c r="G224" t="s">
        <v>570</v>
      </c>
      <c r="H224" t="s">
        <v>21</v>
      </c>
      <c r="I224">
        <v>2.856367896215755E-2</v>
      </c>
      <c r="J224" t="s">
        <v>6</v>
      </c>
      <c r="L224" t="s">
        <v>571</v>
      </c>
      <c r="M224" t="s">
        <v>21</v>
      </c>
      <c r="N224">
        <v>2.6490727002792147E-2</v>
      </c>
      <c r="O224" t="s">
        <v>6</v>
      </c>
    </row>
    <row r="225" spans="2:15" x14ac:dyDescent="0.45">
      <c r="B225" t="s">
        <v>569</v>
      </c>
      <c r="C225" t="s">
        <v>22</v>
      </c>
      <c r="D225">
        <v>7.4577116881509559E-2</v>
      </c>
      <c r="E225" t="s">
        <v>6</v>
      </c>
      <c r="G225" t="s">
        <v>570</v>
      </c>
      <c r="H225" t="s">
        <v>22</v>
      </c>
      <c r="I225">
        <v>2.9825405459868053E-2</v>
      </c>
      <c r="J225" t="s">
        <v>6</v>
      </c>
      <c r="L225" t="s">
        <v>571</v>
      </c>
      <c r="M225" t="s">
        <v>22</v>
      </c>
      <c r="N225">
        <v>2.6160335785724926E-2</v>
      </c>
      <c r="O225" t="s">
        <v>6</v>
      </c>
    </row>
    <row r="226" spans="2:15" x14ac:dyDescent="0.45">
      <c r="B226" t="s">
        <v>569</v>
      </c>
      <c r="C226" t="s">
        <v>23</v>
      </c>
      <c r="D226">
        <v>7.3744637515698264E-2</v>
      </c>
      <c r="E226" t="s">
        <v>6</v>
      </c>
      <c r="G226" t="s">
        <v>570</v>
      </c>
      <c r="H226" t="s">
        <v>23</v>
      </c>
      <c r="I226">
        <v>3.0268077703466675E-2</v>
      </c>
      <c r="J226" t="s">
        <v>6</v>
      </c>
      <c r="L226" t="s">
        <v>571</v>
      </c>
      <c r="M226" t="s">
        <v>23</v>
      </c>
      <c r="N226">
        <v>2.7357166793342193E-2</v>
      </c>
      <c r="O226" t="s">
        <v>6</v>
      </c>
    </row>
    <row r="227" spans="2:15" x14ac:dyDescent="0.45">
      <c r="B227" t="s">
        <v>569</v>
      </c>
      <c r="C227" t="s">
        <v>24</v>
      </c>
      <c r="D227">
        <v>5.2421147935743047E-2</v>
      </c>
      <c r="E227" t="s">
        <v>6</v>
      </c>
      <c r="G227" t="s">
        <v>570</v>
      </c>
      <c r="H227" t="s">
        <v>24</v>
      </c>
      <c r="I227">
        <v>2.8365231496709855E-2</v>
      </c>
      <c r="J227" t="s">
        <v>6</v>
      </c>
      <c r="L227" t="s">
        <v>571</v>
      </c>
      <c r="M227" t="s">
        <v>24</v>
      </c>
      <c r="N227">
        <v>2.8225045310317033E-2</v>
      </c>
      <c r="O227" t="s">
        <v>6</v>
      </c>
    </row>
    <row r="228" spans="2:15" x14ac:dyDescent="0.45">
      <c r="B228" t="s">
        <v>569</v>
      </c>
      <c r="C228" t="s">
        <v>25</v>
      </c>
      <c r="D228">
        <v>1.8150345961847749E-2</v>
      </c>
      <c r="E228" t="s">
        <v>6</v>
      </c>
      <c r="G228" t="s">
        <v>570</v>
      </c>
      <c r="H228" t="s">
        <v>25</v>
      </c>
      <c r="I228">
        <v>2.4686424371300655E-2</v>
      </c>
      <c r="J228" t="s">
        <v>6</v>
      </c>
      <c r="L228" t="s">
        <v>571</v>
      </c>
      <c r="M228" t="s">
        <v>25</v>
      </c>
      <c r="N228">
        <v>2.8174604308140064E-2</v>
      </c>
      <c r="O228" t="s">
        <v>6</v>
      </c>
    </row>
    <row r="229" spans="2:15" x14ac:dyDescent="0.45">
      <c r="B229" t="s">
        <v>569</v>
      </c>
      <c r="C229" t="s">
        <v>26</v>
      </c>
      <c r="D229">
        <v>3.8863799867753184E-4</v>
      </c>
      <c r="E229" t="s">
        <v>6</v>
      </c>
      <c r="G229" t="s">
        <v>570</v>
      </c>
      <c r="H229" t="s">
        <v>26</v>
      </c>
      <c r="I229">
        <v>2.1710079275283688E-2</v>
      </c>
      <c r="J229" t="s">
        <v>6</v>
      </c>
      <c r="L229" t="s">
        <v>571</v>
      </c>
      <c r="M229" t="s">
        <v>26</v>
      </c>
      <c r="N229">
        <v>2.6911133272913921E-2</v>
      </c>
      <c r="O229" t="s">
        <v>6</v>
      </c>
    </row>
    <row r="230" spans="2:15" x14ac:dyDescent="0.45">
      <c r="B230" t="s">
        <v>569</v>
      </c>
      <c r="C230" t="s">
        <v>27</v>
      </c>
      <c r="D230">
        <v>0</v>
      </c>
      <c r="E230" t="s">
        <v>6</v>
      </c>
      <c r="G230" t="s">
        <v>570</v>
      </c>
      <c r="H230" t="s">
        <v>27</v>
      </c>
      <c r="I230">
        <v>3.0025179821309401E-2</v>
      </c>
      <c r="J230" t="s">
        <v>6</v>
      </c>
      <c r="L230" t="s">
        <v>571</v>
      </c>
      <c r="M230" t="s">
        <v>27</v>
      </c>
      <c r="N230">
        <v>3.6345845206018877E-2</v>
      </c>
      <c r="O230" t="s">
        <v>6</v>
      </c>
    </row>
    <row r="231" spans="2:15" x14ac:dyDescent="0.45">
      <c r="B231" t="s">
        <v>569</v>
      </c>
      <c r="C231" t="s">
        <v>28</v>
      </c>
      <c r="D231">
        <v>0</v>
      </c>
      <c r="E231" t="s">
        <v>6</v>
      </c>
      <c r="G231" t="s">
        <v>570</v>
      </c>
      <c r="H231" t="s">
        <v>28</v>
      </c>
      <c r="I231">
        <v>1.7470092422162197E-2</v>
      </c>
      <c r="J231" t="s">
        <v>6</v>
      </c>
      <c r="L231" t="s">
        <v>571</v>
      </c>
      <c r="M231" t="s">
        <v>28</v>
      </c>
      <c r="N231">
        <v>2.3562154221229679E-2</v>
      </c>
      <c r="O231" t="s">
        <v>6</v>
      </c>
    </row>
    <row r="232" spans="2:15" x14ac:dyDescent="0.45">
      <c r="B232" t="s">
        <v>569</v>
      </c>
      <c r="C232" t="s">
        <v>29</v>
      </c>
      <c r="D232">
        <v>1.0237385038317716E-3</v>
      </c>
      <c r="E232" t="s">
        <v>6</v>
      </c>
      <c r="G232" t="s">
        <v>570</v>
      </c>
      <c r="H232" t="s">
        <v>29</v>
      </c>
      <c r="I232">
        <v>6.3554540163193018E-3</v>
      </c>
      <c r="J232" t="s">
        <v>6</v>
      </c>
      <c r="L232" t="s">
        <v>571</v>
      </c>
      <c r="M232" t="s">
        <v>29</v>
      </c>
      <c r="N232">
        <v>9.2308725577255613E-3</v>
      </c>
      <c r="O232" t="s">
        <v>6</v>
      </c>
    </row>
    <row r="233" spans="2:15" x14ac:dyDescent="0.45">
      <c r="B233" t="s">
        <v>569</v>
      </c>
      <c r="C233" t="s">
        <v>30</v>
      </c>
      <c r="D233">
        <v>2.3263014646890786E-2</v>
      </c>
      <c r="E233" t="s">
        <v>6</v>
      </c>
      <c r="G233" t="s">
        <v>570</v>
      </c>
      <c r="H233" t="s">
        <v>30</v>
      </c>
      <c r="I233">
        <v>6.1451162977321418E-3</v>
      </c>
      <c r="J233" t="s">
        <v>6</v>
      </c>
      <c r="L233" t="s">
        <v>571</v>
      </c>
      <c r="M233" t="s">
        <v>30</v>
      </c>
      <c r="N233">
        <v>8.7180750795084021E-3</v>
      </c>
      <c r="O233" t="s">
        <v>6</v>
      </c>
    </row>
    <row r="234" spans="2:15" x14ac:dyDescent="0.45">
      <c r="B234" t="s">
        <v>569</v>
      </c>
      <c r="C234" t="s">
        <v>31</v>
      </c>
      <c r="D234">
        <v>6.1323117767237131E-2</v>
      </c>
      <c r="E234" t="s">
        <v>6</v>
      </c>
      <c r="G234" t="s">
        <v>570</v>
      </c>
      <c r="H234" t="s">
        <v>31</v>
      </c>
      <c r="I234">
        <v>7.8932152206199653E-3</v>
      </c>
      <c r="J234" t="s">
        <v>6</v>
      </c>
      <c r="L234" t="s">
        <v>571</v>
      </c>
      <c r="M234" t="s">
        <v>31</v>
      </c>
      <c r="N234">
        <v>7.2175163139216666E-3</v>
      </c>
      <c r="O234" t="s">
        <v>6</v>
      </c>
    </row>
    <row r="235" spans="2:15" x14ac:dyDescent="0.45">
      <c r="B235" t="s">
        <v>569</v>
      </c>
      <c r="C235" t="s">
        <v>32</v>
      </c>
      <c r="D235">
        <v>8.1035306221606901E-2</v>
      </c>
      <c r="E235" t="s">
        <v>6</v>
      </c>
      <c r="G235" t="s">
        <v>570</v>
      </c>
      <c r="H235" t="s">
        <v>32</v>
      </c>
      <c r="I235">
        <v>9.1074986674872013E-3</v>
      </c>
      <c r="J235" t="s">
        <v>6</v>
      </c>
      <c r="L235" t="s">
        <v>571</v>
      </c>
      <c r="M235" t="s">
        <v>32</v>
      </c>
      <c r="N235">
        <v>5.8393890491291716E-3</v>
      </c>
      <c r="O235" t="s">
        <v>6</v>
      </c>
    </row>
    <row r="236" spans="2:15" x14ac:dyDescent="0.45">
      <c r="B236" t="s">
        <v>569</v>
      </c>
      <c r="C236" t="s">
        <v>33</v>
      </c>
      <c r="D236">
        <v>7.8430175363200377E-2</v>
      </c>
      <c r="E236" t="s">
        <v>6</v>
      </c>
      <c r="G236" t="s">
        <v>570</v>
      </c>
      <c r="H236" t="s">
        <v>33</v>
      </c>
      <c r="I236">
        <v>1.1453602677248305E-2</v>
      </c>
      <c r="J236" t="s">
        <v>6</v>
      </c>
      <c r="L236" t="s">
        <v>571</v>
      </c>
      <c r="M236" t="s">
        <v>33</v>
      </c>
      <c r="N236">
        <v>8.4308314673703765E-3</v>
      </c>
      <c r="O236" t="s">
        <v>6</v>
      </c>
    </row>
    <row r="237" spans="2:15" x14ac:dyDescent="0.45">
      <c r="B237" t="s">
        <v>569</v>
      </c>
      <c r="C237" t="s">
        <v>34</v>
      </c>
      <c r="D237">
        <v>5.6513252678564753E-2</v>
      </c>
      <c r="E237" t="s">
        <v>6</v>
      </c>
      <c r="G237" t="s">
        <v>570</v>
      </c>
      <c r="H237" t="s">
        <v>34</v>
      </c>
      <c r="I237">
        <v>1.6125182788026132E-2</v>
      </c>
      <c r="J237" t="s">
        <v>6</v>
      </c>
      <c r="L237" t="s">
        <v>571</v>
      </c>
      <c r="M237" t="s">
        <v>34</v>
      </c>
      <c r="N237">
        <v>1.2104185967943E-2</v>
      </c>
      <c r="O237" t="s">
        <v>6</v>
      </c>
    </row>
    <row r="238" spans="2:15" x14ac:dyDescent="0.45">
      <c r="B238" t="s">
        <v>569</v>
      </c>
      <c r="C238" t="s">
        <v>35</v>
      </c>
      <c r="D238">
        <v>2.3271501313654377E-2</v>
      </c>
      <c r="E238" t="s">
        <v>6</v>
      </c>
      <c r="G238" t="s">
        <v>570</v>
      </c>
      <c r="H238" t="s">
        <v>35</v>
      </c>
      <c r="I238">
        <v>1.6291040806131335E-2</v>
      </c>
      <c r="J238" t="s">
        <v>6</v>
      </c>
      <c r="L238" t="s">
        <v>571</v>
      </c>
      <c r="M238" t="s">
        <v>35</v>
      </c>
      <c r="N238">
        <v>1.3627259202798008E-2</v>
      </c>
      <c r="O238" t="s">
        <v>6</v>
      </c>
    </row>
    <row r="239" spans="2:15" x14ac:dyDescent="0.45">
      <c r="B239" t="s">
        <v>569</v>
      </c>
      <c r="C239" t="s">
        <v>36</v>
      </c>
      <c r="D239">
        <v>1.293653330313944E-3</v>
      </c>
      <c r="E239" t="s">
        <v>6</v>
      </c>
      <c r="G239" t="s">
        <v>570</v>
      </c>
      <c r="H239" t="s">
        <v>36</v>
      </c>
      <c r="I239">
        <v>1.3789294217895159E-2</v>
      </c>
      <c r="J239" t="s">
        <v>6</v>
      </c>
      <c r="L239" t="s">
        <v>571</v>
      </c>
      <c r="M239" t="s">
        <v>36</v>
      </c>
      <c r="N239">
        <v>1.2908101453333804E-2</v>
      </c>
      <c r="O239" t="s">
        <v>6</v>
      </c>
    </row>
    <row r="240" spans="2:15" x14ac:dyDescent="0.45">
      <c r="B240" t="s">
        <v>569</v>
      </c>
      <c r="C240" t="s">
        <v>37</v>
      </c>
      <c r="D240">
        <v>0</v>
      </c>
      <c r="E240" t="s">
        <v>6</v>
      </c>
      <c r="G240" t="s">
        <v>570</v>
      </c>
      <c r="H240" t="s">
        <v>37</v>
      </c>
      <c r="I240">
        <v>1.3934238883100821E-2</v>
      </c>
      <c r="J240" t="s">
        <v>6</v>
      </c>
      <c r="L240" t="s">
        <v>571</v>
      </c>
      <c r="M240" t="s">
        <v>37</v>
      </c>
      <c r="N240">
        <v>1.6537665713409044E-2</v>
      </c>
      <c r="O240" t="s">
        <v>6</v>
      </c>
    </row>
    <row r="241" spans="2:15" x14ac:dyDescent="0.45">
      <c r="B241" t="s">
        <v>569</v>
      </c>
      <c r="C241" t="s">
        <v>38</v>
      </c>
      <c r="D241">
        <v>0</v>
      </c>
      <c r="E241" t="s">
        <v>6</v>
      </c>
      <c r="G241" t="s">
        <v>570</v>
      </c>
      <c r="H241" t="s">
        <v>38</v>
      </c>
      <c r="I241">
        <v>5.9492759160581492E-2</v>
      </c>
      <c r="J241" t="s">
        <v>6</v>
      </c>
      <c r="L241" t="s">
        <v>571</v>
      </c>
      <c r="M241" t="s">
        <v>38</v>
      </c>
      <c r="N241">
        <v>5.7879862363383404E-2</v>
      </c>
      <c r="O241" t="s">
        <v>6</v>
      </c>
    </row>
    <row r="242" spans="2:15" x14ac:dyDescent="0.45">
      <c r="B242" t="s">
        <v>569</v>
      </c>
      <c r="C242" t="s">
        <v>39</v>
      </c>
      <c r="D242">
        <v>0</v>
      </c>
      <c r="E242" t="s">
        <v>6</v>
      </c>
      <c r="G242" t="s">
        <v>570</v>
      </c>
      <c r="H242" t="s">
        <v>39</v>
      </c>
      <c r="I242">
        <v>2.5591147323797369E-2</v>
      </c>
      <c r="J242" t="s">
        <v>6</v>
      </c>
      <c r="L242" t="s">
        <v>571</v>
      </c>
      <c r="M242" t="s">
        <v>39</v>
      </c>
      <c r="N242">
        <v>2.2599957427398579E-2</v>
      </c>
      <c r="O242" t="s">
        <v>6</v>
      </c>
    </row>
    <row r="243" spans="2:15" x14ac:dyDescent="0.45">
      <c r="B243" t="s">
        <v>569</v>
      </c>
      <c r="C243" t="s">
        <v>40</v>
      </c>
      <c r="D243">
        <v>9.2618174914063881E-3</v>
      </c>
      <c r="E243" t="s">
        <v>6</v>
      </c>
      <c r="G243" t="s">
        <v>570</v>
      </c>
      <c r="H243" t="s">
        <v>40</v>
      </c>
      <c r="I243">
        <v>2.3886708224131158E-2</v>
      </c>
      <c r="J243" t="s">
        <v>6</v>
      </c>
      <c r="L243" t="s">
        <v>571</v>
      </c>
      <c r="M243" t="s">
        <v>40</v>
      </c>
      <c r="N243">
        <v>2.2501929604269062E-2</v>
      </c>
      <c r="O243" t="s">
        <v>6</v>
      </c>
    </row>
    <row r="244" spans="2:15" x14ac:dyDescent="0.45">
      <c r="B244" t="s">
        <v>569</v>
      </c>
      <c r="C244" t="s">
        <v>41</v>
      </c>
      <c r="D244">
        <v>4.1355335192043964E-2</v>
      </c>
      <c r="E244" t="s">
        <v>6</v>
      </c>
      <c r="G244" t="s">
        <v>570</v>
      </c>
      <c r="H244" t="s">
        <v>41</v>
      </c>
      <c r="I244">
        <v>2.3027518954294703E-2</v>
      </c>
      <c r="J244" t="s">
        <v>6</v>
      </c>
      <c r="L244" t="s">
        <v>571</v>
      </c>
      <c r="M244" t="s">
        <v>41</v>
      </c>
      <c r="N244">
        <v>2.2594068746814328E-2</v>
      </c>
      <c r="O244" t="s">
        <v>6</v>
      </c>
    </row>
    <row r="245" spans="2:15" x14ac:dyDescent="0.45">
      <c r="B245" t="s">
        <v>569</v>
      </c>
      <c r="C245" t="s">
        <v>42</v>
      </c>
      <c r="D245">
        <v>6.2489583609837057E-2</v>
      </c>
      <c r="E245" t="s">
        <v>6</v>
      </c>
      <c r="G245" t="s">
        <v>570</v>
      </c>
      <c r="H245" t="s">
        <v>42</v>
      </c>
      <c r="I245">
        <v>2.4319346980787738E-2</v>
      </c>
      <c r="J245" t="s">
        <v>6</v>
      </c>
      <c r="L245" t="s">
        <v>571</v>
      </c>
      <c r="M245" t="s">
        <v>42</v>
      </c>
      <c r="N245">
        <v>2.24634250077081E-2</v>
      </c>
      <c r="O245" t="s">
        <v>6</v>
      </c>
    </row>
    <row r="246" spans="2:15" x14ac:dyDescent="0.45">
      <c r="B246" t="s">
        <v>569</v>
      </c>
      <c r="C246" t="s">
        <v>43</v>
      </c>
      <c r="D246">
        <v>6.0287278646165822E-2</v>
      </c>
      <c r="E246" t="s">
        <v>6</v>
      </c>
      <c r="G246" t="s">
        <v>570</v>
      </c>
      <c r="H246" t="s">
        <v>43</v>
      </c>
      <c r="I246">
        <v>2.7481265561952576E-2</v>
      </c>
      <c r="J246" t="s">
        <v>6</v>
      </c>
      <c r="L246" t="s">
        <v>571</v>
      </c>
      <c r="M246" t="s">
        <v>43</v>
      </c>
      <c r="N246">
        <v>2.3852859523730847E-2</v>
      </c>
      <c r="O246" t="s">
        <v>6</v>
      </c>
    </row>
    <row r="247" spans="2:15" x14ac:dyDescent="0.45">
      <c r="B247" t="s">
        <v>569</v>
      </c>
      <c r="C247" t="s">
        <v>44</v>
      </c>
      <c r="D247">
        <v>3.6694097384734913E-2</v>
      </c>
      <c r="E247" t="s">
        <v>6</v>
      </c>
      <c r="G247" t="s">
        <v>570</v>
      </c>
      <c r="H247" t="s">
        <v>44</v>
      </c>
      <c r="I247">
        <v>2.8184210568350295E-2</v>
      </c>
      <c r="J247" t="s">
        <v>6</v>
      </c>
      <c r="L247" t="s">
        <v>571</v>
      </c>
      <c r="M247" t="s">
        <v>44</v>
      </c>
      <c r="N247">
        <v>2.4565188583176096E-2</v>
      </c>
      <c r="O247" t="s">
        <v>6</v>
      </c>
    </row>
    <row r="248" spans="2:15" x14ac:dyDescent="0.45">
      <c r="B248" t="s">
        <v>569</v>
      </c>
      <c r="C248" t="s">
        <v>45</v>
      </c>
      <c r="D248">
        <v>6.6148874113457464E-3</v>
      </c>
      <c r="E248" t="s">
        <v>6</v>
      </c>
      <c r="G248" t="s">
        <v>570</v>
      </c>
      <c r="H248" t="s">
        <v>45</v>
      </c>
      <c r="I248">
        <v>2.8436265151644886E-2</v>
      </c>
      <c r="J248" t="s">
        <v>6</v>
      </c>
      <c r="L248" t="s">
        <v>571</v>
      </c>
      <c r="M248" t="s">
        <v>45</v>
      </c>
      <c r="N248">
        <v>2.522053615648787E-2</v>
      </c>
      <c r="O248" t="s">
        <v>6</v>
      </c>
    </row>
    <row r="249" spans="2:15" x14ac:dyDescent="0.45">
      <c r="B249" t="s">
        <v>569</v>
      </c>
      <c r="C249" t="s">
        <v>46</v>
      </c>
      <c r="D249">
        <v>0</v>
      </c>
      <c r="E249" t="s">
        <v>6</v>
      </c>
      <c r="G249" t="s">
        <v>570</v>
      </c>
      <c r="H249" t="s">
        <v>46</v>
      </c>
      <c r="I249">
        <v>2.7234190408775064E-2</v>
      </c>
      <c r="J249" t="s">
        <v>6</v>
      </c>
      <c r="L249" t="s">
        <v>571</v>
      </c>
      <c r="M249" t="s">
        <v>46</v>
      </c>
      <c r="N249">
        <v>2.5061066922228037E-2</v>
      </c>
      <c r="O249" t="s">
        <v>6</v>
      </c>
    </row>
    <row r="250" spans="2:15" x14ac:dyDescent="0.45">
      <c r="B250" t="s">
        <v>569</v>
      </c>
      <c r="C250" t="s">
        <v>47</v>
      </c>
      <c r="D250">
        <v>0</v>
      </c>
      <c r="E250" t="s">
        <v>6</v>
      </c>
      <c r="G250" t="s">
        <v>570</v>
      </c>
      <c r="H250" t="s">
        <v>47</v>
      </c>
      <c r="I250">
        <v>3.7530595712128141E-2</v>
      </c>
      <c r="J250" t="s">
        <v>6</v>
      </c>
      <c r="L250" t="s">
        <v>571</v>
      </c>
      <c r="M250" t="s">
        <v>47</v>
      </c>
      <c r="N250">
        <v>3.6766089482832741E-2</v>
      </c>
      <c r="O250" t="s">
        <v>6</v>
      </c>
    </row>
    <row r="251" spans="2:15" x14ac:dyDescent="0.45">
      <c r="B251" t="s">
        <v>572</v>
      </c>
      <c r="C251" t="s">
        <v>5</v>
      </c>
      <c r="D251">
        <v>0</v>
      </c>
      <c r="E251" t="s">
        <v>6</v>
      </c>
      <c r="G251" t="s">
        <v>573</v>
      </c>
      <c r="H251" t="s">
        <v>5</v>
      </c>
      <c r="I251">
        <v>6.4721404099411822E-2</v>
      </c>
      <c r="J251" t="s">
        <v>6</v>
      </c>
      <c r="L251" t="s">
        <v>574</v>
      </c>
      <c r="M251" t="s">
        <v>5</v>
      </c>
      <c r="N251">
        <v>5.9410269966600378E-2</v>
      </c>
      <c r="O251" t="s">
        <v>6</v>
      </c>
    </row>
    <row r="252" spans="2:15" x14ac:dyDescent="0.45">
      <c r="B252" t="s">
        <v>572</v>
      </c>
      <c r="C252" t="s">
        <v>9</v>
      </c>
      <c r="D252">
        <v>0</v>
      </c>
      <c r="E252" t="s">
        <v>6</v>
      </c>
      <c r="G252" t="s">
        <v>573</v>
      </c>
      <c r="H252" t="s">
        <v>9</v>
      </c>
      <c r="I252">
        <v>2.7818358322524467E-2</v>
      </c>
      <c r="J252" t="s">
        <v>6</v>
      </c>
      <c r="L252" t="s">
        <v>574</v>
      </c>
      <c r="M252" t="s">
        <v>9</v>
      </c>
      <c r="N252">
        <v>2.3093253639125517E-2</v>
      </c>
      <c r="O252" t="s">
        <v>6</v>
      </c>
    </row>
    <row r="253" spans="2:15" x14ac:dyDescent="0.45">
      <c r="B253" t="s">
        <v>572</v>
      </c>
      <c r="C253" t="s">
        <v>10</v>
      </c>
      <c r="D253">
        <v>3.3633413142974771E-3</v>
      </c>
      <c r="E253" t="s">
        <v>6</v>
      </c>
      <c r="G253" t="s">
        <v>573</v>
      </c>
      <c r="H253" t="s">
        <v>10</v>
      </c>
      <c r="I253">
        <v>2.7411189513699804E-2</v>
      </c>
      <c r="J253" t="s">
        <v>6</v>
      </c>
      <c r="L253" t="s">
        <v>574</v>
      </c>
      <c r="M253" t="s">
        <v>10</v>
      </c>
      <c r="N253">
        <v>2.3260696259186513E-2</v>
      </c>
      <c r="O253" t="s">
        <v>6</v>
      </c>
    </row>
    <row r="254" spans="2:15" x14ac:dyDescent="0.45">
      <c r="B254" t="s">
        <v>572</v>
      </c>
      <c r="C254" t="s">
        <v>11</v>
      </c>
      <c r="D254">
        <v>3.0947708820612315E-2</v>
      </c>
      <c r="E254" t="s">
        <v>6</v>
      </c>
      <c r="G254" t="s">
        <v>573</v>
      </c>
      <c r="H254" t="s">
        <v>11</v>
      </c>
      <c r="I254">
        <v>2.5885349478029899E-2</v>
      </c>
      <c r="J254" t="s">
        <v>6</v>
      </c>
      <c r="L254" t="s">
        <v>574</v>
      </c>
      <c r="M254" t="s">
        <v>11</v>
      </c>
      <c r="N254">
        <v>2.3113367536188818E-2</v>
      </c>
      <c r="O254" t="s">
        <v>6</v>
      </c>
    </row>
    <row r="255" spans="2:15" x14ac:dyDescent="0.45">
      <c r="B255" t="s">
        <v>572</v>
      </c>
      <c r="C255" t="s">
        <v>12</v>
      </c>
      <c r="D255">
        <v>5.3267085478320479E-2</v>
      </c>
      <c r="E255" t="s">
        <v>6</v>
      </c>
      <c r="G255" t="s">
        <v>573</v>
      </c>
      <c r="H255" t="s">
        <v>12</v>
      </c>
      <c r="I255">
        <v>2.3984528880535202E-2</v>
      </c>
      <c r="J255" t="s">
        <v>6</v>
      </c>
      <c r="L255" t="s">
        <v>574</v>
      </c>
      <c r="M255" t="s">
        <v>12</v>
      </c>
      <c r="N255">
        <v>2.2541658466111329E-2</v>
      </c>
      <c r="O255" t="s">
        <v>6</v>
      </c>
    </row>
    <row r="256" spans="2:15" x14ac:dyDescent="0.45">
      <c r="B256" t="s">
        <v>572</v>
      </c>
      <c r="C256" t="s">
        <v>13</v>
      </c>
      <c r="D256">
        <v>5.1681682640431582E-2</v>
      </c>
      <c r="E256" t="s">
        <v>6</v>
      </c>
      <c r="G256" t="s">
        <v>573</v>
      </c>
      <c r="H256" t="s">
        <v>13</v>
      </c>
      <c r="I256">
        <v>2.4822859813663809E-2</v>
      </c>
      <c r="J256" t="s">
        <v>6</v>
      </c>
      <c r="L256" t="s">
        <v>574</v>
      </c>
      <c r="M256" t="s">
        <v>13</v>
      </c>
      <c r="N256">
        <v>2.2352739819401685E-2</v>
      </c>
      <c r="O256" t="s">
        <v>6</v>
      </c>
    </row>
    <row r="257" spans="2:15" x14ac:dyDescent="0.45">
      <c r="B257" t="s">
        <v>572</v>
      </c>
      <c r="C257" t="s">
        <v>14</v>
      </c>
      <c r="D257">
        <v>2.8116943609209525E-2</v>
      </c>
      <c r="E257" t="s">
        <v>6</v>
      </c>
      <c r="G257" t="s">
        <v>573</v>
      </c>
      <c r="H257" t="s">
        <v>14</v>
      </c>
      <c r="I257">
        <v>2.415258237267693E-2</v>
      </c>
      <c r="J257" t="s">
        <v>6</v>
      </c>
      <c r="L257" t="s">
        <v>574</v>
      </c>
      <c r="M257" t="s">
        <v>14</v>
      </c>
      <c r="N257">
        <v>2.3091983514103236E-2</v>
      </c>
      <c r="O257" t="s">
        <v>6</v>
      </c>
    </row>
    <row r="258" spans="2:15" x14ac:dyDescent="0.45">
      <c r="B258" t="s">
        <v>572</v>
      </c>
      <c r="C258" t="s">
        <v>15</v>
      </c>
      <c r="D258">
        <v>2.5468100007756032E-3</v>
      </c>
      <c r="E258" t="s">
        <v>6</v>
      </c>
      <c r="G258" t="s">
        <v>573</v>
      </c>
      <c r="H258" t="s">
        <v>15</v>
      </c>
      <c r="I258">
        <v>2.2383825170049339E-2</v>
      </c>
      <c r="J258" t="s">
        <v>6</v>
      </c>
      <c r="L258" t="s">
        <v>574</v>
      </c>
      <c r="M258" t="s">
        <v>15</v>
      </c>
      <c r="N258">
        <v>2.3970079363145019E-2</v>
      </c>
      <c r="O258" t="s">
        <v>6</v>
      </c>
    </row>
    <row r="259" spans="2:15" x14ac:dyDescent="0.45">
      <c r="B259" t="s">
        <v>572</v>
      </c>
      <c r="C259" t="s">
        <v>16</v>
      </c>
      <c r="D259">
        <v>0</v>
      </c>
      <c r="E259" t="s">
        <v>6</v>
      </c>
      <c r="G259" t="s">
        <v>573</v>
      </c>
      <c r="H259" t="s">
        <v>16</v>
      </c>
      <c r="I259">
        <v>2.1441634222613266E-2</v>
      </c>
      <c r="J259" t="s">
        <v>6</v>
      </c>
      <c r="L259" t="s">
        <v>574</v>
      </c>
      <c r="M259" t="s">
        <v>16</v>
      </c>
      <c r="N259">
        <v>2.4674672053058799E-2</v>
      </c>
      <c r="O259" t="s">
        <v>6</v>
      </c>
    </row>
    <row r="260" spans="2:15" x14ac:dyDescent="0.45">
      <c r="B260" t="s">
        <v>572</v>
      </c>
      <c r="C260" t="s">
        <v>17</v>
      </c>
      <c r="D260">
        <v>0</v>
      </c>
      <c r="E260" t="s">
        <v>6</v>
      </c>
      <c r="G260" t="s">
        <v>573</v>
      </c>
      <c r="H260" t="s">
        <v>17</v>
      </c>
      <c r="I260">
        <v>3.286980176017186E-2</v>
      </c>
      <c r="J260" t="s">
        <v>6</v>
      </c>
      <c r="L260" t="s">
        <v>574</v>
      </c>
      <c r="M260" t="s">
        <v>17</v>
      </c>
      <c r="N260">
        <v>3.7652173022616489E-2</v>
      </c>
      <c r="O260" t="s">
        <v>6</v>
      </c>
    </row>
    <row r="261" spans="2:15" x14ac:dyDescent="0.45">
      <c r="B261" t="s">
        <v>572</v>
      </c>
      <c r="C261" t="s">
        <v>18</v>
      </c>
      <c r="D261">
        <v>0</v>
      </c>
      <c r="E261" t="s">
        <v>6</v>
      </c>
      <c r="G261" t="s">
        <v>573</v>
      </c>
      <c r="H261" t="s">
        <v>18</v>
      </c>
      <c r="I261">
        <v>6.397780375124841E-2</v>
      </c>
      <c r="J261" t="s">
        <v>6</v>
      </c>
      <c r="L261" t="s">
        <v>574</v>
      </c>
      <c r="M261" t="s">
        <v>18</v>
      </c>
      <c r="N261">
        <v>6.5158806318496715E-2</v>
      </c>
      <c r="O261" t="s">
        <v>6</v>
      </c>
    </row>
    <row r="262" spans="2:15" x14ac:dyDescent="0.45">
      <c r="B262" t="s">
        <v>572</v>
      </c>
      <c r="C262" t="s">
        <v>19</v>
      </c>
      <c r="D262">
        <v>6.0886823627730679E-4</v>
      </c>
      <c r="E262" t="s">
        <v>6</v>
      </c>
      <c r="G262" t="s">
        <v>573</v>
      </c>
      <c r="H262" t="s">
        <v>19</v>
      </c>
      <c r="I262">
        <v>2.596546934035554E-2</v>
      </c>
      <c r="J262" t="s">
        <v>6</v>
      </c>
      <c r="L262" t="s">
        <v>574</v>
      </c>
      <c r="M262" t="s">
        <v>19</v>
      </c>
      <c r="N262">
        <v>2.6487061855418083E-2</v>
      </c>
      <c r="O262" t="s">
        <v>6</v>
      </c>
    </row>
    <row r="263" spans="2:15" x14ac:dyDescent="0.45">
      <c r="B263" t="s">
        <v>572</v>
      </c>
      <c r="C263" t="s">
        <v>20</v>
      </c>
      <c r="D263">
        <v>2.0161010492122801E-2</v>
      </c>
      <c r="E263" t="s">
        <v>6</v>
      </c>
      <c r="G263" t="s">
        <v>573</v>
      </c>
      <c r="H263" t="s">
        <v>20</v>
      </c>
      <c r="I263">
        <v>2.5174971564964975E-2</v>
      </c>
      <c r="J263" t="s">
        <v>6</v>
      </c>
      <c r="L263" t="s">
        <v>574</v>
      </c>
      <c r="M263" t="s">
        <v>20</v>
      </c>
      <c r="N263">
        <v>2.7313536255569863E-2</v>
      </c>
      <c r="O263" t="s">
        <v>6</v>
      </c>
    </row>
    <row r="264" spans="2:15" x14ac:dyDescent="0.45">
      <c r="B264" t="s">
        <v>572</v>
      </c>
      <c r="C264" t="s">
        <v>21</v>
      </c>
      <c r="D264">
        <v>5.6445806612486486E-2</v>
      </c>
      <c r="E264" t="s">
        <v>6</v>
      </c>
      <c r="G264" t="s">
        <v>573</v>
      </c>
      <c r="H264" t="s">
        <v>21</v>
      </c>
      <c r="I264">
        <v>2.4805358823979873E-2</v>
      </c>
      <c r="J264" t="s">
        <v>6</v>
      </c>
      <c r="L264" t="s">
        <v>574</v>
      </c>
      <c r="M264" t="s">
        <v>21</v>
      </c>
      <c r="N264">
        <v>2.7882272527983885E-2</v>
      </c>
      <c r="O264" t="s">
        <v>6</v>
      </c>
    </row>
    <row r="265" spans="2:15" x14ac:dyDescent="0.45">
      <c r="B265" t="s">
        <v>572</v>
      </c>
      <c r="C265" t="s">
        <v>22</v>
      </c>
      <c r="D265">
        <v>7.5961367508459166E-2</v>
      </c>
      <c r="E265" t="s">
        <v>6</v>
      </c>
      <c r="G265" t="s">
        <v>573</v>
      </c>
      <c r="H265" t="s">
        <v>22</v>
      </c>
      <c r="I265">
        <v>2.3268177449496674E-2</v>
      </c>
      <c r="J265" t="s">
        <v>6</v>
      </c>
      <c r="L265" t="s">
        <v>574</v>
      </c>
      <c r="M265" t="s">
        <v>22</v>
      </c>
      <c r="N265">
        <v>2.6909875470989508E-2</v>
      </c>
      <c r="O265" t="s">
        <v>6</v>
      </c>
    </row>
    <row r="266" spans="2:15" x14ac:dyDescent="0.45">
      <c r="B266" t="s">
        <v>572</v>
      </c>
      <c r="C266" t="s">
        <v>23</v>
      </c>
      <c r="D266">
        <v>7.3488783875262184E-2</v>
      </c>
      <c r="E266" t="s">
        <v>6</v>
      </c>
      <c r="G266" t="s">
        <v>573</v>
      </c>
      <c r="H266" t="s">
        <v>23</v>
      </c>
      <c r="I266">
        <v>2.8100632221828785E-2</v>
      </c>
      <c r="J266" t="s">
        <v>6</v>
      </c>
      <c r="L266" t="s">
        <v>574</v>
      </c>
      <c r="M266" t="s">
        <v>23</v>
      </c>
      <c r="N266">
        <v>2.7720732249850187E-2</v>
      </c>
      <c r="O266" t="s">
        <v>6</v>
      </c>
    </row>
    <row r="267" spans="2:15" x14ac:dyDescent="0.45">
      <c r="B267" t="s">
        <v>572</v>
      </c>
      <c r="C267" t="s">
        <v>24</v>
      </c>
      <c r="D267">
        <v>5.1003569055724833E-2</v>
      </c>
      <c r="E267" t="s">
        <v>6</v>
      </c>
      <c r="G267" t="s">
        <v>573</v>
      </c>
      <c r="H267" t="s">
        <v>24</v>
      </c>
      <c r="I267">
        <v>2.9871602823432E-2</v>
      </c>
      <c r="J267" t="s">
        <v>6</v>
      </c>
      <c r="L267" t="s">
        <v>574</v>
      </c>
      <c r="M267" t="s">
        <v>24</v>
      </c>
      <c r="N267">
        <v>2.9252627337741106E-2</v>
      </c>
      <c r="O267" t="s">
        <v>6</v>
      </c>
    </row>
    <row r="268" spans="2:15" x14ac:dyDescent="0.45">
      <c r="B268" t="s">
        <v>572</v>
      </c>
      <c r="C268" t="s">
        <v>25</v>
      </c>
      <c r="D268">
        <v>1.6162728369433766E-2</v>
      </c>
      <c r="E268" t="s">
        <v>6</v>
      </c>
      <c r="G268" t="s">
        <v>573</v>
      </c>
      <c r="H268" t="s">
        <v>25</v>
      </c>
      <c r="I268">
        <v>2.7516238159812093E-2</v>
      </c>
      <c r="J268" t="s">
        <v>6</v>
      </c>
      <c r="L268" t="s">
        <v>574</v>
      </c>
      <c r="M268" t="s">
        <v>25</v>
      </c>
      <c r="N268">
        <v>3.0150134902018511E-2</v>
      </c>
      <c r="O268" t="s">
        <v>6</v>
      </c>
    </row>
    <row r="269" spans="2:15" x14ac:dyDescent="0.45">
      <c r="B269" t="s">
        <v>572</v>
      </c>
      <c r="C269" t="s">
        <v>26</v>
      </c>
      <c r="D269">
        <v>2.4812099137367207E-4</v>
      </c>
      <c r="E269" t="s">
        <v>6</v>
      </c>
      <c r="G269" t="s">
        <v>573</v>
      </c>
      <c r="H269" t="s">
        <v>26</v>
      </c>
      <c r="I269">
        <v>2.534847707355074E-2</v>
      </c>
      <c r="J269" t="s">
        <v>6</v>
      </c>
      <c r="L269" t="s">
        <v>574</v>
      </c>
      <c r="M269" t="s">
        <v>26</v>
      </c>
      <c r="N269">
        <v>3.0330887097345344E-2</v>
      </c>
      <c r="O269" t="s">
        <v>6</v>
      </c>
    </row>
    <row r="270" spans="2:15" x14ac:dyDescent="0.45">
      <c r="B270" t="s">
        <v>572</v>
      </c>
      <c r="C270" t="s">
        <v>27</v>
      </c>
      <c r="D270">
        <v>0</v>
      </c>
      <c r="E270" t="s">
        <v>6</v>
      </c>
      <c r="G270" t="s">
        <v>573</v>
      </c>
      <c r="H270" t="s">
        <v>27</v>
      </c>
      <c r="I270">
        <v>3.6301185639338214E-2</v>
      </c>
      <c r="J270" t="s">
        <v>6</v>
      </c>
      <c r="L270" t="s">
        <v>574</v>
      </c>
      <c r="M270" t="s">
        <v>27</v>
      </c>
      <c r="N270">
        <v>4.2499431290513943E-2</v>
      </c>
      <c r="O270" t="s">
        <v>6</v>
      </c>
    </row>
    <row r="271" spans="2:15" x14ac:dyDescent="0.45">
      <c r="B271" t="s">
        <v>572</v>
      </c>
      <c r="C271" t="s">
        <v>28</v>
      </c>
      <c r="D271">
        <v>0</v>
      </c>
      <c r="E271" t="s">
        <v>6</v>
      </c>
      <c r="G271" t="s">
        <v>573</v>
      </c>
      <c r="H271" t="s">
        <v>28</v>
      </c>
      <c r="I271">
        <v>3.4215935441352145E-2</v>
      </c>
      <c r="J271" t="s">
        <v>6</v>
      </c>
      <c r="L271" t="s">
        <v>574</v>
      </c>
      <c r="M271" t="s">
        <v>28</v>
      </c>
      <c r="N271">
        <v>2.4482617899883721E-2</v>
      </c>
      <c r="O271" t="s">
        <v>6</v>
      </c>
    </row>
    <row r="272" spans="2:15" x14ac:dyDescent="0.45">
      <c r="B272" t="s">
        <v>572</v>
      </c>
      <c r="C272" t="s">
        <v>29</v>
      </c>
      <c r="D272">
        <v>1.2417348225573957E-3</v>
      </c>
      <c r="E272" t="s">
        <v>6</v>
      </c>
      <c r="G272" t="s">
        <v>573</v>
      </c>
      <c r="H272" t="s">
        <v>29</v>
      </c>
      <c r="I272">
        <v>1.3600327571150834E-2</v>
      </c>
      <c r="J272" t="s">
        <v>6</v>
      </c>
      <c r="L272" t="s">
        <v>574</v>
      </c>
      <c r="M272" t="s">
        <v>29</v>
      </c>
      <c r="N272">
        <v>8.8910122211247715E-3</v>
      </c>
      <c r="O272" t="s">
        <v>6</v>
      </c>
    </row>
    <row r="273" spans="2:15" x14ac:dyDescent="0.45">
      <c r="B273" t="s">
        <v>572</v>
      </c>
      <c r="C273" t="s">
        <v>30</v>
      </c>
      <c r="D273">
        <v>2.5570233113325229E-2</v>
      </c>
      <c r="E273" t="s">
        <v>6</v>
      </c>
      <c r="G273" t="s">
        <v>573</v>
      </c>
      <c r="H273" t="s">
        <v>30</v>
      </c>
      <c r="I273">
        <v>1.1495162837906948E-2</v>
      </c>
      <c r="J273" t="s">
        <v>6</v>
      </c>
      <c r="L273" t="s">
        <v>574</v>
      </c>
      <c r="M273" t="s">
        <v>30</v>
      </c>
      <c r="N273">
        <v>8.0190574915833309E-3</v>
      </c>
      <c r="O273" t="s">
        <v>6</v>
      </c>
    </row>
    <row r="274" spans="2:15" x14ac:dyDescent="0.45">
      <c r="B274" t="s">
        <v>572</v>
      </c>
      <c r="C274" t="s">
        <v>31</v>
      </c>
      <c r="D274">
        <v>6.103019352424828E-2</v>
      </c>
      <c r="E274" t="s">
        <v>6</v>
      </c>
      <c r="G274" t="s">
        <v>573</v>
      </c>
      <c r="H274" t="s">
        <v>31</v>
      </c>
      <c r="I274">
        <v>1.1088513581947906E-2</v>
      </c>
      <c r="J274" t="s">
        <v>6</v>
      </c>
      <c r="L274" t="s">
        <v>574</v>
      </c>
      <c r="M274" t="s">
        <v>31</v>
      </c>
      <c r="N274">
        <v>6.8555582162645456E-3</v>
      </c>
      <c r="O274" t="s">
        <v>6</v>
      </c>
    </row>
    <row r="275" spans="2:15" x14ac:dyDescent="0.45">
      <c r="B275" t="s">
        <v>572</v>
      </c>
      <c r="C275" t="s">
        <v>32</v>
      </c>
      <c r="D275">
        <v>7.8954282697018277E-2</v>
      </c>
      <c r="E275" t="s">
        <v>6</v>
      </c>
      <c r="G275" t="s">
        <v>573</v>
      </c>
      <c r="H275" t="s">
        <v>32</v>
      </c>
      <c r="I275">
        <v>9.5651751087325928E-3</v>
      </c>
      <c r="J275" t="s">
        <v>6</v>
      </c>
      <c r="L275" t="s">
        <v>574</v>
      </c>
      <c r="M275" t="s">
        <v>32</v>
      </c>
      <c r="N275">
        <v>6.3754032117378954E-3</v>
      </c>
      <c r="O275" t="s">
        <v>6</v>
      </c>
    </row>
    <row r="276" spans="2:15" x14ac:dyDescent="0.45">
      <c r="B276" t="s">
        <v>572</v>
      </c>
      <c r="C276" t="s">
        <v>33</v>
      </c>
      <c r="D276">
        <v>7.5861661801663843E-2</v>
      </c>
      <c r="E276" t="s">
        <v>6</v>
      </c>
      <c r="G276" t="s">
        <v>573</v>
      </c>
      <c r="H276" t="s">
        <v>33</v>
      </c>
      <c r="I276">
        <v>1.1554990806124026E-2</v>
      </c>
      <c r="J276" t="s">
        <v>6</v>
      </c>
      <c r="L276" t="s">
        <v>574</v>
      </c>
      <c r="M276" t="s">
        <v>33</v>
      </c>
      <c r="N276">
        <v>8.6166821760114021E-3</v>
      </c>
      <c r="O276" t="s">
        <v>6</v>
      </c>
    </row>
    <row r="277" spans="2:15" x14ac:dyDescent="0.45">
      <c r="B277" t="s">
        <v>572</v>
      </c>
      <c r="C277" t="s">
        <v>34</v>
      </c>
      <c r="D277">
        <v>5.4271893346524831E-2</v>
      </c>
      <c r="E277" t="s">
        <v>6</v>
      </c>
      <c r="G277" t="s">
        <v>573</v>
      </c>
      <c r="H277" t="s">
        <v>34</v>
      </c>
      <c r="I277">
        <v>1.1781102553874908E-2</v>
      </c>
      <c r="J277" t="s">
        <v>6</v>
      </c>
      <c r="L277" t="s">
        <v>574</v>
      </c>
      <c r="M277" t="s">
        <v>34</v>
      </c>
      <c r="N277">
        <v>1.1246065548183071E-2</v>
      </c>
      <c r="O277" t="s">
        <v>6</v>
      </c>
    </row>
    <row r="278" spans="2:15" x14ac:dyDescent="0.45">
      <c r="B278" t="s">
        <v>572</v>
      </c>
      <c r="C278" t="s">
        <v>35</v>
      </c>
      <c r="D278">
        <v>2.071152878704257E-2</v>
      </c>
      <c r="E278" t="s">
        <v>6</v>
      </c>
      <c r="G278" t="s">
        <v>573</v>
      </c>
      <c r="H278" t="s">
        <v>35</v>
      </c>
      <c r="I278">
        <v>1.0109960428332954E-2</v>
      </c>
      <c r="J278" t="s">
        <v>6</v>
      </c>
      <c r="L278" t="s">
        <v>574</v>
      </c>
      <c r="M278" t="s">
        <v>35</v>
      </c>
      <c r="N278">
        <v>1.2290372844767439E-2</v>
      </c>
      <c r="O278" t="s">
        <v>6</v>
      </c>
    </row>
    <row r="279" spans="2:15" x14ac:dyDescent="0.45">
      <c r="B279" t="s">
        <v>572</v>
      </c>
      <c r="C279" t="s">
        <v>36</v>
      </c>
      <c r="D279">
        <v>9.1530589217423579E-4</v>
      </c>
      <c r="E279" t="s">
        <v>6</v>
      </c>
      <c r="G279" t="s">
        <v>573</v>
      </c>
      <c r="H279" t="s">
        <v>36</v>
      </c>
      <c r="I279">
        <v>9.7035860983066026E-3</v>
      </c>
      <c r="J279" t="s">
        <v>6</v>
      </c>
      <c r="L279" t="s">
        <v>574</v>
      </c>
      <c r="M279" t="s">
        <v>36</v>
      </c>
      <c r="N279">
        <v>1.1864718491997786E-2</v>
      </c>
      <c r="O279" t="s">
        <v>6</v>
      </c>
    </row>
    <row r="280" spans="2:15" x14ac:dyDescent="0.45">
      <c r="B280" t="s">
        <v>572</v>
      </c>
      <c r="C280" t="s">
        <v>37</v>
      </c>
      <c r="D280">
        <v>0</v>
      </c>
      <c r="E280" t="s">
        <v>6</v>
      </c>
      <c r="G280" t="s">
        <v>573</v>
      </c>
      <c r="H280" t="s">
        <v>37</v>
      </c>
      <c r="I280">
        <v>1.6718327372958482E-2</v>
      </c>
      <c r="J280" t="s">
        <v>6</v>
      </c>
      <c r="L280" t="s">
        <v>574</v>
      </c>
      <c r="M280" t="s">
        <v>37</v>
      </c>
      <c r="N280">
        <v>1.5854733408648836E-2</v>
      </c>
      <c r="O280" t="s">
        <v>6</v>
      </c>
    </row>
    <row r="281" spans="2:15" x14ac:dyDescent="0.45">
      <c r="B281" t="s">
        <v>572</v>
      </c>
      <c r="C281" t="s">
        <v>38</v>
      </c>
      <c r="D281">
        <v>0</v>
      </c>
      <c r="E281" t="s">
        <v>6</v>
      </c>
      <c r="G281" t="s">
        <v>573</v>
      </c>
      <c r="H281" t="s">
        <v>38</v>
      </c>
      <c r="I281">
        <v>5.2951297563356731E-2</v>
      </c>
      <c r="J281" t="s">
        <v>6</v>
      </c>
      <c r="L281" t="s">
        <v>574</v>
      </c>
      <c r="M281" t="s">
        <v>38</v>
      </c>
      <c r="N281">
        <v>5.5558204143928272E-2</v>
      </c>
      <c r="O281" t="s">
        <v>6</v>
      </c>
    </row>
    <row r="282" spans="2:15" x14ac:dyDescent="0.45">
      <c r="B282" t="s">
        <v>572</v>
      </c>
      <c r="C282" t="s">
        <v>39</v>
      </c>
      <c r="D282">
        <v>3.5338415247428727E-6</v>
      </c>
      <c r="E282" t="s">
        <v>6</v>
      </c>
      <c r="G282" t="s">
        <v>573</v>
      </c>
      <c r="H282" t="s">
        <v>39</v>
      </c>
      <c r="I282">
        <v>2.1478394654884981E-2</v>
      </c>
      <c r="J282" t="s">
        <v>6</v>
      </c>
      <c r="L282" t="s">
        <v>574</v>
      </c>
      <c r="M282" t="s">
        <v>39</v>
      </c>
      <c r="N282">
        <v>2.1630143007931923E-2</v>
      </c>
      <c r="O282" t="s">
        <v>6</v>
      </c>
    </row>
    <row r="283" spans="2:15" x14ac:dyDescent="0.45">
      <c r="B283" t="s">
        <v>572</v>
      </c>
      <c r="C283" t="s">
        <v>40</v>
      </c>
      <c r="D283">
        <v>1.2014145840480548E-2</v>
      </c>
      <c r="E283" t="s">
        <v>6</v>
      </c>
      <c r="G283" t="s">
        <v>573</v>
      </c>
      <c r="H283" t="s">
        <v>40</v>
      </c>
      <c r="I283">
        <v>2.0402191078162494E-2</v>
      </c>
      <c r="J283" t="s">
        <v>6</v>
      </c>
      <c r="L283" t="s">
        <v>574</v>
      </c>
      <c r="M283" t="s">
        <v>40</v>
      </c>
      <c r="N283">
        <v>2.1053671339743889E-2</v>
      </c>
      <c r="O283" t="s">
        <v>6</v>
      </c>
    </row>
    <row r="284" spans="2:15" x14ac:dyDescent="0.45">
      <c r="B284" t="s">
        <v>572</v>
      </c>
      <c r="C284" t="s">
        <v>41</v>
      </c>
      <c r="D284">
        <v>4.4851844179796367E-2</v>
      </c>
      <c r="E284" t="s">
        <v>6</v>
      </c>
      <c r="G284" t="s">
        <v>573</v>
      </c>
      <c r="H284" t="s">
        <v>41</v>
      </c>
      <c r="I284">
        <v>1.9528625943399779E-2</v>
      </c>
      <c r="J284" t="s">
        <v>6</v>
      </c>
      <c r="L284" t="s">
        <v>574</v>
      </c>
      <c r="M284" t="s">
        <v>41</v>
      </c>
      <c r="N284">
        <v>2.1087833235172201E-2</v>
      </c>
      <c r="O284" t="s">
        <v>6</v>
      </c>
    </row>
    <row r="285" spans="2:15" x14ac:dyDescent="0.45">
      <c r="B285" t="s">
        <v>572</v>
      </c>
      <c r="C285" t="s">
        <v>42</v>
      </c>
      <c r="D285">
        <v>6.2885014254098245E-2</v>
      </c>
      <c r="E285" t="s">
        <v>6</v>
      </c>
      <c r="G285" t="s">
        <v>573</v>
      </c>
      <c r="H285" t="s">
        <v>42</v>
      </c>
      <c r="I285">
        <v>2.0609817354486783E-2</v>
      </c>
      <c r="J285" t="s">
        <v>6</v>
      </c>
      <c r="L285" t="s">
        <v>574</v>
      </c>
      <c r="M285" t="s">
        <v>42</v>
      </c>
      <c r="N285">
        <v>2.1035967455560318E-2</v>
      </c>
      <c r="O285" t="s">
        <v>6</v>
      </c>
    </row>
    <row r="286" spans="2:15" x14ac:dyDescent="0.45">
      <c r="B286" t="s">
        <v>572</v>
      </c>
      <c r="C286" t="s">
        <v>43</v>
      </c>
      <c r="D286">
        <v>5.813566966154679E-2</v>
      </c>
      <c r="E286" t="s">
        <v>6</v>
      </c>
      <c r="G286" t="s">
        <v>573</v>
      </c>
      <c r="H286" t="s">
        <v>43</v>
      </c>
      <c r="I286">
        <v>2.2254651808457031E-2</v>
      </c>
      <c r="J286" t="s">
        <v>6</v>
      </c>
      <c r="L286" t="s">
        <v>574</v>
      </c>
      <c r="M286" t="s">
        <v>43</v>
      </c>
      <c r="N286">
        <v>2.2260958977420846E-2</v>
      </c>
      <c r="O286" t="s">
        <v>6</v>
      </c>
    </row>
    <row r="287" spans="2:15" x14ac:dyDescent="0.45">
      <c r="B287" t="s">
        <v>572</v>
      </c>
      <c r="C287" t="s">
        <v>44</v>
      </c>
      <c r="D287">
        <v>3.42366048631444E-2</v>
      </c>
      <c r="E287" t="s">
        <v>6</v>
      </c>
      <c r="G287" t="s">
        <v>573</v>
      </c>
      <c r="H287" t="s">
        <v>44</v>
      </c>
      <c r="I287">
        <v>2.2550636649051745E-2</v>
      </c>
      <c r="J287" t="s">
        <v>6</v>
      </c>
      <c r="L287" t="s">
        <v>574</v>
      </c>
      <c r="M287" t="s">
        <v>44</v>
      </c>
      <c r="N287">
        <v>2.315832844171109E-2</v>
      </c>
      <c r="O287" t="s">
        <v>6</v>
      </c>
    </row>
    <row r="288" spans="2:15" x14ac:dyDescent="0.45">
      <c r="B288" t="s">
        <v>572</v>
      </c>
      <c r="C288" t="s">
        <v>45</v>
      </c>
      <c r="D288">
        <v>5.3125263700662308E-3</v>
      </c>
      <c r="E288" t="s">
        <v>6</v>
      </c>
      <c r="G288" t="s">
        <v>573</v>
      </c>
      <c r="H288" t="s">
        <v>45</v>
      </c>
      <c r="I288">
        <v>2.2222241632725109E-2</v>
      </c>
      <c r="J288" t="s">
        <v>6</v>
      </c>
      <c r="L288" t="s">
        <v>574</v>
      </c>
      <c r="M288" t="s">
        <v>45</v>
      </c>
      <c r="N288">
        <v>2.3548133658118208E-2</v>
      </c>
      <c r="O288" t="s">
        <v>6</v>
      </c>
    </row>
    <row r="289" spans="2:15" x14ac:dyDescent="0.45">
      <c r="B289" t="s">
        <v>572</v>
      </c>
      <c r="C289" t="s">
        <v>46</v>
      </c>
      <c r="D289">
        <v>0</v>
      </c>
      <c r="E289" t="s">
        <v>6</v>
      </c>
      <c r="G289" t="s">
        <v>573</v>
      </c>
      <c r="H289" t="s">
        <v>46</v>
      </c>
      <c r="I289">
        <v>2.1076316398253303E-2</v>
      </c>
      <c r="J289" t="s">
        <v>6</v>
      </c>
      <c r="L289" t="s">
        <v>574</v>
      </c>
      <c r="M289" t="s">
        <v>46</v>
      </c>
      <c r="N289">
        <v>2.3846745253692517E-2</v>
      </c>
      <c r="O289" t="s">
        <v>6</v>
      </c>
    </row>
    <row r="290" spans="2:15" x14ac:dyDescent="0.45">
      <c r="B290" t="s">
        <v>572</v>
      </c>
      <c r="C290" t="s">
        <v>47</v>
      </c>
      <c r="D290">
        <v>0</v>
      </c>
      <c r="E290" t="s">
        <v>6</v>
      </c>
      <c r="G290" t="s">
        <v>573</v>
      </c>
      <c r="H290" t="s">
        <v>47</v>
      </c>
      <c r="I290">
        <v>3.127129463515374E-2</v>
      </c>
      <c r="J290" t="s">
        <v>6</v>
      </c>
      <c r="L290" t="s">
        <v>574</v>
      </c>
      <c r="M290" t="s">
        <v>47</v>
      </c>
      <c r="N290">
        <v>3.5457534031048892E-2</v>
      </c>
      <c r="O290" t="s">
        <v>6</v>
      </c>
    </row>
    <row r="291" spans="2:15" x14ac:dyDescent="0.45">
      <c r="B291" t="s">
        <v>575</v>
      </c>
      <c r="C291" t="s">
        <v>5</v>
      </c>
      <c r="D291">
        <v>0</v>
      </c>
      <c r="E291" t="s">
        <v>6</v>
      </c>
      <c r="G291" t="s">
        <v>576</v>
      </c>
      <c r="H291" t="s">
        <v>5</v>
      </c>
      <c r="I291">
        <v>5.7985714109182712E-2</v>
      </c>
      <c r="J291" t="s">
        <v>6</v>
      </c>
      <c r="L291" t="s">
        <v>577</v>
      </c>
      <c r="M291" t="s">
        <v>5</v>
      </c>
      <c r="N291">
        <v>6.1724854103981472E-2</v>
      </c>
      <c r="O291" t="s">
        <v>6</v>
      </c>
    </row>
    <row r="292" spans="2:15" x14ac:dyDescent="0.45">
      <c r="B292" t="s">
        <v>575</v>
      </c>
      <c r="C292" t="s">
        <v>9</v>
      </c>
      <c r="D292">
        <v>0</v>
      </c>
      <c r="E292" t="s">
        <v>6</v>
      </c>
      <c r="G292" t="s">
        <v>576</v>
      </c>
      <c r="H292" t="s">
        <v>9</v>
      </c>
      <c r="I292">
        <v>2.3446788743883062E-2</v>
      </c>
      <c r="J292" t="s">
        <v>6</v>
      </c>
      <c r="L292" t="s">
        <v>577</v>
      </c>
      <c r="M292" t="s">
        <v>9</v>
      </c>
      <c r="N292">
        <v>2.5792490666932007E-2</v>
      </c>
      <c r="O292" t="s">
        <v>6</v>
      </c>
    </row>
    <row r="293" spans="2:15" x14ac:dyDescent="0.45">
      <c r="B293" t="s">
        <v>575</v>
      </c>
      <c r="C293" t="s">
        <v>10</v>
      </c>
      <c r="D293">
        <v>9.5605017970288003E-4</v>
      </c>
      <c r="E293" t="s">
        <v>6</v>
      </c>
      <c r="G293" t="s">
        <v>576</v>
      </c>
      <c r="H293" t="s">
        <v>10</v>
      </c>
      <c r="I293">
        <v>2.2434057933953745E-2</v>
      </c>
      <c r="J293" t="s">
        <v>6</v>
      </c>
      <c r="L293" t="s">
        <v>577</v>
      </c>
      <c r="M293" t="s">
        <v>10</v>
      </c>
      <c r="N293">
        <v>2.5590658877827667E-2</v>
      </c>
      <c r="O293" t="s">
        <v>6</v>
      </c>
    </row>
    <row r="294" spans="2:15" x14ac:dyDescent="0.45">
      <c r="B294" t="s">
        <v>575</v>
      </c>
      <c r="C294" t="s">
        <v>11</v>
      </c>
      <c r="D294">
        <v>2.7198949945738928E-2</v>
      </c>
      <c r="E294" t="s">
        <v>6</v>
      </c>
      <c r="G294" t="s">
        <v>576</v>
      </c>
      <c r="H294" t="s">
        <v>11</v>
      </c>
      <c r="I294">
        <v>2.0092945451660939E-2</v>
      </c>
      <c r="J294" t="s">
        <v>6</v>
      </c>
      <c r="L294" t="s">
        <v>577</v>
      </c>
      <c r="M294" t="s">
        <v>11</v>
      </c>
      <c r="N294">
        <v>2.6222812482902425E-2</v>
      </c>
      <c r="O294" t="s">
        <v>6</v>
      </c>
    </row>
    <row r="295" spans="2:15" x14ac:dyDescent="0.45">
      <c r="B295" t="s">
        <v>575</v>
      </c>
      <c r="C295" t="s">
        <v>12</v>
      </c>
      <c r="D295">
        <v>5.3870327778069223E-2</v>
      </c>
      <c r="E295" t="s">
        <v>6</v>
      </c>
      <c r="G295" t="s">
        <v>576</v>
      </c>
      <c r="H295" t="s">
        <v>12</v>
      </c>
      <c r="I295">
        <v>1.9809076392149294E-2</v>
      </c>
      <c r="J295" t="s">
        <v>6</v>
      </c>
      <c r="L295" t="s">
        <v>577</v>
      </c>
      <c r="M295" t="s">
        <v>12</v>
      </c>
      <c r="N295">
        <v>2.5030578987342931E-2</v>
      </c>
      <c r="O295" t="s">
        <v>6</v>
      </c>
    </row>
    <row r="296" spans="2:15" x14ac:dyDescent="0.45">
      <c r="B296" t="s">
        <v>575</v>
      </c>
      <c r="C296" t="s">
        <v>13</v>
      </c>
      <c r="D296">
        <v>5.5981225436585492E-2</v>
      </c>
      <c r="E296" t="s">
        <v>6</v>
      </c>
      <c r="G296" t="s">
        <v>576</v>
      </c>
      <c r="H296" t="s">
        <v>13</v>
      </c>
      <c r="I296">
        <v>2.4725956074372606E-2</v>
      </c>
      <c r="J296" t="s">
        <v>6</v>
      </c>
      <c r="L296" t="s">
        <v>577</v>
      </c>
      <c r="M296" t="s">
        <v>13</v>
      </c>
      <c r="N296">
        <v>2.3946345448463302E-2</v>
      </c>
      <c r="O296" t="s">
        <v>6</v>
      </c>
    </row>
    <row r="297" spans="2:15" x14ac:dyDescent="0.45">
      <c r="B297" t="s">
        <v>575</v>
      </c>
      <c r="C297" t="s">
        <v>14</v>
      </c>
      <c r="D297">
        <v>3.4759930061237551E-2</v>
      </c>
      <c r="E297" t="s">
        <v>6</v>
      </c>
      <c r="G297" t="s">
        <v>576</v>
      </c>
      <c r="H297" t="s">
        <v>14</v>
      </c>
      <c r="I297">
        <v>2.2224754796274213E-2</v>
      </c>
      <c r="J297" t="s">
        <v>6</v>
      </c>
      <c r="L297" t="s">
        <v>577</v>
      </c>
      <c r="M297" t="s">
        <v>14</v>
      </c>
      <c r="N297">
        <v>2.3925857591137866E-2</v>
      </c>
      <c r="O297" t="s">
        <v>6</v>
      </c>
    </row>
    <row r="298" spans="2:15" x14ac:dyDescent="0.45">
      <c r="B298" t="s">
        <v>575</v>
      </c>
      <c r="C298" t="s">
        <v>15</v>
      </c>
      <c r="D298">
        <v>5.0706781103820597E-3</v>
      </c>
      <c r="E298" t="s">
        <v>6</v>
      </c>
      <c r="G298" t="s">
        <v>576</v>
      </c>
      <c r="H298" t="s">
        <v>15</v>
      </c>
      <c r="I298">
        <v>1.9378327116410372E-2</v>
      </c>
      <c r="J298" t="s">
        <v>6</v>
      </c>
      <c r="L298" t="s">
        <v>577</v>
      </c>
      <c r="M298" t="s">
        <v>15</v>
      </c>
      <c r="N298">
        <v>2.4241105722985278E-2</v>
      </c>
      <c r="O298" t="s">
        <v>6</v>
      </c>
    </row>
    <row r="299" spans="2:15" x14ac:dyDescent="0.45">
      <c r="B299" t="s">
        <v>575</v>
      </c>
      <c r="C299" t="s">
        <v>16</v>
      </c>
      <c r="D299">
        <v>0</v>
      </c>
      <c r="E299" t="s">
        <v>6</v>
      </c>
      <c r="G299" t="s">
        <v>576</v>
      </c>
      <c r="H299" t="s">
        <v>16</v>
      </c>
      <c r="I299">
        <v>1.9369037351500272E-2</v>
      </c>
      <c r="J299" t="s">
        <v>6</v>
      </c>
      <c r="L299" t="s">
        <v>577</v>
      </c>
      <c r="M299" t="s">
        <v>16</v>
      </c>
      <c r="N299">
        <v>2.5333775914678398E-2</v>
      </c>
      <c r="O299" t="s">
        <v>6</v>
      </c>
    </row>
    <row r="300" spans="2:15" x14ac:dyDescent="0.45">
      <c r="B300" t="s">
        <v>575</v>
      </c>
      <c r="C300" t="s">
        <v>17</v>
      </c>
      <c r="D300">
        <v>0</v>
      </c>
      <c r="E300" t="s">
        <v>6</v>
      </c>
      <c r="G300" t="s">
        <v>576</v>
      </c>
      <c r="H300" t="s">
        <v>17</v>
      </c>
      <c r="I300">
        <v>3.2620693477160637E-2</v>
      </c>
      <c r="J300" t="s">
        <v>6</v>
      </c>
      <c r="L300" t="s">
        <v>577</v>
      </c>
      <c r="M300" t="s">
        <v>17</v>
      </c>
      <c r="N300">
        <v>3.8344577455918488E-2</v>
      </c>
      <c r="O300" t="s">
        <v>6</v>
      </c>
    </row>
    <row r="301" spans="2:15" x14ac:dyDescent="0.45">
      <c r="B301" t="s">
        <v>575</v>
      </c>
      <c r="C301" t="s">
        <v>18</v>
      </c>
      <c r="D301">
        <v>0</v>
      </c>
      <c r="E301" t="s">
        <v>6</v>
      </c>
      <c r="G301" t="s">
        <v>576</v>
      </c>
      <c r="H301" t="s">
        <v>18</v>
      </c>
      <c r="I301">
        <v>5.093952715754952E-2</v>
      </c>
      <c r="J301" t="s">
        <v>6</v>
      </c>
      <c r="L301" t="s">
        <v>577</v>
      </c>
      <c r="M301" t="s">
        <v>18</v>
      </c>
      <c r="N301">
        <v>5.9232602929925431E-2</v>
      </c>
      <c r="O301" t="s">
        <v>6</v>
      </c>
    </row>
    <row r="302" spans="2:15" x14ac:dyDescent="0.45">
      <c r="B302" t="s">
        <v>575</v>
      </c>
      <c r="C302" t="s">
        <v>19</v>
      </c>
      <c r="D302">
        <v>3.2363717025670076E-4</v>
      </c>
      <c r="E302" t="s">
        <v>6</v>
      </c>
      <c r="G302" t="s">
        <v>576</v>
      </c>
      <c r="H302" t="s">
        <v>19</v>
      </c>
      <c r="I302">
        <v>2.0020119877952897E-2</v>
      </c>
      <c r="J302" t="s">
        <v>6</v>
      </c>
      <c r="L302" t="s">
        <v>577</v>
      </c>
      <c r="M302" t="s">
        <v>19</v>
      </c>
      <c r="N302">
        <v>2.2776179116987788E-2</v>
      </c>
      <c r="O302" t="s">
        <v>6</v>
      </c>
    </row>
    <row r="303" spans="2:15" x14ac:dyDescent="0.45">
      <c r="B303" t="s">
        <v>575</v>
      </c>
      <c r="C303" t="s">
        <v>20</v>
      </c>
      <c r="D303">
        <v>1.4375892077364972E-2</v>
      </c>
      <c r="E303" t="s">
        <v>6</v>
      </c>
      <c r="G303" t="s">
        <v>576</v>
      </c>
      <c r="H303" t="s">
        <v>20</v>
      </c>
      <c r="I303">
        <v>2.1050006048750878E-2</v>
      </c>
      <c r="J303" t="s">
        <v>6</v>
      </c>
      <c r="L303" t="s">
        <v>577</v>
      </c>
      <c r="M303" t="s">
        <v>20</v>
      </c>
      <c r="N303">
        <v>2.3649678507222719E-2</v>
      </c>
      <c r="O303" t="s">
        <v>6</v>
      </c>
    </row>
    <row r="304" spans="2:15" x14ac:dyDescent="0.45">
      <c r="B304" t="s">
        <v>575</v>
      </c>
      <c r="C304" t="s">
        <v>21</v>
      </c>
      <c r="D304">
        <v>4.8779114195198786E-2</v>
      </c>
      <c r="E304" t="s">
        <v>6</v>
      </c>
      <c r="G304" t="s">
        <v>576</v>
      </c>
      <c r="H304" t="s">
        <v>21</v>
      </c>
      <c r="I304">
        <v>2.8015452324393012E-2</v>
      </c>
      <c r="J304" t="s">
        <v>6</v>
      </c>
      <c r="L304" t="s">
        <v>577</v>
      </c>
      <c r="M304" t="s">
        <v>21</v>
      </c>
      <c r="N304">
        <v>2.4498132251562409E-2</v>
      </c>
      <c r="O304" t="s">
        <v>6</v>
      </c>
    </row>
    <row r="305" spans="2:15" x14ac:dyDescent="0.45">
      <c r="B305" t="s">
        <v>575</v>
      </c>
      <c r="C305" t="s">
        <v>22</v>
      </c>
      <c r="D305">
        <v>7.1196502102662151E-2</v>
      </c>
      <c r="E305" t="s">
        <v>6</v>
      </c>
      <c r="G305" t="s">
        <v>576</v>
      </c>
      <c r="H305" t="s">
        <v>22</v>
      </c>
      <c r="I305">
        <v>2.7535274448839825E-2</v>
      </c>
      <c r="J305" t="s">
        <v>6</v>
      </c>
      <c r="L305" t="s">
        <v>577</v>
      </c>
      <c r="M305" t="s">
        <v>22</v>
      </c>
      <c r="N305">
        <v>2.5163764873333144E-2</v>
      </c>
      <c r="O305" t="s">
        <v>6</v>
      </c>
    </row>
    <row r="306" spans="2:15" x14ac:dyDescent="0.45">
      <c r="B306" t="s">
        <v>575</v>
      </c>
      <c r="C306" t="s">
        <v>23</v>
      </c>
      <c r="D306">
        <v>7.1746385264175663E-2</v>
      </c>
      <c r="E306" t="s">
        <v>6</v>
      </c>
      <c r="G306" t="s">
        <v>576</v>
      </c>
      <c r="H306" t="s">
        <v>23</v>
      </c>
      <c r="I306">
        <v>3.2761311218894203E-2</v>
      </c>
      <c r="J306" t="s">
        <v>6</v>
      </c>
      <c r="L306" t="s">
        <v>577</v>
      </c>
      <c r="M306" t="s">
        <v>23</v>
      </c>
      <c r="N306">
        <v>2.5648584829371018E-2</v>
      </c>
      <c r="O306" t="s">
        <v>6</v>
      </c>
    </row>
    <row r="307" spans="2:15" x14ac:dyDescent="0.45">
      <c r="B307" t="s">
        <v>575</v>
      </c>
      <c r="C307" t="s">
        <v>24</v>
      </c>
      <c r="D307">
        <v>5.2023466658117981E-2</v>
      </c>
      <c r="E307" t="s">
        <v>6</v>
      </c>
      <c r="G307" t="s">
        <v>576</v>
      </c>
      <c r="H307" t="s">
        <v>24</v>
      </c>
      <c r="I307">
        <v>3.1904676622305408E-2</v>
      </c>
      <c r="J307" t="s">
        <v>6</v>
      </c>
      <c r="L307" t="s">
        <v>577</v>
      </c>
      <c r="M307" t="s">
        <v>24</v>
      </c>
      <c r="N307">
        <v>2.590953225552951E-2</v>
      </c>
      <c r="O307" t="s">
        <v>6</v>
      </c>
    </row>
    <row r="308" spans="2:15" x14ac:dyDescent="0.45">
      <c r="B308" t="s">
        <v>575</v>
      </c>
      <c r="C308" t="s">
        <v>25</v>
      </c>
      <c r="D308">
        <v>1.9591044485559466E-2</v>
      </c>
      <c r="E308" t="s">
        <v>6</v>
      </c>
      <c r="G308" t="s">
        <v>576</v>
      </c>
      <c r="H308" t="s">
        <v>25</v>
      </c>
      <c r="I308">
        <v>2.6789610639648288E-2</v>
      </c>
      <c r="J308" t="s">
        <v>6</v>
      </c>
      <c r="L308" t="s">
        <v>577</v>
      </c>
      <c r="M308" t="s">
        <v>25</v>
      </c>
      <c r="N308">
        <v>2.5941499682211804E-2</v>
      </c>
      <c r="O308" t="s">
        <v>6</v>
      </c>
    </row>
    <row r="309" spans="2:15" x14ac:dyDescent="0.45">
      <c r="B309" t="s">
        <v>575</v>
      </c>
      <c r="C309" t="s">
        <v>26</v>
      </c>
      <c r="D309">
        <v>5.6016371924081255E-4</v>
      </c>
      <c r="E309" t="s">
        <v>6</v>
      </c>
      <c r="G309" t="s">
        <v>576</v>
      </c>
      <c r="H309" t="s">
        <v>26</v>
      </c>
      <c r="I309">
        <v>2.2046759310526798E-2</v>
      </c>
      <c r="J309" t="s">
        <v>6</v>
      </c>
      <c r="L309" t="s">
        <v>577</v>
      </c>
      <c r="M309" t="s">
        <v>26</v>
      </c>
      <c r="N309">
        <v>2.4690561109425208E-2</v>
      </c>
      <c r="O309" t="s">
        <v>6</v>
      </c>
    </row>
    <row r="310" spans="2:15" x14ac:dyDescent="0.45">
      <c r="B310" t="s">
        <v>575</v>
      </c>
      <c r="C310" t="s">
        <v>27</v>
      </c>
      <c r="D310">
        <v>0</v>
      </c>
      <c r="E310" t="s">
        <v>6</v>
      </c>
      <c r="G310" t="s">
        <v>576</v>
      </c>
      <c r="H310" t="s">
        <v>27</v>
      </c>
      <c r="I310">
        <v>3.1095811483828791E-2</v>
      </c>
      <c r="J310" t="s">
        <v>6</v>
      </c>
      <c r="L310" t="s">
        <v>577</v>
      </c>
      <c r="M310" t="s">
        <v>27</v>
      </c>
      <c r="N310">
        <v>3.4047212768268623E-2</v>
      </c>
      <c r="O310" t="s">
        <v>6</v>
      </c>
    </row>
    <row r="311" spans="2:15" x14ac:dyDescent="0.45">
      <c r="B311" t="s">
        <v>575</v>
      </c>
      <c r="C311" t="s">
        <v>28</v>
      </c>
      <c r="D311">
        <v>0</v>
      </c>
      <c r="E311" t="s">
        <v>6</v>
      </c>
      <c r="G311" t="s">
        <v>576</v>
      </c>
      <c r="H311" t="s">
        <v>28</v>
      </c>
      <c r="I311">
        <v>2.5613545902527225E-2</v>
      </c>
      <c r="J311" t="s">
        <v>6</v>
      </c>
      <c r="L311" t="s">
        <v>577</v>
      </c>
      <c r="M311" t="s">
        <v>28</v>
      </c>
      <c r="N311">
        <v>1.9103743877301401E-2</v>
      </c>
      <c r="O311" t="s">
        <v>6</v>
      </c>
    </row>
    <row r="312" spans="2:15" x14ac:dyDescent="0.45">
      <c r="B312" t="s">
        <v>575</v>
      </c>
      <c r="C312" t="s">
        <v>29</v>
      </c>
      <c r="D312">
        <v>8.2819398526066913E-4</v>
      </c>
      <c r="E312" t="s">
        <v>6</v>
      </c>
      <c r="G312" t="s">
        <v>576</v>
      </c>
      <c r="H312" t="s">
        <v>29</v>
      </c>
      <c r="I312">
        <v>8.7740527263504096E-3</v>
      </c>
      <c r="J312" t="s">
        <v>6</v>
      </c>
      <c r="L312" t="s">
        <v>577</v>
      </c>
      <c r="M312" t="s">
        <v>29</v>
      </c>
      <c r="N312">
        <v>9.0583774866283464E-3</v>
      </c>
      <c r="O312" t="s">
        <v>6</v>
      </c>
    </row>
    <row r="313" spans="2:15" x14ac:dyDescent="0.45">
      <c r="B313" t="s">
        <v>575</v>
      </c>
      <c r="C313" t="s">
        <v>30</v>
      </c>
      <c r="D313">
        <v>2.1290031429254112E-2</v>
      </c>
      <c r="E313" t="s">
        <v>6</v>
      </c>
      <c r="G313" t="s">
        <v>576</v>
      </c>
      <c r="H313" t="s">
        <v>30</v>
      </c>
      <c r="I313">
        <v>6.5410986583656419E-3</v>
      </c>
      <c r="J313" t="s">
        <v>6</v>
      </c>
      <c r="L313" t="s">
        <v>577</v>
      </c>
      <c r="M313" t="s">
        <v>30</v>
      </c>
      <c r="N313">
        <v>1.0229952999413395E-2</v>
      </c>
      <c r="O313" t="s">
        <v>6</v>
      </c>
    </row>
    <row r="314" spans="2:15" x14ac:dyDescent="0.45">
      <c r="B314" t="s">
        <v>575</v>
      </c>
      <c r="C314" t="s">
        <v>31</v>
      </c>
      <c r="D314">
        <v>5.9304562212025708E-2</v>
      </c>
      <c r="E314" t="s">
        <v>6</v>
      </c>
      <c r="G314" t="s">
        <v>576</v>
      </c>
      <c r="H314" t="s">
        <v>31</v>
      </c>
      <c r="I314">
        <v>1.0049094061392067E-2</v>
      </c>
      <c r="J314" t="s">
        <v>6</v>
      </c>
      <c r="L314" t="s">
        <v>577</v>
      </c>
      <c r="M314" t="s">
        <v>31</v>
      </c>
      <c r="N314">
        <v>9.7823536287674918E-3</v>
      </c>
      <c r="O314" t="s">
        <v>6</v>
      </c>
    </row>
    <row r="315" spans="2:15" x14ac:dyDescent="0.45">
      <c r="B315" t="s">
        <v>575</v>
      </c>
      <c r="C315" t="s">
        <v>32</v>
      </c>
      <c r="D315">
        <v>8.0306400435551442E-2</v>
      </c>
      <c r="E315" t="s">
        <v>6</v>
      </c>
      <c r="G315" t="s">
        <v>576</v>
      </c>
      <c r="H315" t="s">
        <v>32</v>
      </c>
      <c r="I315">
        <v>1.1631947316231213E-2</v>
      </c>
      <c r="J315" t="s">
        <v>6</v>
      </c>
      <c r="L315" t="s">
        <v>577</v>
      </c>
      <c r="M315" t="s">
        <v>32</v>
      </c>
      <c r="N315">
        <v>8.8749047574639538E-3</v>
      </c>
      <c r="O315" t="s">
        <v>6</v>
      </c>
    </row>
    <row r="316" spans="2:15" x14ac:dyDescent="0.45">
      <c r="B316" t="s">
        <v>575</v>
      </c>
      <c r="C316" t="s">
        <v>33</v>
      </c>
      <c r="D316">
        <v>7.8709873063863192E-2</v>
      </c>
      <c r="E316" t="s">
        <v>6</v>
      </c>
      <c r="G316" t="s">
        <v>576</v>
      </c>
      <c r="H316" t="s">
        <v>33</v>
      </c>
      <c r="I316">
        <v>1.4738874152403455E-2</v>
      </c>
      <c r="J316" t="s">
        <v>6</v>
      </c>
      <c r="L316" t="s">
        <v>577</v>
      </c>
      <c r="M316" t="s">
        <v>33</v>
      </c>
      <c r="N316">
        <v>8.3106633904977308E-3</v>
      </c>
      <c r="O316" t="s">
        <v>6</v>
      </c>
    </row>
    <row r="317" spans="2:15" x14ac:dyDescent="0.45">
      <c r="B317" t="s">
        <v>575</v>
      </c>
      <c r="C317" t="s">
        <v>34</v>
      </c>
      <c r="D317">
        <v>5.8184229578885791E-2</v>
      </c>
      <c r="E317" t="s">
        <v>6</v>
      </c>
      <c r="G317" t="s">
        <v>576</v>
      </c>
      <c r="H317" t="s">
        <v>34</v>
      </c>
      <c r="I317">
        <v>1.5854496926499213E-2</v>
      </c>
      <c r="J317" t="s">
        <v>6</v>
      </c>
      <c r="L317" t="s">
        <v>577</v>
      </c>
      <c r="M317" t="s">
        <v>34</v>
      </c>
      <c r="N317">
        <v>7.1819167448067024E-3</v>
      </c>
      <c r="O317" t="s">
        <v>6</v>
      </c>
    </row>
    <row r="318" spans="2:15" x14ac:dyDescent="0.45">
      <c r="B318" t="s">
        <v>575</v>
      </c>
      <c r="C318" t="s">
        <v>35</v>
      </c>
      <c r="D318">
        <v>2.5832333229345087E-2</v>
      </c>
      <c r="E318" t="s">
        <v>6</v>
      </c>
      <c r="G318" t="s">
        <v>576</v>
      </c>
      <c r="H318" t="s">
        <v>35</v>
      </c>
      <c r="I318">
        <v>1.5118062727014292E-2</v>
      </c>
      <c r="J318" t="s">
        <v>6</v>
      </c>
      <c r="L318" t="s">
        <v>577</v>
      </c>
      <c r="M318" t="s">
        <v>35</v>
      </c>
      <c r="N318">
        <v>5.9132744233817043E-3</v>
      </c>
      <c r="O318" t="s">
        <v>6</v>
      </c>
    </row>
    <row r="319" spans="2:15" x14ac:dyDescent="0.45">
      <c r="B319" t="s">
        <v>575</v>
      </c>
      <c r="C319" t="s">
        <v>36</v>
      </c>
      <c r="D319">
        <v>1.7219456684041342E-3</v>
      </c>
      <c r="E319" t="s">
        <v>6</v>
      </c>
      <c r="G319" t="s">
        <v>576</v>
      </c>
      <c r="H319" t="s">
        <v>36</v>
      </c>
      <c r="I319">
        <v>1.1504440554361875E-2</v>
      </c>
      <c r="J319" t="s">
        <v>6</v>
      </c>
      <c r="L319" t="s">
        <v>577</v>
      </c>
      <c r="M319" t="s">
        <v>36</v>
      </c>
      <c r="N319">
        <v>5.5703992137185474E-3</v>
      </c>
      <c r="O319" t="s">
        <v>6</v>
      </c>
    </row>
    <row r="320" spans="2:15" x14ac:dyDescent="0.45">
      <c r="B320" t="s">
        <v>575</v>
      </c>
      <c r="C320" t="s">
        <v>37</v>
      </c>
      <c r="D320">
        <v>0</v>
      </c>
      <c r="E320" t="s">
        <v>6</v>
      </c>
      <c r="G320" t="s">
        <v>576</v>
      </c>
      <c r="H320" t="s">
        <v>37</v>
      </c>
      <c r="I320">
        <v>1.4656609463646646E-2</v>
      </c>
      <c r="J320" t="s">
        <v>6</v>
      </c>
      <c r="L320" t="s">
        <v>577</v>
      </c>
      <c r="M320" t="s">
        <v>37</v>
      </c>
      <c r="N320">
        <v>8.98673865664496E-3</v>
      </c>
      <c r="O320" t="s">
        <v>6</v>
      </c>
    </row>
    <row r="321" spans="2:15" x14ac:dyDescent="0.45">
      <c r="B321" t="s">
        <v>575</v>
      </c>
      <c r="C321" t="s">
        <v>38</v>
      </c>
      <c r="D321">
        <v>0</v>
      </c>
      <c r="E321" t="s">
        <v>6</v>
      </c>
      <c r="G321" t="s">
        <v>576</v>
      </c>
      <c r="H321" t="s">
        <v>38</v>
      </c>
      <c r="I321">
        <v>6.3224754808469952E-2</v>
      </c>
      <c r="J321" t="s">
        <v>6</v>
      </c>
      <c r="L321" t="s">
        <v>577</v>
      </c>
      <c r="M321" t="s">
        <v>38</v>
      </c>
      <c r="N321">
        <v>6.5609064597911063E-2</v>
      </c>
      <c r="O321" t="s">
        <v>6</v>
      </c>
    </row>
    <row r="322" spans="2:15" x14ac:dyDescent="0.45">
      <c r="B322" t="s">
        <v>575</v>
      </c>
      <c r="C322" t="s">
        <v>39</v>
      </c>
      <c r="D322">
        <v>0</v>
      </c>
      <c r="E322" t="s">
        <v>6</v>
      </c>
      <c r="G322" t="s">
        <v>576</v>
      </c>
      <c r="H322" t="s">
        <v>39</v>
      </c>
      <c r="I322">
        <v>2.3540828759000577E-2</v>
      </c>
      <c r="J322" t="s">
        <v>6</v>
      </c>
      <c r="L322" t="s">
        <v>577</v>
      </c>
      <c r="M322" t="s">
        <v>39</v>
      </c>
      <c r="N322">
        <v>2.5253796401679601E-2</v>
      </c>
      <c r="O322" t="s">
        <v>6</v>
      </c>
    </row>
    <row r="323" spans="2:15" x14ac:dyDescent="0.45">
      <c r="B323" t="s">
        <v>575</v>
      </c>
      <c r="C323" t="s">
        <v>40</v>
      </c>
      <c r="D323">
        <v>8.1035060139208366E-3</v>
      </c>
      <c r="E323" t="s">
        <v>6</v>
      </c>
      <c r="G323" t="s">
        <v>576</v>
      </c>
      <c r="H323" t="s">
        <v>40</v>
      </c>
      <c r="I323">
        <v>2.2205675701469398E-2</v>
      </c>
      <c r="J323" t="s">
        <v>6</v>
      </c>
      <c r="L323" t="s">
        <v>577</v>
      </c>
      <c r="M323" t="s">
        <v>40</v>
      </c>
      <c r="N323">
        <v>2.4649251611383944E-2</v>
      </c>
      <c r="O323" t="s">
        <v>6</v>
      </c>
    </row>
    <row r="324" spans="2:15" x14ac:dyDescent="0.45">
      <c r="B324" t="s">
        <v>575</v>
      </c>
      <c r="C324" t="s">
        <v>41</v>
      </c>
      <c r="D324">
        <v>4.0870115324880212E-2</v>
      </c>
      <c r="E324" t="s">
        <v>6</v>
      </c>
      <c r="G324" t="s">
        <v>576</v>
      </c>
      <c r="H324" t="s">
        <v>41</v>
      </c>
      <c r="I324">
        <v>2.2452060863759771E-2</v>
      </c>
      <c r="J324" t="s">
        <v>6</v>
      </c>
      <c r="L324" t="s">
        <v>577</v>
      </c>
      <c r="M324" t="s">
        <v>41</v>
      </c>
      <c r="N324">
        <v>2.5609771367157131E-2</v>
      </c>
      <c r="O324" t="s">
        <v>6</v>
      </c>
    </row>
    <row r="325" spans="2:15" x14ac:dyDescent="0.45">
      <c r="B325" t="s">
        <v>575</v>
      </c>
      <c r="C325" t="s">
        <v>42</v>
      </c>
      <c r="D325">
        <v>6.2399522170750725E-2</v>
      </c>
      <c r="E325" t="s">
        <v>6</v>
      </c>
      <c r="G325" t="s">
        <v>576</v>
      </c>
      <c r="H325" t="s">
        <v>42</v>
      </c>
      <c r="I325">
        <v>2.6491475340509933E-2</v>
      </c>
      <c r="J325" t="s">
        <v>6</v>
      </c>
      <c r="L325" t="s">
        <v>577</v>
      </c>
      <c r="M325" t="s">
        <v>42</v>
      </c>
      <c r="N325">
        <v>2.5331692316542368E-2</v>
      </c>
      <c r="O325" t="s">
        <v>6</v>
      </c>
    </row>
    <row r="326" spans="2:15" x14ac:dyDescent="0.45">
      <c r="B326" t="s">
        <v>575</v>
      </c>
      <c r="C326" t="s">
        <v>43</v>
      </c>
      <c r="D326">
        <v>6.0366306867074532E-2</v>
      </c>
      <c r="E326" t="s">
        <v>6</v>
      </c>
      <c r="G326" t="s">
        <v>576</v>
      </c>
      <c r="H326" t="s">
        <v>43</v>
      </c>
      <c r="I326">
        <v>3.2034879864965886E-2</v>
      </c>
      <c r="J326" t="s">
        <v>6</v>
      </c>
      <c r="L326" t="s">
        <v>577</v>
      </c>
      <c r="M326" t="s">
        <v>43</v>
      </c>
      <c r="N326">
        <v>2.6598657826387474E-2</v>
      </c>
      <c r="O326" t="s">
        <v>6</v>
      </c>
    </row>
    <row r="327" spans="2:15" x14ac:dyDescent="0.45">
      <c r="B327" t="s">
        <v>575</v>
      </c>
      <c r="C327" t="s">
        <v>44</v>
      </c>
      <c r="D327">
        <v>3.7849323249691078E-2</v>
      </c>
      <c r="E327" t="s">
        <v>6</v>
      </c>
      <c r="G327" t="s">
        <v>576</v>
      </c>
      <c r="H327" t="s">
        <v>44</v>
      </c>
      <c r="I327">
        <v>3.1052111673834704E-2</v>
      </c>
      <c r="J327" t="s">
        <v>6</v>
      </c>
      <c r="L327" t="s">
        <v>577</v>
      </c>
      <c r="M327" t="s">
        <v>44</v>
      </c>
      <c r="N327">
        <v>2.7423711434913664E-2</v>
      </c>
      <c r="O327" t="s">
        <v>6</v>
      </c>
    </row>
    <row r="328" spans="2:15" x14ac:dyDescent="0.45">
      <c r="B328" t="s">
        <v>575</v>
      </c>
      <c r="C328" t="s">
        <v>45</v>
      </c>
      <c r="D328">
        <v>7.7973617476769057E-3</v>
      </c>
      <c r="E328" t="s">
        <v>6</v>
      </c>
      <c r="G328" t="s">
        <v>576</v>
      </c>
      <c r="H328" t="s">
        <v>45</v>
      </c>
      <c r="I328">
        <v>2.7455185708625471E-2</v>
      </c>
      <c r="J328" t="s">
        <v>6</v>
      </c>
      <c r="L328" t="s">
        <v>577</v>
      </c>
      <c r="M328" t="s">
        <v>45</v>
      </c>
      <c r="N328">
        <v>2.7568610434242455E-2</v>
      </c>
      <c r="O328" t="s">
        <v>6</v>
      </c>
    </row>
    <row r="329" spans="2:15" x14ac:dyDescent="0.45">
      <c r="B329" t="s">
        <v>575</v>
      </c>
      <c r="C329" t="s">
        <v>46</v>
      </c>
      <c r="D329">
        <v>2.927839120444454E-6</v>
      </c>
      <c r="E329" t="s">
        <v>6</v>
      </c>
      <c r="G329" t="s">
        <v>576</v>
      </c>
      <c r="H329" t="s">
        <v>46</v>
      </c>
      <c r="I329">
        <v>2.4973828233886258E-2</v>
      </c>
      <c r="J329" t="s">
        <v>6</v>
      </c>
      <c r="L329" t="s">
        <v>577</v>
      </c>
      <c r="M329" t="s">
        <v>46</v>
      </c>
      <c r="N329">
        <v>2.7329556206480522E-2</v>
      </c>
      <c r="O329" t="s">
        <v>6</v>
      </c>
    </row>
    <row r="330" spans="2:15" x14ac:dyDescent="0.45">
      <c r="B330" t="s">
        <v>575</v>
      </c>
      <c r="C330" t="s">
        <v>47</v>
      </c>
      <c r="D330">
        <v>0</v>
      </c>
      <c r="E330" t="s">
        <v>6</v>
      </c>
      <c r="G330" t="s">
        <v>576</v>
      </c>
      <c r="H330" t="s">
        <v>47</v>
      </c>
      <c r="I330">
        <v>3.7841075977445418E-2</v>
      </c>
      <c r="J330" t="s">
        <v>6</v>
      </c>
      <c r="L330" t="s">
        <v>577</v>
      </c>
      <c r="M330" t="s">
        <v>47</v>
      </c>
      <c r="N330">
        <v>3.9902757048672577E-2</v>
      </c>
      <c r="O330" t="s">
        <v>6</v>
      </c>
    </row>
    <row r="331" spans="2:15" x14ac:dyDescent="0.45">
      <c r="B331" t="s">
        <v>578</v>
      </c>
      <c r="C331" t="s">
        <v>5</v>
      </c>
      <c r="D331">
        <v>0</v>
      </c>
      <c r="E331" t="s">
        <v>6</v>
      </c>
      <c r="G331" t="s">
        <v>579</v>
      </c>
      <c r="H331" t="s">
        <v>5</v>
      </c>
      <c r="I331">
        <v>6.4869173294475127E-2</v>
      </c>
      <c r="J331" t="s">
        <v>6</v>
      </c>
      <c r="L331" t="s">
        <v>580</v>
      </c>
      <c r="M331" t="s">
        <v>5</v>
      </c>
      <c r="N331">
        <v>5.1721482989630287E-2</v>
      </c>
      <c r="O331" t="s">
        <v>6</v>
      </c>
    </row>
    <row r="332" spans="2:15" x14ac:dyDescent="0.45">
      <c r="B332" t="s">
        <v>578</v>
      </c>
      <c r="C332" t="s">
        <v>9</v>
      </c>
      <c r="D332">
        <v>0</v>
      </c>
      <c r="E332" t="s">
        <v>6</v>
      </c>
      <c r="G332" t="s">
        <v>579</v>
      </c>
      <c r="H332" t="s">
        <v>9</v>
      </c>
      <c r="I332">
        <v>2.7778407472865061E-2</v>
      </c>
      <c r="J332" t="s">
        <v>6</v>
      </c>
      <c r="L332" t="s">
        <v>580</v>
      </c>
      <c r="M332" t="s">
        <v>9</v>
      </c>
      <c r="N332">
        <v>2.1828260697820817E-2</v>
      </c>
      <c r="O332" t="s">
        <v>6</v>
      </c>
    </row>
    <row r="333" spans="2:15" x14ac:dyDescent="0.45">
      <c r="B333" t="s">
        <v>578</v>
      </c>
      <c r="C333" t="s">
        <v>10</v>
      </c>
      <c r="D333">
        <v>7.0576832781260959E-4</v>
      </c>
      <c r="E333" t="s">
        <v>6</v>
      </c>
      <c r="G333" t="s">
        <v>579</v>
      </c>
      <c r="H333" t="s">
        <v>10</v>
      </c>
      <c r="I333">
        <v>2.7336736128228387E-2</v>
      </c>
      <c r="J333" t="s">
        <v>6</v>
      </c>
      <c r="L333" t="s">
        <v>580</v>
      </c>
      <c r="M333" t="s">
        <v>10</v>
      </c>
      <c r="N333">
        <v>2.1773880955008935E-2</v>
      </c>
      <c r="O333" t="s">
        <v>6</v>
      </c>
    </row>
    <row r="334" spans="2:15" x14ac:dyDescent="0.45">
      <c r="B334" t="s">
        <v>578</v>
      </c>
      <c r="C334" t="s">
        <v>11</v>
      </c>
      <c r="D334">
        <v>2.4188002748412436E-2</v>
      </c>
      <c r="E334" t="s">
        <v>6</v>
      </c>
      <c r="G334" t="s">
        <v>579</v>
      </c>
      <c r="H334" t="s">
        <v>11</v>
      </c>
      <c r="I334">
        <v>2.5959170543710917E-2</v>
      </c>
      <c r="J334" t="s">
        <v>6</v>
      </c>
      <c r="L334" t="s">
        <v>580</v>
      </c>
      <c r="M334" t="s">
        <v>11</v>
      </c>
      <c r="N334">
        <v>2.1645569701671797E-2</v>
      </c>
      <c r="O334" t="s">
        <v>6</v>
      </c>
    </row>
    <row r="335" spans="2:15" x14ac:dyDescent="0.45">
      <c r="B335" t="s">
        <v>578</v>
      </c>
      <c r="C335" t="s">
        <v>12</v>
      </c>
      <c r="D335">
        <v>4.9286122475269936E-2</v>
      </c>
      <c r="E335" t="s">
        <v>6</v>
      </c>
      <c r="G335" t="s">
        <v>579</v>
      </c>
      <c r="H335" t="s">
        <v>12</v>
      </c>
      <c r="I335">
        <v>2.5671987729862504E-2</v>
      </c>
      <c r="J335" t="s">
        <v>6</v>
      </c>
      <c r="L335" t="s">
        <v>580</v>
      </c>
      <c r="M335" t="s">
        <v>12</v>
      </c>
      <c r="N335">
        <v>2.0990997317305308E-2</v>
      </c>
      <c r="O335" t="s">
        <v>6</v>
      </c>
    </row>
    <row r="336" spans="2:15" x14ac:dyDescent="0.45">
      <c r="B336" t="s">
        <v>578</v>
      </c>
      <c r="C336" t="s">
        <v>13</v>
      </c>
      <c r="D336">
        <v>5.2237816579985726E-2</v>
      </c>
      <c r="E336" t="s">
        <v>6</v>
      </c>
      <c r="G336" t="s">
        <v>579</v>
      </c>
      <c r="H336" t="s">
        <v>13</v>
      </c>
      <c r="I336">
        <v>2.7866433231657991E-2</v>
      </c>
      <c r="J336" t="s">
        <v>6</v>
      </c>
      <c r="L336" t="s">
        <v>580</v>
      </c>
      <c r="M336" t="s">
        <v>13</v>
      </c>
      <c r="N336">
        <v>2.0944536865444275E-2</v>
      </c>
      <c r="O336" t="s">
        <v>6</v>
      </c>
    </row>
    <row r="337" spans="2:15" x14ac:dyDescent="0.45">
      <c r="B337" t="s">
        <v>578</v>
      </c>
      <c r="C337" t="s">
        <v>14</v>
      </c>
      <c r="D337">
        <v>3.0242673496059091E-2</v>
      </c>
      <c r="E337" t="s">
        <v>6</v>
      </c>
      <c r="G337" t="s">
        <v>579</v>
      </c>
      <c r="H337" t="s">
        <v>14</v>
      </c>
      <c r="I337">
        <v>2.7640517029770054E-2</v>
      </c>
      <c r="J337" t="s">
        <v>6</v>
      </c>
      <c r="L337" t="s">
        <v>580</v>
      </c>
      <c r="M337" t="s">
        <v>14</v>
      </c>
      <c r="N337">
        <v>2.1237365390902836E-2</v>
      </c>
      <c r="O337" t="s">
        <v>6</v>
      </c>
    </row>
    <row r="338" spans="2:15" x14ac:dyDescent="0.45">
      <c r="B338" t="s">
        <v>578</v>
      </c>
      <c r="C338" t="s">
        <v>15</v>
      </c>
      <c r="D338">
        <v>3.4284546244346668E-3</v>
      </c>
      <c r="E338" t="s">
        <v>6</v>
      </c>
      <c r="G338" t="s">
        <v>579</v>
      </c>
      <c r="H338" t="s">
        <v>15</v>
      </c>
      <c r="I338">
        <v>2.5557747571751051E-2</v>
      </c>
      <c r="J338" t="s">
        <v>6</v>
      </c>
      <c r="L338" t="s">
        <v>580</v>
      </c>
      <c r="M338" t="s">
        <v>15</v>
      </c>
      <c r="N338">
        <v>2.1465860586479878E-2</v>
      </c>
      <c r="O338" t="s">
        <v>6</v>
      </c>
    </row>
    <row r="339" spans="2:15" x14ac:dyDescent="0.45">
      <c r="B339" t="s">
        <v>578</v>
      </c>
      <c r="C339" t="s">
        <v>16</v>
      </c>
      <c r="D339">
        <v>0</v>
      </c>
      <c r="E339" t="s">
        <v>6</v>
      </c>
      <c r="G339" t="s">
        <v>579</v>
      </c>
      <c r="H339" t="s">
        <v>16</v>
      </c>
      <c r="I339">
        <v>2.4054831511505007E-2</v>
      </c>
      <c r="J339" t="s">
        <v>6</v>
      </c>
      <c r="L339" t="s">
        <v>580</v>
      </c>
      <c r="M339" t="s">
        <v>16</v>
      </c>
      <c r="N339">
        <v>2.1301852604087398E-2</v>
      </c>
      <c r="O339" t="s">
        <v>6</v>
      </c>
    </row>
    <row r="340" spans="2:15" x14ac:dyDescent="0.45">
      <c r="B340" t="s">
        <v>578</v>
      </c>
      <c r="C340" t="s">
        <v>17</v>
      </c>
      <c r="D340">
        <v>0</v>
      </c>
      <c r="E340" t="s">
        <v>6</v>
      </c>
      <c r="G340" t="s">
        <v>579</v>
      </c>
      <c r="H340" t="s">
        <v>17</v>
      </c>
      <c r="I340">
        <v>3.5540369897578965E-2</v>
      </c>
      <c r="J340" t="s">
        <v>6</v>
      </c>
      <c r="L340" t="s">
        <v>580</v>
      </c>
      <c r="M340" t="s">
        <v>17</v>
      </c>
      <c r="N340">
        <v>3.0958614064605459E-2</v>
      </c>
      <c r="O340" t="s">
        <v>6</v>
      </c>
    </row>
    <row r="341" spans="2:15" x14ac:dyDescent="0.45">
      <c r="B341" t="s">
        <v>578</v>
      </c>
      <c r="C341" t="s">
        <v>18</v>
      </c>
      <c r="D341">
        <v>0</v>
      </c>
      <c r="E341" t="s">
        <v>6</v>
      </c>
      <c r="G341" t="s">
        <v>579</v>
      </c>
      <c r="H341" t="s">
        <v>18</v>
      </c>
      <c r="I341">
        <v>4.7982766549085586E-2</v>
      </c>
      <c r="J341" t="s">
        <v>6</v>
      </c>
      <c r="L341" t="s">
        <v>580</v>
      </c>
      <c r="M341" t="s">
        <v>18</v>
      </c>
      <c r="N341">
        <v>6.4866047334491292E-2</v>
      </c>
      <c r="O341" t="s">
        <v>6</v>
      </c>
    </row>
    <row r="342" spans="2:15" x14ac:dyDescent="0.45">
      <c r="B342" t="s">
        <v>578</v>
      </c>
      <c r="C342" t="s">
        <v>19</v>
      </c>
      <c r="D342">
        <v>4.0676134670052653E-4</v>
      </c>
      <c r="E342" t="s">
        <v>6</v>
      </c>
      <c r="G342" t="s">
        <v>579</v>
      </c>
      <c r="H342" t="s">
        <v>19</v>
      </c>
      <c r="I342">
        <v>2.0296046523883358E-2</v>
      </c>
      <c r="J342" t="s">
        <v>6</v>
      </c>
      <c r="L342" t="s">
        <v>580</v>
      </c>
      <c r="M342" t="s">
        <v>19</v>
      </c>
      <c r="N342">
        <v>2.7676484078234642E-2</v>
      </c>
      <c r="O342" t="s">
        <v>6</v>
      </c>
    </row>
    <row r="343" spans="2:15" x14ac:dyDescent="0.45">
      <c r="B343" t="s">
        <v>578</v>
      </c>
      <c r="C343" t="s">
        <v>20</v>
      </c>
      <c r="D343">
        <v>1.5739752591518639E-2</v>
      </c>
      <c r="E343" t="s">
        <v>6</v>
      </c>
      <c r="G343" t="s">
        <v>579</v>
      </c>
      <c r="H343" t="s">
        <v>20</v>
      </c>
      <c r="I343">
        <v>2.2267932717164301E-2</v>
      </c>
      <c r="J343" t="s">
        <v>6</v>
      </c>
      <c r="L343" t="s">
        <v>580</v>
      </c>
      <c r="M343" t="s">
        <v>20</v>
      </c>
      <c r="N343">
        <v>2.8561448099808966E-2</v>
      </c>
      <c r="O343" t="s">
        <v>6</v>
      </c>
    </row>
    <row r="344" spans="2:15" x14ac:dyDescent="0.45">
      <c r="B344" t="s">
        <v>578</v>
      </c>
      <c r="C344" t="s">
        <v>21</v>
      </c>
      <c r="D344">
        <v>5.176646175570785E-2</v>
      </c>
      <c r="E344" t="s">
        <v>6</v>
      </c>
      <c r="G344" t="s">
        <v>579</v>
      </c>
      <c r="H344" t="s">
        <v>21</v>
      </c>
      <c r="I344">
        <v>2.8197740153195993E-2</v>
      </c>
      <c r="J344" t="s">
        <v>6</v>
      </c>
      <c r="L344" t="s">
        <v>580</v>
      </c>
      <c r="M344" t="s">
        <v>21</v>
      </c>
      <c r="N344">
        <v>2.8246978034769891E-2</v>
      </c>
      <c r="O344" t="s">
        <v>6</v>
      </c>
    </row>
    <row r="345" spans="2:15" x14ac:dyDescent="0.45">
      <c r="B345" t="s">
        <v>578</v>
      </c>
      <c r="C345" t="s">
        <v>22</v>
      </c>
      <c r="D345">
        <v>7.3920282937659537E-2</v>
      </c>
      <c r="E345" t="s">
        <v>6</v>
      </c>
      <c r="G345" t="s">
        <v>579</v>
      </c>
      <c r="H345" t="s">
        <v>22</v>
      </c>
      <c r="I345">
        <v>2.8610205606728816E-2</v>
      </c>
      <c r="J345" t="s">
        <v>6</v>
      </c>
      <c r="L345" t="s">
        <v>580</v>
      </c>
      <c r="M345" t="s">
        <v>22</v>
      </c>
      <c r="N345">
        <v>2.723633696091371E-2</v>
      </c>
      <c r="O345" t="s">
        <v>6</v>
      </c>
    </row>
    <row r="346" spans="2:15" x14ac:dyDescent="0.45">
      <c r="B346" t="s">
        <v>578</v>
      </c>
      <c r="C346" t="s">
        <v>23</v>
      </c>
      <c r="D346">
        <v>7.2349403382776803E-2</v>
      </c>
      <c r="E346" t="s">
        <v>6</v>
      </c>
      <c r="G346" t="s">
        <v>579</v>
      </c>
      <c r="H346" t="s">
        <v>23</v>
      </c>
      <c r="I346">
        <v>3.1412269758210758E-2</v>
      </c>
      <c r="J346" t="s">
        <v>6</v>
      </c>
      <c r="L346" t="s">
        <v>580</v>
      </c>
      <c r="M346" t="s">
        <v>23</v>
      </c>
      <c r="N346">
        <v>2.7040710090106692E-2</v>
      </c>
      <c r="O346" t="s">
        <v>6</v>
      </c>
    </row>
    <row r="347" spans="2:15" x14ac:dyDescent="0.45">
      <c r="B347" t="s">
        <v>578</v>
      </c>
      <c r="C347" t="s">
        <v>24</v>
      </c>
      <c r="D347">
        <v>5.0837463834381022E-2</v>
      </c>
      <c r="E347" t="s">
        <v>6</v>
      </c>
      <c r="G347" t="s">
        <v>579</v>
      </c>
      <c r="H347" t="s">
        <v>24</v>
      </c>
      <c r="I347">
        <v>3.0433591834252413E-2</v>
      </c>
      <c r="J347" t="s">
        <v>6</v>
      </c>
      <c r="L347" t="s">
        <v>580</v>
      </c>
      <c r="M347" t="s">
        <v>24</v>
      </c>
      <c r="N347">
        <v>2.6341333126795766E-2</v>
      </c>
      <c r="O347" t="s">
        <v>6</v>
      </c>
    </row>
    <row r="348" spans="2:15" x14ac:dyDescent="0.45">
      <c r="B348" t="s">
        <v>578</v>
      </c>
      <c r="C348" t="s">
        <v>25</v>
      </c>
      <c r="D348">
        <v>1.8739346766291669E-2</v>
      </c>
      <c r="E348" t="s">
        <v>6</v>
      </c>
      <c r="G348" t="s">
        <v>579</v>
      </c>
      <c r="H348" t="s">
        <v>25</v>
      </c>
      <c r="I348">
        <v>2.6226971962956393E-2</v>
      </c>
      <c r="J348" t="s">
        <v>6</v>
      </c>
      <c r="L348" t="s">
        <v>580</v>
      </c>
      <c r="M348" t="s">
        <v>25</v>
      </c>
      <c r="N348">
        <v>2.6950374649325533E-2</v>
      </c>
      <c r="O348" t="s">
        <v>6</v>
      </c>
    </row>
    <row r="349" spans="2:15" x14ac:dyDescent="0.45">
      <c r="B349" t="s">
        <v>578</v>
      </c>
      <c r="C349" t="s">
        <v>26</v>
      </c>
      <c r="D349">
        <v>5.7215444614642759E-4</v>
      </c>
      <c r="E349" t="s">
        <v>6</v>
      </c>
      <c r="G349" t="s">
        <v>579</v>
      </c>
      <c r="H349" t="s">
        <v>26</v>
      </c>
      <c r="I349">
        <v>2.2233914372142925E-2</v>
      </c>
      <c r="J349" t="s">
        <v>6</v>
      </c>
      <c r="L349" t="s">
        <v>580</v>
      </c>
      <c r="M349" t="s">
        <v>26</v>
      </c>
      <c r="N349">
        <v>2.6856982778124042E-2</v>
      </c>
      <c r="O349" t="s">
        <v>6</v>
      </c>
    </row>
    <row r="350" spans="2:15" x14ac:dyDescent="0.45">
      <c r="B350" t="s">
        <v>578</v>
      </c>
      <c r="C350" t="s">
        <v>27</v>
      </c>
      <c r="D350">
        <v>0</v>
      </c>
      <c r="E350" t="s">
        <v>6</v>
      </c>
      <c r="G350" t="s">
        <v>579</v>
      </c>
      <c r="H350" t="s">
        <v>27</v>
      </c>
      <c r="I350">
        <v>3.0482511103121192E-2</v>
      </c>
      <c r="J350" t="s">
        <v>6</v>
      </c>
      <c r="L350" t="s">
        <v>580</v>
      </c>
      <c r="M350" t="s">
        <v>27</v>
      </c>
      <c r="N350">
        <v>3.8590920669432302E-2</v>
      </c>
      <c r="O350" t="s">
        <v>6</v>
      </c>
    </row>
    <row r="351" spans="2:15" x14ac:dyDescent="0.45">
      <c r="B351" t="s">
        <v>578</v>
      </c>
      <c r="C351" t="s">
        <v>28</v>
      </c>
      <c r="D351">
        <v>0</v>
      </c>
      <c r="E351" t="s">
        <v>6</v>
      </c>
      <c r="G351" t="s">
        <v>579</v>
      </c>
      <c r="H351" t="s">
        <v>28</v>
      </c>
      <c r="I351">
        <v>2.0516969266691262E-2</v>
      </c>
      <c r="J351" t="s">
        <v>6</v>
      </c>
      <c r="L351" t="s">
        <v>580</v>
      </c>
      <c r="M351" t="s">
        <v>28</v>
      </c>
      <c r="N351">
        <v>2.1958924086913471E-2</v>
      </c>
      <c r="O351" t="s">
        <v>6</v>
      </c>
    </row>
    <row r="352" spans="2:15" x14ac:dyDescent="0.45">
      <c r="B352" t="s">
        <v>578</v>
      </c>
      <c r="C352" t="s">
        <v>29</v>
      </c>
      <c r="D352">
        <v>1.0034305012367299E-3</v>
      </c>
      <c r="E352" t="s">
        <v>6</v>
      </c>
      <c r="G352" t="s">
        <v>579</v>
      </c>
      <c r="H352" t="s">
        <v>29</v>
      </c>
      <c r="I352">
        <v>8.2927891202621579E-3</v>
      </c>
      <c r="J352" t="s">
        <v>6</v>
      </c>
      <c r="L352" t="s">
        <v>580</v>
      </c>
      <c r="M352" t="s">
        <v>29</v>
      </c>
      <c r="N352">
        <v>8.6470524301061908E-3</v>
      </c>
      <c r="O352" t="s">
        <v>6</v>
      </c>
    </row>
    <row r="353" spans="2:15" x14ac:dyDescent="0.45">
      <c r="B353" t="s">
        <v>578</v>
      </c>
      <c r="C353" t="s">
        <v>30</v>
      </c>
      <c r="D353">
        <v>2.2571576173320097E-2</v>
      </c>
      <c r="E353" t="s">
        <v>6</v>
      </c>
      <c r="G353" t="s">
        <v>579</v>
      </c>
      <c r="H353" t="s">
        <v>30</v>
      </c>
      <c r="I353">
        <v>7.0719349173436561E-3</v>
      </c>
      <c r="J353" t="s">
        <v>6</v>
      </c>
      <c r="L353" t="s">
        <v>580</v>
      </c>
      <c r="M353" t="s">
        <v>30</v>
      </c>
      <c r="N353">
        <v>8.2893528595546721E-3</v>
      </c>
      <c r="O353" t="s">
        <v>6</v>
      </c>
    </row>
    <row r="354" spans="2:15" x14ac:dyDescent="0.45">
      <c r="B354" t="s">
        <v>578</v>
      </c>
      <c r="C354" t="s">
        <v>31</v>
      </c>
      <c r="D354">
        <v>6.0893736886634187E-2</v>
      </c>
      <c r="E354" t="s">
        <v>6</v>
      </c>
      <c r="G354" t="s">
        <v>579</v>
      </c>
      <c r="H354" t="s">
        <v>31</v>
      </c>
      <c r="I354">
        <v>1.0265761908889013E-2</v>
      </c>
      <c r="J354" t="s">
        <v>6</v>
      </c>
      <c r="L354" t="s">
        <v>580</v>
      </c>
      <c r="M354" t="s">
        <v>31</v>
      </c>
      <c r="N354">
        <v>7.1627474121935212E-3</v>
      </c>
      <c r="O354" t="s">
        <v>6</v>
      </c>
    </row>
    <row r="355" spans="2:15" x14ac:dyDescent="0.45">
      <c r="B355" t="s">
        <v>578</v>
      </c>
      <c r="C355" t="s">
        <v>32</v>
      </c>
      <c r="D355">
        <v>8.2735721722188085E-2</v>
      </c>
      <c r="E355" t="s">
        <v>6</v>
      </c>
      <c r="G355" t="s">
        <v>579</v>
      </c>
      <c r="H355" t="s">
        <v>32</v>
      </c>
      <c r="I355">
        <v>1.0222339468542199E-2</v>
      </c>
      <c r="J355" t="s">
        <v>6</v>
      </c>
      <c r="L355" t="s">
        <v>580</v>
      </c>
      <c r="M355" t="s">
        <v>32</v>
      </c>
      <c r="N355">
        <v>6.3385392300693687E-3</v>
      </c>
      <c r="O355" t="s">
        <v>6</v>
      </c>
    </row>
    <row r="356" spans="2:15" x14ac:dyDescent="0.45">
      <c r="B356" t="s">
        <v>578</v>
      </c>
      <c r="C356" t="s">
        <v>33</v>
      </c>
      <c r="D356">
        <v>8.3015300584916893E-2</v>
      </c>
      <c r="E356" t="s">
        <v>6</v>
      </c>
      <c r="G356" t="s">
        <v>579</v>
      </c>
      <c r="H356" t="s">
        <v>33</v>
      </c>
      <c r="I356">
        <v>1.211510493114583E-2</v>
      </c>
      <c r="J356" t="s">
        <v>6</v>
      </c>
      <c r="L356" t="s">
        <v>580</v>
      </c>
      <c r="M356" t="s">
        <v>33</v>
      </c>
      <c r="N356">
        <v>8.14145532665193E-3</v>
      </c>
      <c r="O356" t="s">
        <v>6</v>
      </c>
    </row>
    <row r="357" spans="2:15" x14ac:dyDescent="0.45">
      <c r="B357" t="s">
        <v>578</v>
      </c>
      <c r="C357" t="s">
        <v>34</v>
      </c>
      <c r="D357">
        <v>6.2218527714496839E-2</v>
      </c>
      <c r="E357" t="s">
        <v>6</v>
      </c>
      <c r="G357" t="s">
        <v>579</v>
      </c>
      <c r="H357" t="s">
        <v>34</v>
      </c>
      <c r="I357">
        <v>1.3512308307240858E-2</v>
      </c>
      <c r="J357" t="s">
        <v>6</v>
      </c>
      <c r="L357" t="s">
        <v>580</v>
      </c>
      <c r="M357" t="s">
        <v>34</v>
      </c>
      <c r="N357">
        <v>1.0990833858434503E-2</v>
      </c>
      <c r="O357" t="s">
        <v>6</v>
      </c>
    </row>
    <row r="358" spans="2:15" x14ac:dyDescent="0.45">
      <c r="B358" t="s">
        <v>578</v>
      </c>
      <c r="C358" t="s">
        <v>35</v>
      </c>
      <c r="D358">
        <v>2.6972443022510971E-2</v>
      </c>
      <c r="E358" t="s">
        <v>6</v>
      </c>
      <c r="G358" t="s">
        <v>579</v>
      </c>
      <c r="H358" t="s">
        <v>35</v>
      </c>
      <c r="I358">
        <v>1.2750409525657962E-2</v>
      </c>
      <c r="J358" t="s">
        <v>6</v>
      </c>
      <c r="L358" t="s">
        <v>580</v>
      </c>
      <c r="M358" t="s">
        <v>35</v>
      </c>
      <c r="N358">
        <v>1.1869608323072425E-2</v>
      </c>
      <c r="O358" t="s">
        <v>6</v>
      </c>
    </row>
    <row r="359" spans="2:15" x14ac:dyDescent="0.45">
      <c r="B359" t="s">
        <v>578</v>
      </c>
      <c r="C359" t="s">
        <v>36</v>
      </c>
      <c r="D359">
        <v>1.7999591040161707E-3</v>
      </c>
      <c r="E359" t="s">
        <v>6</v>
      </c>
      <c r="G359" t="s">
        <v>579</v>
      </c>
      <c r="H359" t="s">
        <v>36</v>
      </c>
      <c r="I359">
        <v>1.164668246608676E-2</v>
      </c>
      <c r="J359" t="s">
        <v>6</v>
      </c>
      <c r="L359" t="s">
        <v>580</v>
      </c>
      <c r="M359" t="s">
        <v>36</v>
      </c>
      <c r="N359">
        <v>1.1192386913955217E-2</v>
      </c>
      <c r="O359" t="s">
        <v>6</v>
      </c>
    </row>
    <row r="360" spans="2:15" x14ac:dyDescent="0.45">
      <c r="B360" t="s">
        <v>578</v>
      </c>
      <c r="C360" t="s">
        <v>37</v>
      </c>
      <c r="D360">
        <v>0</v>
      </c>
      <c r="E360" t="s">
        <v>6</v>
      </c>
      <c r="G360" t="s">
        <v>579</v>
      </c>
      <c r="H360" t="s">
        <v>37</v>
      </c>
      <c r="I360">
        <v>1.3482484219014445E-2</v>
      </c>
      <c r="J360" t="s">
        <v>6</v>
      </c>
      <c r="L360" t="s">
        <v>580</v>
      </c>
      <c r="M360" t="s">
        <v>37</v>
      </c>
      <c r="N360">
        <v>1.4939617870241397E-2</v>
      </c>
      <c r="O360" t="s">
        <v>6</v>
      </c>
    </row>
    <row r="361" spans="2:15" x14ac:dyDescent="0.45">
      <c r="B361" t="s">
        <v>578</v>
      </c>
      <c r="C361" t="s">
        <v>38</v>
      </c>
      <c r="D361">
        <v>0</v>
      </c>
      <c r="E361" t="s">
        <v>6</v>
      </c>
      <c r="G361" t="s">
        <v>579</v>
      </c>
      <c r="H361" t="s">
        <v>38</v>
      </c>
      <c r="I361">
        <v>4.9327284468454628E-2</v>
      </c>
      <c r="J361" t="s">
        <v>6</v>
      </c>
      <c r="L361" t="s">
        <v>580</v>
      </c>
      <c r="M361" t="s">
        <v>38</v>
      </c>
      <c r="N361">
        <v>6.8338608399720446E-2</v>
      </c>
      <c r="O361" t="s">
        <v>6</v>
      </c>
    </row>
    <row r="362" spans="2:15" x14ac:dyDescent="0.45">
      <c r="B362" t="s">
        <v>578</v>
      </c>
      <c r="C362" t="s">
        <v>39</v>
      </c>
      <c r="D362">
        <v>0</v>
      </c>
      <c r="E362" t="s">
        <v>6</v>
      </c>
      <c r="G362" t="s">
        <v>579</v>
      </c>
      <c r="H362" t="s">
        <v>39</v>
      </c>
      <c r="I362">
        <v>2.1495958765986353E-2</v>
      </c>
      <c r="J362" t="s">
        <v>6</v>
      </c>
      <c r="L362" t="s">
        <v>580</v>
      </c>
      <c r="M362" t="s">
        <v>39</v>
      </c>
      <c r="N362">
        <v>2.6311696296809354E-2</v>
      </c>
      <c r="O362" t="s">
        <v>6</v>
      </c>
    </row>
    <row r="363" spans="2:15" x14ac:dyDescent="0.45">
      <c r="B363" t="s">
        <v>578</v>
      </c>
      <c r="C363" t="s">
        <v>40</v>
      </c>
      <c r="D363">
        <v>8.3452679551067072E-3</v>
      </c>
      <c r="E363" t="s">
        <v>6</v>
      </c>
      <c r="G363" t="s">
        <v>579</v>
      </c>
      <c r="H363" t="s">
        <v>40</v>
      </c>
      <c r="I363">
        <v>2.088746262335054E-2</v>
      </c>
      <c r="J363" t="s">
        <v>6</v>
      </c>
      <c r="L363" t="s">
        <v>580</v>
      </c>
      <c r="M363" t="s">
        <v>40</v>
      </c>
      <c r="N363">
        <v>2.5419895432105443E-2</v>
      </c>
      <c r="O363" t="s">
        <v>6</v>
      </c>
    </row>
    <row r="364" spans="2:15" x14ac:dyDescent="0.45">
      <c r="B364" t="s">
        <v>578</v>
      </c>
      <c r="C364" t="s">
        <v>41</v>
      </c>
      <c r="D364">
        <v>4.03301237012628E-2</v>
      </c>
      <c r="E364" t="s">
        <v>6</v>
      </c>
      <c r="G364" t="s">
        <v>579</v>
      </c>
      <c r="H364" t="s">
        <v>41</v>
      </c>
      <c r="I364">
        <v>2.2456228713565049E-2</v>
      </c>
      <c r="J364" t="s">
        <v>6</v>
      </c>
      <c r="L364" t="s">
        <v>580</v>
      </c>
      <c r="M364" t="s">
        <v>41</v>
      </c>
      <c r="N364">
        <v>2.5081826027045083E-2</v>
      </c>
      <c r="O364" t="s">
        <v>6</v>
      </c>
    </row>
    <row r="365" spans="2:15" x14ac:dyDescent="0.45">
      <c r="B365" t="s">
        <v>578</v>
      </c>
      <c r="C365" t="s">
        <v>42</v>
      </c>
      <c r="D365">
        <v>6.225703575219254E-2</v>
      </c>
      <c r="E365" t="s">
        <v>6</v>
      </c>
      <c r="G365" t="s">
        <v>579</v>
      </c>
      <c r="H365" t="s">
        <v>42</v>
      </c>
      <c r="I365">
        <v>2.5242362020688632E-2</v>
      </c>
      <c r="J365" t="s">
        <v>6</v>
      </c>
      <c r="L365" t="s">
        <v>580</v>
      </c>
      <c r="M365" t="s">
        <v>42</v>
      </c>
      <c r="N365">
        <v>2.3854178427181436E-2</v>
      </c>
      <c r="O365" t="s">
        <v>6</v>
      </c>
    </row>
    <row r="366" spans="2:15" x14ac:dyDescent="0.45">
      <c r="B366" t="s">
        <v>578</v>
      </c>
      <c r="C366" t="s">
        <v>43</v>
      </c>
      <c r="D366">
        <v>5.9209712041744161E-2</v>
      </c>
      <c r="E366" t="s">
        <v>6</v>
      </c>
      <c r="G366" t="s">
        <v>579</v>
      </c>
      <c r="H366" t="s">
        <v>43</v>
      </c>
      <c r="I366">
        <v>2.8163845331145788E-2</v>
      </c>
      <c r="J366" t="s">
        <v>6</v>
      </c>
      <c r="L366" t="s">
        <v>580</v>
      </c>
      <c r="M366" t="s">
        <v>43</v>
      </c>
      <c r="N366">
        <v>2.4170306628154378E-2</v>
      </c>
      <c r="O366" t="s">
        <v>6</v>
      </c>
    </row>
    <row r="367" spans="2:15" x14ac:dyDescent="0.45">
      <c r="B367" t="s">
        <v>578</v>
      </c>
      <c r="C367" t="s">
        <v>44</v>
      </c>
      <c r="D367">
        <v>3.69073432537858E-2</v>
      </c>
      <c r="E367" t="s">
        <v>6</v>
      </c>
      <c r="G367" t="s">
        <v>579</v>
      </c>
      <c r="H367" t="s">
        <v>44</v>
      </c>
      <c r="I367">
        <v>2.7659895441722919E-2</v>
      </c>
      <c r="J367" t="s">
        <v>6</v>
      </c>
      <c r="L367" t="s">
        <v>580</v>
      </c>
      <c r="M367" t="s">
        <v>44</v>
      </c>
      <c r="N367">
        <v>2.5115946573994803E-2</v>
      </c>
      <c r="O367" t="s">
        <v>6</v>
      </c>
    </row>
    <row r="368" spans="2:15" x14ac:dyDescent="0.45">
      <c r="B368" t="s">
        <v>578</v>
      </c>
      <c r="C368" t="s">
        <v>45</v>
      </c>
      <c r="D368">
        <v>7.3175640166754964E-3</v>
      </c>
      <c r="E368" t="s">
        <v>6</v>
      </c>
      <c r="G368" t="s">
        <v>579</v>
      </c>
      <c r="H368" t="s">
        <v>45</v>
      </c>
      <c r="I368">
        <v>2.7307332942112812E-2</v>
      </c>
      <c r="J368" t="s">
        <v>6</v>
      </c>
      <c r="L368" t="s">
        <v>580</v>
      </c>
      <c r="M368" t="s">
        <v>45</v>
      </c>
      <c r="N368">
        <v>2.7177141058642513E-2</v>
      </c>
      <c r="O368" t="s">
        <v>6</v>
      </c>
    </row>
    <row r="369" spans="2:15" x14ac:dyDescent="0.45">
      <c r="B369" t="s">
        <v>578</v>
      </c>
      <c r="C369" t="s">
        <v>46</v>
      </c>
      <c r="D369">
        <v>1.7922567569045232E-6</v>
      </c>
      <c r="E369" t="s">
        <v>6</v>
      </c>
      <c r="G369" t="s">
        <v>579</v>
      </c>
      <c r="H369" t="s">
        <v>46</v>
      </c>
      <c r="I369">
        <v>2.5257100788987633E-2</v>
      </c>
      <c r="J369" t="s">
        <v>6</v>
      </c>
      <c r="L369" t="s">
        <v>580</v>
      </c>
      <c r="M369" t="s">
        <v>46</v>
      </c>
      <c r="N369">
        <v>2.7698854705541998E-2</v>
      </c>
      <c r="O369" t="s">
        <v>6</v>
      </c>
    </row>
    <row r="370" spans="2:15" x14ac:dyDescent="0.45">
      <c r="B370" t="s">
        <v>578</v>
      </c>
      <c r="C370" t="s">
        <v>47</v>
      </c>
      <c r="D370">
        <v>0</v>
      </c>
      <c r="E370" t="s">
        <v>6</v>
      </c>
      <c r="G370" t="s">
        <v>579</v>
      </c>
      <c r="H370" t="s">
        <v>47</v>
      </c>
      <c r="I370">
        <v>3.1906419780966137E-2</v>
      </c>
      <c r="J370" t="s">
        <v>6</v>
      </c>
      <c r="L370" t="s">
        <v>580</v>
      </c>
      <c r="M370" t="s">
        <v>47</v>
      </c>
      <c r="N370">
        <v>4.1064991144653319E-2</v>
      </c>
      <c r="O370" t="s">
        <v>6</v>
      </c>
    </row>
    <row r="371" spans="2:15" x14ac:dyDescent="0.45">
      <c r="B371" t="s">
        <v>581</v>
      </c>
      <c r="C371" t="s">
        <v>5</v>
      </c>
      <c r="D371">
        <v>0</v>
      </c>
      <c r="E371" t="s">
        <v>6</v>
      </c>
      <c r="G371" t="s">
        <v>582</v>
      </c>
      <c r="H371" t="s">
        <v>5</v>
      </c>
      <c r="I371">
        <v>6.3017465257754424E-2</v>
      </c>
      <c r="J371" t="s">
        <v>6</v>
      </c>
      <c r="L371" t="s">
        <v>583</v>
      </c>
      <c r="M371" t="s">
        <v>5</v>
      </c>
      <c r="N371">
        <v>6.3185402404796628E-2</v>
      </c>
      <c r="O371" t="s">
        <v>6</v>
      </c>
    </row>
    <row r="372" spans="2:15" x14ac:dyDescent="0.45">
      <c r="B372" t="s">
        <v>581</v>
      </c>
      <c r="C372" t="s">
        <v>9</v>
      </c>
      <c r="D372">
        <v>0</v>
      </c>
      <c r="E372" t="s">
        <v>6</v>
      </c>
      <c r="G372" t="s">
        <v>582</v>
      </c>
      <c r="H372" t="s">
        <v>9</v>
      </c>
      <c r="I372">
        <v>2.4995680062142794E-2</v>
      </c>
      <c r="J372" t="s">
        <v>6</v>
      </c>
      <c r="L372" t="s">
        <v>583</v>
      </c>
      <c r="M372" t="s">
        <v>9</v>
      </c>
      <c r="N372">
        <v>2.6655166642224039E-2</v>
      </c>
      <c r="O372" t="s">
        <v>6</v>
      </c>
    </row>
    <row r="373" spans="2:15" x14ac:dyDescent="0.45">
      <c r="B373" t="s">
        <v>581</v>
      </c>
      <c r="C373" t="s">
        <v>10</v>
      </c>
      <c r="D373">
        <v>1.4697004802623978E-3</v>
      </c>
      <c r="E373" t="s">
        <v>6</v>
      </c>
      <c r="G373" t="s">
        <v>582</v>
      </c>
      <c r="H373" t="s">
        <v>10</v>
      </c>
      <c r="I373">
        <v>2.401720972660876E-2</v>
      </c>
      <c r="J373" t="s">
        <v>6</v>
      </c>
      <c r="L373" t="s">
        <v>583</v>
      </c>
      <c r="M373" t="s">
        <v>10</v>
      </c>
      <c r="N373">
        <v>2.7508584373509306E-2</v>
      </c>
      <c r="O373" t="s">
        <v>6</v>
      </c>
    </row>
    <row r="374" spans="2:15" x14ac:dyDescent="0.45">
      <c r="B374" t="s">
        <v>581</v>
      </c>
      <c r="C374" t="s">
        <v>11</v>
      </c>
      <c r="D374">
        <v>2.6825337534464977E-2</v>
      </c>
      <c r="E374" t="s">
        <v>6</v>
      </c>
      <c r="G374" t="s">
        <v>582</v>
      </c>
      <c r="H374" t="s">
        <v>11</v>
      </c>
      <c r="I374">
        <v>2.261714440078735E-2</v>
      </c>
      <c r="J374" t="s">
        <v>6</v>
      </c>
      <c r="L374" t="s">
        <v>583</v>
      </c>
      <c r="M374" t="s">
        <v>11</v>
      </c>
      <c r="N374">
        <v>2.8472312970364694E-2</v>
      </c>
      <c r="O374" t="s">
        <v>6</v>
      </c>
    </row>
    <row r="375" spans="2:15" x14ac:dyDescent="0.45">
      <c r="B375" t="s">
        <v>581</v>
      </c>
      <c r="C375" t="s">
        <v>12</v>
      </c>
      <c r="D375">
        <v>5.2143341254871231E-2</v>
      </c>
      <c r="E375" t="s">
        <v>6</v>
      </c>
      <c r="G375" t="s">
        <v>582</v>
      </c>
      <c r="H375" t="s">
        <v>12</v>
      </c>
      <c r="I375">
        <v>2.4502365282879475E-2</v>
      </c>
      <c r="J375" t="s">
        <v>6</v>
      </c>
      <c r="L375" t="s">
        <v>583</v>
      </c>
      <c r="M375" t="s">
        <v>12</v>
      </c>
      <c r="N375">
        <v>2.9132081733402843E-2</v>
      </c>
      <c r="O375" t="s">
        <v>6</v>
      </c>
    </row>
    <row r="376" spans="2:15" x14ac:dyDescent="0.45">
      <c r="B376" t="s">
        <v>581</v>
      </c>
      <c r="C376" t="s">
        <v>13</v>
      </c>
      <c r="D376">
        <v>5.2373865876438074E-2</v>
      </c>
      <c r="E376" t="s">
        <v>6</v>
      </c>
      <c r="G376" t="s">
        <v>582</v>
      </c>
      <c r="H376" t="s">
        <v>13</v>
      </c>
      <c r="I376">
        <v>2.5450020267689704E-2</v>
      </c>
      <c r="J376" t="s">
        <v>6</v>
      </c>
      <c r="L376" t="s">
        <v>583</v>
      </c>
      <c r="M376" t="s">
        <v>13</v>
      </c>
      <c r="N376">
        <v>2.9185189573233527E-2</v>
      </c>
      <c r="O376" t="s">
        <v>6</v>
      </c>
    </row>
    <row r="377" spans="2:15" x14ac:dyDescent="0.45">
      <c r="B377" t="s">
        <v>581</v>
      </c>
      <c r="C377" t="s">
        <v>14</v>
      </c>
      <c r="D377">
        <v>3.0573058083987994E-2</v>
      </c>
      <c r="E377" t="s">
        <v>6</v>
      </c>
      <c r="G377" t="s">
        <v>582</v>
      </c>
      <c r="H377" t="s">
        <v>14</v>
      </c>
      <c r="I377">
        <v>2.5074341181107448E-2</v>
      </c>
      <c r="J377" t="s">
        <v>6</v>
      </c>
      <c r="L377" t="s">
        <v>583</v>
      </c>
      <c r="M377" t="s">
        <v>14</v>
      </c>
      <c r="N377">
        <v>2.8064118809891278E-2</v>
      </c>
      <c r="O377" t="s">
        <v>6</v>
      </c>
    </row>
    <row r="378" spans="2:15" x14ac:dyDescent="0.45">
      <c r="B378" t="s">
        <v>581</v>
      </c>
      <c r="C378" t="s">
        <v>15</v>
      </c>
      <c r="D378">
        <v>3.4634422608026323E-3</v>
      </c>
      <c r="E378" t="s">
        <v>6</v>
      </c>
      <c r="G378" t="s">
        <v>582</v>
      </c>
      <c r="H378" t="s">
        <v>15</v>
      </c>
      <c r="I378">
        <v>2.5479410431039861E-2</v>
      </c>
      <c r="J378" t="s">
        <v>6</v>
      </c>
      <c r="L378" t="s">
        <v>583</v>
      </c>
      <c r="M378" t="s">
        <v>15</v>
      </c>
      <c r="N378">
        <v>2.6577692348963105E-2</v>
      </c>
      <c r="O378" t="s">
        <v>6</v>
      </c>
    </row>
    <row r="379" spans="2:15" x14ac:dyDescent="0.45">
      <c r="B379" t="s">
        <v>581</v>
      </c>
      <c r="C379" t="s">
        <v>16</v>
      </c>
      <c r="D379">
        <v>0</v>
      </c>
      <c r="E379" t="s">
        <v>6</v>
      </c>
      <c r="G379" t="s">
        <v>582</v>
      </c>
      <c r="H379" t="s">
        <v>16</v>
      </c>
      <c r="I379">
        <v>2.5518768947060729E-2</v>
      </c>
      <c r="J379" t="s">
        <v>6</v>
      </c>
      <c r="L379" t="s">
        <v>583</v>
      </c>
      <c r="M379" t="s">
        <v>16</v>
      </c>
      <c r="N379">
        <v>2.4509667496055307E-2</v>
      </c>
      <c r="O379" t="s">
        <v>6</v>
      </c>
    </row>
    <row r="380" spans="2:15" x14ac:dyDescent="0.45">
      <c r="B380" t="s">
        <v>581</v>
      </c>
      <c r="C380" t="s">
        <v>17</v>
      </c>
      <c r="D380">
        <v>0</v>
      </c>
      <c r="E380" t="s">
        <v>6</v>
      </c>
      <c r="G380" t="s">
        <v>582</v>
      </c>
      <c r="H380" t="s">
        <v>17</v>
      </c>
      <c r="I380">
        <v>3.7608543402006277E-2</v>
      </c>
      <c r="J380" t="s">
        <v>6</v>
      </c>
      <c r="L380" t="s">
        <v>583</v>
      </c>
      <c r="M380" t="s">
        <v>17</v>
      </c>
      <c r="N380">
        <v>3.5155509783752432E-2</v>
      </c>
      <c r="O380" t="s">
        <v>6</v>
      </c>
    </row>
    <row r="381" spans="2:15" x14ac:dyDescent="0.45">
      <c r="B381" t="s">
        <v>581</v>
      </c>
      <c r="C381" t="s">
        <v>18</v>
      </c>
      <c r="D381">
        <v>0</v>
      </c>
      <c r="E381" t="s">
        <v>6</v>
      </c>
      <c r="G381" t="s">
        <v>582</v>
      </c>
      <c r="H381" t="s">
        <v>18</v>
      </c>
      <c r="I381">
        <v>6.3666086523360185E-2</v>
      </c>
      <c r="J381" t="s">
        <v>6</v>
      </c>
      <c r="L381" t="s">
        <v>583</v>
      </c>
      <c r="M381" t="s">
        <v>18</v>
      </c>
      <c r="N381">
        <v>7.9251327493981977E-2</v>
      </c>
      <c r="O381" t="s">
        <v>6</v>
      </c>
    </row>
    <row r="382" spans="2:15" x14ac:dyDescent="0.45">
      <c r="B382" t="s">
        <v>581</v>
      </c>
      <c r="C382" t="s">
        <v>19</v>
      </c>
      <c r="D382">
        <v>4.8226298611579591E-4</v>
      </c>
      <c r="E382" t="s">
        <v>6</v>
      </c>
      <c r="G382" t="s">
        <v>582</v>
      </c>
      <c r="H382" t="s">
        <v>19</v>
      </c>
      <c r="I382">
        <v>2.3768513039941593E-2</v>
      </c>
      <c r="J382" t="s">
        <v>6</v>
      </c>
      <c r="L382" t="s">
        <v>583</v>
      </c>
      <c r="M382" t="s">
        <v>19</v>
      </c>
      <c r="N382">
        <v>3.1384370401966517E-2</v>
      </c>
      <c r="O382" t="s">
        <v>6</v>
      </c>
    </row>
    <row r="383" spans="2:15" x14ac:dyDescent="0.45">
      <c r="B383" t="s">
        <v>581</v>
      </c>
      <c r="C383" t="s">
        <v>20</v>
      </c>
      <c r="D383">
        <v>1.7168274764047173E-2</v>
      </c>
      <c r="E383" t="s">
        <v>6</v>
      </c>
      <c r="G383" t="s">
        <v>582</v>
      </c>
      <c r="H383" t="s">
        <v>20</v>
      </c>
      <c r="I383">
        <v>2.1778709386223769E-2</v>
      </c>
      <c r="J383" t="s">
        <v>6</v>
      </c>
      <c r="L383" t="s">
        <v>583</v>
      </c>
      <c r="M383" t="s">
        <v>20</v>
      </c>
      <c r="N383">
        <v>3.0095474387172298E-2</v>
      </c>
      <c r="O383" t="s">
        <v>6</v>
      </c>
    </row>
    <row r="384" spans="2:15" x14ac:dyDescent="0.45">
      <c r="B384" t="s">
        <v>581</v>
      </c>
      <c r="C384" t="s">
        <v>21</v>
      </c>
      <c r="D384">
        <v>5.3971514956343898E-2</v>
      </c>
      <c r="E384" t="s">
        <v>6</v>
      </c>
      <c r="G384" t="s">
        <v>582</v>
      </c>
      <c r="H384" t="s">
        <v>21</v>
      </c>
      <c r="I384">
        <v>2.2937705260274298E-2</v>
      </c>
      <c r="J384" t="s">
        <v>6</v>
      </c>
      <c r="L384" t="s">
        <v>583</v>
      </c>
      <c r="M384" t="s">
        <v>21</v>
      </c>
      <c r="N384">
        <v>2.8578086811558049E-2</v>
      </c>
      <c r="O384" t="s">
        <v>6</v>
      </c>
    </row>
    <row r="385" spans="2:15" x14ac:dyDescent="0.45">
      <c r="B385" t="s">
        <v>581</v>
      </c>
      <c r="C385" t="s">
        <v>22</v>
      </c>
      <c r="D385">
        <v>7.5977733554376217E-2</v>
      </c>
      <c r="E385" t="s">
        <v>6</v>
      </c>
      <c r="G385" t="s">
        <v>582</v>
      </c>
      <c r="H385" t="s">
        <v>22</v>
      </c>
      <c r="I385">
        <v>2.439008425369521E-2</v>
      </c>
      <c r="J385" t="s">
        <v>6</v>
      </c>
      <c r="L385" t="s">
        <v>583</v>
      </c>
      <c r="M385" t="s">
        <v>22</v>
      </c>
      <c r="N385">
        <v>2.8612042697059033E-2</v>
      </c>
      <c r="O385" t="s">
        <v>6</v>
      </c>
    </row>
    <row r="386" spans="2:15" x14ac:dyDescent="0.45">
      <c r="B386" t="s">
        <v>581</v>
      </c>
      <c r="C386" t="s">
        <v>23</v>
      </c>
      <c r="D386">
        <v>7.4002480868673073E-2</v>
      </c>
      <c r="E386" t="s">
        <v>6</v>
      </c>
      <c r="G386" t="s">
        <v>582</v>
      </c>
      <c r="H386" t="s">
        <v>23</v>
      </c>
      <c r="I386">
        <v>2.6888082109976411E-2</v>
      </c>
      <c r="J386" t="s">
        <v>6</v>
      </c>
      <c r="L386" t="s">
        <v>583</v>
      </c>
      <c r="M386" t="s">
        <v>23</v>
      </c>
      <c r="N386">
        <v>3.1280629287759154E-2</v>
      </c>
      <c r="O386" t="s">
        <v>6</v>
      </c>
    </row>
    <row r="387" spans="2:15" x14ac:dyDescent="0.45">
      <c r="B387" t="s">
        <v>581</v>
      </c>
      <c r="C387" t="s">
        <v>24</v>
      </c>
      <c r="D387">
        <v>5.2212741655379306E-2</v>
      </c>
      <c r="E387" t="s">
        <v>6</v>
      </c>
      <c r="G387" t="s">
        <v>582</v>
      </c>
      <c r="H387" t="s">
        <v>24</v>
      </c>
      <c r="I387">
        <v>2.8111840297259365E-2</v>
      </c>
      <c r="J387" t="s">
        <v>6</v>
      </c>
      <c r="L387" t="s">
        <v>583</v>
      </c>
      <c r="M387" t="s">
        <v>24</v>
      </c>
      <c r="N387">
        <v>3.2762491459430949E-2</v>
      </c>
      <c r="O387" t="s">
        <v>6</v>
      </c>
    </row>
    <row r="388" spans="2:15" x14ac:dyDescent="0.45">
      <c r="B388" t="s">
        <v>581</v>
      </c>
      <c r="C388" t="s">
        <v>25</v>
      </c>
      <c r="D388">
        <v>1.811899889622243E-2</v>
      </c>
      <c r="E388" t="s">
        <v>6</v>
      </c>
      <c r="G388" t="s">
        <v>582</v>
      </c>
      <c r="H388" t="s">
        <v>25</v>
      </c>
      <c r="I388">
        <v>2.7171164548151733E-2</v>
      </c>
      <c r="J388" t="s">
        <v>6</v>
      </c>
      <c r="L388" t="s">
        <v>583</v>
      </c>
      <c r="M388" t="s">
        <v>25</v>
      </c>
      <c r="N388">
        <v>3.3004770551208915E-2</v>
      </c>
      <c r="O388" t="s">
        <v>6</v>
      </c>
    </row>
    <row r="389" spans="2:15" x14ac:dyDescent="0.45">
      <c r="B389" t="s">
        <v>581</v>
      </c>
      <c r="C389" t="s">
        <v>26</v>
      </c>
      <c r="D389">
        <v>4.1323857684861777E-4</v>
      </c>
      <c r="E389" t="s">
        <v>6</v>
      </c>
      <c r="G389" t="s">
        <v>582</v>
      </c>
      <c r="H389" t="s">
        <v>26</v>
      </c>
      <c r="I389">
        <v>2.6336780822349845E-2</v>
      </c>
      <c r="J389" t="s">
        <v>6</v>
      </c>
      <c r="L389" t="s">
        <v>583</v>
      </c>
      <c r="M389" t="s">
        <v>26</v>
      </c>
      <c r="N389">
        <v>3.1926335451678424E-2</v>
      </c>
      <c r="O389" t="s">
        <v>6</v>
      </c>
    </row>
    <row r="390" spans="2:15" x14ac:dyDescent="0.45">
      <c r="B390" t="s">
        <v>581</v>
      </c>
      <c r="C390" t="s">
        <v>27</v>
      </c>
      <c r="D390">
        <v>0</v>
      </c>
      <c r="E390" t="s">
        <v>6</v>
      </c>
      <c r="G390" t="s">
        <v>582</v>
      </c>
      <c r="H390" t="s">
        <v>27</v>
      </c>
      <c r="I390">
        <v>3.876744158706108E-2</v>
      </c>
      <c r="J390" t="s">
        <v>6</v>
      </c>
      <c r="L390" t="s">
        <v>583</v>
      </c>
      <c r="M390" t="s">
        <v>27</v>
      </c>
      <c r="N390">
        <v>4.6967794582084589E-2</v>
      </c>
      <c r="O390" t="s">
        <v>6</v>
      </c>
    </row>
    <row r="391" spans="2:15" x14ac:dyDescent="0.45">
      <c r="B391" t="s">
        <v>581</v>
      </c>
      <c r="C391" t="s">
        <v>28</v>
      </c>
      <c r="D391">
        <v>0</v>
      </c>
      <c r="E391" t="s">
        <v>6</v>
      </c>
      <c r="G391" t="s">
        <v>582</v>
      </c>
      <c r="H391" t="s">
        <v>28</v>
      </c>
      <c r="I391">
        <v>4.4386573824109654E-2</v>
      </c>
      <c r="J391" t="s">
        <v>6</v>
      </c>
      <c r="L391" t="s">
        <v>583</v>
      </c>
      <c r="M391" t="s">
        <v>28</v>
      </c>
      <c r="N391">
        <v>1.8151708992573339E-2</v>
      </c>
      <c r="O391" t="s">
        <v>6</v>
      </c>
    </row>
    <row r="392" spans="2:15" x14ac:dyDescent="0.45">
      <c r="B392" t="s">
        <v>581</v>
      </c>
      <c r="C392" t="s">
        <v>29</v>
      </c>
      <c r="D392">
        <v>1.0769441634178119E-3</v>
      </c>
      <c r="E392" t="s">
        <v>6</v>
      </c>
      <c r="G392" t="s">
        <v>582</v>
      </c>
      <c r="H392" t="s">
        <v>29</v>
      </c>
      <c r="I392">
        <v>1.8753207706117755E-2</v>
      </c>
      <c r="J392" t="s">
        <v>6</v>
      </c>
      <c r="L392" t="s">
        <v>583</v>
      </c>
      <c r="M392" t="s">
        <v>29</v>
      </c>
      <c r="N392">
        <v>7.9456344400967681E-3</v>
      </c>
      <c r="O392" t="s">
        <v>6</v>
      </c>
    </row>
    <row r="393" spans="2:15" x14ac:dyDescent="0.45">
      <c r="B393" t="s">
        <v>581</v>
      </c>
      <c r="C393" t="s">
        <v>30</v>
      </c>
      <c r="D393">
        <v>2.3057038457047405E-2</v>
      </c>
      <c r="E393" t="s">
        <v>6</v>
      </c>
      <c r="G393" t="s">
        <v>582</v>
      </c>
      <c r="H393" t="s">
        <v>30</v>
      </c>
      <c r="I393">
        <v>1.6231985177130363E-2</v>
      </c>
      <c r="J393" t="s">
        <v>6</v>
      </c>
      <c r="L393" t="s">
        <v>583</v>
      </c>
      <c r="M393" t="s">
        <v>30</v>
      </c>
      <c r="N393">
        <v>7.7491798356018405E-3</v>
      </c>
      <c r="O393" t="s">
        <v>6</v>
      </c>
    </row>
    <row r="394" spans="2:15" x14ac:dyDescent="0.45">
      <c r="B394" t="s">
        <v>581</v>
      </c>
      <c r="C394" t="s">
        <v>31</v>
      </c>
      <c r="D394">
        <v>5.9776015917688816E-2</v>
      </c>
      <c r="E394" t="s">
        <v>6</v>
      </c>
      <c r="G394" t="s">
        <v>582</v>
      </c>
      <c r="H394" t="s">
        <v>31</v>
      </c>
      <c r="I394">
        <v>1.5100841033540639E-2</v>
      </c>
      <c r="J394" t="s">
        <v>6</v>
      </c>
      <c r="L394" t="s">
        <v>583</v>
      </c>
      <c r="M394" t="s">
        <v>31</v>
      </c>
      <c r="N394">
        <v>7.7872644242807766E-3</v>
      </c>
      <c r="O394" t="s">
        <v>6</v>
      </c>
    </row>
    <row r="395" spans="2:15" x14ac:dyDescent="0.45">
      <c r="B395" t="s">
        <v>581</v>
      </c>
      <c r="C395" t="s">
        <v>32</v>
      </c>
      <c r="D395">
        <v>7.8808019674869015E-2</v>
      </c>
      <c r="E395" t="s">
        <v>6</v>
      </c>
      <c r="G395" t="s">
        <v>582</v>
      </c>
      <c r="H395" t="s">
        <v>32</v>
      </c>
      <c r="I395">
        <v>1.4486849818514029E-2</v>
      </c>
      <c r="J395" t="s">
        <v>6</v>
      </c>
      <c r="L395" t="s">
        <v>583</v>
      </c>
      <c r="M395" t="s">
        <v>32</v>
      </c>
      <c r="N395">
        <v>7.7606786261795483E-3</v>
      </c>
      <c r="O395" t="s">
        <v>6</v>
      </c>
    </row>
    <row r="396" spans="2:15" x14ac:dyDescent="0.45">
      <c r="B396" t="s">
        <v>581</v>
      </c>
      <c r="C396" t="s">
        <v>33</v>
      </c>
      <c r="D396">
        <v>7.7400129825055494E-2</v>
      </c>
      <c r="E396" t="s">
        <v>6</v>
      </c>
      <c r="G396" t="s">
        <v>582</v>
      </c>
      <c r="H396" t="s">
        <v>33</v>
      </c>
      <c r="I396">
        <v>1.4936194540411949E-2</v>
      </c>
      <c r="J396" t="s">
        <v>6</v>
      </c>
      <c r="L396" t="s">
        <v>583</v>
      </c>
      <c r="M396" t="s">
        <v>33</v>
      </c>
      <c r="N396">
        <v>9.6582524280758725E-3</v>
      </c>
      <c r="O396" t="s">
        <v>6</v>
      </c>
    </row>
    <row r="397" spans="2:15" x14ac:dyDescent="0.45">
      <c r="B397" t="s">
        <v>581</v>
      </c>
      <c r="C397" t="s">
        <v>34</v>
      </c>
      <c r="D397">
        <v>5.6204091366487553E-2</v>
      </c>
      <c r="E397" t="s">
        <v>6</v>
      </c>
      <c r="G397" t="s">
        <v>582</v>
      </c>
      <c r="H397" t="s">
        <v>34</v>
      </c>
      <c r="I397">
        <v>1.563020510056741E-2</v>
      </c>
      <c r="J397" t="s">
        <v>6</v>
      </c>
      <c r="L397" t="s">
        <v>583</v>
      </c>
      <c r="M397" t="s">
        <v>34</v>
      </c>
      <c r="N397">
        <v>1.0377703509021197E-2</v>
      </c>
      <c r="O397" t="s">
        <v>6</v>
      </c>
    </row>
    <row r="398" spans="2:15" x14ac:dyDescent="0.45">
      <c r="B398" t="s">
        <v>581</v>
      </c>
      <c r="C398" t="s">
        <v>35</v>
      </c>
      <c r="D398">
        <v>2.32910729369398E-2</v>
      </c>
      <c r="E398" t="s">
        <v>6</v>
      </c>
      <c r="G398" t="s">
        <v>582</v>
      </c>
      <c r="H398" t="s">
        <v>35</v>
      </c>
      <c r="I398">
        <v>1.4887982331012567E-2</v>
      </c>
      <c r="J398" t="s">
        <v>6</v>
      </c>
      <c r="L398" t="s">
        <v>583</v>
      </c>
      <c r="M398" t="s">
        <v>35</v>
      </c>
      <c r="N398">
        <v>9.8560386639627365E-3</v>
      </c>
      <c r="O398" t="s">
        <v>6</v>
      </c>
    </row>
    <row r="399" spans="2:15" x14ac:dyDescent="0.45">
      <c r="B399" t="s">
        <v>581</v>
      </c>
      <c r="C399" t="s">
        <v>36</v>
      </c>
      <c r="D399">
        <v>1.3543838239818533E-3</v>
      </c>
      <c r="E399" t="s">
        <v>6</v>
      </c>
      <c r="G399" t="s">
        <v>582</v>
      </c>
      <c r="H399" t="s">
        <v>36</v>
      </c>
      <c r="I399">
        <v>1.3682646460683505E-2</v>
      </c>
      <c r="J399" t="s">
        <v>6</v>
      </c>
      <c r="L399" t="s">
        <v>583</v>
      </c>
      <c r="M399" t="s">
        <v>36</v>
      </c>
      <c r="N399">
        <v>8.7288101257420106E-3</v>
      </c>
      <c r="O399" t="s">
        <v>6</v>
      </c>
    </row>
    <row r="400" spans="2:15" x14ac:dyDescent="0.45">
      <c r="B400" t="s">
        <v>581</v>
      </c>
      <c r="C400" t="s">
        <v>37</v>
      </c>
      <c r="D400">
        <v>0</v>
      </c>
      <c r="E400" t="s">
        <v>6</v>
      </c>
      <c r="G400" t="s">
        <v>582</v>
      </c>
      <c r="H400" t="s">
        <v>37</v>
      </c>
      <c r="I400">
        <v>2.1375602915280647E-2</v>
      </c>
      <c r="J400" t="s">
        <v>6</v>
      </c>
      <c r="L400" t="s">
        <v>583</v>
      </c>
      <c r="M400" t="s">
        <v>37</v>
      </c>
      <c r="N400">
        <v>1.1223476835190151E-2</v>
      </c>
      <c r="O400" t="s">
        <v>6</v>
      </c>
    </row>
    <row r="401" spans="2:15" x14ac:dyDescent="0.45">
      <c r="B401" t="s">
        <v>581</v>
      </c>
      <c r="C401" t="s">
        <v>38</v>
      </c>
      <c r="D401">
        <v>0</v>
      </c>
      <c r="E401" t="s">
        <v>6</v>
      </c>
      <c r="G401" t="s">
        <v>582</v>
      </c>
      <c r="H401" t="s">
        <v>38</v>
      </c>
      <c r="I401">
        <v>4.2670847854367477E-2</v>
      </c>
      <c r="J401" t="s">
        <v>6</v>
      </c>
      <c r="L401" t="s">
        <v>583</v>
      </c>
      <c r="M401" t="s">
        <v>38</v>
      </c>
      <c r="N401">
        <v>4.2478033598828006E-2</v>
      </c>
      <c r="O401" t="s">
        <v>6</v>
      </c>
    </row>
    <row r="402" spans="2:15" x14ac:dyDescent="0.45">
      <c r="B402" t="s">
        <v>581</v>
      </c>
      <c r="C402" t="s">
        <v>39</v>
      </c>
      <c r="D402">
        <v>0</v>
      </c>
      <c r="E402" t="s">
        <v>6</v>
      </c>
      <c r="G402" t="s">
        <v>582</v>
      </c>
      <c r="H402" t="s">
        <v>39</v>
      </c>
      <c r="I402">
        <v>1.6614930346909994E-2</v>
      </c>
      <c r="J402" t="s">
        <v>6</v>
      </c>
      <c r="L402" t="s">
        <v>583</v>
      </c>
      <c r="M402" t="s">
        <v>39</v>
      </c>
      <c r="N402">
        <v>1.7863065057674619E-2</v>
      </c>
      <c r="O402" t="s">
        <v>6</v>
      </c>
    </row>
    <row r="403" spans="2:15" x14ac:dyDescent="0.45">
      <c r="B403" t="s">
        <v>581</v>
      </c>
      <c r="C403" t="s">
        <v>40</v>
      </c>
      <c r="D403">
        <v>9.5936016885011296E-3</v>
      </c>
      <c r="E403" t="s">
        <v>6</v>
      </c>
      <c r="G403" t="s">
        <v>582</v>
      </c>
      <c r="H403" t="s">
        <v>40</v>
      </c>
      <c r="I403">
        <v>1.6539438909721215E-2</v>
      </c>
      <c r="J403" t="s">
        <v>6</v>
      </c>
      <c r="L403" t="s">
        <v>583</v>
      </c>
      <c r="M403" t="s">
        <v>40</v>
      </c>
      <c r="N403">
        <v>1.7504925861700549E-2</v>
      </c>
      <c r="O403" t="s">
        <v>6</v>
      </c>
    </row>
    <row r="404" spans="2:15" x14ac:dyDescent="0.45">
      <c r="B404" t="s">
        <v>581</v>
      </c>
      <c r="C404" t="s">
        <v>41</v>
      </c>
      <c r="D404">
        <v>4.259083027255884E-2</v>
      </c>
      <c r="E404" t="s">
        <v>6</v>
      </c>
      <c r="G404" t="s">
        <v>582</v>
      </c>
      <c r="H404" t="s">
        <v>41</v>
      </c>
      <c r="I404">
        <v>1.692943692634653E-2</v>
      </c>
      <c r="J404" t="s">
        <v>6</v>
      </c>
      <c r="L404" t="s">
        <v>583</v>
      </c>
      <c r="M404" t="s">
        <v>41</v>
      </c>
      <c r="N404">
        <v>1.7231778969692323E-2</v>
      </c>
      <c r="O404" t="s">
        <v>6</v>
      </c>
    </row>
    <row r="405" spans="2:15" x14ac:dyDescent="0.45">
      <c r="B405" t="s">
        <v>581</v>
      </c>
      <c r="C405" t="s">
        <v>42</v>
      </c>
      <c r="D405">
        <v>6.3892683401589878E-2</v>
      </c>
      <c r="E405" t="s">
        <v>6</v>
      </c>
      <c r="G405" t="s">
        <v>582</v>
      </c>
      <c r="H405" t="s">
        <v>42</v>
      </c>
      <c r="I405">
        <v>1.6345620982294529E-2</v>
      </c>
      <c r="J405" t="s">
        <v>6</v>
      </c>
      <c r="L405" t="s">
        <v>583</v>
      </c>
      <c r="M405" t="s">
        <v>42</v>
      </c>
      <c r="N405">
        <v>1.7255097769511455E-2</v>
      </c>
      <c r="O405" t="s">
        <v>6</v>
      </c>
    </row>
    <row r="406" spans="2:15" x14ac:dyDescent="0.45">
      <c r="B406" t="s">
        <v>581</v>
      </c>
      <c r="C406" t="s">
        <v>43</v>
      </c>
      <c r="D406">
        <v>6.0806893821543369E-2</v>
      </c>
      <c r="E406" t="s">
        <v>6</v>
      </c>
      <c r="G406" t="s">
        <v>582</v>
      </c>
      <c r="H406" t="s">
        <v>43</v>
      </c>
      <c r="I406">
        <v>1.7407904065798372E-2</v>
      </c>
      <c r="J406" t="s">
        <v>6</v>
      </c>
      <c r="L406" t="s">
        <v>583</v>
      </c>
      <c r="M406" t="s">
        <v>43</v>
      </c>
      <c r="N406">
        <v>1.8324202221207727E-2</v>
      </c>
      <c r="O406" t="s">
        <v>6</v>
      </c>
    </row>
    <row r="407" spans="2:15" x14ac:dyDescent="0.45">
      <c r="B407" t="s">
        <v>581</v>
      </c>
      <c r="C407" t="s">
        <v>44</v>
      </c>
      <c r="D407">
        <v>3.6469572708637314E-2</v>
      </c>
      <c r="E407" t="s">
        <v>6</v>
      </c>
      <c r="G407" t="s">
        <v>582</v>
      </c>
      <c r="H407" t="s">
        <v>44</v>
      </c>
      <c r="I407">
        <v>1.8332140893302692E-2</v>
      </c>
      <c r="J407" t="s">
        <v>6</v>
      </c>
      <c r="L407" t="s">
        <v>583</v>
      </c>
      <c r="M407" t="s">
        <v>44</v>
      </c>
      <c r="N407">
        <v>1.8768733048829533E-2</v>
      </c>
      <c r="O407" t="s">
        <v>6</v>
      </c>
    </row>
    <row r="408" spans="2:15" x14ac:dyDescent="0.45">
      <c r="B408" t="s">
        <v>581</v>
      </c>
      <c r="C408" t="s">
        <v>45</v>
      </c>
      <c r="D408">
        <v>6.4826572589052707E-3</v>
      </c>
      <c r="E408" t="s">
        <v>6</v>
      </c>
      <c r="G408" t="s">
        <v>582</v>
      </c>
      <c r="H408" t="s">
        <v>45</v>
      </c>
      <c r="I408">
        <v>1.8709943168111573E-2</v>
      </c>
      <c r="J408" t="s">
        <v>6</v>
      </c>
      <c r="L408" t="s">
        <v>583</v>
      </c>
      <c r="M408" t="s">
        <v>45</v>
      </c>
      <c r="N408">
        <v>1.7655727497866831E-2</v>
      </c>
      <c r="O408" t="s">
        <v>6</v>
      </c>
    </row>
    <row r="409" spans="2:15" x14ac:dyDescent="0.45">
      <c r="B409" t="s">
        <v>581</v>
      </c>
      <c r="C409" t="s">
        <v>46</v>
      </c>
      <c r="D409">
        <v>7.2933940815267032E-8</v>
      </c>
      <c r="E409" t="s">
        <v>6</v>
      </c>
      <c r="G409" t="s">
        <v>582</v>
      </c>
      <c r="H409" t="s">
        <v>46</v>
      </c>
      <c r="I409">
        <v>1.8053745429083418E-2</v>
      </c>
      <c r="J409" t="s">
        <v>6</v>
      </c>
      <c r="L409" t="s">
        <v>583</v>
      </c>
      <c r="M409" t="s">
        <v>46</v>
      </c>
      <c r="N409">
        <v>1.678837487521773E-2</v>
      </c>
      <c r="O409" t="s">
        <v>6</v>
      </c>
    </row>
    <row r="410" spans="2:15" x14ac:dyDescent="0.45">
      <c r="B410" t="s">
        <v>581</v>
      </c>
      <c r="C410" t="s">
        <v>47</v>
      </c>
      <c r="D410">
        <v>0</v>
      </c>
      <c r="E410" t="s">
        <v>6</v>
      </c>
      <c r="G410" t="s">
        <v>582</v>
      </c>
      <c r="H410" t="s">
        <v>47</v>
      </c>
      <c r="I410">
        <v>2.6826545729326589E-2</v>
      </c>
      <c r="J410" t="s">
        <v>6</v>
      </c>
      <c r="L410" t="s">
        <v>583</v>
      </c>
      <c r="M410" t="s">
        <v>47</v>
      </c>
      <c r="N410">
        <v>2.4582263958656023E-2</v>
      </c>
      <c r="O410" t="s">
        <v>6</v>
      </c>
    </row>
    <row r="411" spans="2:15" x14ac:dyDescent="0.45">
      <c r="B411" t="s">
        <v>584</v>
      </c>
      <c r="C411" t="s">
        <v>5</v>
      </c>
      <c r="D411">
        <v>0</v>
      </c>
      <c r="E411" t="s">
        <v>6</v>
      </c>
      <c r="G411" t="s">
        <v>585</v>
      </c>
      <c r="H411" t="s">
        <v>5</v>
      </c>
      <c r="I411">
        <v>5.916239239177469E-2</v>
      </c>
      <c r="J411" t="s">
        <v>6</v>
      </c>
      <c r="L411" t="s">
        <v>586</v>
      </c>
      <c r="M411" t="s">
        <v>5</v>
      </c>
      <c r="N411">
        <v>6.6360975448396822E-2</v>
      </c>
      <c r="O411" t="s">
        <v>6</v>
      </c>
    </row>
    <row r="412" spans="2:15" x14ac:dyDescent="0.45">
      <c r="B412" t="s">
        <v>584</v>
      </c>
      <c r="C412" t="s">
        <v>9</v>
      </c>
      <c r="D412">
        <v>0</v>
      </c>
      <c r="E412" t="s">
        <v>6</v>
      </c>
      <c r="G412" t="s">
        <v>585</v>
      </c>
      <c r="H412" t="s">
        <v>9</v>
      </c>
      <c r="I412">
        <v>2.2443669707372958E-2</v>
      </c>
      <c r="J412" t="s">
        <v>6</v>
      </c>
      <c r="L412" t="s">
        <v>586</v>
      </c>
      <c r="M412" t="s">
        <v>9</v>
      </c>
      <c r="N412">
        <v>2.5549809363425727E-2</v>
      </c>
      <c r="O412" t="s">
        <v>6</v>
      </c>
    </row>
    <row r="413" spans="2:15" x14ac:dyDescent="0.45">
      <c r="B413" t="s">
        <v>584</v>
      </c>
      <c r="C413" t="s">
        <v>10</v>
      </c>
      <c r="D413">
        <v>1.0660134002768486E-4</v>
      </c>
      <c r="E413" t="s">
        <v>6</v>
      </c>
      <c r="G413" t="s">
        <v>585</v>
      </c>
      <c r="H413" t="s">
        <v>10</v>
      </c>
      <c r="I413">
        <v>2.1578428172009376E-2</v>
      </c>
      <c r="J413" t="s">
        <v>6</v>
      </c>
      <c r="L413" t="s">
        <v>586</v>
      </c>
      <c r="M413" t="s">
        <v>10</v>
      </c>
      <c r="N413">
        <v>2.4107801664917508E-2</v>
      </c>
      <c r="O413" t="s">
        <v>6</v>
      </c>
    </row>
    <row r="414" spans="2:15" x14ac:dyDescent="0.45">
      <c r="B414" t="s">
        <v>584</v>
      </c>
      <c r="C414" t="s">
        <v>11</v>
      </c>
      <c r="D414">
        <v>2.2701916163906703E-2</v>
      </c>
      <c r="E414" t="s">
        <v>6</v>
      </c>
      <c r="G414" t="s">
        <v>585</v>
      </c>
      <c r="H414" t="s">
        <v>11</v>
      </c>
      <c r="I414">
        <v>2.200273234038827E-2</v>
      </c>
      <c r="J414" t="s">
        <v>6</v>
      </c>
      <c r="L414" t="s">
        <v>586</v>
      </c>
      <c r="M414" t="s">
        <v>11</v>
      </c>
      <c r="N414">
        <v>2.4044295622810442E-2</v>
      </c>
      <c r="O414" t="s">
        <v>6</v>
      </c>
    </row>
    <row r="415" spans="2:15" x14ac:dyDescent="0.45">
      <c r="B415" t="s">
        <v>584</v>
      </c>
      <c r="C415" t="s">
        <v>12</v>
      </c>
      <c r="D415">
        <v>5.8516869675846704E-2</v>
      </c>
      <c r="E415" t="s">
        <v>6</v>
      </c>
      <c r="G415" t="s">
        <v>585</v>
      </c>
      <c r="H415" t="s">
        <v>12</v>
      </c>
      <c r="I415">
        <v>2.4798259529900519E-2</v>
      </c>
      <c r="J415" t="s">
        <v>6</v>
      </c>
      <c r="L415" t="s">
        <v>586</v>
      </c>
      <c r="M415" t="s">
        <v>12</v>
      </c>
      <c r="N415">
        <v>2.6077855949311918E-2</v>
      </c>
      <c r="O415" t="s">
        <v>6</v>
      </c>
    </row>
    <row r="416" spans="2:15" x14ac:dyDescent="0.45">
      <c r="B416" t="s">
        <v>584</v>
      </c>
      <c r="C416" t="s">
        <v>13</v>
      </c>
      <c r="D416">
        <v>6.7769801448995623E-2</v>
      </c>
      <c r="E416" t="s">
        <v>6</v>
      </c>
      <c r="G416" t="s">
        <v>585</v>
      </c>
      <c r="H416" t="s">
        <v>13</v>
      </c>
      <c r="I416">
        <v>2.8326096389030213E-2</v>
      </c>
      <c r="J416" t="s">
        <v>6</v>
      </c>
      <c r="L416" t="s">
        <v>586</v>
      </c>
      <c r="M416" t="s">
        <v>13</v>
      </c>
      <c r="N416">
        <v>2.7459612612770464E-2</v>
      </c>
      <c r="O416" t="s">
        <v>6</v>
      </c>
    </row>
    <row r="417" spans="2:15" x14ac:dyDescent="0.45">
      <c r="B417" t="s">
        <v>584</v>
      </c>
      <c r="C417" t="s">
        <v>14</v>
      </c>
      <c r="D417">
        <v>4.6512253938982832E-2</v>
      </c>
      <c r="E417" t="s">
        <v>6</v>
      </c>
      <c r="G417" t="s">
        <v>585</v>
      </c>
      <c r="H417" t="s">
        <v>14</v>
      </c>
      <c r="I417">
        <v>2.8551322950187207E-2</v>
      </c>
      <c r="J417" t="s">
        <v>6</v>
      </c>
      <c r="L417" t="s">
        <v>586</v>
      </c>
      <c r="M417" t="s">
        <v>14</v>
      </c>
      <c r="N417">
        <v>2.8164823491617107E-2</v>
      </c>
      <c r="O417" t="s">
        <v>6</v>
      </c>
    </row>
    <row r="418" spans="2:15" x14ac:dyDescent="0.45">
      <c r="B418" t="s">
        <v>584</v>
      </c>
      <c r="C418" t="s">
        <v>15</v>
      </c>
      <c r="D418">
        <v>1.0290740133348646E-2</v>
      </c>
      <c r="E418" t="s">
        <v>6</v>
      </c>
      <c r="G418" t="s">
        <v>585</v>
      </c>
      <c r="H418" t="s">
        <v>15</v>
      </c>
      <c r="I418">
        <v>2.6947852067862037E-2</v>
      </c>
      <c r="J418" t="s">
        <v>6</v>
      </c>
      <c r="L418" t="s">
        <v>586</v>
      </c>
      <c r="M418" t="s">
        <v>15</v>
      </c>
      <c r="N418">
        <v>2.8233297323292484E-2</v>
      </c>
      <c r="O418" t="s">
        <v>6</v>
      </c>
    </row>
    <row r="419" spans="2:15" x14ac:dyDescent="0.45">
      <c r="B419" t="s">
        <v>584</v>
      </c>
      <c r="C419" t="s">
        <v>16</v>
      </c>
      <c r="D419">
        <v>0</v>
      </c>
      <c r="E419" t="s">
        <v>6</v>
      </c>
      <c r="G419" t="s">
        <v>585</v>
      </c>
      <c r="H419" t="s">
        <v>16</v>
      </c>
      <c r="I419">
        <v>2.5556858633704917E-2</v>
      </c>
      <c r="J419" t="s">
        <v>6</v>
      </c>
      <c r="L419" t="s">
        <v>586</v>
      </c>
      <c r="M419" t="s">
        <v>16</v>
      </c>
      <c r="N419">
        <v>2.7145016079010442E-2</v>
      </c>
      <c r="O419" t="s">
        <v>6</v>
      </c>
    </row>
    <row r="420" spans="2:15" x14ac:dyDescent="0.45">
      <c r="B420" t="s">
        <v>584</v>
      </c>
      <c r="C420" t="s">
        <v>17</v>
      </c>
      <c r="D420">
        <v>0</v>
      </c>
      <c r="E420" t="s">
        <v>6</v>
      </c>
      <c r="G420" t="s">
        <v>585</v>
      </c>
      <c r="H420" t="s">
        <v>17</v>
      </c>
      <c r="I420">
        <v>3.572947784105298E-2</v>
      </c>
      <c r="J420" t="s">
        <v>6</v>
      </c>
      <c r="L420" t="s">
        <v>586</v>
      </c>
      <c r="M420" t="s">
        <v>17</v>
      </c>
      <c r="N420">
        <v>4.0098532655843809E-2</v>
      </c>
      <c r="O420" t="s">
        <v>6</v>
      </c>
    </row>
    <row r="421" spans="2:15" x14ac:dyDescent="0.45">
      <c r="B421" t="s">
        <v>584</v>
      </c>
      <c r="C421" t="s">
        <v>18</v>
      </c>
      <c r="D421">
        <v>0</v>
      </c>
      <c r="E421" t="s">
        <v>6</v>
      </c>
      <c r="G421" t="s">
        <v>585</v>
      </c>
      <c r="H421" t="s">
        <v>18</v>
      </c>
      <c r="I421">
        <v>7.5148129224983387E-2</v>
      </c>
      <c r="J421" t="s">
        <v>6</v>
      </c>
      <c r="L421" t="s">
        <v>586</v>
      </c>
      <c r="M421" t="s">
        <v>18</v>
      </c>
      <c r="N421">
        <v>8.5975424928742536E-2</v>
      </c>
      <c r="O421" t="s">
        <v>6</v>
      </c>
    </row>
    <row r="422" spans="2:15" x14ac:dyDescent="0.45">
      <c r="B422" t="s">
        <v>584</v>
      </c>
      <c r="C422" t="s">
        <v>19</v>
      </c>
      <c r="D422">
        <v>1.7976753671586322E-4</v>
      </c>
      <c r="E422" t="s">
        <v>6</v>
      </c>
      <c r="G422" t="s">
        <v>585</v>
      </c>
      <c r="H422" t="s">
        <v>19</v>
      </c>
      <c r="I422">
        <v>2.8688844278482641E-2</v>
      </c>
      <c r="J422" t="s">
        <v>6</v>
      </c>
      <c r="L422" t="s">
        <v>586</v>
      </c>
      <c r="M422" t="s">
        <v>19</v>
      </c>
      <c r="N422">
        <v>3.3869459997309552E-2</v>
      </c>
      <c r="O422" t="s">
        <v>6</v>
      </c>
    </row>
    <row r="423" spans="2:15" x14ac:dyDescent="0.45">
      <c r="B423" t="s">
        <v>584</v>
      </c>
      <c r="C423" t="s">
        <v>20</v>
      </c>
      <c r="D423">
        <v>1.0166725077943646E-2</v>
      </c>
      <c r="E423" t="s">
        <v>6</v>
      </c>
      <c r="G423" t="s">
        <v>585</v>
      </c>
      <c r="H423" t="s">
        <v>20</v>
      </c>
      <c r="I423">
        <v>2.910405413146697E-2</v>
      </c>
      <c r="J423" t="s">
        <v>6</v>
      </c>
      <c r="L423" t="s">
        <v>586</v>
      </c>
      <c r="M423" t="s">
        <v>20</v>
      </c>
      <c r="N423">
        <v>3.3520436347920027E-2</v>
      </c>
      <c r="O423" t="s">
        <v>6</v>
      </c>
    </row>
    <row r="424" spans="2:15" x14ac:dyDescent="0.45">
      <c r="B424" t="s">
        <v>584</v>
      </c>
      <c r="C424" t="s">
        <v>21</v>
      </c>
      <c r="D424">
        <v>4.4127921666418039E-2</v>
      </c>
      <c r="E424" t="s">
        <v>6</v>
      </c>
      <c r="G424" t="s">
        <v>585</v>
      </c>
      <c r="H424" t="s">
        <v>21</v>
      </c>
      <c r="I424">
        <v>3.0871578518767488E-2</v>
      </c>
      <c r="J424" t="s">
        <v>6</v>
      </c>
      <c r="L424" t="s">
        <v>586</v>
      </c>
      <c r="M424" t="s">
        <v>21</v>
      </c>
      <c r="N424">
        <v>3.2616681984975804E-2</v>
      </c>
      <c r="O424" t="s">
        <v>6</v>
      </c>
    </row>
    <row r="425" spans="2:15" x14ac:dyDescent="0.45">
      <c r="B425" t="s">
        <v>584</v>
      </c>
      <c r="C425" t="s">
        <v>22</v>
      </c>
      <c r="D425">
        <v>7.2052755966722046E-2</v>
      </c>
      <c r="E425" t="s">
        <v>6</v>
      </c>
      <c r="G425" t="s">
        <v>585</v>
      </c>
      <c r="H425" t="s">
        <v>22</v>
      </c>
      <c r="I425">
        <v>3.1870934105356567E-2</v>
      </c>
      <c r="J425" t="s">
        <v>6</v>
      </c>
      <c r="L425" t="s">
        <v>586</v>
      </c>
      <c r="M425" t="s">
        <v>22</v>
      </c>
      <c r="N425">
        <v>3.0714310250935392E-2</v>
      </c>
      <c r="O425" t="s">
        <v>6</v>
      </c>
    </row>
    <row r="426" spans="2:15" x14ac:dyDescent="0.45">
      <c r="B426" t="s">
        <v>584</v>
      </c>
      <c r="C426" t="s">
        <v>23</v>
      </c>
      <c r="D426">
        <v>7.6581955491172374E-2</v>
      </c>
      <c r="E426" t="s">
        <v>6</v>
      </c>
      <c r="G426" t="s">
        <v>585</v>
      </c>
      <c r="H426" t="s">
        <v>23</v>
      </c>
      <c r="I426">
        <v>3.6431486963911221E-2</v>
      </c>
      <c r="J426" t="s">
        <v>6</v>
      </c>
      <c r="L426" t="s">
        <v>586</v>
      </c>
      <c r="M426" t="s">
        <v>23</v>
      </c>
      <c r="N426">
        <v>3.1403756516662155E-2</v>
      </c>
      <c r="O426" t="s">
        <v>6</v>
      </c>
    </row>
    <row r="427" spans="2:15" x14ac:dyDescent="0.45">
      <c r="B427" t="s">
        <v>584</v>
      </c>
      <c r="C427" t="s">
        <v>24</v>
      </c>
      <c r="D427">
        <v>6.1458314570801628E-2</v>
      </c>
      <c r="E427" t="s">
        <v>6</v>
      </c>
      <c r="G427" t="s">
        <v>585</v>
      </c>
      <c r="H427" t="s">
        <v>24</v>
      </c>
      <c r="I427">
        <v>3.7298202669726242E-2</v>
      </c>
      <c r="J427" t="s">
        <v>6</v>
      </c>
      <c r="L427" t="s">
        <v>586</v>
      </c>
      <c r="M427" t="s">
        <v>24</v>
      </c>
      <c r="N427">
        <v>3.3259832821425889E-2</v>
      </c>
      <c r="O427" t="s">
        <v>6</v>
      </c>
    </row>
    <row r="428" spans="2:15" x14ac:dyDescent="0.45">
      <c r="B428" t="s">
        <v>584</v>
      </c>
      <c r="C428" t="s">
        <v>25</v>
      </c>
      <c r="D428">
        <v>2.840829886782328E-2</v>
      </c>
      <c r="E428" t="s">
        <v>6</v>
      </c>
      <c r="G428" t="s">
        <v>585</v>
      </c>
      <c r="H428" t="s">
        <v>25</v>
      </c>
      <c r="I428">
        <v>3.505454293397911E-2</v>
      </c>
      <c r="J428" t="s">
        <v>6</v>
      </c>
      <c r="L428" t="s">
        <v>586</v>
      </c>
      <c r="M428" t="s">
        <v>25</v>
      </c>
      <c r="N428">
        <v>3.4900202185392207E-2</v>
      </c>
      <c r="O428" t="s">
        <v>6</v>
      </c>
    </row>
    <row r="429" spans="2:15" x14ac:dyDescent="0.45">
      <c r="B429" t="s">
        <v>584</v>
      </c>
      <c r="C429" t="s">
        <v>26</v>
      </c>
      <c r="D429">
        <v>2.178112349213009E-3</v>
      </c>
      <c r="E429" t="s">
        <v>6</v>
      </c>
      <c r="G429" t="s">
        <v>585</v>
      </c>
      <c r="H429" t="s">
        <v>26</v>
      </c>
      <c r="I429">
        <v>3.2962898488349303E-2</v>
      </c>
      <c r="J429" t="s">
        <v>6</v>
      </c>
      <c r="L429" t="s">
        <v>586</v>
      </c>
      <c r="M429" t="s">
        <v>26</v>
      </c>
      <c r="N429">
        <v>3.5373442767357571E-2</v>
      </c>
      <c r="O429" t="s">
        <v>6</v>
      </c>
    </row>
    <row r="430" spans="2:15" x14ac:dyDescent="0.45">
      <c r="B430" t="s">
        <v>584</v>
      </c>
      <c r="C430" t="s">
        <v>27</v>
      </c>
      <c r="D430">
        <v>0</v>
      </c>
      <c r="E430" t="s">
        <v>6</v>
      </c>
      <c r="G430" t="s">
        <v>585</v>
      </c>
      <c r="H430" t="s">
        <v>27</v>
      </c>
      <c r="I430">
        <v>4.6849546861876416E-2</v>
      </c>
      <c r="J430" t="s">
        <v>6</v>
      </c>
      <c r="L430" t="s">
        <v>586</v>
      </c>
      <c r="M430" t="s">
        <v>27</v>
      </c>
      <c r="N430">
        <v>5.2054710154734431E-2</v>
      </c>
      <c r="O430" t="s">
        <v>6</v>
      </c>
    </row>
    <row r="431" spans="2:15" x14ac:dyDescent="0.45">
      <c r="B431" t="s">
        <v>584</v>
      </c>
      <c r="C431" t="s">
        <v>28</v>
      </c>
      <c r="D431">
        <v>0</v>
      </c>
      <c r="E431" t="s">
        <v>6</v>
      </c>
      <c r="G431" t="s">
        <v>585</v>
      </c>
      <c r="H431" t="s">
        <v>28</v>
      </c>
      <c r="I431">
        <v>1.305946368193261E-2</v>
      </c>
      <c r="J431" t="s">
        <v>6</v>
      </c>
      <c r="L431" t="s">
        <v>586</v>
      </c>
      <c r="M431" t="s">
        <v>28</v>
      </c>
      <c r="N431">
        <v>1.5003802669830549E-2</v>
      </c>
      <c r="O431" t="s">
        <v>6</v>
      </c>
    </row>
    <row r="432" spans="2:15" x14ac:dyDescent="0.45">
      <c r="B432" t="s">
        <v>584</v>
      </c>
      <c r="C432" t="s">
        <v>29</v>
      </c>
      <c r="D432">
        <v>4.7297703742100371E-4</v>
      </c>
      <c r="E432" t="s">
        <v>6</v>
      </c>
      <c r="G432" t="s">
        <v>585</v>
      </c>
      <c r="H432" t="s">
        <v>29</v>
      </c>
      <c r="I432">
        <v>4.6560117076306969E-3</v>
      </c>
      <c r="J432" t="s">
        <v>6</v>
      </c>
      <c r="L432" t="s">
        <v>586</v>
      </c>
      <c r="M432" t="s">
        <v>29</v>
      </c>
      <c r="N432">
        <v>6.1391634880880843E-3</v>
      </c>
      <c r="O432" t="s">
        <v>6</v>
      </c>
    </row>
    <row r="433" spans="2:15" x14ac:dyDescent="0.45">
      <c r="B433" t="s">
        <v>584</v>
      </c>
      <c r="C433" t="s">
        <v>30</v>
      </c>
      <c r="D433">
        <v>1.41863757462158E-2</v>
      </c>
      <c r="E433" t="s">
        <v>6</v>
      </c>
      <c r="G433" t="s">
        <v>585</v>
      </c>
      <c r="H433" t="s">
        <v>30</v>
      </c>
      <c r="I433">
        <v>4.3168875966176955E-3</v>
      </c>
      <c r="J433" t="s">
        <v>6</v>
      </c>
      <c r="L433" t="s">
        <v>586</v>
      </c>
      <c r="M433" t="s">
        <v>30</v>
      </c>
      <c r="N433">
        <v>6.0289141538026605E-3</v>
      </c>
      <c r="O433" t="s">
        <v>6</v>
      </c>
    </row>
    <row r="434" spans="2:15" x14ac:dyDescent="0.45">
      <c r="B434" t="s">
        <v>584</v>
      </c>
      <c r="C434" t="s">
        <v>31</v>
      </c>
      <c r="D434">
        <v>4.9778129374082741E-2</v>
      </c>
      <c r="E434" t="s">
        <v>6</v>
      </c>
      <c r="G434" t="s">
        <v>585</v>
      </c>
      <c r="H434" t="s">
        <v>31</v>
      </c>
      <c r="I434">
        <v>4.9379204589183184E-3</v>
      </c>
      <c r="J434" t="s">
        <v>6</v>
      </c>
      <c r="L434" t="s">
        <v>586</v>
      </c>
      <c r="M434" t="s">
        <v>31</v>
      </c>
      <c r="N434">
        <v>6.0254517147084194E-3</v>
      </c>
      <c r="O434" t="s">
        <v>6</v>
      </c>
    </row>
    <row r="435" spans="2:15" x14ac:dyDescent="0.45">
      <c r="B435" t="s">
        <v>584</v>
      </c>
      <c r="C435" t="s">
        <v>32</v>
      </c>
      <c r="D435">
        <v>7.2082176883853918E-2</v>
      </c>
      <c r="E435" t="s">
        <v>6</v>
      </c>
      <c r="G435" t="s">
        <v>585</v>
      </c>
      <c r="H435" t="s">
        <v>32</v>
      </c>
      <c r="I435">
        <v>6.7397657842156117E-3</v>
      </c>
      <c r="J435" t="s">
        <v>6</v>
      </c>
      <c r="L435" t="s">
        <v>586</v>
      </c>
      <c r="M435" t="s">
        <v>32</v>
      </c>
      <c r="N435">
        <v>5.6313873542897823E-3</v>
      </c>
      <c r="O435" t="s">
        <v>6</v>
      </c>
    </row>
    <row r="436" spans="2:15" x14ac:dyDescent="0.45">
      <c r="B436" t="s">
        <v>584</v>
      </c>
      <c r="C436" t="s">
        <v>33</v>
      </c>
      <c r="D436">
        <v>7.3196960877413578E-2</v>
      </c>
      <c r="E436" t="s">
        <v>6</v>
      </c>
      <c r="G436" t="s">
        <v>585</v>
      </c>
      <c r="H436" t="s">
        <v>33</v>
      </c>
      <c r="I436">
        <v>1.3512690244997495E-2</v>
      </c>
      <c r="J436" t="s">
        <v>6</v>
      </c>
      <c r="L436" t="s">
        <v>586</v>
      </c>
      <c r="M436" t="s">
        <v>33</v>
      </c>
      <c r="N436">
        <v>7.6817954884952251E-3</v>
      </c>
      <c r="O436" t="s">
        <v>6</v>
      </c>
    </row>
    <row r="437" spans="2:15" x14ac:dyDescent="0.45">
      <c r="B437" t="s">
        <v>584</v>
      </c>
      <c r="C437" t="s">
        <v>34</v>
      </c>
      <c r="D437">
        <v>5.6274497564928257E-2</v>
      </c>
      <c r="E437" t="s">
        <v>6</v>
      </c>
      <c r="G437" t="s">
        <v>585</v>
      </c>
      <c r="H437" t="s">
        <v>34</v>
      </c>
      <c r="I437">
        <v>1.7382711999705321E-2</v>
      </c>
      <c r="J437" t="s">
        <v>6</v>
      </c>
      <c r="L437" t="s">
        <v>586</v>
      </c>
      <c r="M437" t="s">
        <v>34</v>
      </c>
      <c r="N437">
        <v>9.8181066619144539E-3</v>
      </c>
      <c r="O437" t="s">
        <v>6</v>
      </c>
    </row>
    <row r="438" spans="2:15" x14ac:dyDescent="0.45">
      <c r="B438" t="s">
        <v>584</v>
      </c>
      <c r="C438" t="s">
        <v>35</v>
      </c>
      <c r="D438">
        <v>2.9928697208817186E-2</v>
      </c>
      <c r="E438" t="s">
        <v>6</v>
      </c>
      <c r="G438" t="s">
        <v>585</v>
      </c>
      <c r="H438" t="s">
        <v>35</v>
      </c>
      <c r="I438">
        <v>1.591079139170562E-2</v>
      </c>
      <c r="J438" t="s">
        <v>6</v>
      </c>
      <c r="L438" t="s">
        <v>586</v>
      </c>
      <c r="M438" t="s">
        <v>35</v>
      </c>
      <c r="N438">
        <v>1.0348814888828172E-2</v>
      </c>
      <c r="O438" t="s">
        <v>6</v>
      </c>
    </row>
    <row r="439" spans="2:15" x14ac:dyDescent="0.45">
      <c r="B439" t="s">
        <v>584</v>
      </c>
      <c r="C439" t="s">
        <v>36</v>
      </c>
      <c r="D439">
        <v>4.5230143133275389E-3</v>
      </c>
      <c r="E439" t="s">
        <v>6</v>
      </c>
      <c r="G439" t="s">
        <v>585</v>
      </c>
      <c r="H439" t="s">
        <v>36</v>
      </c>
      <c r="I439">
        <v>1.1680027980642995E-2</v>
      </c>
      <c r="J439" t="s">
        <v>6</v>
      </c>
      <c r="L439" t="s">
        <v>586</v>
      </c>
      <c r="M439" t="s">
        <v>36</v>
      </c>
      <c r="N439">
        <v>9.2413271817750262E-3</v>
      </c>
      <c r="O439" t="s">
        <v>6</v>
      </c>
    </row>
    <row r="440" spans="2:15" x14ac:dyDescent="0.45">
      <c r="B440" t="s">
        <v>584</v>
      </c>
      <c r="C440" t="s">
        <v>37</v>
      </c>
      <c r="D440">
        <v>0</v>
      </c>
      <c r="E440" t="s">
        <v>6</v>
      </c>
      <c r="G440" t="s">
        <v>585</v>
      </c>
      <c r="H440" t="s">
        <v>37</v>
      </c>
      <c r="I440">
        <v>1.0613657885469122E-2</v>
      </c>
      <c r="J440" t="s">
        <v>6</v>
      </c>
      <c r="L440" t="s">
        <v>586</v>
      </c>
      <c r="M440" t="s">
        <v>37</v>
      </c>
      <c r="N440">
        <v>1.0210089365256119E-2</v>
      </c>
      <c r="O440" t="s">
        <v>6</v>
      </c>
    </row>
    <row r="441" spans="2:15" x14ac:dyDescent="0.45">
      <c r="B441" t="s">
        <v>584</v>
      </c>
      <c r="C441" t="s">
        <v>38</v>
      </c>
      <c r="D441">
        <v>0</v>
      </c>
      <c r="E441" t="s">
        <v>6</v>
      </c>
      <c r="G441" t="s">
        <v>585</v>
      </c>
      <c r="H441" t="s">
        <v>38</v>
      </c>
      <c r="I441">
        <v>4.4917887340176939E-2</v>
      </c>
      <c r="J441" t="s">
        <v>6</v>
      </c>
      <c r="L441" t="s">
        <v>586</v>
      </c>
      <c r="M441" t="s">
        <v>38</v>
      </c>
      <c r="N441">
        <v>3.7541709451720938E-2</v>
      </c>
      <c r="O441" t="s">
        <v>6</v>
      </c>
    </row>
    <row r="442" spans="2:15" x14ac:dyDescent="0.45">
      <c r="B442" t="s">
        <v>584</v>
      </c>
      <c r="C442" t="s">
        <v>39</v>
      </c>
      <c r="D442">
        <v>0</v>
      </c>
      <c r="E442" t="s">
        <v>6</v>
      </c>
      <c r="G442" t="s">
        <v>585</v>
      </c>
      <c r="H442" t="s">
        <v>39</v>
      </c>
      <c r="I442">
        <v>1.7515346306067582E-2</v>
      </c>
      <c r="J442" t="s">
        <v>6</v>
      </c>
      <c r="L442" t="s">
        <v>586</v>
      </c>
      <c r="M442" t="s">
        <v>39</v>
      </c>
      <c r="N442">
        <v>1.6126926860796361E-2</v>
      </c>
      <c r="O442" t="s">
        <v>6</v>
      </c>
    </row>
    <row r="443" spans="2:15" x14ac:dyDescent="0.45">
      <c r="B443" t="s">
        <v>584</v>
      </c>
      <c r="C443" t="s">
        <v>40</v>
      </c>
      <c r="D443">
        <v>3.3581772494559172E-3</v>
      </c>
      <c r="E443" t="s">
        <v>6</v>
      </c>
      <c r="G443" t="s">
        <v>585</v>
      </c>
      <c r="H443" t="s">
        <v>40</v>
      </c>
      <c r="I443">
        <v>1.6447495317242492E-2</v>
      </c>
      <c r="J443" t="s">
        <v>6</v>
      </c>
      <c r="L443" t="s">
        <v>586</v>
      </c>
      <c r="M443" t="s">
        <v>40</v>
      </c>
      <c r="N443">
        <v>1.5937469100185772E-2</v>
      </c>
      <c r="O443" t="s">
        <v>6</v>
      </c>
    </row>
    <row r="444" spans="2:15" x14ac:dyDescent="0.45">
      <c r="B444" t="s">
        <v>584</v>
      </c>
      <c r="C444" t="s">
        <v>41</v>
      </c>
      <c r="D444">
        <v>3.0197322001352021E-2</v>
      </c>
      <c r="E444" t="s">
        <v>6</v>
      </c>
      <c r="G444" t="s">
        <v>585</v>
      </c>
      <c r="H444" t="s">
        <v>41</v>
      </c>
      <c r="I444">
        <v>1.5940400498073076E-2</v>
      </c>
      <c r="J444" t="s">
        <v>6</v>
      </c>
      <c r="L444" t="s">
        <v>586</v>
      </c>
      <c r="M444" t="s">
        <v>41</v>
      </c>
      <c r="N444">
        <v>1.5680381941084235E-2</v>
      </c>
      <c r="O444" t="s">
        <v>6</v>
      </c>
    </row>
    <row r="445" spans="2:15" x14ac:dyDescent="0.45">
      <c r="B445" t="s">
        <v>584</v>
      </c>
      <c r="C445" t="s">
        <v>42</v>
      </c>
      <c r="D445">
        <v>5.5991682726579541E-2</v>
      </c>
      <c r="E445" t="s">
        <v>6</v>
      </c>
      <c r="G445" t="s">
        <v>585</v>
      </c>
      <c r="H445" t="s">
        <v>42</v>
      </c>
      <c r="I445">
        <v>1.6022903932720312E-2</v>
      </c>
      <c r="J445" t="s">
        <v>6</v>
      </c>
      <c r="L445" t="s">
        <v>586</v>
      </c>
      <c r="M445" t="s">
        <v>42</v>
      </c>
      <c r="N445">
        <v>1.6019576512322605E-2</v>
      </c>
      <c r="O445" t="s">
        <v>6</v>
      </c>
    </row>
    <row r="446" spans="2:15" x14ac:dyDescent="0.45">
      <c r="B446" t="s">
        <v>584</v>
      </c>
      <c r="C446" t="s">
        <v>43</v>
      </c>
      <c r="D446">
        <v>5.7984050242105546E-2</v>
      </c>
      <c r="E446" t="s">
        <v>6</v>
      </c>
      <c r="G446" t="s">
        <v>585</v>
      </c>
      <c r="H446" t="s">
        <v>43</v>
      </c>
      <c r="I446">
        <v>1.8954700939244742E-2</v>
      </c>
      <c r="J446" t="s">
        <v>6</v>
      </c>
      <c r="L446" t="s">
        <v>586</v>
      </c>
      <c r="M446" t="s">
        <v>43</v>
      </c>
      <c r="N446">
        <v>1.6764092219090206E-2</v>
      </c>
      <c r="O446" t="s">
        <v>6</v>
      </c>
    </row>
    <row r="447" spans="2:15" x14ac:dyDescent="0.45">
      <c r="B447" t="s">
        <v>584</v>
      </c>
      <c r="C447" t="s">
        <v>44</v>
      </c>
      <c r="D447">
        <v>3.9923521168628726E-2</v>
      </c>
      <c r="E447" t="s">
        <v>6</v>
      </c>
      <c r="G447" t="s">
        <v>585</v>
      </c>
      <c r="H447" t="s">
        <v>44</v>
      </c>
      <c r="I447">
        <v>2.0424736933124937E-2</v>
      </c>
      <c r="J447" t="s">
        <v>6</v>
      </c>
      <c r="L447" t="s">
        <v>586</v>
      </c>
      <c r="M447" t="s">
        <v>44</v>
      </c>
      <c r="N447">
        <v>1.7641954863958337E-2</v>
      </c>
      <c r="O447" t="s">
        <v>6</v>
      </c>
    </row>
    <row r="448" spans="2:15" x14ac:dyDescent="0.45">
      <c r="B448" t="s">
        <v>584</v>
      </c>
      <c r="C448" t="s">
        <v>45</v>
      </c>
      <c r="D448">
        <v>1.0969934931640727E-2</v>
      </c>
      <c r="E448" t="s">
        <v>6</v>
      </c>
      <c r="G448" t="s">
        <v>585</v>
      </c>
      <c r="H448" t="s">
        <v>45</v>
      </c>
      <c r="I448">
        <v>1.9441067868653187E-2</v>
      </c>
      <c r="J448" t="s">
        <v>6</v>
      </c>
      <c r="L448" t="s">
        <v>586</v>
      </c>
      <c r="M448" t="s">
        <v>45</v>
      </c>
      <c r="N448">
        <v>1.7550314960721763E-2</v>
      </c>
      <c r="O448" t="s">
        <v>6</v>
      </c>
    </row>
    <row r="449" spans="2:15" x14ac:dyDescent="0.45">
      <c r="B449" t="s">
        <v>584</v>
      </c>
      <c r="C449" t="s">
        <v>46</v>
      </c>
      <c r="D449">
        <v>8.0448446261449302E-5</v>
      </c>
      <c r="E449" t="s">
        <v>6</v>
      </c>
      <c r="G449" t="s">
        <v>585</v>
      </c>
      <c r="H449" t="s">
        <v>46</v>
      </c>
      <c r="I449">
        <v>1.8939223532619891E-2</v>
      </c>
      <c r="J449" t="s">
        <v>6</v>
      </c>
      <c r="L449" t="s">
        <v>586</v>
      </c>
      <c r="M449" t="s">
        <v>46</v>
      </c>
      <c r="N449">
        <v>1.6572863294792135E-2</v>
      </c>
      <c r="O449" t="s">
        <v>6</v>
      </c>
    </row>
    <row r="450" spans="2:15" x14ac:dyDescent="0.45">
      <c r="B450" t="s">
        <v>584</v>
      </c>
      <c r="C450" t="s">
        <v>47</v>
      </c>
      <c r="D450">
        <v>0</v>
      </c>
      <c r="E450" t="s">
        <v>6</v>
      </c>
      <c r="G450" t="s">
        <v>585</v>
      </c>
      <c r="H450" t="s">
        <v>47</v>
      </c>
      <c r="I450">
        <v>2.9209000400057434E-2</v>
      </c>
      <c r="J450" t="s">
        <v>6</v>
      </c>
      <c r="L450" t="s">
        <v>586</v>
      </c>
      <c r="M450" t="s">
        <v>47</v>
      </c>
      <c r="N450">
        <v>2.3105579661483945E-2</v>
      </c>
      <c r="O450" t="s">
        <v>6</v>
      </c>
    </row>
    <row r="451" spans="2:15" x14ac:dyDescent="0.45">
      <c r="B451" t="s">
        <v>587</v>
      </c>
      <c r="C451" t="s">
        <v>5</v>
      </c>
      <c r="D451">
        <v>0</v>
      </c>
      <c r="E451" t="s">
        <v>6</v>
      </c>
      <c r="G451" t="s">
        <v>588</v>
      </c>
      <c r="H451" t="s">
        <v>5</v>
      </c>
      <c r="I451">
        <v>6.37104691100287E-2</v>
      </c>
      <c r="J451" t="s">
        <v>6</v>
      </c>
      <c r="L451" t="s">
        <v>589</v>
      </c>
      <c r="M451" t="s">
        <v>5</v>
      </c>
      <c r="N451">
        <v>5.2949512869069071E-2</v>
      </c>
      <c r="O451" t="s">
        <v>6</v>
      </c>
    </row>
    <row r="452" spans="2:15" x14ac:dyDescent="0.45">
      <c r="B452" t="s">
        <v>587</v>
      </c>
      <c r="C452" t="s">
        <v>9</v>
      </c>
      <c r="D452">
        <v>0</v>
      </c>
      <c r="E452" t="s">
        <v>6</v>
      </c>
      <c r="G452" t="s">
        <v>588</v>
      </c>
      <c r="H452" t="s">
        <v>9</v>
      </c>
      <c r="I452">
        <v>2.5190222016532059E-2</v>
      </c>
      <c r="J452" t="s">
        <v>6</v>
      </c>
      <c r="L452" t="s">
        <v>589</v>
      </c>
      <c r="M452" t="s">
        <v>9</v>
      </c>
      <c r="N452">
        <v>1.9376028285638072E-2</v>
      </c>
      <c r="O452" t="s">
        <v>6</v>
      </c>
    </row>
    <row r="453" spans="2:15" x14ac:dyDescent="0.45">
      <c r="B453" t="s">
        <v>587</v>
      </c>
      <c r="C453" t="s">
        <v>10</v>
      </c>
      <c r="D453">
        <v>2.1221069164896654E-4</v>
      </c>
      <c r="E453" t="s">
        <v>6</v>
      </c>
      <c r="G453" t="s">
        <v>588</v>
      </c>
      <c r="H453" t="s">
        <v>10</v>
      </c>
      <c r="I453">
        <v>2.4646299904812052E-2</v>
      </c>
      <c r="J453" t="s">
        <v>6</v>
      </c>
      <c r="L453" t="s">
        <v>589</v>
      </c>
      <c r="M453" t="s">
        <v>10</v>
      </c>
      <c r="N453">
        <v>1.9536568791235946E-2</v>
      </c>
      <c r="O453" t="s">
        <v>6</v>
      </c>
    </row>
    <row r="454" spans="2:15" x14ac:dyDescent="0.45">
      <c r="B454" t="s">
        <v>587</v>
      </c>
      <c r="C454" t="s">
        <v>11</v>
      </c>
      <c r="D454">
        <v>2.2427784496532509E-2</v>
      </c>
      <c r="E454" t="s">
        <v>6</v>
      </c>
      <c r="G454" t="s">
        <v>588</v>
      </c>
      <c r="H454" t="s">
        <v>11</v>
      </c>
      <c r="I454">
        <v>2.3721253756944453E-2</v>
      </c>
      <c r="J454" t="s">
        <v>6</v>
      </c>
      <c r="L454" t="s">
        <v>589</v>
      </c>
      <c r="M454" t="s">
        <v>11</v>
      </c>
      <c r="N454">
        <v>2.1324054454236508E-2</v>
      </c>
      <c r="O454" t="s">
        <v>6</v>
      </c>
    </row>
    <row r="455" spans="2:15" x14ac:dyDescent="0.45">
      <c r="B455" t="s">
        <v>587</v>
      </c>
      <c r="C455" t="s">
        <v>12</v>
      </c>
      <c r="D455">
        <v>5.4445385069546229E-2</v>
      </c>
      <c r="E455" t="s">
        <v>6</v>
      </c>
      <c r="G455" t="s">
        <v>588</v>
      </c>
      <c r="H455" t="s">
        <v>12</v>
      </c>
      <c r="I455">
        <v>2.6364834108641405E-2</v>
      </c>
      <c r="J455" t="s">
        <v>6</v>
      </c>
      <c r="L455" t="s">
        <v>589</v>
      </c>
      <c r="M455" t="s">
        <v>12</v>
      </c>
      <c r="N455">
        <v>2.3113406963592424E-2</v>
      </c>
      <c r="O455" t="s">
        <v>6</v>
      </c>
    </row>
    <row r="456" spans="2:15" x14ac:dyDescent="0.45">
      <c r="B456" t="s">
        <v>587</v>
      </c>
      <c r="C456" t="s">
        <v>13</v>
      </c>
      <c r="D456">
        <v>6.345317746921017E-2</v>
      </c>
      <c r="E456" t="s">
        <v>6</v>
      </c>
      <c r="G456" t="s">
        <v>588</v>
      </c>
      <c r="H456" t="s">
        <v>13</v>
      </c>
      <c r="I456">
        <v>2.850078453060613E-2</v>
      </c>
      <c r="J456" t="s">
        <v>6</v>
      </c>
      <c r="L456" t="s">
        <v>589</v>
      </c>
      <c r="M456" t="s">
        <v>13</v>
      </c>
      <c r="N456">
        <v>2.4983467408431981E-2</v>
      </c>
      <c r="O456" t="s">
        <v>6</v>
      </c>
    </row>
    <row r="457" spans="2:15" x14ac:dyDescent="0.45">
      <c r="B457" t="s">
        <v>587</v>
      </c>
      <c r="C457" t="s">
        <v>14</v>
      </c>
      <c r="D457">
        <v>4.2810058096086061E-2</v>
      </c>
      <c r="E457" t="s">
        <v>6</v>
      </c>
      <c r="G457" t="s">
        <v>588</v>
      </c>
      <c r="H457" t="s">
        <v>14</v>
      </c>
      <c r="I457">
        <v>2.6382156937468641E-2</v>
      </c>
      <c r="J457" t="s">
        <v>6</v>
      </c>
      <c r="L457" t="s">
        <v>589</v>
      </c>
      <c r="M457" t="s">
        <v>14</v>
      </c>
      <c r="N457">
        <v>2.5366472149978114E-2</v>
      </c>
      <c r="O457" t="s">
        <v>6</v>
      </c>
    </row>
    <row r="458" spans="2:15" x14ac:dyDescent="0.45">
      <c r="B458" t="s">
        <v>587</v>
      </c>
      <c r="C458" t="s">
        <v>15</v>
      </c>
      <c r="D458">
        <v>7.5963021339535549E-3</v>
      </c>
      <c r="E458" t="s">
        <v>6</v>
      </c>
      <c r="G458" t="s">
        <v>588</v>
      </c>
      <c r="H458" t="s">
        <v>15</v>
      </c>
      <c r="I458">
        <v>2.5767999947087578E-2</v>
      </c>
      <c r="J458" t="s">
        <v>6</v>
      </c>
      <c r="L458" t="s">
        <v>589</v>
      </c>
      <c r="M458" t="s">
        <v>15</v>
      </c>
      <c r="N458">
        <v>2.5637341004205363E-2</v>
      </c>
      <c r="O458" t="s">
        <v>6</v>
      </c>
    </row>
    <row r="459" spans="2:15" x14ac:dyDescent="0.45">
      <c r="B459" t="s">
        <v>587</v>
      </c>
      <c r="C459" t="s">
        <v>16</v>
      </c>
      <c r="D459">
        <v>0</v>
      </c>
      <c r="E459" t="s">
        <v>6</v>
      </c>
      <c r="G459" t="s">
        <v>588</v>
      </c>
      <c r="H459" t="s">
        <v>16</v>
      </c>
      <c r="I459">
        <v>2.455693796238884E-2</v>
      </c>
      <c r="J459" t="s">
        <v>6</v>
      </c>
      <c r="L459" t="s">
        <v>589</v>
      </c>
      <c r="M459" t="s">
        <v>16</v>
      </c>
      <c r="N459">
        <v>2.4426719659767122E-2</v>
      </c>
      <c r="O459" t="s">
        <v>6</v>
      </c>
    </row>
    <row r="460" spans="2:15" x14ac:dyDescent="0.45">
      <c r="B460" t="s">
        <v>587</v>
      </c>
      <c r="C460" t="s">
        <v>17</v>
      </c>
      <c r="D460">
        <v>0</v>
      </c>
      <c r="E460" t="s">
        <v>6</v>
      </c>
      <c r="G460" t="s">
        <v>588</v>
      </c>
      <c r="H460" t="s">
        <v>17</v>
      </c>
      <c r="I460">
        <v>3.7358201751781915E-2</v>
      </c>
      <c r="J460" t="s">
        <v>6</v>
      </c>
      <c r="L460" t="s">
        <v>589</v>
      </c>
      <c r="M460" t="s">
        <v>17</v>
      </c>
      <c r="N460">
        <v>3.3909526736795405E-2</v>
      </c>
      <c r="O460" t="s">
        <v>6</v>
      </c>
    </row>
    <row r="461" spans="2:15" x14ac:dyDescent="0.45">
      <c r="B461" t="s">
        <v>587</v>
      </c>
      <c r="C461" t="s">
        <v>18</v>
      </c>
      <c r="D461">
        <v>0</v>
      </c>
      <c r="E461" t="s">
        <v>6</v>
      </c>
      <c r="G461" t="s">
        <v>588</v>
      </c>
      <c r="H461" t="s">
        <v>18</v>
      </c>
      <c r="I461">
        <v>5.5522590591649268E-2</v>
      </c>
      <c r="J461" t="s">
        <v>6</v>
      </c>
      <c r="L461" t="s">
        <v>589</v>
      </c>
      <c r="M461" t="s">
        <v>18</v>
      </c>
      <c r="N461">
        <v>7.526328445968615E-2</v>
      </c>
      <c r="O461" t="s">
        <v>6</v>
      </c>
    </row>
    <row r="462" spans="2:15" x14ac:dyDescent="0.45">
      <c r="B462" t="s">
        <v>587</v>
      </c>
      <c r="C462" t="s">
        <v>19</v>
      </c>
      <c r="D462">
        <v>2.3200387269901727E-4</v>
      </c>
      <c r="E462" t="s">
        <v>6</v>
      </c>
      <c r="G462" t="s">
        <v>588</v>
      </c>
      <c r="H462" t="s">
        <v>19</v>
      </c>
      <c r="I462">
        <v>2.1534612343286505E-2</v>
      </c>
      <c r="J462" t="s">
        <v>6</v>
      </c>
      <c r="L462" t="s">
        <v>589</v>
      </c>
      <c r="M462" t="s">
        <v>19</v>
      </c>
      <c r="N462">
        <v>2.9160793421794957E-2</v>
      </c>
      <c r="O462" t="s">
        <v>6</v>
      </c>
    </row>
    <row r="463" spans="2:15" x14ac:dyDescent="0.45">
      <c r="B463" t="s">
        <v>587</v>
      </c>
      <c r="C463" t="s">
        <v>20</v>
      </c>
      <c r="D463">
        <v>1.1079766303749267E-2</v>
      </c>
      <c r="E463" t="s">
        <v>6</v>
      </c>
      <c r="G463" t="s">
        <v>588</v>
      </c>
      <c r="H463" t="s">
        <v>20</v>
      </c>
      <c r="I463">
        <v>2.1339304675351948E-2</v>
      </c>
      <c r="J463" t="s">
        <v>6</v>
      </c>
      <c r="L463" t="s">
        <v>589</v>
      </c>
      <c r="M463" t="s">
        <v>20</v>
      </c>
      <c r="N463">
        <v>3.0981405185456463E-2</v>
      </c>
      <c r="O463" t="s">
        <v>6</v>
      </c>
    </row>
    <row r="464" spans="2:15" x14ac:dyDescent="0.45">
      <c r="B464" t="s">
        <v>587</v>
      </c>
      <c r="C464" t="s">
        <v>21</v>
      </c>
      <c r="D464">
        <v>4.3902169479437085E-2</v>
      </c>
      <c r="E464" t="s">
        <v>6</v>
      </c>
      <c r="G464" t="s">
        <v>588</v>
      </c>
      <c r="H464" t="s">
        <v>21</v>
      </c>
      <c r="I464">
        <v>2.2951399705131451E-2</v>
      </c>
      <c r="J464" t="s">
        <v>6</v>
      </c>
      <c r="L464" t="s">
        <v>589</v>
      </c>
      <c r="M464" t="s">
        <v>21</v>
      </c>
      <c r="N464">
        <v>3.2734539798629517E-2</v>
      </c>
      <c r="O464" t="s">
        <v>6</v>
      </c>
    </row>
    <row r="465" spans="2:15" x14ac:dyDescent="0.45">
      <c r="B465" t="s">
        <v>587</v>
      </c>
      <c r="C465" t="s">
        <v>22</v>
      </c>
      <c r="D465">
        <v>6.7810686742121956E-2</v>
      </c>
      <c r="E465" t="s">
        <v>6</v>
      </c>
      <c r="G465" t="s">
        <v>588</v>
      </c>
      <c r="H465" t="s">
        <v>22</v>
      </c>
      <c r="I465">
        <v>2.4870744881945381E-2</v>
      </c>
      <c r="J465" t="s">
        <v>6</v>
      </c>
      <c r="L465" t="s">
        <v>589</v>
      </c>
      <c r="M465" t="s">
        <v>22</v>
      </c>
      <c r="N465">
        <v>3.132825362796577E-2</v>
      </c>
      <c r="O465" t="s">
        <v>6</v>
      </c>
    </row>
    <row r="466" spans="2:15" x14ac:dyDescent="0.45">
      <c r="B466" t="s">
        <v>587</v>
      </c>
      <c r="C466" t="s">
        <v>23</v>
      </c>
      <c r="D466">
        <v>6.9871111880922043E-2</v>
      </c>
      <c r="E466" t="s">
        <v>6</v>
      </c>
      <c r="G466" t="s">
        <v>588</v>
      </c>
      <c r="H466" t="s">
        <v>23</v>
      </c>
      <c r="I466">
        <v>3.0493238835646759E-2</v>
      </c>
      <c r="J466" t="s">
        <v>6</v>
      </c>
      <c r="L466" t="s">
        <v>589</v>
      </c>
      <c r="M466" t="s">
        <v>23</v>
      </c>
      <c r="N466">
        <v>3.2404621381869711E-2</v>
      </c>
      <c r="O466" t="s">
        <v>6</v>
      </c>
    </row>
    <row r="467" spans="2:15" x14ac:dyDescent="0.45">
      <c r="B467" t="s">
        <v>587</v>
      </c>
      <c r="C467" t="s">
        <v>24</v>
      </c>
      <c r="D467">
        <v>5.2840514444335962E-2</v>
      </c>
      <c r="E467" t="s">
        <v>6</v>
      </c>
      <c r="G467" t="s">
        <v>588</v>
      </c>
      <c r="H467" t="s">
        <v>24</v>
      </c>
      <c r="I467">
        <v>3.2166568085461145E-2</v>
      </c>
      <c r="J467" t="s">
        <v>6</v>
      </c>
      <c r="L467" t="s">
        <v>589</v>
      </c>
      <c r="M467" t="s">
        <v>24</v>
      </c>
      <c r="N467">
        <v>3.3880458848136501E-2</v>
      </c>
      <c r="O467" t="s">
        <v>6</v>
      </c>
    </row>
    <row r="468" spans="2:15" x14ac:dyDescent="0.45">
      <c r="B468" t="s">
        <v>587</v>
      </c>
      <c r="C468" t="s">
        <v>25</v>
      </c>
      <c r="D468">
        <v>2.3394191288417476E-2</v>
      </c>
      <c r="E468" t="s">
        <v>6</v>
      </c>
      <c r="G468" t="s">
        <v>588</v>
      </c>
      <c r="H468" t="s">
        <v>25</v>
      </c>
      <c r="I468">
        <v>2.9884279355772866E-2</v>
      </c>
      <c r="J468" t="s">
        <v>6</v>
      </c>
      <c r="L468" t="s">
        <v>589</v>
      </c>
      <c r="M468" t="s">
        <v>25</v>
      </c>
      <c r="N468">
        <v>3.4837400819106711E-2</v>
      </c>
      <c r="O468" t="s">
        <v>6</v>
      </c>
    </row>
    <row r="469" spans="2:15" x14ac:dyDescent="0.45">
      <c r="B469" t="s">
        <v>587</v>
      </c>
      <c r="C469" t="s">
        <v>26</v>
      </c>
      <c r="D469">
        <v>1.3789151286840394E-3</v>
      </c>
      <c r="E469" t="s">
        <v>6</v>
      </c>
      <c r="G469" t="s">
        <v>588</v>
      </c>
      <c r="H469" t="s">
        <v>26</v>
      </c>
      <c r="I469">
        <v>2.587703988601836E-2</v>
      </c>
      <c r="J469" t="s">
        <v>6</v>
      </c>
      <c r="L469" t="s">
        <v>589</v>
      </c>
      <c r="M469" t="s">
        <v>26</v>
      </c>
      <c r="N469">
        <v>3.4622751890600774E-2</v>
      </c>
      <c r="O469" t="s">
        <v>6</v>
      </c>
    </row>
    <row r="470" spans="2:15" x14ac:dyDescent="0.45">
      <c r="B470" t="s">
        <v>587</v>
      </c>
      <c r="C470" t="s">
        <v>27</v>
      </c>
      <c r="D470">
        <v>0</v>
      </c>
      <c r="E470" t="s">
        <v>6</v>
      </c>
      <c r="G470" t="s">
        <v>588</v>
      </c>
      <c r="H470" t="s">
        <v>27</v>
      </c>
      <c r="I470">
        <v>3.4666446163897961E-2</v>
      </c>
      <c r="J470" t="s">
        <v>6</v>
      </c>
      <c r="L470" t="s">
        <v>589</v>
      </c>
      <c r="M470" t="s">
        <v>27</v>
      </c>
      <c r="N470">
        <v>5.0484796872511173E-2</v>
      </c>
      <c r="O470" t="s">
        <v>6</v>
      </c>
    </row>
    <row r="471" spans="2:15" x14ac:dyDescent="0.45">
      <c r="B471" t="s">
        <v>587</v>
      </c>
      <c r="C471" t="s">
        <v>28</v>
      </c>
      <c r="D471">
        <v>0</v>
      </c>
      <c r="E471" t="s">
        <v>6</v>
      </c>
      <c r="G471" t="s">
        <v>588</v>
      </c>
      <c r="H471" t="s">
        <v>28</v>
      </c>
      <c r="I471">
        <v>3.2335717195327678E-2</v>
      </c>
      <c r="J471" t="s">
        <v>6</v>
      </c>
      <c r="L471" t="s">
        <v>589</v>
      </c>
      <c r="M471" t="s">
        <v>28</v>
      </c>
      <c r="N471">
        <v>1.8043336169860657E-2</v>
      </c>
      <c r="O471" t="s">
        <v>6</v>
      </c>
    </row>
    <row r="472" spans="2:15" x14ac:dyDescent="0.45">
      <c r="B472" t="s">
        <v>587</v>
      </c>
      <c r="C472" t="s">
        <v>29</v>
      </c>
      <c r="D472">
        <v>7.1809237679843201E-4</v>
      </c>
      <c r="E472" t="s">
        <v>6</v>
      </c>
      <c r="G472" t="s">
        <v>588</v>
      </c>
      <c r="H472" t="s">
        <v>29</v>
      </c>
      <c r="I472">
        <v>1.324323759352339E-2</v>
      </c>
      <c r="J472" t="s">
        <v>6</v>
      </c>
      <c r="L472" t="s">
        <v>589</v>
      </c>
      <c r="M472" t="s">
        <v>29</v>
      </c>
      <c r="N472">
        <v>5.5681846922119409E-3</v>
      </c>
      <c r="O472" t="s">
        <v>6</v>
      </c>
    </row>
    <row r="473" spans="2:15" x14ac:dyDescent="0.45">
      <c r="B473" t="s">
        <v>587</v>
      </c>
      <c r="C473" t="s">
        <v>30</v>
      </c>
      <c r="D473">
        <v>1.7956401290432439E-2</v>
      </c>
      <c r="E473" t="s">
        <v>6</v>
      </c>
      <c r="G473" t="s">
        <v>588</v>
      </c>
      <c r="H473" t="s">
        <v>30</v>
      </c>
      <c r="I473">
        <v>1.3195884204288088E-2</v>
      </c>
      <c r="J473" t="s">
        <v>6</v>
      </c>
      <c r="L473" t="s">
        <v>589</v>
      </c>
      <c r="M473" t="s">
        <v>30</v>
      </c>
      <c r="N473">
        <v>5.3587041319628683E-3</v>
      </c>
      <c r="O473" t="s">
        <v>6</v>
      </c>
    </row>
    <row r="474" spans="2:15" x14ac:dyDescent="0.45">
      <c r="B474" t="s">
        <v>587</v>
      </c>
      <c r="C474" t="s">
        <v>31</v>
      </c>
      <c r="D474">
        <v>5.6095110767430845E-2</v>
      </c>
      <c r="E474" t="s">
        <v>6</v>
      </c>
      <c r="G474" t="s">
        <v>588</v>
      </c>
      <c r="H474" t="s">
        <v>31</v>
      </c>
      <c r="I474">
        <v>1.4930621644119648E-2</v>
      </c>
      <c r="J474" t="s">
        <v>6</v>
      </c>
      <c r="L474" t="s">
        <v>589</v>
      </c>
      <c r="M474" t="s">
        <v>31</v>
      </c>
      <c r="N474">
        <v>5.7009374929152768E-3</v>
      </c>
      <c r="O474" t="s">
        <v>6</v>
      </c>
    </row>
    <row r="475" spans="2:15" x14ac:dyDescent="0.45">
      <c r="B475" t="s">
        <v>587</v>
      </c>
      <c r="C475" t="s">
        <v>32</v>
      </c>
      <c r="D475">
        <v>8.1407274259958487E-2</v>
      </c>
      <c r="E475" t="s">
        <v>6</v>
      </c>
      <c r="G475" t="s">
        <v>588</v>
      </c>
      <c r="H475" t="s">
        <v>32</v>
      </c>
      <c r="I475">
        <v>1.5203335780808087E-2</v>
      </c>
      <c r="J475" t="s">
        <v>6</v>
      </c>
      <c r="L475" t="s">
        <v>589</v>
      </c>
      <c r="M475" t="s">
        <v>32</v>
      </c>
      <c r="N475">
        <v>7.0504921008523631E-3</v>
      </c>
      <c r="O475" t="s">
        <v>6</v>
      </c>
    </row>
    <row r="476" spans="2:15" x14ac:dyDescent="0.45">
      <c r="B476" t="s">
        <v>587</v>
      </c>
      <c r="C476" t="s">
        <v>33</v>
      </c>
      <c r="D476">
        <v>8.4912944820973238E-2</v>
      </c>
      <c r="E476" t="s">
        <v>6</v>
      </c>
      <c r="G476" t="s">
        <v>588</v>
      </c>
      <c r="H476" t="s">
        <v>33</v>
      </c>
      <c r="I476">
        <v>1.7893151389349302E-2</v>
      </c>
      <c r="J476" t="s">
        <v>6</v>
      </c>
      <c r="L476" t="s">
        <v>589</v>
      </c>
      <c r="M476" t="s">
        <v>33</v>
      </c>
      <c r="N476">
        <v>1.1111957450245069E-2</v>
      </c>
      <c r="O476" t="s">
        <v>6</v>
      </c>
    </row>
    <row r="477" spans="2:15" x14ac:dyDescent="0.45">
      <c r="B477" t="s">
        <v>587</v>
      </c>
      <c r="C477" t="s">
        <v>34</v>
      </c>
      <c r="D477">
        <v>6.7094486740957859E-2</v>
      </c>
      <c r="E477" t="s">
        <v>6</v>
      </c>
      <c r="G477" t="s">
        <v>588</v>
      </c>
      <c r="H477" t="s">
        <v>34</v>
      </c>
      <c r="I477">
        <v>1.8017034766007682E-2</v>
      </c>
      <c r="J477" t="s">
        <v>6</v>
      </c>
      <c r="L477" t="s">
        <v>589</v>
      </c>
      <c r="M477" t="s">
        <v>34</v>
      </c>
      <c r="N477">
        <v>1.4188507305152047E-2</v>
      </c>
      <c r="O477" t="s">
        <v>6</v>
      </c>
    </row>
    <row r="478" spans="2:15" x14ac:dyDescent="0.45">
      <c r="B478" t="s">
        <v>587</v>
      </c>
      <c r="C478" t="s">
        <v>35</v>
      </c>
      <c r="D478">
        <v>3.2677740507099984E-2</v>
      </c>
      <c r="E478" t="s">
        <v>6</v>
      </c>
      <c r="G478" t="s">
        <v>588</v>
      </c>
      <c r="H478" t="s">
        <v>35</v>
      </c>
      <c r="I478">
        <v>1.5115146384489866E-2</v>
      </c>
      <c r="J478" t="s">
        <v>6</v>
      </c>
      <c r="L478" t="s">
        <v>589</v>
      </c>
      <c r="M478" t="s">
        <v>35</v>
      </c>
      <c r="N478">
        <v>1.4559632037081806E-2</v>
      </c>
      <c r="O478" t="s">
        <v>6</v>
      </c>
    </row>
    <row r="479" spans="2:15" x14ac:dyDescent="0.45">
      <c r="B479" t="s">
        <v>587</v>
      </c>
      <c r="C479" t="s">
        <v>36</v>
      </c>
      <c r="D479">
        <v>4.1089612028875752E-3</v>
      </c>
      <c r="E479" t="s">
        <v>6</v>
      </c>
      <c r="G479" t="s">
        <v>588</v>
      </c>
      <c r="H479" t="s">
        <v>36</v>
      </c>
      <c r="I479">
        <v>1.2068712203689566E-2</v>
      </c>
      <c r="J479" t="s">
        <v>6</v>
      </c>
      <c r="L479" t="s">
        <v>589</v>
      </c>
      <c r="M479" t="s">
        <v>36</v>
      </c>
      <c r="N479">
        <v>1.2703360151096996E-2</v>
      </c>
      <c r="O479" t="s">
        <v>6</v>
      </c>
    </row>
    <row r="480" spans="2:15" x14ac:dyDescent="0.45">
      <c r="B480" t="s">
        <v>587</v>
      </c>
      <c r="C480" t="s">
        <v>37</v>
      </c>
      <c r="D480">
        <v>0</v>
      </c>
      <c r="E480" t="s">
        <v>6</v>
      </c>
      <c r="G480" t="s">
        <v>588</v>
      </c>
      <c r="H480" t="s">
        <v>37</v>
      </c>
      <c r="I480">
        <v>1.7521412861426406E-2</v>
      </c>
      <c r="J480" t="s">
        <v>6</v>
      </c>
      <c r="L480" t="s">
        <v>589</v>
      </c>
      <c r="M480" t="s">
        <v>37</v>
      </c>
      <c r="N480">
        <v>1.4302594265303909E-2</v>
      </c>
      <c r="O480" t="s">
        <v>6</v>
      </c>
    </row>
    <row r="481" spans="2:15" x14ac:dyDescent="0.45">
      <c r="B481" t="s">
        <v>587</v>
      </c>
      <c r="C481" t="s">
        <v>38</v>
      </c>
      <c r="D481">
        <v>0</v>
      </c>
      <c r="E481" t="s">
        <v>6</v>
      </c>
      <c r="G481" t="s">
        <v>588</v>
      </c>
      <c r="H481" t="s">
        <v>38</v>
      </c>
      <c r="I481">
        <v>4.3984375964595299E-2</v>
      </c>
      <c r="J481" t="s">
        <v>6</v>
      </c>
      <c r="L481" t="s">
        <v>589</v>
      </c>
      <c r="M481" t="s">
        <v>38</v>
      </c>
      <c r="N481">
        <v>4.5324763193280999E-2</v>
      </c>
      <c r="O481" t="s">
        <v>6</v>
      </c>
    </row>
    <row r="482" spans="2:15" x14ac:dyDescent="0.45">
      <c r="B482" t="s">
        <v>587</v>
      </c>
      <c r="C482" t="s">
        <v>39</v>
      </c>
      <c r="D482">
        <v>0</v>
      </c>
      <c r="E482" t="s">
        <v>6</v>
      </c>
      <c r="G482" t="s">
        <v>588</v>
      </c>
      <c r="H482" t="s">
        <v>39</v>
      </c>
      <c r="I482">
        <v>1.6395071431433688E-2</v>
      </c>
      <c r="J482" t="s">
        <v>6</v>
      </c>
      <c r="L482" t="s">
        <v>589</v>
      </c>
      <c r="M482" t="s">
        <v>39</v>
      </c>
      <c r="N482">
        <v>1.8318104112704698E-2</v>
      </c>
      <c r="O482" t="s">
        <v>6</v>
      </c>
    </row>
    <row r="483" spans="2:15" x14ac:dyDescent="0.45">
      <c r="B483" t="s">
        <v>587</v>
      </c>
      <c r="C483" t="s">
        <v>40</v>
      </c>
      <c r="D483">
        <v>4.1951294260746909E-3</v>
      </c>
      <c r="E483" t="s">
        <v>6</v>
      </c>
      <c r="G483" t="s">
        <v>588</v>
      </c>
      <c r="H483" t="s">
        <v>40</v>
      </c>
      <c r="I483">
        <v>1.5909614146707947E-2</v>
      </c>
      <c r="J483" t="s">
        <v>6</v>
      </c>
      <c r="L483" t="s">
        <v>589</v>
      </c>
      <c r="M483" t="s">
        <v>40</v>
      </c>
      <c r="N483">
        <v>1.8424756002295865E-2</v>
      </c>
      <c r="O483" t="s">
        <v>6</v>
      </c>
    </row>
    <row r="484" spans="2:15" x14ac:dyDescent="0.45">
      <c r="B484" t="s">
        <v>587</v>
      </c>
      <c r="C484" t="s">
        <v>41</v>
      </c>
      <c r="D484">
        <v>3.0096768579559105E-2</v>
      </c>
      <c r="E484" t="s">
        <v>6</v>
      </c>
      <c r="G484" t="s">
        <v>588</v>
      </c>
      <c r="H484" t="s">
        <v>41</v>
      </c>
      <c r="I484">
        <v>1.6211112187989627E-2</v>
      </c>
      <c r="J484" t="s">
        <v>6</v>
      </c>
      <c r="L484" t="s">
        <v>589</v>
      </c>
      <c r="M484" t="s">
        <v>41</v>
      </c>
      <c r="N484">
        <v>1.9225558164264578E-2</v>
      </c>
      <c r="O484" t="s">
        <v>6</v>
      </c>
    </row>
    <row r="485" spans="2:15" x14ac:dyDescent="0.45">
      <c r="B485" t="s">
        <v>587</v>
      </c>
      <c r="C485" t="s">
        <v>42</v>
      </c>
      <c r="D485">
        <v>5.4379096873053666E-2</v>
      </c>
      <c r="E485" t="s">
        <v>6</v>
      </c>
      <c r="G485" t="s">
        <v>588</v>
      </c>
      <c r="H485" t="s">
        <v>42</v>
      </c>
      <c r="I485">
        <v>1.8559483264123426E-2</v>
      </c>
      <c r="J485" t="s">
        <v>6</v>
      </c>
      <c r="L485" t="s">
        <v>589</v>
      </c>
      <c r="M485" t="s">
        <v>42</v>
      </c>
      <c r="N485">
        <v>1.9513352091776782E-2</v>
      </c>
      <c r="O485" t="s">
        <v>6</v>
      </c>
    </row>
    <row r="486" spans="2:15" x14ac:dyDescent="0.45">
      <c r="B486" t="s">
        <v>587</v>
      </c>
      <c r="C486" t="s">
        <v>43</v>
      </c>
      <c r="D486">
        <v>5.6560521701895738E-2</v>
      </c>
      <c r="E486" t="s">
        <v>6</v>
      </c>
      <c r="G486" t="s">
        <v>588</v>
      </c>
      <c r="H486" t="s">
        <v>43</v>
      </c>
      <c r="I486">
        <v>2.2629351239079463E-2</v>
      </c>
      <c r="J486" t="s">
        <v>6</v>
      </c>
      <c r="L486" t="s">
        <v>589</v>
      </c>
      <c r="M486" t="s">
        <v>43</v>
      </c>
      <c r="N486">
        <v>2.013480410001528E-2</v>
      </c>
      <c r="O486" t="s">
        <v>6</v>
      </c>
    </row>
    <row r="487" spans="2:15" x14ac:dyDescent="0.45">
      <c r="B487" t="s">
        <v>587</v>
      </c>
      <c r="C487" t="s">
        <v>44</v>
      </c>
      <c r="D487">
        <v>3.8185550111654858E-2</v>
      </c>
      <c r="E487" t="s">
        <v>6</v>
      </c>
      <c r="G487" t="s">
        <v>588</v>
      </c>
      <c r="H487" t="s">
        <v>44</v>
      </c>
      <c r="I487">
        <v>2.3547058126918964E-2</v>
      </c>
      <c r="J487" t="s">
        <v>6</v>
      </c>
      <c r="L487" t="s">
        <v>589</v>
      </c>
      <c r="M487" t="s">
        <v>44</v>
      </c>
      <c r="N487">
        <v>2.0963493576592895E-2</v>
      </c>
      <c r="O487" t="s">
        <v>6</v>
      </c>
    </row>
    <row r="488" spans="2:15" x14ac:dyDescent="0.45">
      <c r="B488" t="s">
        <v>587</v>
      </c>
      <c r="C488" t="s">
        <v>45</v>
      </c>
      <c r="D488">
        <v>1.0113322560031269E-2</v>
      </c>
      <c r="E488" t="s">
        <v>6</v>
      </c>
      <c r="G488" t="s">
        <v>588</v>
      </c>
      <c r="H488" t="s">
        <v>45</v>
      </c>
      <c r="I488">
        <v>2.18177090637603E-2</v>
      </c>
      <c r="J488" t="s">
        <v>6</v>
      </c>
      <c r="L488" t="s">
        <v>589</v>
      </c>
      <c r="M488" t="s">
        <v>45</v>
      </c>
      <c r="N488">
        <v>2.1072990331456817E-2</v>
      </c>
      <c r="O488" t="s">
        <v>6</v>
      </c>
    </row>
    <row r="489" spans="2:15" x14ac:dyDescent="0.45">
      <c r="B489" t="s">
        <v>587</v>
      </c>
      <c r="C489" t="s">
        <v>46</v>
      </c>
      <c r="D489">
        <v>4.432168385049002E-5</v>
      </c>
      <c r="E489" t="s">
        <v>6</v>
      </c>
      <c r="G489" t="s">
        <v>588</v>
      </c>
      <c r="H489" t="s">
        <v>46</v>
      </c>
      <c r="I489">
        <v>1.9141497350335313E-2</v>
      </c>
      <c r="J489" t="s">
        <v>6</v>
      </c>
      <c r="L489" t="s">
        <v>589</v>
      </c>
      <c r="M489" t="s">
        <v>46</v>
      </c>
      <c r="N489">
        <v>2.0950419159649486E-2</v>
      </c>
      <c r="O489" t="s">
        <v>6</v>
      </c>
    </row>
    <row r="490" spans="2:15" x14ac:dyDescent="0.45">
      <c r="B490" t="s">
        <v>587</v>
      </c>
      <c r="C490" t="s">
        <v>47</v>
      </c>
      <c r="D490">
        <v>0</v>
      </c>
      <c r="E490" t="s">
        <v>6</v>
      </c>
      <c r="G490" t="s">
        <v>588</v>
      </c>
      <c r="H490" t="s">
        <v>47</v>
      </c>
      <c r="I490">
        <v>2.6775088651572927E-2</v>
      </c>
      <c r="J490" t="s">
        <v>6</v>
      </c>
      <c r="L490" t="s">
        <v>589</v>
      </c>
      <c r="M490" t="s">
        <v>47</v>
      </c>
      <c r="N490">
        <v>3.1162648842575708E-2</v>
      </c>
      <c r="O490" t="s">
        <v>6</v>
      </c>
    </row>
    <row r="491" spans="2:15" x14ac:dyDescent="0.45">
      <c r="B491" t="s">
        <v>590</v>
      </c>
      <c r="C491" t="s">
        <v>5</v>
      </c>
      <c r="D491">
        <v>0</v>
      </c>
      <c r="E491" t="s">
        <v>6</v>
      </c>
      <c r="G491" t="s">
        <v>591</v>
      </c>
      <c r="H491" t="s">
        <v>5</v>
      </c>
      <c r="I491">
        <v>5.9495104516505339E-2</v>
      </c>
      <c r="J491" t="s">
        <v>6</v>
      </c>
      <c r="L491" t="s">
        <v>592</v>
      </c>
      <c r="M491" t="s">
        <v>5</v>
      </c>
      <c r="N491">
        <v>6.2976527660704981E-2</v>
      </c>
      <c r="O491" t="s">
        <v>6</v>
      </c>
    </row>
    <row r="492" spans="2:15" x14ac:dyDescent="0.45">
      <c r="B492" t="s">
        <v>590</v>
      </c>
      <c r="C492" t="s">
        <v>9</v>
      </c>
      <c r="D492">
        <v>0</v>
      </c>
      <c r="E492" t="s">
        <v>6</v>
      </c>
      <c r="G492" t="s">
        <v>591</v>
      </c>
      <c r="H492" t="s">
        <v>9</v>
      </c>
      <c r="I492">
        <v>2.4061820230922449E-2</v>
      </c>
      <c r="J492" t="s">
        <v>6</v>
      </c>
      <c r="L492" t="s">
        <v>592</v>
      </c>
      <c r="M492" t="s">
        <v>9</v>
      </c>
      <c r="N492">
        <v>2.2594801465742914E-2</v>
      </c>
      <c r="O492" t="s">
        <v>6</v>
      </c>
    </row>
    <row r="493" spans="2:15" x14ac:dyDescent="0.45">
      <c r="B493" t="s">
        <v>590</v>
      </c>
      <c r="C493" t="s">
        <v>10</v>
      </c>
      <c r="D493">
        <v>1.9328540019622901E-4</v>
      </c>
      <c r="E493" t="s">
        <v>6</v>
      </c>
      <c r="G493" t="s">
        <v>591</v>
      </c>
      <c r="H493" t="s">
        <v>10</v>
      </c>
      <c r="I493">
        <v>2.2690063370248783E-2</v>
      </c>
      <c r="J493" t="s">
        <v>6</v>
      </c>
      <c r="L493" t="s">
        <v>592</v>
      </c>
      <c r="M493" t="s">
        <v>10</v>
      </c>
      <c r="N493">
        <v>2.144197456732002E-2</v>
      </c>
      <c r="O493" t="s">
        <v>6</v>
      </c>
    </row>
    <row r="494" spans="2:15" x14ac:dyDescent="0.45">
      <c r="B494" t="s">
        <v>590</v>
      </c>
      <c r="C494" t="s">
        <v>11</v>
      </c>
      <c r="D494">
        <v>2.0070114557809101E-2</v>
      </c>
      <c r="E494" t="s">
        <v>6</v>
      </c>
      <c r="G494" t="s">
        <v>591</v>
      </c>
      <c r="H494" t="s">
        <v>11</v>
      </c>
      <c r="I494">
        <v>2.0905507808434743E-2</v>
      </c>
      <c r="J494" t="s">
        <v>6</v>
      </c>
      <c r="L494" t="s">
        <v>592</v>
      </c>
      <c r="M494" t="s">
        <v>11</v>
      </c>
      <c r="N494">
        <v>2.2725640494645215E-2</v>
      </c>
      <c r="O494" t="s">
        <v>6</v>
      </c>
    </row>
    <row r="495" spans="2:15" x14ac:dyDescent="0.45">
      <c r="B495" t="s">
        <v>590</v>
      </c>
      <c r="C495" t="s">
        <v>12</v>
      </c>
      <c r="D495">
        <v>4.9365392696424273E-2</v>
      </c>
      <c r="E495" t="s">
        <v>6</v>
      </c>
      <c r="G495" t="s">
        <v>591</v>
      </c>
      <c r="H495" t="s">
        <v>12</v>
      </c>
      <c r="I495">
        <v>2.5688409379381348E-2</v>
      </c>
      <c r="J495" t="s">
        <v>6</v>
      </c>
      <c r="L495" t="s">
        <v>592</v>
      </c>
      <c r="M495" t="s">
        <v>12</v>
      </c>
      <c r="N495">
        <v>2.4229226340323477E-2</v>
      </c>
      <c r="O495" t="s">
        <v>6</v>
      </c>
    </row>
    <row r="496" spans="2:15" x14ac:dyDescent="0.45">
      <c r="B496" t="s">
        <v>590</v>
      </c>
      <c r="C496" t="s">
        <v>13</v>
      </c>
      <c r="D496">
        <v>5.758392181548911E-2</v>
      </c>
      <c r="E496" t="s">
        <v>6</v>
      </c>
      <c r="G496" t="s">
        <v>591</v>
      </c>
      <c r="H496" t="s">
        <v>13</v>
      </c>
      <c r="I496">
        <v>3.0192904850338879E-2</v>
      </c>
      <c r="J496" t="s">
        <v>6</v>
      </c>
      <c r="L496" t="s">
        <v>592</v>
      </c>
      <c r="M496" t="s">
        <v>13</v>
      </c>
      <c r="N496">
        <v>2.6811047933172075E-2</v>
      </c>
      <c r="O496" t="s">
        <v>6</v>
      </c>
    </row>
    <row r="497" spans="2:15" x14ac:dyDescent="0.45">
      <c r="B497" t="s">
        <v>590</v>
      </c>
      <c r="C497" t="s">
        <v>14</v>
      </c>
      <c r="D497">
        <v>3.912325694362509E-2</v>
      </c>
      <c r="E497" t="s">
        <v>6</v>
      </c>
      <c r="G497" t="s">
        <v>591</v>
      </c>
      <c r="H497" t="s">
        <v>14</v>
      </c>
      <c r="I497">
        <v>2.6758597321216358E-2</v>
      </c>
      <c r="J497" t="s">
        <v>6</v>
      </c>
      <c r="L497" t="s">
        <v>592</v>
      </c>
      <c r="M497" t="s">
        <v>14</v>
      </c>
      <c r="N497">
        <v>2.693976371288135E-2</v>
      </c>
      <c r="O497" t="s">
        <v>6</v>
      </c>
    </row>
    <row r="498" spans="2:15" x14ac:dyDescent="0.45">
      <c r="B498" t="s">
        <v>590</v>
      </c>
      <c r="C498" t="s">
        <v>15</v>
      </c>
      <c r="D498">
        <v>7.4565932543926511E-3</v>
      </c>
      <c r="E498" t="s">
        <v>6</v>
      </c>
      <c r="G498" t="s">
        <v>591</v>
      </c>
      <c r="H498" t="s">
        <v>15</v>
      </c>
      <c r="I498">
        <v>2.4729607164044241E-2</v>
      </c>
      <c r="J498" t="s">
        <v>6</v>
      </c>
      <c r="L498" t="s">
        <v>592</v>
      </c>
      <c r="M498" t="s">
        <v>15</v>
      </c>
      <c r="N498">
        <v>2.5789255096518283E-2</v>
      </c>
      <c r="O498" t="s">
        <v>6</v>
      </c>
    </row>
    <row r="499" spans="2:15" x14ac:dyDescent="0.45">
      <c r="B499" t="s">
        <v>590</v>
      </c>
      <c r="C499" t="s">
        <v>16</v>
      </c>
      <c r="D499">
        <v>0</v>
      </c>
      <c r="E499" t="s">
        <v>6</v>
      </c>
      <c r="G499" t="s">
        <v>591</v>
      </c>
      <c r="H499" t="s">
        <v>16</v>
      </c>
      <c r="I499">
        <v>2.3495438215602658E-2</v>
      </c>
      <c r="J499" t="s">
        <v>6</v>
      </c>
      <c r="L499" t="s">
        <v>592</v>
      </c>
      <c r="M499" t="s">
        <v>16</v>
      </c>
      <c r="N499">
        <v>2.5565901978124268E-2</v>
      </c>
      <c r="O499" t="s">
        <v>6</v>
      </c>
    </row>
    <row r="500" spans="2:15" x14ac:dyDescent="0.45">
      <c r="B500" t="s">
        <v>590</v>
      </c>
      <c r="C500" t="s">
        <v>17</v>
      </c>
      <c r="D500">
        <v>0</v>
      </c>
      <c r="E500" t="s">
        <v>6</v>
      </c>
      <c r="G500" t="s">
        <v>591</v>
      </c>
      <c r="H500" t="s">
        <v>17</v>
      </c>
      <c r="I500">
        <v>3.4198305039376486E-2</v>
      </c>
      <c r="J500" t="s">
        <v>6</v>
      </c>
      <c r="L500" t="s">
        <v>592</v>
      </c>
      <c r="M500" t="s">
        <v>17</v>
      </c>
      <c r="N500">
        <v>3.7686228758060991E-2</v>
      </c>
      <c r="O500" t="s">
        <v>6</v>
      </c>
    </row>
    <row r="501" spans="2:15" x14ac:dyDescent="0.45">
      <c r="B501" t="s">
        <v>590</v>
      </c>
      <c r="C501" t="s">
        <v>18</v>
      </c>
      <c r="D501">
        <v>0</v>
      </c>
      <c r="E501" t="s">
        <v>6</v>
      </c>
      <c r="G501" t="s">
        <v>591</v>
      </c>
      <c r="H501" t="s">
        <v>18</v>
      </c>
      <c r="I501">
        <v>5.4773067834367126E-2</v>
      </c>
      <c r="J501" t="s">
        <v>6</v>
      </c>
      <c r="L501" t="s">
        <v>592</v>
      </c>
      <c r="M501" t="s">
        <v>18</v>
      </c>
      <c r="N501">
        <v>8.020308448538796E-2</v>
      </c>
      <c r="O501" t="s">
        <v>6</v>
      </c>
    </row>
    <row r="502" spans="2:15" x14ac:dyDescent="0.45">
      <c r="B502" t="s">
        <v>590</v>
      </c>
      <c r="C502" t="s">
        <v>19</v>
      </c>
      <c r="D502">
        <v>2.0947944041129469E-4</v>
      </c>
      <c r="E502" t="s">
        <v>6</v>
      </c>
      <c r="G502" t="s">
        <v>591</v>
      </c>
      <c r="H502" t="s">
        <v>19</v>
      </c>
      <c r="I502">
        <v>2.1984305947977168E-2</v>
      </c>
      <c r="J502" t="s">
        <v>6</v>
      </c>
      <c r="L502" t="s">
        <v>592</v>
      </c>
      <c r="M502" t="s">
        <v>19</v>
      </c>
      <c r="N502">
        <v>3.046009525543179E-2</v>
      </c>
      <c r="O502" t="s">
        <v>6</v>
      </c>
    </row>
    <row r="503" spans="2:15" x14ac:dyDescent="0.45">
      <c r="B503" t="s">
        <v>590</v>
      </c>
      <c r="C503" t="s">
        <v>20</v>
      </c>
      <c r="D503">
        <v>1.1034258211688977E-2</v>
      </c>
      <c r="E503" t="s">
        <v>6</v>
      </c>
      <c r="G503" t="s">
        <v>591</v>
      </c>
      <c r="H503" t="s">
        <v>20</v>
      </c>
      <c r="I503">
        <v>2.3270468825900212E-2</v>
      </c>
      <c r="J503" t="s">
        <v>6</v>
      </c>
      <c r="L503" t="s">
        <v>592</v>
      </c>
      <c r="M503" t="s">
        <v>20</v>
      </c>
      <c r="N503">
        <v>3.0031700298692093E-2</v>
      </c>
      <c r="O503" t="s">
        <v>6</v>
      </c>
    </row>
    <row r="504" spans="2:15" x14ac:dyDescent="0.45">
      <c r="B504" t="s">
        <v>590</v>
      </c>
      <c r="C504" t="s">
        <v>21</v>
      </c>
      <c r="D504">
        <v>4.3888649571047593E-2</v>
      </c>
      <c r="E504" t="s">
        <v>6</v>
      </c>
      <c r="G504" t="s">
        <v>591</v>
      </c>
      <c r="H504" t="s">
        <v>21</v>
      </c>
      <c r="I504">
        <v>3.1481778599679502E-2</v>
      </c>
      <c r="J504" t="s">
        <v>6</v>
      </c>
      <c r="L504" t="s">
        <v>592</v>
      </c>
      <c r="M504" t="s">
        <v>21</v>
      </c>
      <c r="N504">
        <v>3.0511860913403591E-2</v>
      </c>
      <c r="O504" t="s">
        <v>6</v>
      </c>
    </row>
    <row r="505" spans="2:15" x14ac:dyDescent="0.45">
      <c r="B505" t="s">
        <v>590</v>
      </c>
      <c r="C505" t="s">
        <v>22</v>
      </c>
      <c r="D505">
        <v>6.7145058160047247E-2</v>
      </c>
      <c r="E505" t="s">
        <v>6</v>
      </c>
      <c r="G505" t="s">
        <v>591</v>
      </c>
      <c r="H505" t="s">
        <v>22</v>
      </c>
      <c r="I505">
        <v>3.5932108534884585E-2</v>
      </c>
      <c r="J505" t="s">
        <v>6</v>
      </c>
      <c r="L505" t="s">
        <v>592</v>
      </c>
      <c r="M505" t="s">
        <v>22</v>
      </c>
      <c r="N505">
        <v>2.8659239810748714E-2</v>
      </c>
      <c r="O505" t="s">
        <v>6</v>
      </c>
    </row>
    <row r="506" spans="2:15" x14ac:dyDescent="0.45">
      <c r="B506" t="s">
        <v>590</v>
      </c>
      <c r="C506" t="s">
        <v>23</v>
      </c>
      <c r="D506">
        <v>6.8524813169689405E-2</v>
      </c>
      <c r="E506" t="s">
        <v>6</v>
      </c>
      <c r="G506" t="s">
        <v>591</v>
      </c>
      <c r="H506" t="s">
        <v>23</v>
      </c>
      <c r="I506">
        <v>4.1350993276649824E-2</v>
      </c>
      <c r="J506" t="s">
        <v>6</v>
      </c>
      <c r="L506" t="s">
        <v>592</v>
      </c>
      <c r="M506" t="s">
        <v>23</v>
      </c>
      <c r="N506">
        <v>3.0887266122621153E-2</v>
      </c>
      <c r="O506" t="s">
        <v>6</v>
      </c>
    </row>
    <row r="507" spans="2:15" x14ac:dyDescent="0.45">
      <c r="B507" t="s">
        <v>590</v>
      </c>
      <c r="C507" t="s">
        <v>24</v>
      </c>
      <c r="D507">
        <v>5.2852328345193142E-2</v>
      </c>
      <c r="E507" t="s">
        <v>6</v>
      </c>
      <c r="G507" t="s">
        <v>591</v>
      </c>
      <c r="H507" t="s">
        <v>24</v>
      </c>
      <c r="I507">
        <v>4.0060932026673803E-2</v>
      </c>
      <c r="J507" t="s">
        <v>6</v>
      </c>
      <c r="L507" t="s">
        <v>592</v>
      </c>
      <c r="M507" t="s">
        <v>24</v>
      </c>
      <c r="N507">
        <v>3.338890033263188E-2</v>
      </c>
      <c r="O507" t="s">
        <v>6</v>
      </c>
    </row>
    <row r="508" spans="2:15" x14ac:dyDescent="0.45">
      <c r="B508" t="s">
        <v>590</v>
      </c>
      <c r="C508" t="s">
        <v>25</v>
      </c>
      <c r="D508">
        <v>2.3104479005819918E-2</v>
      </c>
      <c r="E508" t="s">
        <v>6</v>
      </c>
      <c r="G508" t="s">
        <v>591</v>
      </c>
      <c r="H508" t="s">
        <v>25</v>
      </c>
      <c r="I508">
        <v>3.3116225380125208E-2</v>
      </c>
      <c r="J508" t="s">
        <v>6</v>
      </c>
      <c r="L508" t="s">
        <v>592</v>
      </c>
      <c r="M508" t="s">
        <v>25</v>
      </c>
      <c r="N508">
        <v>3.5435988717225905E-2</v>
      </c>
      <c r="O508" t="s">
        <v>6</v>
      </c>
    </row>
    <row r="509" spans="2:15" x14ac:dyDescent="0.45">
      <c r="B509" t="s">
        <v>590</v>
      </c>
      <c r="C509" t="s">
        <v>26</v>
      </c>
      <c r="D509">
        <v>1.3383293689245401E-3</v>
      </c>
      <c r="E509" t="s">
        <v>6</v>
      </c>
      <c r="G509" t="s">
        <v>591</v>
      </c>
      <c r="H509" t="s">
        <v>26</v>
      </c>
      <c r="I509">
        <v>2.6968935966185374E-2</v>
      </c>
      <c r="J509" t="s">
        <v>6</v>
      </c>
      <c r="L509" t="s">
        <v>592</v>
      </c>
      <c r="M509" t="s">
        <v>26</v>
      </c>
      <c r="N509">
        <v>3.6265088822785146E-2</v>
      </c>
      <c r="O509" t="s">
        <v>6</v>
      </c>
    </row>
    <row r="510" spans="2:15" x14ac:dyDescent="0.45">
      <c r="B510" t="s">
        <v>590</v>
      </c>
      <c r="C510" t="s">
        <v>27</v>
      </c>
      <c r="D510">
        <v>0</v>
      </c>
      <c r="E510" t="s">
        <v>6</v>
      </c>
      <c r="G510" t="s">
        <v>591</v>
      </c>
      <c r="H510" t="s">
        <v>27</v>
      </c>
      <c r="I510">
        <v>3.5366954351720443E-2</v>
      </c>
      <c r="J510" t="s">
        <v>6</v>
      </c>
      <c r="L510" t="s">
        <v>592</v>
      </c>
      <c r="M510" t="s">
        <v>27</v>
      </c>
      <c r="N510">
        <v>5.2164336155978118E-2</v>
      </c>
      <c r="O510" t="s">
        <v>6</v>
      </c>
    </row>
    <row r="511" spans="2:15" x14ac:dyDescent="0.45">
      <c r="B511" t="s">
        <v>590</v>
      </c>
      <c r="C511" t="s">
        <v>28</v>
      </c>
      <c r="D511">
        <v>0</v>
      </c>
      <c r="E511" t="s">
        <v>6</v>
      </c>
      <c r="G511" t="s">
        <v>591</v>
      </c>
      <c r="H511" t="s">
        <v>28</v>
      </c>
      <c r="I511">
        <v>2.3463827382709752E-2</v>
      </c>
      <c r="J511" t="s">
        <v>6</v>
      </c>
      <c r="L511" t="s">
        <v>592</v>
      </c>
      <c r="M511" t="s">
        <v>28</v>
      </c>
      <c r="N511">
        <v>1.3744950210044087E-2</v>
      </c>
      <c r="O511" t="s">
        <v>6</v>
      </c>
    </row>
    <row r="512" spans="2:15" x14ac:dyDescent="0.45">
      <c r="B512" t="s">
        <v>590</v>
      </c>
      <c r="C512" t="s">
        <v>29</v>
      </c>
      <c r="D512">
        <v>6.7742350826002545E-4</v>
      </c>
      <c r="E512" t="s">
        <v>6</v>
      </c>
      <c r="G512" t="s">
        <v>591</v>
      </c>
      <c r="H512" t="s">
        <v>29</v>
      </c>
      <c r="I512">
        <v>9.3745469036730176E-3</v>
      </c>
      <c r="J512" t="s">
        <v>6</v>
      </c>
      <c r="L512" t="s">
        <v>592</v>
      </c>
      <c r="M512" t="s">
        <v>29</v>
      </c>
      <c r="N512">
        <v>5.2195192641657359E-3</v>
      </c>
      <c r="O512" t="s">
        <v>6</v>
      </c>
    </row>
    <row r="513" spans="2:15" x14ac:dyDescent="0.45">
      <c r="B513" t="s">
        <v>590</v>
      </c>
      <c r="C513" t="s">
        <v>30</v>
      </c>
      <c r="D513">
        <v>1.8582906870948872E-2</v>
      </c>
      <c r="E513" t="s">
        <v>6</v>
      </c>
      <c r="G513" t="s">
        <v>591</v>
      </c>
      <c r="H513" t="s">
        <v>30</v>
      </c>
      <c r="I513">
        <v>9.323174477383343E-3</v>
      </c>
      <c r="J513" t="s">
        <v>6</v>
      </c>
      <c r="L513" t="s">
        <v>592</v>
      </c>
      <c r="M513" t="s">
        <v>30</v>
      </c>
      <c r="N513">
        <v>4.9997581305620134E-3</v>
      </c>
      <c r="O513" t="s">
        <v>6</v>
      </c>
    </row>
    <row r="514" spans="2:15" x14ac:dyDescent="0.45">
      <c r="B514" t="s">
        <v>590</v>
      </c>
      <c r="C514" t="s">
        <v>31</v>
      </c>
      <c r="D514">
        <v>5.8738039182102568E-2</v>
      </c>
      <c r="E514" t="s">
        <v>6</v>
      </c>
      <c r="G514" t="s">
        <v>591</v>
      </c>
      <c r="H514" t="s">
        <v>31</v>
      </c>
      <c r="I514">
        <v>1.2435058384930052E-2</v>
      </c>
      <c r="J514" t="s">
        <v>6</v>
      </c>
      <c r="L514" t="s">
        <v>592</v>
      </c>
      <c r="M514" t="s">
        <v>31</v>
      </c>
      <c r="N514">
        <v>4.8702401694744879E-3</v>
      </c>
      <c r="O514" t="s">
        <v>6</v>
      </c>
    </row>
    <row r="515" spans="2:15" x14ac:dyDescent="0.45">
      <c r="B515" t="s">
        <v>590</v>
      </c>
      <c r="C515" t="s">
        <v>32</v>
      </c>
      <c r="D515">
        <v>8.5005632149596361E-2</v>
      </c>
      <c r="E515" t="s">
        <v>6</v>
      </c>
      <c r="G515" t="s">
        <v>591</v>
      </c>
      <c r="H515" t="s">
        <v>32</v>
      </c>
      <c r="I515">
        <v>1.2670619115730327E-2</v>
      </c>
      <c r="J515" t="s">
        <v>6</v>
      </c>
      <c r="L515" t="s">
        <v>592</v>
      </c>
      <c r="M515" t="s">
        <v>32</v>
      </c>
      <c r="N515">
        <v>4.4424782150637582E-3</v>
      </c>
      <c r="O515" t="s">
        <v>6</v>
      </c>
    </row>
    <row r="516" spans="2:15" x14ac:dyDescent="0.45">
      <c r="B516" t="s">
        <v>590</v>
      </c>
      <c r="C516" t="s">
        <v>33</v>
      </c>
      <c r="D516">
        <v>8.9544818281920402E-2</v>
      </c>
      <c r="E516" t="s">
        <v>6</v>
      </c>
      <c r="G516" t="s">
        <v>591</v>
      </c>
      <c r="H516" t="s">
        <v>33</v>
      </c>
      <c r="I516">
        <v>1.473793167632001E-2</v>
      </c>
      <c r="J516" t="s">
        <v>6</v>
      </c>
      <c r="L516" t="s">
        <v>592</v>
      </c>
      <c r="M516" t="s">
        <v>33</v>
      </c>
      <c r="N516">
        <v>7.6918688434515882E-3</v>
      </c>
      <c r="O516" t="s">
        <v>6</v>
      </c>
    </row>
    <row r="517" spans="2:15" x14ac:dyDescent="0.45">
      <c r="B517" t="s">
        <v>590</v>
      </c>
      <c r="C517" t="s">
        <v>34</v>
      </c>
      <c r="D517">
        <v>7.1112410613105678E-2</v>
      </c>
      <c r="E517" t="s">
        <v>6</v>
      </c>
      <c r="G517" t="s">
        <v>591</v>
      </c>
      <c r="H517" t="s">
        <v>34</v>
      </c>
      <c r="I517">
        <v>1.638348232073468E-2</v>
      </c>
      <c r="J517" t="s">
        <v>6</v>
      </c>
      <c r="L517" t="s">
        <v>592</v>
      </c>
      <c r="M517" t="s">
        <v>34</v>
      </c>
      <c r="N517">
        <v>1.2455315335695816E-2</v>
      </c>
      <c r="O517" t="s">
        <v>6</v>
      </c>
    </row>
    <row r="518" spans="2:15" x14ac:dyDescent="0.45">
      <c r="B518" t="s">
        <v>590</v>
      </c>
      <c r="C518" t="s">
        <v>35</v>
      </c>
      <c r="D518">
        <v>3.4620407553067209E-2</v>
      </c>
      <c r="E518" t="s">
        <v>6</v>
      </c>
      <c r="G518" t="s">
        <v>591</v>
      </c>
      <c r="H518" t="s">
        <v>35</v>
      </c>
      <c r="I518">
        <v>1.5357864464166536E-2</v>
      </c>
      <c r="J518" t="s">
        <v>6</v>
      </c>
      <c r="L518" t="s">
        <v>592</v>
      </c>
      <c r="M518" t="s">
        <v>35</v>
      </c>
      <c r="N518">
        <v>1.4553361485301661E-2</v>
      </c>
      <c r="O518" t="s">
        <v>6</v>
      </c>
    </row>
    <row r="519" spans="2:15" x14ac:dyDescent="0.45">
      <c r="B519" t="s">
        <v>590</v>
      </c>
      <c r="C519" t="s">
        <v>36</v>
      </c>
      <c r="D519">
        <v>4.0521618262524392E-3</v>
      </c>
      <c r="E519" t="s">
        <v>6</v>
      </c>
      <c r="G519" t="s">
        <v>591</v>
      </c>
      <c r="H519" t="s">
        <v>36</v>
      </c>
      <c r="I519">
        <v>1.1622482018229978E-2</v>
      </c>
      <c r="J519" t="s">
        <v>6</v>
      </c>
      <c r="L519" t="s">
        <v>592</v>
      </c>
      <c r="M519" t="s">
        <v>36</v>
      </c>
      <c r="N519">
        <v>1.3567273108588436E-2</v>
      </c>
      <c r="O519" t="s">
        <v>6</v>
      </c>
    </row>
    <row r="520" spans="2:15" x14ac:dyDescent="0.45">
      <c r="B520" t="s">
        <v>590</v>
      </c>
      <c r="C520" t="s">
        <v>37</v>
      </c>
      <c r="D520">
        <v>0</v>
      </c>
      <c r="E520" t="s">
        <v>6</v>
      </c>
      <c r="G520" t="s">
        <v>591</v>
      </c>
      <c r="H520" t="s">
        <v>37</v>
      </c>
      <c r="I520">
        <v>1.3347346345457067E-2</v>
      </c>
      <c r="J520" t="s">
        <v>6</v>
      </c>
      <c r="L520" t="s">
        <v>592</v>
      </c>
      <c r="M520" t="s">
        <v>37</v>
      </c>
      <c r="N520">
        <v>1.3378860248237943E-2</v>
      </c>
      <c r="O520" t="s">
        <v>6</v>
      </c>
    </row>
    <row r="521" spans="2:15" x14ac:dyDescent="0.45">
      <c r="B521" t="s">
        <v>590</v>
      </c>
      <c r="C521" t="s">
        <v>38</v>
      </c>
      <c r="D521">
        <v>0</v>
      </c>
      <c r="E521" t="s">
        <v>6</v>
      </c>
      <c r="G521" t="s">
        <v>591</v>
      </c>
      <c r="H521" t="s">
        <v>38</v>
      </c>
      <c r="I521">
        <v>4.249361731398596E-2</v>
      </c>
      <c r="J521" t="s">
        <v>6</v>
      </c>
      <c r="L521" t="s">
        <v>592</v>
      </c>
      <c r="M521" t="s">
        <v>38</v>
      </c>
      <c r="N521">
        <v>4.7731539360338894E-2</v>
      </c>
      <c r="O521" t="s">
        <v>6</v>
      </c>
    </row>
    <row r="522" spans="2:15" x14ac:dyDescent="0.45">
      <c r="B522" t="s">
        <v>590</v>
      </c>
      <c r="C522" t="s">
        <v>39</v>
      </c>
      <c r="D522">
        <v>0</v>
      </c>
      <c r="E522" t="s">
        <v>6</v>
      </c>
      <c r="G522" t="s">
        <v>591</v>
      </c>
      <c r="H522" t="s">
        <v>39</v>
      </c>
      <c r="I522">
        <v>1.6277548211678299E-2</v>
      </c>
      <c r="J522" t="s">
        <v>6</v>
      </c>
      <c r="L522" t="s">
        <v>592</v>
      </c>
      <c r="M522" t="s">
        <v>39</v>
      </c>
      <c r="N522">
        <v>1.7305535579873105E-2</v>
      </c>
      <c r="O522" t="s">
        <v>6</v>
      </c>
    </row>
    <row r="523" spans="2:15" x14ac:dyDescent="0.45">
      <c r="B523" t="s">
        <v>590</v>
      </c>
      <c r="C523" t="s">
        <v>40</v>
      </c>
      <c r="D523">
        <v>4.3953026110081029E-3</v>
      </c>
      <c r="E523" t="s">
        <v>6</v>
      </c>
      <c r="G523" t="s">
        <v>591</v>
      </c>
      <c r="H523" t="s">
        <v>40</v>
      </c>
      <c r="I523">
        <v>1.54410288231982E-2</v>
      </c>
      <c r="J523" t="s">
        <v>6</v>
      </c>
      <c r="L523" t="s">
        <v>592</v>
      </c>
      <c r="M523" t="s">
        <v>40</v>
      </c>
      <c r="N523">
        <v>1.7296120447356754E-2</v>
      </c>
      <c r="O523" t="s">
        <v>6</v>
      </c>
    </row>
    <row r="524" spans="2:15" x14ac:dyDescent="0.45">
      <c r="B524" t="s">
        <v>590</v>
      </c>
      <c r="C524" t="s">
        <v>41</v>
      </c>
      <c r="D524">
        <v>3.1125972715971565E-2</v>
      </c>
      <c r="E524" t="s">
        <v>6</v>
      </c>
      <c r="G524" t="s">
        <v>591</v>
      </c>
      <c r="H524" t="s">
        <v>41</v>
      </c>
      <c r="I524">
        <v>1.7909344792288843E-2</v>
      </c>
      <c r="J524" t="s">
        <v>6</v>
      </c>
      <c r="L524" t="s">
        <v>592</v>
      </c>
      <c r="M524" t="s">
        <v>41</v>
      </c>
      <c r="N524">
        <v>1.6125320255596504E-2</v>
      </c>
      <c r="O524" t="s">
        <v>6</v>
      </c>
    </row>
    <row r="525" spans="2:15" x14ac:dyDescent="0.45">
      <c r="B525" t="s">
        <v>590</v>
      </c>
      <c r="C525" t="s">
        <v>42</v>
      </c>
      <c r="D525">
        <v>5.4689156248659491E-2</v>
      </c>
      <c r="E525" t="s">
        <v>6</v>
      </c>
      <c r="G525" t="s">
        <v>591</v>
      </c>
      <c r="H525" t="s">
        <v>42</v>
      </c>
      <c r="I525">
        <v>2.0635320933665019E-2</v>
      </c>
      <c r="J525" t="s">
        <v>6</v>
      </c>
      <c r="L525" t="s">
        <v>592</v>
      </c>
      <c r="M525" t="s">
        <v>42</v>
      </c>
      <c r="N525">
        <v>1.5245332888387517E-2</v>
      </c>
      <c r="O525" t="s">
        <v>6</v>
      </c>
    </row>
    <row r="526" spans="2:15" x14ac:dyDescent="0.45">
      <c r="B526" t="s">
        <v>590</v>
      </c>
      <c r="C526" t="s">
        <v>43</v>
      </c>
      <c r="D526">
        <v>5.6646944311977289E-2</v>
      </c>
      <c r="E526" t="s">
        <v>6</v>
      </c>
      <c r="G526" t="s">
        <v>591</v>
      </c>
      <c r="H526" t="s">
        <v>43</v>
      </c>
      <c r="I526">
        <v>2.3665207354529212E-2</v>
      </c>
      <c r="J526" t="s">
        <v>6</v>
      </c>
      <c r="L526" t="s">
        <v>592</v>
      </c>
      <c r="M526" t="s">
        <v>43</v>
      </c>
      <c r="N526">
        <v>1.6467772346199949E-2</v>
      </c>
      <c r="O526" t="s">
        <v>6</v>
      </c>
    </row>
    <row r="527" spans="2:15" x14ac:dyDescent="0.45">
      <c r="B527" t="s">
        <v>590</v>
      </c>
      <c r="C527" t="s">
        <v>44</v>
      </c>
      <c r="D527">
        <v>3.8367063048576858E-2</v>
      </c>
      <c r="E527" t="s">
        <v>6</v>
      </c>
      <c r="G527" t="s">
        <v>591</v>
      </c>
      <c r="H527" t="s">
        <v>44</v>
      </c>
      <c r="I527">
        <v>2.3627334934728555E-2</v>
      </c>
      <c r="J527" t="s">
        <v>6</v>
      </c>
      <c r="L527" t="s">
        <v>592</v>
      </c>
      <c r="M527" t="s">
        <v>44</v>
      </c>
      <c r="N527">
        <v>1.8439134106088904E-2</v>
      </c>
      <c r="O527" t="s">
        <v>6</v>
      </c>
    </row>
    <row r="528" spans="2:15" x14ac:dyDescent="0.45">
      <c r="B528" t="s">
        <v>590</v>
      </c>
      <c r="C528" t="s">
        <v>45</v>
      </c>
      <c r="D528">
        <v>1.0506101685350855E-2</v>
      </c>
      <c r="E528" t="s">
        <v>6</v>
      </c>
      <c r="G528" t="s">
        <v>591</v>
      </c>
      <c r="H528" t="s">
        <v>45</v>
      </c>
      <c r="I528">
        <v>2.1359798753356675E-2</v>
      </c>
      <c r="J528" t="s">
        <v>6</v>
      </c>
      <c r="L528" t="s">
        <v>592</v>
      </c>
      <c r="M528" t="s">
        <v>45</v>
      </c>
      <c r="N528">
        <v>1.9645057373058439E-2</v>
      </c>
      <c r="O528" t="s">
        <v>6</v>
      </c>
    </row>
    <row r="529" spans="2:15" x14ac:dyDescent="0.45">
      <c r="B529" t="s">
        <v>590</v>
      </c>
      <c r="C529" t="s">
        <v>46</v>
      </c>
      <c r="D529">
        <v>4.5699452444817388E-5</v>
      </c>
      <c r="E529" t="s">
        <v>6</v>
      </c>
      <c r="G529" t="s">
        <v>591</v>
      </c>
      <c r="H529" t="s">
        <v>46</v>
      </c>
      <c r="I529">
        <v>1.7696345324050081E-2</v>
      </c>
      <c r="J529" t="s">
        <v>6</v>
      </c>
      <c r="L529" t="s">
        <v>592</v>
      </c>
      <c r="M529" t="s">
        <v>46</v>
      </c>
      <c r="N529">
        <v>2.0437842783180532E-2</v>
      </c>
      <c r="O529" t="s">
        <v>6</v>
      </c>
    </row>
    <row r="530" spans="2:15" x14ac:dyDescent="0.45">
      <c r="B530" t="s">
        <v>590</v>
      </c>
      <c r="C530" t="s">
        <v>47</v>
      </c>
      <c r="D530">
        <v>0</v>
      </c>
      <c r="E530" t="s">
        <v>6</v>
      </c>
      <c r="G530" t="s">
        <v>591</v>
      </c>
      <c r="H530" t="s">
        <v>47</v>
      </c>
      <c r="I530">
        <v>2.5656591828951077E-2</v>
      </c>
      <c r="J530" t="s">
        <v>6</v>
      </c>
      <c r="L530" t="s">
        <v>592</v>
      </c>
      <c r="M530" t="s">
        <v>47</v>
      </c>
      <c r="N530">
        <v>3.1614790926927754E-2</v>
      </c>
      <c r="O530" t="s">
        <v>6</v>
      </c>
    </row>
    <row r="531" spans="2:15" x14ac:dyDescent="0.45">
      <c r="B531" t="s">
        <v>593</v>
      </c>
      <c r="C531" t="s">
        <v>5</v>
      </c>
      <c r="D531">
        <v>0</v>
      </c>
      <c r="E531" t="s">
        <v>6</v>
      </c>
      <c r="G531" t="s">
        <v>594</v>
      </c>
      <c r="H531" t="s">
        <v>5</v>
      </c>
      <c r="I531">
        <v>5.8208212863290816E-2</v>
      </c>
      <c r="J531" t="s">
        <v>6</v>
      </c>
      <c r="L531" t="s">
        <v>595</v>
      </c>
      <c r="M531" t="s">
        <v>5</v>
      </c>
      <c r="N531">
        <v>6.7689897392648232E-2</v>
      </c>
      <c r="O531" t="s">
        <v>6</v>
      </c>
    </row>
    <row r="532" spans="2:15" x14ac:dyDescent="0.45">
      <c r="B532" t="s">
        <v>593</v>
      </c>
      <c r="C532" t="s">
        <v>9</v>
      </c>
      <c r="D532">
        <v>0</v>
      </c>
      <c r="E532" t="s">
        <v>6</v>
      </c>
      <c r="G532" t="s">
        <v>594</v>
      </c>
      <c r="H532" t="s">
        <v>9</v>
      </c>
      <c r="I532">
        <v>2.2540881992711276E-2</v>
      </c>
      <c r="J532" t="s">
        <v>6</v>
      </c>
      <c r="L532" t="s">
        <v>595</v>
      </c>
      <c r="M532" t="s">
        <v>9</v>
      </c>
      <c r="N532">
        <v>2.6426416078615029E-2</v>
      </c>
      <c r="O532" t="s">
        <v>6</v>
      </c>
    </row>
    <row r="533" spans="2:15" x14ac:dyDescent="0.45">
      <c r="B533" t="s">
        <v>593</v>
      </c>
      <c r="C533" t="s">
        <v>10</v>
      </c>
      <c r="D533">
        <v>1.0333619390238963E-4</v>
      </c>
      <c r="E533" t="s">
        <v>6</v>
      </c>
      <c r="G533" t="s">
        <v>594</v>
      </c>
      <c r="H533" t="s">
        <v>10</v>
      </c>
      <c r="I533">
        <v>2.2863005862886986E-2</v>
      </c>
      <c r="J533" t="s">
        <v>6</v>
      </c>
      <c r="L533" t="s">
        <v>595</v>
      </c>
      <c r="M533" t="s">
        <v>10</v>
      </c>
      <c r="N533">
        <v>2.6252881322056356E-2</v>
      </c>
      <c r="O533" t="s">
        <v>6</v>
      </c>
    </row>
    <row r="534" spans="2:15" x14ac:dyDescent="0.45">
      <c r="B534" t="s">
        <v>593</v>
      </c>
      <c r="C534" t="s">
        <v>11</v>
      </c>
      <c r="D534">
        <v>2.2555447431831927E-2</v>
      </c>
      <c r="E534" t="s">
        <v>6</v>
      </c>
      <c r="G534" t="s">
        <v>594</v>
      </c>
      <c r="H534" t="s">
        <v>11</v>
      </c>
      <c r="I534">
        <v>2.3764573110417665E-2</v>
      </c>
      <c r="J534" t="s">
        <v>6</v>
      </c>
      <c r="L534" t="s">
        <v>595</v>
      </c>
      <c r="M534" t="s">
        <v>11</v>
      </c>
      <c r="N534">
        <v>2.6365873191675767E-2</v>
      </c>
      <c r="O534" t="s">
        <v>6</v>
      </c>
    </row>
    <row r="535" spans="2:15" x14ac:dyDescent="0.45">
      <c r="B535" t="s">
        <v>593</v>
      </c>
      <c r="C535" t="s">
        <v>12</v>
      </c>
      <c r="D535">
        <v>5.5358938113364765E-2</v>
      </c>
      <c r="E535" t="s">
        <v>6</v>
      </c>
      <c r="G535" t="s">
        <v>594</v>
      </c>
      <c r="H535" t="s">
        <v>12</v>
      </c>
      <c r="I535">
        <v>2.4910505536901873E-2</v>
      </c>
      <c r="J535" t="s">
        <v>6</v>
      </c>
      <c r="L535" t="s">
        <v>595</v>
      </c>
      <c r="M535" t="s">
        <v>12</v>
      </c>
      <c r="N535">
        <v>2.6615967410788321E-2</v>
      </c>
      <c r="O535" t="s">
        <v>6</v>
      </c>
    </row>
    <row r="536" spans="2:15" x14ac:dyDescent="0.45">
      <c r="B536" t="s">
        <v>593</v>
      </c>
      <c r="C536" t="s">
        <v>13</v>
      </c>
      <c r="D536">
        <v>6.5005112165740786E-2</v>
      </c>
      <c r="E536" t="s">
        <v>6</v>
      </c>
      <c r="G536" t="s">
        <v>594</v>
      </c>
      <c r="H536" t="s">
        <v>13</v>
      </c>
      <c r="I536">
        <v>2.6467102369256559E-2</v>
      </c>
      <c r="J536" t="s">
        <v>6</v>
      </c>
      <c r="L536" t="s">
        <v>595</v>
      </c>
      <c r="M536" t="s">
        <v>13</v>
      </c>
      <c r="N536">
        <v>2.8488236955325499E-2</v>
      </c>
      <c r="O536" t="s">
        <v>6</v>
      </c>
    </row>
    <row r="537" spans="2:15" x14ac:dyDescent="0.45">
      <c r="B537" t="s">
        <v>593</v>
      </c>
      <c r="C537" t="s">
        <v>14</v>
      </c>
      <c r="D537">
        <v>4.4962185496680171E-2</v>
      </c>
      <c r="E537" t="s">
        <v>6</v>
      </c>
      <c r="G537" t="s">
        <v>594</v>
      </c>
      <c r="H537" t="s">
        <v>14</v>
      </c>
      <c r="I537">
        <v>2.6212341412628244E-2</v>
      </c>
      <c r="J537" t="s">
        <v>6</v>
      </c>
      <c r="L537" t="s">
        <v>595</v>
      </c>
      <c r="M537" t="s">
        <v>14</v>
      </c>
      <c r="N537">
        <v>2.9637658221379391E-2</v>
      </c>
      <c r="O537" t="s">
        <v>6</v>
      </c>
    </row>
    <row r="538" spans="2:15" x14ac:dyDescent="0.45">
      <c r="B538" t="s">
        <v>593</v>
      </c>
      <c r="C538" t="s">
        <v>15</v>
      </c>
      <c r="D538">
        <v>9.6742937217670077E-3</v>
      </c>
      <c r="E538" t="s">
        <v>6</v>
      </c>
      <c r="G538" t="s">
        <v>594</v>
      </c>
      <c r="H538" t="s">
        <v>15</v>
      </c>
      <c r="I538">
        <v>2.5140540657699429E-2</v>
      </c>
      <c r="J538" t="s">
        <v>6</v>
      </c>
      <c r="L538" t="s">
        <v>595</v>
      </c>
      <c r="M538" t="s">
        <v>15</v>
      </c>
      <c r="N538">
        <v>3.0609682116236665E-2</v>
      </c>
      <c r="O538" t="s">
        <v>6</v>
      </c>
    </row>
    <row r="539" spans="2:15" x14ac:dyDescent="0.45">
      <c r="B539" t="s">
        <v>593</v>
      </c>
      <c r="C539" t="s">
        <v>16</v>
      </c>
      <c r="D539">
        <v>0</v>
      </c>
      <c r="E539" t="s">
        <v>6</v>
      </c>
      <c r="G539" t="s">
        <v>594</v>
      </c>
      <c r="H539" t="s">
        <v>16</v>
      </c>
      <c r="I539">
        <v>2.4370350836305274E-2</v>
      </c>
      <c r="J539" t="s">
        <v>6</v>
      </c>
      <c r="L539" t="s">
        <v>595</v>
      </c>
      <c r="M539" t="s">
        <v>16</v>
      </c>
      <c r="N539">
        <v>3.0186207654622894E-2</v>
      </c>
      <c r="O539" t="s">
        <v>6</v>
      </c>
    </row>
    <row r="540" spans="2:15" x14ac:dyDescent="0.45">
      <c r="B540" t="s">
        <v>593</v>
      </c>
      <c r="C540" t="s">
        <v>17</v>
      </c>
      <c r="D540">
        <v>0</v>
      </c>
      <c r="E540" t="s">
        <v>6</v>
      </c>
      <c r="G540" t="s">
        <v>594</v>
      </c>
      <c r="H540" t="s">
        <v>17</v>
      </c>
      <c r="I540">
        <v>3.6184911603103512E-2</v>
      </c>
      <c r="J540" t="s">
        <v>6</v>
      </c>
      <c r="L540" t="s">
        <v>595</v>
      </c>
      <c r="M540" t="s">
        <v>17</v>
      </c>
      <c r="N540">
        <v>4.2807526969302116E-2</v>
      </c>
      <c r="O540" t="s">
        <v>6</v>
      </c>
    </row>
    <row r="541" spans="2:15" x14ac:dyDescent="0.45">
      <c r="B541" t="s">
        <v>593</v>
      </c>
      <c r="C541" t="s">
        <v>18</v>
      </c>
      <c r="D541">
        <v>0</v>
      </c>
      <c r="E541" t="s">
        <v>6</v>
      </c>
      <c r="G541" t="s">
        <v>594</v>
      </c>
      <c r="H541" t="s">
        <v>18</v>
      </c>
      <c r="I541">
        <v>6.7241139375263007E-2</v>
      </c>
      <c r="J541" t="s">
        <v>6</v>
      </c>
      <c r="L541" t="s">
        <v>595</v>
      </c>
      <c r="M541" t="s">
        <v>18</v>
      </c>
      <c r="N541">
        <v>7.0008334054200261E-2</v>
      </c>
      <c r="O541" t="s">
        <v>6</v>
      </c>
    </row>
    <row r="542" spans="2:15" x14ac:dyDescent="0.45">
      <c r="B542" t="s">
        <v>593</v>
      </c>
      <c r="C542" t="s">
        <v>19</v>
      </c>
      <c r="D542">
        <v>1.596840324527573E-4</v>
      </c>
      <c r="E542" t="s">
        <v>6</v>
      </c>
      <c r="G542" t="s">
        <v>594</v>
      </c>
      <c r="H542" t="s">
        <v>19</v>
      </c>
      <c r="I542">
        <v>2.6342177073529649E-2</v>
      </c>
      <c r="J542" t="s">
        <v>6</v>
      </c>
      <c r="L542" t="s">
        <v>595</v>
      </c>
      <c r="M542" t="s">
        <v>19</v>
      </c>
      <c r="N542">
        <v>2.9593585663575589E-2</v>
      </c>
      <c r="O542" t="s">
        <v>6</v>
      </c>
    </row>
    <row r="543" spans="2:15" x14ac:dyDescent="0.45">
      <c r="B543" t="s">
        <v>593</v>
      </c>
      <c r="C543" t="s">
        <v>20</v>
      </c>
      <c r="D543">
        <v>9.4926143702643469E-3</v>
      </c>
      <c r="E543" t="s">
        <v>6</v>
      </c>
      <c r="G543" t="s">
        <v>594</v>
      </c>
      <c r="H543" t="s">
        <v>20</v>
      </c>
      <c r="I543">
        <v>2.6475125081344145E-2</v>
      </c>
      <c r="J543" t="s">
        <v>6</v>
      </c>
      <c r="L543" t="s">
        <v>595</v>
      </c>
      <c r="M543" t="s">
        <v>20</v>
      </c>
      <c r="N543">
        <v>3.0015143161844539E-2</v>
      </c>
      <c r="O543" t="s">
        <v>6</v>
      </c>
    </row>
    <row r="544" spans="2:15" x14ac:dyDescent="0.45">
      <c r="B544" t="s">
        <v>593</v>
      </c>
      <c r="C544" t="s">
        <v>21</v>
      </c>
      <c r="D544">
        <v>4.1087929388018168E-2</v>
      </c>
      <c r="E544" t="s">
        <v>6</v>
      </c>
      <c r="G544" t="s">
        <v>594</v>
      </c>
      <c r="H544" t="s">
        <v>21</v>
      </c>
      <c r="I544">
        <v>2.813891630404633E-2</v>
      </c>
      <c r="J544" t="s">
        <v>6</v>
      </c>
      <c r="L544" t="s">
        <v>595</v>
      </c>
      <c r="M544" t="s">
        <v>21</v>
      </c>
      <c r="N544">
        <v>3.0097748002845832E-2</v>
      </c>
      <c r="O544" t="s">
        <v>6</v>
      </c>
    </row>
    <row r="545" spans="2:15" x14ac:dyDescent="0.45">
      <c r="B545" t="s">
        <v>593</v>
      </c>
      <c r="C545" t="s">
        <v>22</v>
      </c>
      <c r="D545">
        <v>6.5634379213703062E-2</v>
      </c>
      <c r="E545" t="s">
        <v>6</v>
      </c>
      <c r="G545" t="s">
        <v>594</v>
      </c>
      <c r="H545" t="s">
        <v>22</v>
      </c>
      <c r="I545">
        <v>2.8310987727116189E-2</v>
      </c>
      <c r="J545" t="s">
        <v>6</v>
      </c>
      <c r="L545" t="s">
        <v>595</v>
      </c>
      <c r="M545" t="s">
        <v>22</v>
      </c>
      <c r="N545">
        <v>3.0420389844076835E-2</v>
      </c>
      <c r="O545" t="s">
        <v>6</v>
      </c>
    </row>
    <row r="546" spans="2:15" x14ac:dyDescent="0.45">
      <c r="B546" t="s">
        <v>593</v>
      </c>
      <c r="C546" t="s">
        <v>23</v>
      </c>
      <c r="D546">
        <v>6.8983839669510841E-2</v>
      </c>
      <c r="E546" t="s">
        <v>6</v>
      </c>
      <c r="G546" t="s">
        <v>594</v>
      </c>
      <c r="H546" t="s">
        <v>23</v>
      </c>
      <c r="I546">
        <v>3.0627094348820261E-2</v>
      </c>
      <c r="J546" t="s">
        <v>6</v>
      </c>
      <c r="L546" t="s">
        <v>595</v>
      </c>
      <c r="M546" t="s">
        <v>23</v>
      </c>
      <c r="N546">
        <v>3.1972097742500233E-2</v>
      </c>
      <c r="O546" t="s">
        <v>6</v>
      </c>
    </row>
    <row r="547" spans="2:15" x14ac:dyDescent="0.45">
      <c r="B547" t="s">
        <v>593</v>
      </c>
      <c r="C547" t="s">
        <v>24</v>
      </c>
      <c r="D547">
        <v>5.5221777233289714E-2</v>
      </c>
      <c r="E547" t="s">
        <v>6</v>
      </c>
      <c r="G547" t="s">
        <v>594</v>
      </c>
      <c r="H547" t="s">
        <v>24</v>
      </c>
      <c r="I547">
        <v>3.1677835804515227E-2</v>
      </c>
      <c r="J547" t="s">
        <v>6</v>
      </c>
      <c r="L547" t="s">
        <v>595</v>
      </c>
      <c r="M547" t="s">
        <v>24</v>
      </c>
      <c r="N547">
        <v>3.2757898320160496E-2</v>
      </c>
      <c r="O547" t="s">
        <v>6</v>
      </c>
    </row>
    <row r="548" spans="2:15" x14ac:dyDescent="0.45">
      <c r="B548" t="s">
        <v>593</v>
      </c>
      <c r="C548" t="s">
        <v>25</v>
      </c>
      <c r="D548">
        <v>2.4986506973519867E-2</v>
      </c>
      <c r="E548" t="s">
        <v>6</v>
      </c>
      <c r="G548" t="s">
        <v>594</v>
      </c>
      <c r="H548" t="s">
        <v>25</v>
      </c>
      <c r="I548">
        <v>3.0846918373280831E-2</v>
      </c>
      <c r="J548" t="s">
        <v>6</v>
      </c>
      <c r="L548" t="s">
        <v>595</v>
      </c>
      <c r="M548" t="s">
        <v>25</v>
      </c>
      <c r="N548">
        <v>3.2832846337276463E-2</v>
      </c>
      <c r="O548" t="s">
        <v>6</v>
      </c>
    </row>
    <row r="549" spans="2:15" x14ac:dyDescent="0.45">
      <c r="B549" t="s">
        <v>593</v>
      </c>
      <c r="C549" t="s">
        <v>26</v>
      </c>
      <c r="D549">
        <v>1.5413873365441215E-3</v>
      </c>
      <c r="E549" t="s">
        <v>6</v>
      </c>
      <c r="G549" t="s">
        <v>594</v>
      </c>
      <c r="H549" t="s">
        <v>26</v>
      </c>
      <c r="I549">
        <v>2.8798943726272456E-2</v>
      </c>
      <c r="J549" t="s">
        <v>6</v>
      </c>
      <c r="L549" t="s">
        <v>595</v>
      </c>
      <c r="M549" t="s">
        <v>26</v>
      </c>
      <c r="N549">
        <v>3.1470264818164541E-2</v>
      </c>
      <c r="O549" t="s">
        <v>6</v>
      </c>
    </row>
    <row r="550" spans="2:15" x14ac:dyDescent="0.45">
      <c r="B550" t="s">
        <v>593</v>
      </c>
      <c r="C550" t="s">
        <v>27</v>
      </c>
      <c r="D550">
        <v>0</v>
      </c>
      <c r="E550" t="s">
        <v>6</v>
      </c>
      <c r="G550" t="s">
        <v>594</v>
      </c>
      <c r="H550" t="s">
        <v>27</v>
      </c>
      <c r="I550">
        <v>4.1159586913454935E-2</v>
      </c>
      <c r="J550" t="s">
        <v>6</v>
      </c>
      <c r="L550" t="s">
        <v>595</v>
      </c>
      <c r="M550" t="s">
        <v>27</v>
      </c>
      <c r="N550">
        <v>4.2576336155457729E-2</v>
      </c>
      <c r="O550" t="s">
        <v>6</v>
      </c>
    </row>
    <row r="551" spans="2:15" x14ac:dyDescent="0.45">
      <c r="B551" t="s">
        <v>593</v>
      </c>
      <c r="C551" t="s">
        <v>28</v>
      </c>
      <c r="D551">
        <v>0</v>
      </c>
      <c r="E551" t="s">
        <v>6</v>
      </c>
      <c r="G551" t="s">
        <v>594</v>
      </c>
      <c r="H551" t="s">
        <v>28</v>
      </c>
      <c r="I551">
        <v>2.1120606573253042E-2</v>
      </c>
      <c r="J551" t="s">
        <v>6</v>
      </c>
      <c r="L551" t="s">
        <v>595</v>
      </c>
      <c r="M551" t="s">
        <v>28</v>
      </c>
      <c r="N551">
        <v>2.3236212486476743E-2</v>
      </c>
      <c r="O551" t="s">
        <v>6</v>
      </c>
    </row>
    <row r="552" spans="2:15" x14ac:dyDescent="0.45">
      <c r="B552" t="s">
        <v>593</v>
      </c>
      <c r="C552" t="s">
        <v>29</v>
      </c>
      <c r="D552">
        <v>5.2088934904484399E-4</v>
      </c>
      <c r="E552" t="s">
        <v>6</v>
      </c>
      <c r="G552" t="s">
        <v>594</v>
      </c>
      <c r="H552" t="s">
        <v>29</v>
      </c>
      <c r="I552">
        <v>7.794238193271334E-3</v>
      </c>
      <c r="J552" t="s">
        <v>6</v>
      </c>
      <c r="L552" t="s">
        <v>595</v>
      </c>
      <c r="M552" t="s">
        <v>29</v>
      </c>
      <c r="N552">
        <v>8.5627279802773602E-3</v>
      </c>
      <c r="O552" t="s">
        <v>6</v>
      </c>
    </row>
    <row r="553" spans="2:15" x14ac:dyDescent="0.45">
      <c r="B553" t="s">
        <v>593</v>
      </c>
      <c r="C553" t="s">
        <v>30</v>
      </c>
      <c r="D553">
        <v>1.6369603399306931E-2</v>
      </c>
      <c r="E553" t="s">
        <v>6</v>
      </c>
      <c r="G553" t="s">
        <v>594</v>
      </c>
      <c r="H553" t="s">
        <v>30</v>
      </c>
      <c r="I553">
        <v>7.3881080749052964E-3</v>
      </c>
      <c r="J553" t="s">
        <v>6</v>
      </c>
      <c r="L553" t="s">
        <v>595</v>
      </c>
      <c r="M553" t="s">
        <v>30</v>
      </c>
      <c r="N553">
        <v>8.0799172139817202E-3</v>
      </c>
      <c r="O553" t="s">
        <v>6</v>
      </c>
    </row>
    <row r="554" spans="2:15" x14ac:dyDescent="0.45">
      <c r="B554" t="s">
        <v>593</v>
      </c>
      <c r="C554" t="s">
        <v>31</v>
      </c>
      <c r="D554">
        <v>5.4884810543107877E-2</v>
      </c>
      <c r="E554" t="s">
        <v>6</v>
      </c>
      <c r="G554" t="s">
        <v>594</v>
      </c>
      <c r="H554" t="s">
        <v>31</v>
      </c>
      <c r="I554">
        <v>8.1046153948626347E-3</v>
      </c>
      <c r="J554" t="s">
        <v>6</v>
      </c>
      <c r="L554" t="s">
        <v>595</v>
      </c>
      <c r="M554" t="s">
        <v>31</v>
      </c>
      <c r="N554">
        <v>7.9113194993702153E-3</v>
      </c>
      <c r="O554" t="s">
        <v>6</v>
      </c>
    </row>
    <row r="555" spans="2:15" x14ac:dyDescent="0.45">
      <c r="B555" t="s">
        <v>593</v>
      </c>
      <c r="C555" t="s">
        <v>32</v>
      </c>
      <c r="D555">
        <v>8.072434710590673E-2</v>
      </c>
      <c r="E555" t="s">
        <v>6</v>
      </c>
      <c r="G555" t="s">
        <v>594</v>
      </c>
      <c r="H555" t="s">
        <v>32</v>
      </c>
      <c r="I555">
        <v>8.933991914685406E-3</v>
      </c>
      <c r="J555" t="s">
        <v>6</v>
      </c>
      <c r="L555" t="s">
        <v>595</v>
      </c>
      <c r="M555" t="s">
        <v>32</v>
      </c>
      <c r="N555">
        <v>8.3995943519417152E-3</v>
      </c>
      <c r="O555" t="s">
        <v>6</v>
      </c>
    </row>
    <row r="556" spans="2:15" x14ac:dyDescent="0.45">
      <c r="B556" t="s">
        <v>593</v>
      </c>
      <c r="C556" t="s">
        <v>33</v>
      </c>
      <c r="D556">
        <v>8.5350074034752962E-2</v>
      </c>
      <c r="E556" t="s">
        <v>6</v>
      </c>
      <c r="G556" t="s">
        <v>594</v>
      </c>
      <c r="H556" t="s">
        <v>33</v>
      </c>
      <c r="I556">
        <v>1.2407058792186447E-2</v>
      </c>
      <c r="J556" t="s">
        <v>6</v>
      </c>
      <c r="L556" t="s">
        <v>595</v>
      </c>
      <c r="M556" t="s">
        <v>33</v>
      </c>
      <c r="N556">
        <v>1.0835844168548117E-2</v>
      </c>
      <c r="O556" t="s">
        <v>6</v>
      </c>
    </row>
    <row r="557" spans="2:15" x14ac:dyDescent="0.45">
      <c r="B557" t="s">
        <v>593</v>
      </c>
      <c r="C557" t="s">
        <v>34</v>
      </c>
      <c r="D557">
        <v>6.7113463700758838E-2</v>
      </c>
      <c r="E557" t="s">
        <v>6</v>
      </c>
      <c r="G557" t="s">
        <v>594</v>
      </c>
      <c r="H557" t="s">
        <v>34</v>
      </c>
      <c r="I557">
        <v>1.4964833233528247E-2</v>
      </c>
      <c r="J557" t="s">
        <v>6</v>
      </c>
      <c r="L557" t="s">
        <v>595</v>
      </c>
      <c r="M557" t="s">
        <v>34</v>
      </c>
      <c r="N557">
        <v>1.3104065789792813E-2</v>
      </c>
      <c r="O557" t="s">
        <v>6</v>
      </c>
    </row>
    <row r="558" spans="2:15" x14ac:dyDescent="0.45">
      <c r="B558" t="s">
        <v>593</v>
      </c>
      <c r="C558" t="s">
        <v>35</v>
      </c>
      <c r="D558">
        <v>3.4276392043263916E-2</v>
      </c>
      <c r="E558" t="s">
        <v>6</v>
      </c>
      <c r="G558" t="s">
        <v>594</v>
      </c>
      <c r="H558" t="s">
        <v>35</v>
      </c>
      <c r="I558">
        <v>1.3417842297571318E-2</v>
      </c>
      <c r="J558" t="s">
        <v>6</v>
      </c>
      <c r="L558" t="s">
        <v>595</v>
      </c>
      <c r="M558" t="s">
        <v>35</v>
      </c>
      <c r="N558">
        <v>1.3766358469536808E-2</v>
      </c>
      <c r="O558" t="s">
        <v>6</v>
      </c>
    </row>
    <row r="559" spans="2:15" x14ac:dyDescent="0.45">
      <c r="B559" t="s">
        <v>593</v>
      </c>
      <c r="C559" t="s">
        <v>36</v>
      </c>
      <c r="D559">
        <v>4.5465789880051403E-3</v>
      </c>
      <c r="E559" t="s">
        <v>6</v>
      </c>
      <c r="G559" t="s">
        <v>594</v>
      </c>
      <c r="H559" t="s">
        <v>36</v>
      </c>
      <c r="I559">
        <v>1.0413818796717569E-2</v>
      </c>
      <c r="J559" t="s">
        <v>6</v>
      </c>
      <c r="L559" t="s">
        <v>595</v>
      </c>
      <c r="M559" t="s">
        <v>36</v>
      </c>
      <c r="N559">
        <v>1.2831224737540656E-2</v>
      </c>
      <c r="O559" t="s">
        <v>6</v>
      </c>
    </row>
    <row r="560" spans="2:15" x14ac:dyDescent="0.45">
      <c r="B560" t="s">
        <v>593</v>
      </c>
      <c r="C560" t="s">
        <v>37</v>
      </c>
      <c r="D560">
        <v>0</v>
      </c>
      <c r="E560" t="s">
        <v>6</v>
      </c>
      <c r="G560" t="s">
        <v>594</v>
      </c>
      <c r="H560" t="s">
        <v>37</v>
      </c>
      <c r="I560">
        <v>1.205844088868472E-2</v>
      </c>
      <c r="J560" t="s">
        <v>6</v>
      </c>
      <c r="L560" t="s">
        <v>595</v>
      </c>
      <c r="M560" t="s">
        <v>37</v>
      </c>
      <c r="N560">
        <v>1.5644148471653074E-2</v>
      </c>
      <c r="O560" t="s">
        <v>6</v>
      </c>
    </row>
    <row r="561" spans="2:15" x14ac:dyDescent="0.45">
      <c r="B561" t="s">
        <v>593</v>
      </c>
      <c r="C561" t="s">
        <v>38</v>
      </c>
      <c r="D561">
        <v>0</v>
      </c>
      <c r="E561" t="s">
        <v>6</v>
      </c>
      <c r="G561" t="s">
        <v>594</v>
      </c>
      <c r="H561" t="s">
        <v>38</v>
      </c>
      <c r="I561">
        <v>5.0892535500685315E-2</v>
      </c>
      <c r="J561" t="s">
        <v>6</v>
      </c>
      <c r="L561" t="s">
        <v>595</v>
      </c>
      <c r="M561" t="s">
        <v>38</v>
      </c>
      <c r="N561">
        <v>3.3990387133648971E-2</v>
      </c>
      <c r="O561" t="s">
        <v>6</v>
      </c>
    </row>
    <row r="562" spans="2:15" x14ac:dyDescent="0.45">
      <c r="B562" t="s">
        <v>593</v>
      </c>
      <c r="C562" t="s">
        <v>39</v>
      </c>
      <c r="D562">
        <v>0</v>
      </c>
      <c r="E562" t="s">
        <v>6</v>
      </c>
      <c r="G562" t="s">
        <v>594</v>
      </c>
      <c r="H562" t="s">
        <v>39</v>
      </c>
      <c r="I562">
        <v>2.0306002039394699E-2</v>
      </c>
      <c r="J562" t="s">
        <v>6</v>
      </c>
      <c r="L562" t="s">
        <v>595</v>
      </c>
      <c r="M562" t="s">
        <v>39</v>
      </c>
      <c r="N562">
        <v>1.3524906390883051E-2</v>
      </c>
      <c r="O562" t="s">
        <v>6</v>
      </c>
    </row>
    <row r="563" spans="2:15" x14ac:dyDescent="0.45">
      <c r="B563" t="s">
        <v>593</v>
      </c>
      <c r="C563" t="s">
        <v>40</v>
      </c>
      <c r="D563">
        <v>3.9672431192110287E-3</v>
      </c>
      <c r="E563" t="s">
        <v>6</v>
      </c>
      <c r="G563" t="s">
        <v>594</v>
      </c>
      <c r="H563" t="s">
        <v>40</v>
      </c>
      <c r="I563">
        <v>2.029482296727067E-2</v>
      </c>
      <c r="J563" t="s">
        <v>6</v>
      </c>
      <c r="L563" t="s">
        <v>595</v>
      </c>
      <c r="M563" t="s">
        <v>40</v>
      </c>
      <c r="N563">
        <v>1.3925471350605491E-2</v>
      </c>
      <c r="O563" t="s">
        <v>6</v>
      </c>
    </row>
    <row r="564" spans="2:15" x14ac:dyDescent="0.45">
      <c r="B564" t="s">
        <v>593</v>
      </c>
      <c r="C564" t="s">
        <v>41</v>
      </c>
      <c r="D564">
        <v>3.0342935206995558E-2</v>
      </c>
      <c r="E564" t="s">
        <v>6</v>
      </c>
      <c r="G564" t="s">
        <v>594</v>
      </c>
      <c r="H564" t="s">
        <v>41</v>
      </c>
      <c r="I564">
        <v>2.127849968239166E-2</v>
      </c>
      <c r="J564" t="s">
        <v>6</v>
      </c>
      <c r="L564" t="s">
        <v>595</v>
      </c>
      <c r="M564" t="s">
        <v>41</v>
      </c>
      <c r="N564">
        <v>1.4916804856330897E-2</v>
      </c>
      <c r="O564" t="s">
        <v>6</v>
      </c>
    </row>
    <row r="565" spans="2:15" x14ac:dyDescent="0.45">
      <c r="B565" t="s">
        <v>593</v>
      </c>
      <c r="C565" t="s">
        <v>42</v>
      </c>
      <c r="D565">
        <v>5.3111538813528869E-2</v>
      </c>
      <c r="E565" t="s">
        <v>6</v>
      </c>
      <c r="G565" t="s">
        <v>594</v>
      </c>
      <c r="H565" t="s">
        <v>42</v>
      </c>
      <c r="I565">
        <v>2.1874505102506398E-2</v>
      </c>
      <c r="J565" t="s">
        <v>6</v>
      </c>
      <c r="L565" t="s">
        <v>595</v>
      </c>
      <c r="M565" t="s">
        <v>42</v>
      </c>
      <c r="N565">
        <v>1.5334986433915622E-2</v>
      </c>
      <c r="O565" t="s">
        <v>6</v>
      </c>
    </row>
    <row r="566" spans="2:15" x14ac:dyDescent="0.45">
      <c r="B566" t="s">
        <v>593</v>
      </c>
      <c r="C566" t="s">
        <v>43</v>
      </c>
      <c r="D566">
        <v>5.4994664237087078E-2</v>
      </c>
      <c r="E566" t="s">
        <v>6</v>
      </c>
      <c r="G566" t="s">
        <v>594</v>
      </c>
      <c r="H566" t="s">
        <v>43</v>
      </c>
      <c r="I566">
        <v>2.3442550523955857E-2</v>
      </c>
      <c r="J566" t="s">
        <v>6</v>
      </c>
      <c r="L566" t="s">
        <v>595</v>
      </c>
      <c r="M566" t="s">
        <v>43</v>
      </c>
      <c r="N566">
        <v>1.6206370567072702E-2</v>
      </c>
      <c r="O566" t="s">
        <v>6</v>
      </c>
    </row>
    <row r="567" spans="2:15" x14ac:dyDescent="0.45">
      <c r="B567" t="s">
        <v>593</v>
      </c>
      <c r="C567" t="s">
        <v>44</v>
      </c>
      <c r="D567">
        <v>3.8091295409152001E-2</v>
      </c>
      <c r="E567" t="s">
        <v>6</v>
      </c>
      <c r="G567" t="s">
        <v>594</v>
      </c>
      <c r="H567" t="s">
        <v>44</v>
      </c>
      <c r="I567">
        <v>2.3483031747839597E-2</v>
      </c>
      <c r="J567" t="s">
        <v>6</v>
      </c>
      <c r="L567" t="s">
        <v>595</v>
      </c>
      <c r="M567" t="s">
        <v>44</v>
      </c>
      <c r="N567">
        <v>1.6780217515714239E-2</v>
      </c>
      <c r="O567" t="s">
        <v>6</v>
      </c>
    </row>
    <row r="568" spans="2:15" x14ac:dyDescent="0.45">
      <c r="B568" t="s">
        <v>593</v>
      </c>
      <c r="C568" t="s">
        <v>45</v>
      </c>
      <c r="D568">
        <v>1.0868036709196187E-2</v>
      </c>
      <c r="E568" t="s">
        <v>6</v>
      </c>
      <c r="G568" t="s">
        <v>594</v>
      </c>
      <c r="H568" t="s">
        <v>45</v>
      </c>
      <c r="I568">
        <v>2.1694726893991392E-2</v>
      </c>
      <c r="J568" t="s">
        <v>6</v>
      </c>
      <c r="L568" t="s">
        <v>595</v>
      </c>
      <c r="M568" t="s">
        <v>45</v>
      </c>
      <c r="N568">
        <v>1.695899507011522E-2</v>
      </c>
      <c r="O568" t="s">
        <v>6</v>
      </c>
    </row>
    <row r="569" spans="2:15" x14ac:dyDescent="0.45">
      <c r="B569" t="s">
        <v>593</v>
      </c>
      <c r="C569" t="s">
        <v>46</v>
      </c>
      <c r="D569">
        <v>7.069600009544732E-5</v>
      </c>
      <c r="E569" t="s">
        <v>6</v>
      </c>
      <c r="G569" t="s">
        <v>594</v>
      </c>
      <c r="H569" t="s">
        <v>46</v>
      </c>
      <c r="I569">
        <v>2.0221577459625124E-2</v>
      </c>
      <c r="J569" t="s">
        <v>6</v>
      </c>
      <c r="L569" t="s">
        <v>595</v>
      </c>
      <c r="M569" t="s">
        <v>46</v>
      </c>
      <c r="N569">
        <v>1.6408969627616933E-2</v>
      </c>
      <c r="O569" t="s">
        <v>6</v>
      </c>
    </row>
    <row r="570" spans="2:15" x14ac:dyDescent="0.45">
      <c r="B570" t="s">
        <v>593</v>
      </c>
      <c r="C570" t="s">
        <v>47</v>
      </c>
      <c r="D570">
        <v>0</v>
      </c>
      <c r="E570" t="s">
        <v>6</v>
      </c>
      <c r="G570" t="s">
        <v>594</v>
      </c>
      <c r="H570" t="s">
        <v>47</v>
      </c>
      <c r="I570">
        <v>2.9627042949828514E-2</v>
      </c>
      <c r="J570" t="s">
        <v>6</v>
      </c>
      <c r="L570" t="s">
        <v>595</v>
      </c>
      <c r="M570" t="s">
        <v>47</v>
      </c>
      <c r="N570">
        <v>2.27564864722287E-2</v>
      </c>
      <c r="O570" t="s">
        <v>6</v>
      </c>
    </row>
    <row r="571" spans="2:15" x14ac:dyDescent="0.45">
      <c r="B571" t="s">
        <v>596</v>
      </c>
      <c r="C571" t="s">
        <v>5</v>
      </c>
      <c r="D571">
        <v>0</v>
      </c>
      <c r="E571" t="s">
        <v>6</v>
      </c>
      <c r="G571" t="s">
        <v>597</v>
      </c>
      <c r="H571" t="s">
        <v>5</v>
      </c>
      <c r="I571">
        <v>6.0047837491683152E-2</v>
      </c>
      <c r="J571" t="s">
        <v>6</v>
      </c>
      <c r="L571" t="s">
        <v>598</v>
      </c>
      <c r="M571" t="s">
        <v>5</v>
      </c>
      <c r="N571">
        <v>6.5970698660636512E-2</v>
      </c>
      <c r="O571" t="s">
        <v>6</v>
      </c>
    </row>
    <row r="572" spans="2:15" x14ac:dyDescent="0.45">
      <c r="B572" t="s">
        <v>596</v>
      </c>
      <c r="C572" t="s">
        <v>9</v>
      </c>
      <c r="D572">
        <v>0</v>
      </c>
      <c r="E572" t="s">
        <v>6</v>
      </c>
      <c r="G572" t="s">
        <v>597</v>
      </c>
      <c r="H572" t="s">
        <v>9</v>
      </c>
      <c r="I572">
        <v>2.4352275444421808E-2</v>
      </c>
      <c r="J572" t="s">
        <v>6</v>
      </c>
      <c r="L572" t="s">
        <v>598</v>
      </c>
      <c r="M572" t="s">
        <v>9</v>
      </c>
      <c r="N572">
        <v>2.6964490917632006E-2</v>
      </c>
      <c r="O572" t="s">
        <v>6</v>
      </c>
    </row>
    <row r="573" spans="2:15" x14ac:dyDescent="0.45">
      <c r="B573" t="s">
        <v>596</v>
      </c>
      <c r="C573" t="s">
        <v>10</v>
      </c>
      <c r="D573">
        <v>1.0431084949709449E-4</v>
      </c>
      <c r="E573" t="s">
        <v>6</v>
      </c>
      <c r="G573" t="s">
        <v>597</v>
      </c>
      <c r="H573" t="s">
        <v>10</v>
      </c>
      <c r="I573">
        <v>2.363202388240308E-2</v>
      </c>
      <c r="J573" t="s">
        <v>6</v>
      </c>
      <c r="L573" t="s">
        <v>598</v>
      </c>
      <c r="M573" t="s">
        <v>10</v>
      </c>
      <c r="N573">
        <v>2.7332361033969226E-2</v>
      </c>
      <c r="O573" t="s">
        <v>6</v>
      </c>
    </row>
    <row r="574" spans="2:15" x14ac:dyDescent="0.45">
      <c r="B574" t="s">
        <v>596</v>
      </c>
      <c r="C574" t="s">
        <v>11</v>
      </c>
      <c r="D574">
        <v>2.2850720276797149E-2</v>
      </c>
      <c r="E574" t="s">
        <v>6</v>
      </c>
      <c r="G574" t="s">
        <v>597</v>
      </c>
      <c r="H574" t="s">
        <v>11</v>
      </c>
      <c r="I574">
        <v>2.3274821508349898E-2</v>
      </c>
      <c r="J574" t="s">
        <v>6</v>
      </c>
      <c r="L574" t="s">
        <v>598</v>
      </c>
      <c r="M574" t="s">
        <v>11</v>
      </c>
      <c r="N574">
        <v>2.7780669257962947E-2</v>
      </c>
      <c r="O574" t="s">
        <v>6</v>
      </c>
    </row>
    <row r="575" spans="2:15" x14ac:dyDescent="0.45">
      <c r="B575" t="s">
        <v>596</v>
      </c>
      <c r="C575" t="s">
        <v>12</v>
      </c>
      <c r="D575">
        <v>5.4923410070535361E-2</v>
      </c>
      <c r="E575" t="s">
        <v>6</v>
      </c>
      <c r="G575" t="s">
        <v>597</v>
      </c>
      <c r="H575" t="s">
        <v>12</v>
      </c>
      <c r="I575">
        <v>2.585956669179958E-2</v>
      </c>
      <c r="J575" t="s">
        <v>6</v>
      </c>
      <c r="L575" t="s">
        <v>598</v>
      </c>
      <c r="M575" t="s">
        <v>12</v>
      </c>
      <c r="N575">
        <v>2.8195655224029316E-2</v>
      </c>
      <c r="O575" t="s">
        <v>6</v>
      </c>
    </row>
    <row r="576" spans="2:15" x14ac:dyDescent="0.45">
      <c r="B576" t="s">
        <v>596</v>
      </c>
      <c r="C576" t="s">
        <v>13</v>
      </c>
      <c r="D576">
        <v>6.3273369843087346E-2</v>
      </c>
      <c r="E576" t="s">
        <v>6</v>
      </c>
      <c r="G576" t="s">
        <v>597</v>
      </c>
      <c r="H576" t="s">
        <v>13</v>
      </c>
      <c r="I576">
        <v>2.9405900321234614E-2</v>
      </c>
      <c r="J576" t="s">
        <v>6</v>
      </c>
      <c r="L576" t="s">
        <v>598</v>
      </c>
      <c r="M576" t="s">
        <v>13</v>
      </c>
      <c r="N576">
        <v>2.8699959961252096E-2</v>
      </c>
      <c r="O576" t="s">
        <v>6</v>
      </c>
    </row>
    <row r="577" spans="2:15" x14ac:dyDescent="0.45">
      <c r="B577" t="s">
        <v>596</v>
      </c>
      <c r="C577" t="s">
        <v>14</v>
      </c>
      <c r="D577">
        <v>4.4143535689964382E-2</v>
      </c>
      <c r="E577" t="s">
        <v>6</v>
      </c>
      <c r="G577" t="s">
        <v>597</v>
      </c>
      <c r="H577" t="s">
        <v>14</v>
      </c>
      <c r="I577">
        <v>2.853309087683794E-2</v>
      </c>
      <c r="J577" t="s">
        <v>6</v>
      </c>
      <c r="L577" t="s">
        <v>598</v>
      </c>
      <c r="M577" t="s">
        <v>14</v>
      </c>
      <c r="N577">
        <v>2.9029281426479536E-2</v>
      </c>
      <c r="O577" t="s">
        <v>6</v>
      </c>
    </row>
    <row r="578" spans="2:15" x14ac:dyDescent="0.45">
      <c r="B578" t="s">
        <v>596</v>
      </c>
      <c r="C578" t="s">
        <v>15</v>
      </c>
      <c r="D578">
        <v>9.7962444343514636E-3</v>
      </c>
      <c r="E578" t="s">
        <v>6</v>
      </c>
      <c r="G578" t="s">
        <v>597</v>
      </c>
      <c r="H578" t="s">
        <v>15</v>
      </c>
      <c r="I578">
        <v>2.4890794221431495E-2</v>
      </c>
      <c r="J578" t="s">
        <v>6</v>
      </c>
      <c r="L578" t="s">
        <v>598</v>
      </c>
      <c r="M578" t="s">
        <v>15</v>
      </c>
      <c r="N578">
        <v>2.9086865155884632E-2</v>
      </c>
      <c r="O578" t="s">
        <v>6</v>
      </c>
    </row>
    <row r="579" spans="2:15" x14ac:dyDescent="0.45">
      <c r="B579" t="s">
        <v>596</v>
      </c>
      <c r="C579" t="s">
        <v>16</v>
      </c>
      <c r="D579">
        <v>0</v>
      </c>
      <c r="E579" t="s">
        <v>6</v>
      </c>
      <c r="G579" t="s">
        <v>597</v>
      </c>
      <c r="H579" t="s">
        <v>16</v>
      </c>
      <c r="I579">
        <v>2.3597778876957486E-2</v>
      </c>
      <c r="J579" t="s">
        <v>6</v>
      </c>
      <c r="L579" t="s">
        <v>598</v>
      </c>
      <c r="M579" t="s">
        <v>16</v>
      </c>
      <c r="N579">
        <v>2.8725913031874203E-2</v>
      </c>
      <c r="O579" t="s">
        <v>6</v>
      </c>
    </row>
    <row r="580" spans="2:15" x14ac:dyDescent="0.45">
      <c r="B580" t="s">
        <v>596</v>
      </c>
      <c r="C580" t="s">
        <v>17</v>
      </c>
      <c r="D580">
        <v>0</v>
      </c>
      <c r="E580" t="s">
        <v>6</v>
      </c>
      <c r="G580" t="s">
        <v>597</v>
      </c>
      <c r="H580" t="s">
        <v>17</v>
      </c>
      <c r="I580">
        <v>3.5755329836161538E-2</v>
      </c>
      <c r="J580" t="s">
        <v>6</v>
      </c>
      <c r="L580" t="s">
        <v>598</v>
      </c>
      <c r="M580" t="s">
        <v>17</v>
      </c>
      <c r="N580">
        <v>4.1476220788146528E-2</v>
      </c>
      <c r="O580" t="s">
        <v>6</v>
      </c>
    </row>
    <row r="581" spans="2:15" x14ac:dyDescent="0.45">
      <c r="B581" t="s">
        <v>596</v>
      </c>
      <c r="C581" t="s">
        <v>18</v>
      </c>
      <c r="D581">
        <v>0</v>
      </c>
      <c r="E581" t="s">
        <v>6</v>
      </c>
      <c r="G581" t="s">
        <v>597</v>
      </c>
      <c r="H581" t="s">
        <v>18</v>
      </c>
      <c r="I581">
        <v>6.2467379663517911E-2</v>
      </c>
      <c r="J581" t="s">
        <v>6</v>
      </c>
      <c r="L581" t="s">
        <v>598</v>
      </c>
      <c r="M581" t="s">
        <v>18</v>
      </c>
      <c r="N581">
        <v>6.9494226297759698E-2</v>
      </c>
      <c r="O581" t="s">
        <v>6</v>
      </c>
    </row>
    <row r="582" spans="2:15" x14ac:dyDescent="0.45">
      <c r="B582" t="s">
        <v>596</v>
      </c>
      <c r="C582" t="s">
        <v>19</v>
      </c>
      <c r="D582">
        <v>1.4456083559667463E-4</v>
      </c>
      <c r="E582" t="s">
        <v>6</v>
      </c>
      <c r="G582" t="s">
        <v>597</v>
      </c>
      <c r="H582" t="s">
        <v>19</v>
      </c>
      <c r="I582">
        <v>2.400585811952087E-2</v>
      </c>
      <c r="J582" t="s">
        <v>6</v>
      </c>
      <c r="L582" t="s">
        <v>598</v>
      </c>
      <c r="M582" t="s">
        <v>19</v>
      </c>
      <c r="N582">
        <v>2.7558043172564571E-2</v>
      </c>
      <c r="O582" t="s">
        <v>6</v>
      </c>
    </row>
    <row r="583" spans="2:15" x14ac:dyDescent="0.45">
      <c r="B583" t="s">
        <v>596</v>
      </c>
      <c r="C583" t="s">
        <v>20</v>
      </c>
      <c r="D583">
        <v>1.0045799835388742E-2</v>
      </c>
      <c r="E583" t="s">
        <v>6</v>
      </c>
      <c r="G583" t="s">
        <v>597</v>
      </c>
      <c r="H583" t="s">
        <v>20</v>
      </c>
      <c r="I583">
        <v>2.3838730651158786E-2</v>
      </c>
      <c r="J583" t="s">
        <v>6</v>
      </c>
      <c r="L583" t="s">
        <v>598</v>
      </c>
      <c r="M583" t="s">
        <v>20</v>
      </c>
      <c r="N583">
        <v>2.6487687195022706E-2</v>
      </c>
      <c r="O583" t="s">
        <v>6</v>
      </c>
    </row>
    <row r="584" spans="2:15" x14ac:dyDescent="0.45">
      <c r="B584" t="s">
        <v>596</v>
      </c>
      <c r="C584" t="s">
        <v>21</v>
      </c>
      <c r="D584">
        <v>4.3155317379555566E-2</v>
      </c>
      <c r="E584" t="s">
        <v>6</v>
      </c>
      <c r="G584" t="s">
        <v>597</v>
      </c>
      <c r="H584" t="s">
        <v>21</v>
      </c>
      <c r="I584">
        <v>2.7361659750216386E-2</v>
      </c>
      <c r="J584" t="s">
        <v>6</v>
      </c>
      <c r="L584" t="s">
        <v>598</v>
      </c>
      <c r="M584" t="s">
        <v>21</v>
      </c>
      <c r="N584">
        <v>2.5967442557381221E-2</v>
      </c>
      <c r="O584" t="s">
        <v>6</v>
      </c>
    </row>
    <row r="585" spans="2:15" x14ac:dyDescent="0.45">
      <c r="B585" t="s">
        <v>596</v>
      </c>
      <c r="C585" t="s">
        <v>22</v>
      </c>
      <c r="D585">
        <v>6.7779711027083855E-2</v>
      </c>
      <c r="E585" t="s">
        <v>6</v>
      </c>
      <c r="G585" t="s">
        <v>597</v>
      </c>
      <c r="H585" t="s">
        <v>22</v>
      </c>
      <c r="I585">
        <v>3.0301397888793248E-2</v>
      </c>
      <c r="J585" t="s">
        <v>6</v>
      </c>
      <c r="L585" t="s">
        <v>598</v>
      </c>
      <c r="M585" t="s">
        <v>22</v>
      </c>
      <c r="N585">
        <v>2.5742646489597346E-2</v>
      </c>
      <c r="O585" t="s">
        <v>6</v>
      </c>
    </row>
    <row r="586" spans="2:15" x14ac:dyDescent="0.45">
      <c r="B586" t="s">
        <v>596</v>
      </c>
      <c r="C586" t="s">
        <v>23</v>
      </c>
      <c r="D586">
        <v>7.1757531255719653E-2</v>
      </c>
      <c r="E586" t="s">
        <v>6</v>
      </c>
      <c r="G586" t="s">
        <v>597</v>
      </c>
      <c r="H586" t="s">
        <v>23</v>
      </c>
      <c r="I586">
        <v>3.4542885652039626E-2</v>
      </c>
      <c r="J586" t="s">
        <v>6</v>
      </c>
      <c r="L586" t="s">
        <v>598</v>
      </c>
      <c r="M586" t="s">
        <v>23</v>
      </c>
      <c r="N586">
        <v>2.5291754795805761E-2</v>
      </c>
      <c r="O586" t="s">
        <v>6</v>
      </c>
    </row>
    <row r="587" spans="2:15" x14ac:dyDescent="0.45">
      <c r="B587" t="s">
        <v>596</v>
      </c>
      <c r="C587" t="s">
        <v>24</v>
      </c>
      <c r="D587">
        <v>5.7497057397465919E-2</v>
      </c>
      <c r="E587" t="s">
        <v>6</v>
      </c>
      <c r="G587" t="s">
        <v>597</v>
      </c>
      <c r="H587" t="s">
        <v>24</v>
      </c>
      <c r="I587">
        <v>3.5418353037088256E-2</v>
      </c>
      <c r="J587" t="s">
        <v>6</v>
      </c>
      <c r="L587" t="s">
        <v>598</v>
      </c>
      <c r="M587" t="s">
        <v>24</v>
      </c>
      <c r="N587">
        <v>2.4902129524382588E-2</v>
      </c>
      <c r="O587" t="s">
        <v>6</v>
      </c>
    </row>
    <row r="588" spans="2:15" x14ac:dyDescent="0.45">
      <c r="B588" t="s">
        <v>596</v>
      </c>
      <c r="C588" t="s">
        <v>25</v>
      </c>
      <c r="D588">
        <v>2.6316083001191964E-2</v>
      </c>
      <c r="E588" t="s">
        <v>6</v>
      </c>
      <c r="G588" t="s">
        <v>597</v>
      </c>
      <c r="H588" t="s">
        <v>25</v>
      </c>
      <c r="I588">
        <v>3.2722960923303492E-2</v>
      </c>
      <c r="J588" t="s">
        <v>6</v>
      </c>
      <c r="L588" t="s">
        <v>598</v>
      </c>
      <c r="M588" t="s">
        <v>25</v>
      </c>
      <c r="N588">
        <v>2.5697596387984512E-2</v>
      </c>
      <c r="O588" t="s">
        <v>6</v>
      </c>
    </row>
    <row r="589" spans="2:15" x14ac:dyDescent="0.45">
      <c r="B589" t="s">
        <v>596</v>
      </c>
      <c r="C589" t="s">
        <v>26</v>
      </c>
      <c r="D589">
        <v>1.6566485869177546E-3</v>
      </c>
      <c r="E589" t="s">
        <v>6</v>
      </c>
      <c r="G589" t="s">
        <v>597</v>
      </c>
      <c r="H589" t="s">
        <v>26</v>
      </c>
      <c r="I589">
        <v>2.8483124491016441E-2</v>
      </c>
      <c r="J589" t="s">
        <v>6</v>
      </c>
      <c r="L589" t="s">
        <v>598</v>
      </c>
      <c r="M589" t="s">
        <v>26</v>
      </c>
      <c r="N589">
        <v>2.6395390279708223E-2</v>
      </c>
      <c r="O589" t="s">
        <v>6</v>
      </c>
    </row>
    <row r="590" spans="2:15" x14ac:dyDescent="0.45">
      <c r="B590" t="s">
        <v>596</v>
      </c>
      <c r="C590" t="s">
        <v>27</v>
      </c>
      <c r="D590">
        <v>0</v>
      </c>
      <c r="E590" t="s">
        <v>6</v>
      </c>
      <c r="G590" t="s">
        <v>597</v>
      </c>
      <c r="H590" t="s">
        <v>27</v>
      </c>
      <c r="I590">
        <v>3.9071536657687089E-2</v>
      </c>
      <c r="J590" t="s">
        <v>6</v>
      </c>
      <c r="L590" t="s">
        <v>598</v>
      </c>
      <c r="M590" t="s">
        <v>27</v>
      </c>
      <c r="N590">
        <v>3.9879157124685254E-2</v>
      </c>
      <c r="O590" t="s">
        <v>6</v>
      </c>
    </row>
    <row r="591" spans="2:15" x14ac:dyDescent="0.45">
      <c r="B591" t="s">
        <v>596</v>
      </c>
      <c r="C591" t="s">
        <v>28</v>
      </c>
      <c r="D591">
        <v>0</v>
      </c>
      <c r="E591" t="s">
        <v>6</v>
      </c>
      <c r="G591" t="s">
        <v>597</v>
      </c>
      <c r="H591" t="s">
        <v>28</v>
      </c>
      <c r="I591">
        <v>2.17134867983317E-2</v>
      </c>
      <c r="J591" t="s">
        <v>6</v>
      </c>
      <c r="L591" t="s">
        <v>598</v>
      </c>
      <c r="M591" t="s">
        <v>28</v>
      </c>
      <c r="N591">
        <v>3.3561996853522388E-2</v>
      </c>
      <c r="O591" t="s">
        <v>6</v>
      </c>
    </row>
    <row r="592" spans="2:15" x14ac:dyDescent="0.45">
      <c r="B592" t="s">
        <v>596</v>
      </c>
      <c r="C592" t="s">
        <v>29</v>
      </c>
      <c r="D592">
        <v>4.2566032262386308E-4</v>
      </c>
      <c r="E592" t="s">
        <v>6</v>
      </c>
      <c r="G592" t="s">
        <v>597</v>
      </c>
      <c r="H592" t="s">
        <v>29</v>
      </c>
      <c r="I592">
        <v>8.7691557152204235E-3</v>
      </c>
      <c r="J592" t="s">
        <v>6</v>
      </c>
      <c r="L592" t="s">
        <v>598</v>
      </c>
      <c r="M592" t="s">
        <v>29</v>
      </c>
      <c r="N592">
        <v>1.3019439718456731E-2</v>
      </c>
      <c r="O592" t="s">
        <v>6</v>
      </c>
    </row>
    <row r="593" spans="2:15" x14ac:dyDescent="0.45">
      <c r="B593" t="s">
        <v>596</v>
      </c>
      <c r="C593" t="s">
        <v>30</v>
      </c>
      <c r="D593">
        <v>1.5017541412248189E-2</v>
      </c>
      <c r="E593" t="s">
        <v>6</v>
      </c>
      <c r="G593" t="s">
        <v>597</v>
      </c>
      <c r="H593" t="s">
        <v>30</v>
      </c>
      <c r="I593">
        <v>8.2743588252881771E-3</v>
      </c>
      <c r="J593" t="s">
        <v>6</v>
      </c>
      <c r="L593" t="s">
        <v>598</v>
      </c>
      <c r="M593" t="s">
        <v>30</v>
      </c>
      <c r="N593">
        <v>1.2473970181826671E-2</v>
      </c>
      <c r="O593" t="s">
        <v>6</v>
      </c>
    </row>
    <row r="594" spans="2:15" x14ac:dyDescent="0.45">
      <c r="B594" t="s">
        <v>596</v>
      </c>
      <c r="C594" t="s">
        <v>31</v>
      </c>
      <c r="D594">
        <v>5.2119695675154162E-2</v>
      </c>
      <c r="E594" t="s">
        <v>6</v>
      </c>
      <c r="G594" t="s">
        <v>597</v>
      </c>
      <c r="H594" t="s">
        <v>31</v>
      </c>
      <c r="I594">
        <v>9.4820460903892109E-3</v>
      </c>
      <c r="J594" t="s">
        <v>6</v>
      </c>
      <c r="L594" t="s">
        <v>598</v>
      </c>
      <c r="M594" t="s">
        <v>31</v>
      </c>
      <c r="N594">
        <v>1.1572559734426609E-2</v>
      </c>
      <c r="O594" t="s">
        <v>6</v>
      </c>
    </row>
    <row r="595" spans="2:15" x14ac:dyDescent="0.45">
      <c r="B595" t="s">
        <v>596</v>
      </c>
      <c r="C595" t="s">
        <v>32</v>
      </c>
      <c r="D595">
        <v>7.6109205346815631E-2</v>
      </c>
      <c r="E595" t="s">
        <v>6</v>
      </c>
      <c r="G595" t="s">
        <v>597</v>
      </c>
      <c r="H595" t="s">
        <v>32</v>
      </c>
      <c r="I595">
        <v>1.0785322112337403E-2</v>
      </c>
      <c r="J595" t="s">
        <v>6</v>
      </c>
      <c r="L595" t="s">
        <v>598</v>
      </c>
      <c r="M595" t="s">
        <v>32</v>
      </c>
      <c r="N595">
        <v>1.1444936871655504E-2</v>
      </c>
      <c r="O595" t="s">
        <v>6</v>
      </c>
    </row>
    <row r="596" spans="2:15" x14ac:dyDescent="0.45">
      <c r="B596" t="s">
        <v>596</v>
      </c>
      <c r="C596" t="s">
        <v>33</v>
      </c>
      <c r="D596">
        <v>7.8390574284328149E-2</v>
      </c>
      <c r="E596" t="s">
        <v>6</v>
      </c>
      <c r="G596" t="s">
        <v>597</v>
      </c>
      <c r="H596" t="s">
        <v>33</v>
      </c>
      <c r="I596">
        <v>1.4398852776091937E-2</v>
      </c>
      <c r="J596" t="s">
        <v>6</v>
      </c>
      <c r="L596" t="s">
        <v>598</v>
      </c>
      <c r="M596" t="s">
        <v>33</v>
      </c>
      <c r="N596">
        <v>1.2060339499202084E-2</v>
      </c>
      <c r="O596" t="s">
        <v>6</v>
      </c>
    </row>
    <row r="597" spans="2:15" x14ac:dyDescent="0.45">
      <c r="B597" t="s">
        <v>596</v>
      </c>
      <c r="C597" t="s">
        <v>34</v>
      </c>
      <c r="D597">
        <v>6.1138019183082995E-2</v>
      </c>
      <c r="E597" t="s">
        <v>6</v>
      </c>
      <c r="G597" t="s">
        <v>597</v>
      </c>
      <c r="H597" t="s">
        <v>34</v>
      </c>
      <c r="I597">
        <v>1.6758415089024443E-2</v>
      </c>
      <c r="J597" t="s">
        <v>6</v>
      </c>
      <c r="L597" t="s">
        <v>598</v>
      </c>
      <c r="M597" t="s">
        <v>34</v>
      </c>
      <c r="N597">
        <v>1.3425889506735416E-2</v>
      </c>
      <c r="O597" t="s">
        <v>6</v>
      </c>
    </row>
    <row r="598" spans="2:15" x14ac:dyDescent="0.45">
      <c r="B598" t="s">
        <v>596</v>
      </c>
      <c r="C598" t="s">
        <v>35</v>
      </c>
      <c r="D598">
        <v>3.1429120888601149E-2</v>
      </c>
      <c r="E598" t="s">
        <v>6</v>
      </c>
      <c r="G598" t="s">
        <v>597</v>
      </c>
      <c r="H598" t="s">
        <v>35</v>
      </c>
      <c r="I598">
        <v>1.5649115771812407E-2</v>
      </c>
      <c r="J598" t="s">
        <v>6</v>
      </c>
      <c r="L598" t="s">
        <v>598</v>
      </c>
      <c r="M598" t="s">
        <v>35</v>
      </c>
      <c r="N598">
        <v>1.4653413446986905E-2</v>
      </c>
      <c r="O598" t="s">
        <v>6</v>
      </c>
    </row>
    <row r="599" spans="2:15" x14ac:dyDescent="0.45">
      <c r="B599" t="s">
        <v>596</v>
      </c>
      <c r="C599" t="s">
        <v>36</v>
      </c>
      <c r="D599">
        <v>4.3308187920003058E-3</v>
      </c>
      <c r="E599" t="s">
        <v>6</v>
      </c>
      <c r="G599" t="s">
        <v>597</v>
      </c>
      <c r="H599" t="s">
        <v>36</v>
      </c>
      <c r="I599">
        <v>1.1498561299141069E-2</v>
      </c>
      <c r="J599" t="s">
        <v>6</v>
      </c>
      <c r="L599" t="s">
        <v>598</v>
      </c>
      <c r="M599" t="s">
        <v>36</v>
      </c>
      <c r="N599">
        <v>1.4687814159372051E-2</v>
      </c>
      <c r="O599" t="s">
        <v>6</v>
      </c>
    </row>
    <row r="600" spans="2:15" x14ac:dyDescent="0.45">
      <c r="B600" t="s">
        <v>596</v>
      </c>
      <c r="C600" t="s">
        <v>37</v>
      </c>
      <c r="D600">
        <v>0</v>
      </c>
      <c r="E600" t="s">
        <v>6</v>
      </c>
      <c r="G600" t="s">
        <v>597</v>
      </c>
      <c r="H600" t="s">
        <v>37</v>
      </c>
      <c r="I600">
        <v>1.2571194805142244E-2</v>
      </c>
      <c r="J600" t="s">
        <v>6</v>
      </c>
      <c r="L600" t="s">
        <v>598</v>
      </c>
      <c r="M600" t="s">
        <v>37</v>
      </c>
      <c r="N600">
        <v>2.0900937733364378E-2</v>
      </c>
      <c r="O600" t="s">
        <v>6</v>
      </c>
    </row>
    <row r="601" spans="2:15" x14ac:dyDescent="0.45">
      <c r="B601" t="s">
        <v>596</v>
      </c>
      <c r="C601" t="s">
        <v>38</v>
      </c>
      <c r="D601">
        <v>0</v>
      </c>
      <c r="E601" t="s">
        <v>6</v>
      </c>
      <c r="G601" t="s">
        <v>597</v>
      </c>
      <c r="H601" t="s">
        <v>38</v>
      </c>
      <c r="I601">
        <v>4.3790023519006321E-2</v>
      </c>
      <c r="J601" t="s">
        <v>6</v>
      </c>
      <c r="L601" t="s">
        <v>598</v>
      </c>
      <c r="M601" t="s">
        <v>38</v>
      </c>
      <c r="N601">
        <v>4.1444518003659787E-2</v>
      </c>
      <c r="O601" t="s">
        <v>6</v>
      </c>
    </row>
    <row r="602" spans="2:15" x14ac:dyDescent="0.45">
      <c r="B602" t="s">
        <v>596</v>
      </c>
      <c r="C602" t="s">
        <v>39</v>
      </c>
      <c r="D602">
        <v>0</v>
      </c>
      <c r="E602" t="s">
        <v>6</v>
      </c>
      <c r="G602" t="s">
        <v>597</v>
      </c>
      <c r="H602" t="s">
        <v>39</v>
      </c>
      <c r="I602">
        <v>1.6912098409367582E-2</v>
      </c>
      <c r="J602" t="s">
        <v>6</v>
      </c>
      <c r="L602" t="s">
        <v>598</v>
      </c>
      <c r="M602" t="s">
        <v>39</v>
      </c>
      <c r="N602">
        <v>1.6173151980214507E-2</v>
      </c>
      <c r="O602" t="s">
        <v>6</v>
      </c>
    </row>
    <row r="603" spans="2:15" x14ac:dyDescent="0.45">
      <c r="B603" t="s">
        <v>596</v>
      </c>
      <c r="C603" t="s">
        <v>40</v>
      </c>
      <c r="D603">
        <v>4.1082659172017675E-3</v>
      </c>
      <c r="E603" t="s">
        <v>6</v>
      </c>
      <c r="G603" t="s">
        <v>597</v>
      </c>
      <c r="H603" t="s">
        <v>40</v>
      </c>
      <c r="I603">
        <v>1.6710227758672928E-2</v>
      </c>
      <c r="J603" t="s">
        <v>6</v>
      </c>
      <c r="L603" t="s">
        <v>598</v>
      </c>
      <c r="M603" t="s">
        <v>40</v>
      </c>
      <c r="N603">
        <v>1.5847090573990291E-2</v>
      </c>
      <c r="O603" t="s">
        <v>6</v>
      </c>
    </row>
    <row r="604" spans="2:15" x14ac:dyDescent="0.45">
      <c r="B604" t="s">
        <v>596</v>
      </c>
      <c r="C604" t="s">
        <v>41</v>
      </c>
      <c r="D604">
        <v>3.2690877365108166E-2</v>
      </c>
      <c r="E604" t="s">
        <v>6</v>
      </c>
      <c r="G604" t="s">
        <v>597</v>
      </c>
      <c r="H604" t="s">
        <v>41</v>
      </c>
      <c r="I604">
        <v>1.8947847477076153E-2</v>
      </c>
      <c r="J604" t="s">
        <v>6</v>
      </c>
      <c r="L604" t="s">
        <v>598</v>
      </c>
      <c r="M604" t="s">
        <v>41</v>
      </c>
      <c r="N604">
        <v>1.5844011363784508E-2</v>
      </c>
      <c r="O604" t="s">
        <v>6</v>
      </c>
    </row>
    <row r="605" spans="2:15" x14ac:dyDescent="0.45">
      <c r="B605" t="s">
        <v>596</v>
      </c>
      <c r="C605" t="s">
        <v>42</v>
      </c>
      <c r="D605">
        <v>5.7789038596071138E-2</v>
      </c>
      <c r="E605" t="s">
        <v>6</v>
      </c>
      <c r="G605" t="s">
        <v>597</v>
      </c>
      <c r="H605" t="s">
        <v>42</v>
      </c>
      <c r="I605">
        <v>2.1729835714035438E-2</v>
      </c>
      <c r="J605" t="s">
        <v>6</v>
      </c>
      <c r="L605" t="s">
        <v>598</v>
      </c>
      <c r="M605" t="s">
        <v>42</v>
      </c>
      <c r="N605">
        <v>1.5272848996521593E-2</v>
      </c>
      <c r="O605" t="s">
        <v>6</v>
      </c>
    </row>
    <row r="606" spans="2:15" x14ac:dyDescent="0.45">
      <c r="B606" t="s">
        <v>596</v>
      </c>
      <c r="C606" t="s">
        <v>43</v>
      </c>
      <c r="D606">
        <v>6.0020212264017603E-2</v>
      </c>
      <c r="E606" t="s">
        <v>6</v>
      </c>
      <c r="G606" t="s">
        <v>597</v>
      </c>
      <c r="H606" t="s">
        <v>43</v>
      </c>
      <c r="I606">
        <v>2.384744656945411E-2</v>
      </c>
      <c r="J606" t="s">
        <v>6</v>
      </c>
      <c r="L606" t="s">
        <v>598</v>
      </c>
      <c r="M606" t="s">
        <v>43</v>
      </c>
      <c r="N606">
        <v>1.4456014521082342E-2</v>
      </c>
      <c r="O606" t="s">
        <v>6</v>
      </c>
    </row>
    <row r="607" spans="2:15" x14ac:dyDescent="0.45">
      <c r="B607" t="s">
        <v>596</v>
      </c>
      <c r="C607" t="s">
        <v>44</v>
      </c>
      <c r="D607">
        <v>4.1397082161508919E-2</v>
      </c>
      <c r="E607" t="s">
        <v>6</v>
      </c>
      <c r="G607" t="s">
        <v>597</v>
      </c>
      <c r="H607" t="s">
        <v>44</v>
      </c>
      <c r="I607">
        <v>2.3665972573812963E-2</v>
      </c>
      <c r="J607" t="s">
        <v>6</v>
      </c>
      <c r="L607" t="s">
        <v>598</v>
      </c>
      <c r="M607" t="s">
        <v>44</v>
      </c>
      <c r="N607">
        <v>1.4393162356784067E-2</v>
      </c>
      <c r="O607" t="s">
        <v>6</v>
      </c>
    </row>
    <row r="608" spans="2:15" x14ac:dyDescent="0.45">
      <c r="B608" t="s">
        <v>596</v>
      </c>
      <c r="C608" t="s">
        <v>45</v>
      </c>
      <c r="D608">
        <v>1.1515428955192331E-2</v>
      </c>
      <c r="E608" t="s">
        <v>6</v>
      </c>
      <c r="G608" t="s">
        <v>597</v>
      </c>
      <c r="H608" t="s">
        <v>45</v>
      </c>
      <c r="I608">
        <v>2.1339442159947281E-2</v>
      </c>
      <c r="J608" t="s">
        <v>6</v>
      </c>
      <c r="L608" t="s">
        <v>598</v>
      </c>
      <c r="M608" t="s">
        <v>45</v>
      </c>
      <c r="N608">
        <v>1.5420217419566607E-2</v>
      </c>
      <c r="O608" t="s">
        <v>6</v>
      </c>
    </row>
    <row r="609" spans="2:15" x14ac:dyDescent="0.45">
      <c r="B609" t="s">
        <v>596</v>
      </c>
      <c r="C609" t="s">
        <v>46</v>
      </c>
      <c r="D609">
        <v>7.4158352891432795E-5</v>
      </c>
      <c r="E609" t="s">
        <v>6</v>
      </c>
      <c r="G609" t="s">
        <v>597</v>
      </c>
      <c r="H609" t="s">
        <v>46</v>
      </c>
      <c r="I609">
        <v>1.8839835583089503E-2</v>
      </c>
      <c r="J609" t="s">
        <v>6</v>
      </c>
      <c r="L609" t="s">
        <v>598</v>
      </c>
      <c r="M609" t="s">
        <v>46</v>
      </c>
      <c r="N609">
        <v>1.6697413865118638E-2</v>
      </c>
      <c r="O609" t="s">
        <v>6</v>
      </c>
    </row>
    <row r="610" spans="2:15" x14ac:dyDescent="0.45">
      <c r="B610" t="s">
        <v>596</v>
      </c>
      <c r="C610" t="s">
        <v>47</v>
      </c>
      <c r="D610">
        <v>0</v>
      </c>
      <c r="E610" t="s">
        <v>6</v>
      </c>
      <c r="G610" t="s">
        <v>597</v>
      </c>
      <c r="H610" t="s">
        <v>47</v>
      </c>
      <c r="I610">
        <v>2.6753454967133852E-2</v>
      </c>
      <c r="J610" t="s">
        <v>6</v>
      </c>
      <c r="L610" t="s">
        <v>598</v>
      </c>
      <c r="M610" t="s">
        <v>47</v>
      </c>
      <c r="N610">
        <v>2.597208393096841E-2</v>
      </c>
      <c r="O610" t="s">
        <v>6</v>
      </c>
    </row>
    <row r="611" spans="2:15" x14ac:dyDescent="0.45">
      <c r="B611" t="s">
        <v>599</v>
      </c>
      <c r="C611" t="s">
        <v>5</v>
      </c>
      <c r="D611">
        <v>0</v>
      </c>
      <c r="E611" t="s">
        <v>6</v>
      </c>
      <c r="G611" t="s">
        <v>600</v>
      </c>
      <c r="H611" t="s">
        <v>5</v>
      </c>
      <c r="I611">
        <v>6.0430636848792754E-2</v>
      </c>
      <c r="J611" t="s">
        <v>6</v>
      </c>
      <c r="L611" t="s">
        <v>601</v>
      </c>
      <c r="M611" t="s">
        <v>5</v>
      </c>
      <c r="N611">
        <v>5.8830485853617089E-2</v>
      </c>
      <c r="O611" t="s">
        <v>6</v>
      </c>
    </row>
    <row r="612" spans="2:15" x14ac:dyDescent="0.45">
      <c r="B612" t="s">
        <v>599</v>
      </c>
      <c r="C612" t="s">
        <v>9</v>
      </c>
      <c r="D612">
        <v>0</v>
      </c>
      <c r="E612" t="s">
        <v>6</v>
      </c>
      <c r="G612" t="s">
        <v>600</v>
      </c>
      <c r="H612" t="s">
        <v>9</v>
      </c>
      <c r="I612">
        <v>2.4399649819781342E-2</v>
      </c>
      <c r="J612" t="s">
        <v>6</v>
      </c>
      <c r="L612" t="s">
        <v>601</v>
      </c>
      <c r="M612" t="s">
        <v>9</v>
      </c>
      <c r="N612">
        <v>2.4211891274252266E-2</v>
      </c>
      <c r="O612" t="s">
        <v>6</v>
      </c>
    </row>
    <row r="613" spans="2:15" x14ac:dyDescent="0.45">
      <c r="B613" t="s">
        <v>599</v>
      </c>
      <c r="C613" t="s">
        <v>10</v>
      </c>
      <c r="D613">
        <v>3.6538311474030102E-4</v>
      </c>
      <c r="E613" t="s">
        <v>6</v>
      </c>
      <c r="G613" t="s">
        <v>600</v>
      </c>
      <c r="H613" t="s">
        <v>10</v>
      </c>
      <c r="I613">
        <v>2.4231648333372297E-2</v>
      </c>
      <c r="J613" t="s">
        <v>6</v>
      </c>
      <c r="L613" t="s">
        <v>601</v>
      </c>
      <c r="M613" t="s">
        <v>10</v>
      </c>
      <c r="N613">
        <v>2.4746070347982155E-2</v>
      </c>
      <c r="O613" t="s">
        <v>6</v>
      </c>
    </row>
    <row r="614" spans="2:15" x14ac:dyDescent="0.45">
      <c r="B614" t="s">
        <v>599</v>
      </c>
      <c r="C614" t="s">
        <v>11</v>
      </c>
      <c r="D614">
        <v>2.5673680743110511E-2</v>
      </c>
      <c r="E614" t="s">
        <v>6</v>
      </c>
      <c r="G614" t="s">
        <v>600</v>
      </c>
      <c r="H614" t="s">
        <v>11</v>
      </c>
      <c r="I614">
        <v>2.4956763482060853E-2</v>
      </c>
      <c r="J614" t="s">
        <v>6</v>
      </c>
      <c r="L614" t="s">
        <v>601</v>
      </c>
      <c r="M614" t="s">
        <v>11</v>
      </c>
      <c r="N614">
        <v>2.5691549526846227E-2</v>
      </c>
      <c r="O614" t="s">
        <v>6</v>
      </c>
    </row>
    <row r="615" spans="2:15" x14ac:dyDescent="0.45">
      <c r="B615" t="s">
        <v>599</v>
      </c>
      <c r="C615" t="s">
        <v>12</v>
      </c>
      <c r="D615">
        <v>5.7311019119888722E-2</v>
      </c>
      <c r="E615" t="s">
        <v>6</v>
      </c>
      <c r="G615" t="s">
        <v>600</v>
      </c>
      <c r="H615" t="s">
        <v>12</v>
      </c>
      <c r="I615">
        <v>2.7166625620224427E-2</v>
      </c>
      <c r="J615" t="s">
        <v>6</v>
      </c>
      <c r="L615" t="s">
        <v>601</v>
      </c>
      <c r="M615" t="s">
        <v>12</v>
      </c>
      <c r="N615">
        <v>2.6463549998852764E-2</v>
      </c>
      <c r="O615" t="s">
        <v>6</v>
      </c>
    </row>
    <row r="616" spans="2:15" x14ac:dyDescent="0.45">
      <c r="B616" t="s">
        <v>599</v>
      </c>
      <c r="C616" t="s">
        <v>13</v>
      </c>
      <c r="D616">
        <v>6.3450353201493878E-2</v>
      </c>
      <c r="E616" t="s">
        <v>6</v>
      </c>
      <c r="G616" t="s">
        <v>600</v>
      </c>
      <c r="H616" t="s">
        <v>13</v>
      </c>
      <c r="I616">
        <v>2.8275769623341444E-2</v>
      </c>
      <c r="J616" t="s">
        <v>6</v>
      </c>
      <c r="L616" t="s">
        <v>601</v>
      </c>
      <c r="M616" t="s">
        <v>13</v>
      </c>
      <c r="N616">
        <v>2.7715044210257563E-2</v>
      </c>
      <c r="O616" t="s">
        <v>6</v>
      </c>
    </row>
    <row r="617" spans="2:15" x14ac:dyDescent="0.45">
      <c r="B617" t="s">
        <v>599</v>
      </c>
      <c r="C617" t="s">
        <v>14</v>
      </c>
      <c r="D617">
        <v>4.0468014508999131E-2</v>
      </c>
      <c r="E617" t="s">
        <v>6</v>
      </c>
      <c r="G617" t="s">
        <v>600</v>
      </c>
      <c r="H617" t="s">
        <v>14</v>
      </c>
      <c r="I617">
        <v>2.8382977267033354E-2</v>
      </c>
      <c r="J617" t="s">
        <v>6</v>
      </c>
      <c r="L617" t="s">
        <v>601</v>
      </c>
      <c r="M617" t="s">
        <v>14</v>
      </c>
      <c r="N617">
        <v>2.8324620065150821E-2</v>
      </c>
      <c r="O617" t="s">
        <v>6</v>
      </c>
    </row>
    <row r="618" spans="2:15" x14ac:dyDescent="0.45">
      <c r="B618" t="s">
        <v>599</v>
      </c>
      <c r="C618" t="s">
        <v>15</v>
      </c>
      <c r="D618">
        <v>5.9187671337210968E-3</v>
      </c>
      <c r="E618" t="s">
        <v>6</v>
      </c>
      <c r="G618" t="s">
        <v>600</v>
      </c>
      <c r="H618" t="s">
        <v>15</v>
      </c>
      <c r="I618">
        <v>2.7549970587890913E-2</v>
      </c>
      <c r="J618" t="s">
        <v>6</v>
      </c>
      <c r="L618" t="s">
        <v>601</v>
      </c>
      <c r="M618" t="s">
        <v>15</v>
      </c>
      <c r="N618">
        <v>2.8250484831398914E-2</v>
      </c>
      <c r="O618" t="s">
        <v>6</v>
      </c>
    </row>
    <row r="619" spans="2:15" x14ac:dyDescent="0.45">
      <c r="B619" t="s">
        <v>599</v>
      </c>
      <c r="C619" t="s">
        <v>16</v>
      </c>
      <c r="D619">
        <v>0</v>
      </c>
      <c r="E619" t="s">
        <v>6</v>
      </c>
      <c r="G619" t="s">
        <v>600</v>
      </c>
      <c r="H619" t="s">
        <v>16</v>
      </c>
      <c r="I619">
        <v>2.5935279411200982E-2</v>
      </c>
      <c r="J619" t="s">
        <v>6</v>
      </c>
      <c r="L619" t="s">
        <v>601</v>
      </c>
      <c r="M619" t="s">
        <v>16</v>
      </c>
      <c r="N619">
        <v>2.7027396446481028E-2</v>
      </c>
      <c r="O619" t="s">
        <v>6</v>
      </c>
    </row>
    <row r="620" spans="2:15" x14ac:dyDescent="0.45">
      <c r="B620" t="s">
        <v>599</v>
      </c>
      <c r="C620" t="s">
        <v>17</v>
      </c>
      <c r="D620">
        <v>0</v>
      </c>
      <c r="E620" t="s">
        <v>6</v>
      </c>
      <c r="G620" t="s">
        <v>600</v>
      </c>
      <c r="H620" t="s">
        <v>17</v>
      </c>
      <c r="I620">
        <v>3.6187803971319668E-2</v>
      </c>
      <c r="J620" t="s">
        <v>6</v>
      </c>
      <c r="L620" t="s">
        <v>601</v>
      </c>
      <c r="M620" t="s">
        <v>17</v>
      </c>
      <c r="N620">
        <v>3.6875920061900207E-2</v>
      </c>
      <c r="O620" t="s">
        <v>6</v>
      </c>
    </row>
    <row r="621" spans="2:15" x14ac:dyDescent="0.45">
      <c r="B621" t="s">
        <v>599</v>
      </c>
      <c r="C621" t="s">
        <v>18</v>
      </c>
      <c r="D621">
        <v>0</v>
      </c>
      <c r="E621" t="s">
        <v>6</v>
      </c>
      <c r="G621" t="s">
        <v>600</v>
      </c>
      <c r="H621" t="s">
        <v>18</v>
      </c>
      <c r="I621">
        <v>6.521468760312607E-2</v>
      </c>
      <c r="J621" t="s">
        <v>6</v>
      </c>
      <c r="L621" t="s">
        <v>601</v>
      </c>
      <c r="M621" t="s">
        <v>18</v>
      </c>
      <c r="N621">
        <v>7.0640091399660335E-2</v>
      </c>
      <c r="O621" t="s">
        <v>6</v>
      </c>
    </row>
    <row r="622" spans="2:15" x14ac:dyDescent="0.45">
      <c r="B622" t="s">
        <v>599</v>
      </c>
      <c r="C622" t="s">
        <v>19</v>
      </c>
      <c r="D622">
        <v>2.8854134994208021E-4</v>
      </c>
      <c r="E622" t="s">
        <v>6</v>
      </c>
      <c r="G622" t="s">
        <v>600</v>
      </c>
      <c r="H622" t="s">
        <v>19</v>
      </c>
      <c r="I622">
        <v>2.4928640974382132E-2</v>
      </c>
      <c r="J622" t="s">
        <v>6</v>
      </c>
      <c r="L622" t="s">
        <v>601</v>
      </c>
      <c r="M622" t="s">
        <v>19</v>
      </c>
      <c r="N622">
        <v>2.7730640906446811E-2</v>
      </c>
      <c r="O622" t="s">
        <v>6</v>
      </c>
    </row>
    <row r="623" spans="2:15" x14ac:dyDescent="0.45">
      <c r="B623" t="s">
        <v>599</v>
      </c>
      <c r="C623" t="s">
        <v>20</v>
      </c>
      <c r="D623">
        <v>1.2678056270007421E-2</v>
      </c>
      <c r="E623" t="s">
        <v>6</v>
      </c>
      <c r="G623" t="s">
        <v>600</v>
      </c>
      <c r="H623" t="s">
        <v>20</v>
      </c>
      <c r="I623">
        <v>2.5020471448157153E-2</v>
      </c>
      <c r="J623" t="s">
        <v>6</v>
      </c>
      <c r="L623" t="s">
        <v>601</v>
      </c>
      <c r="M623" t="s">
        <v>20</v>
      </c>
      <c r="N623">
        <v>2.7372652522946482E-2</v>
      </c>
      <c r="O623" t="s">
        <v>6</v>
      </c>
    </row>
    <row r="624" spans="2:15" x14ac:dyDescent="0.45">
      <c r="B624" t="s">
        <v>599</v>
      </c>
      <c r="C624" t="s">
        <v>21</v>
      </c>
      <c r="D624">
        <v>4.7461167517601772E-2</v>
      </c>
      <c r="E624" t="s">
        <v>6</v>
      </c>
      <c r="G624" t="s">
        <v>600</v>
      </c>
      <c r="H624" t="s">
        <v>21</v>
      </c>
      <c r="I624">
        <v>2.5545650659326263E-2</v>
      </c>
      <c r="J624" t="s">
        <v>6</v>
      </c>
      <c r="L624" t="s">
        <v>601</v>
      </c>
      <c r="M624" t="s">
        <v>21</v>
      </c>
      <c r="N624">
        <v>2.7178607340755667E-2</v>
      </c>
      <c r="O624" t="s">
        <v>6</v>
      </c>
    </row>
    <row r="625" spans="2:15" x14ac:dyDescent="0.45">
      <c r="B625" t="s">
        <v>599</v>
      </c>
      <c r="C625" t="s">
        <v>22</v>
      </c>
      <c r="D625">
        <v>6.9698645253911728E-2</v>
      </c>
      <c r="E625" t="s">
        <v>6</v>
      </c>
      <c r="G625" t="s">
        <v>600</v>
      </c>
      <c r="H625" t="s">
        <v>22</v>
      </c>
      <c r="I625">
        <v>2.705173348479737E-2</v>
      </c>
      <c r="J625" t="s">
        <v>6</v>
      </c>
      <c r="L625" t="s">
        <v>601</v>
      </c>
      <c r="M625" t="s">
        <v>22</v>
      </c>
      <c r="N625">
        <v>2.7747529114887662E-2</v>
      </c>
      <c r="O625" t="s">
        <v>6</v>
      </c>
    </row>
    <row r="626" spans="2:15" x14ac:dyDescent="0.45">
      <c r="B626" t="s">
        <v>599</v>
      </c>
      <c r="C626" t="s">
        <v>23</v>
      </c>
      <c r="D626">
        <v>6.7791654983315672E-2</v>
      </c>
      <c r="E626" t="s">
        <v>6</v>
      </c>
      <c r="G626" t="s">
        <v>600</v>
      </c>
      <c r="H626" t="s">
        <v>23</v>
      </c>
      <c r="I626">
        <v>2.9427981248440118E-2</v>
      </c>
      <c r="J626" t="s">
        <v>6</v>
      </c>
      <c r="L626" t="s">
        <v>601</v>
      </c>
      <c r="M626" t="s">
        <v>23</v>
      </c>
      <c r="N626">
        <v>2.8934485025178164E-2</v>
      </c>
      <c r="O626" t="s">
        <v>6</v>
      </c>
    </row>
    <row r="627" spans="2:15" x14ac:dyDescent="0.45">
      <c r="B627" t="s">
        <v>599</v>
      </c>
      <c r="C627" t="s">
        <v>24</v>
      </c>
      <c r="D627">
        <v>4.869775015659536E-2</v>
      </c>
      <c r="E627" t="s">
        <v>6</v>
      </c>
      <c r="G627" t="s">
        <v>600</v>
      </c>
      <c r="H627" t="s">
        <v>24</v>
      </c>
      <c r="I627">
        <v>3.0406675100895186E-2</v>
      </c>
      <c r="J627" t="s">
        <v>6</v>
      </c>
      <c r="L627" t="s">
        <v>601</v>
      </c>
      <c r="M627" t="s">
        <v>24</v>
      </c>
      <c r="N627">
        <v>2.9483047552050532E-2</v>
      </c>
      <c r="O627" t="s">
        <v>6</v>
      </c>
    </row>
    <row r="628" spans="2:15" x14ac:dyDescent="0.45">
      <c r="B628" t="s">
        <v>599</v>
      </c>
      <c r="C628" t="s">
        <v>25</v>
      </c>
      <c r="D628">
        <v>2.0351529694146865E-2</v>
      </c>
      <c r="E628" t="s">
        <v>6</v>
      </c>
      <c r="G628" t="s">
        <v>600</v>
      </c>
      <c r="H628" t="s">
        <v>25</v>
      </c>
      <c r="I628">
        <v>2.9409146945893992E-2</v>
      </c>
      <c r="J628" t="s">
        <v>6</v>
      </c>
      <c r="L628" t="s">
        <v>601</v>
      </c>
      <c r="M628" t="s">
        <v>25</v>
      </c>
      <c r="N628">
        <v>2.8963082960199164E-2</v>
      </c>
      <c r="O628" t="s">
        <v>6</v>
      </c>
    </row>
    <row r="629" spans="2:15" x14ac:dyDescent="0.45">
      <c r="B629" t="s">
        <v>599</v>
      </c>
      <c r="C629" t="s">
        <v>26</v>
      </c>
      <c r="D629">
        <v>1.1236435806405137E-3</v>
      </c>
      <c r="E629" t="s">
        <v>6</v>
      </c>
      <c r="G629" t="s">
        <v>600</v>
      </c>
      <c r="H629" t="s">
        <v>26</v>
      </c>
      <c r="I629">
        <v>2.7466897883126146E-2</v>
      </c>
      <c r="J629" t="s">
        <v>6</v>
      </c>
      <c r="L629" t="s">
        <v>601</v>
      </c>
      <c r="M629" t="s">
        <v>26</v>
      </c>
      <c r="N629">
        <v>2.7796327681293791E-2</v>
      </c>
      <c r="O629" t="s">
        <v>6</v>
      </c>
    </row>
    <row r="630" spans="2:15" x14ac:dyDescent="0.45">
      <c r="B630" t="s">
        <v>599</v>
      </c>
      <c r="C630" t="s">
        <v>27</v>
      </c>
      <c r="D630">
        <v>0</v>
      </c>
      <c r="E630" t="s">
        <v>6</v>
      </c>
      <c r="G630" t="s">
        <v>600</v>
      </c>
      <c r="H630" t="s">
        <v>27</v>
      </c>
      <c r="I630">
        <v>3.984967228621044E-2</v>
      </c>
      <c r="J630" t="s">
        <v>6</v>
      </c>
      <c r="L630" t="s">
        <v>601</v>
      </c>
      <c r="M630" t="s">
        <v>27</v>
      </c>
      <c r="N630">
        <v>4.0586610733032262E-2</v>
      </c>
      <c r="O630" t="s">
        <v>6</v>
      </c>
    </row>
    <row r="631" spans="2:15" x14ac:dyDescent="0.45">
      <c r="B631" t="s">
        <v>599</v>
      </c>
      <c r="C631" t="s">
        <v>28</v>
      </c>
      <c r="D631">
        <v>0</v>
      </c>
      <c r="E631" t="s">
        <v>6</v>
      </c>
      <c r="G631" t="s">
        <v>600</v>
      </c>
      <c r="H631" t="s">
        <v>28</v>
      </c>
      <c r="I631">
        <v>2.7082177838281426E-2</v>
      </c>
      <c r="J631" t="s">
        <v>6</v>
      </c>
      <c r="L631" t="s">
        <v>601</v>
      </c>
      <c r="M631" t="s">
        <v>28</v>
      </c>
      <c r="N631">
        <v>2.7723575316530909E-2</v>
      </c>
      <c r="O631" t="s">
        <v>6</v>
      </c>
    </row>
    <row r="632" spans="2:15" x14ac:dyDescent="0.45">
      <c r="B632" t="s">
        <v>599</v>
      </c>
      <c r="C632" t="s">
        <v>29</v>
      </c>
      <c r="D632">
        <v>8.8040788154792617E-4</v>
      </c>
      <c r="E632" t="s">
        <v>6</v>
      </c>
      <c r="G632" t="s">
        <v>600</v>
      </c>
      <c r="H632" t="s">
        <v>29</v>
      </c>
      <c r="I632">
        <v>1.010827434599617E-2</v>
      </c>
      <c r="J632" t="s">
        <v>6</v>
      </c>
      <c r="L632" t="s">
        <v>601</v>
      </c>
      <c r="M632" t="s">
        <v>29</v>
      </c>
      <c r="N632">
        <v>9.6795113854780141E-3</v>
      </c>
      <c r="O632" t="s">
        <v>6</v>
      </c>
    </row>
    <row r="633" spans="2:15" x14ac:dyDescent="0.45">
      <c r="B633" t="s">
        <v>599</v>
      </c>
      <c r="C633" t="s">
        <v>30</v>
      </c>
      <c r="D633">
        <v>2.0214971742132534E-2</v>
      </c>
      <c r="E633" t="s">
        <v>6</v>
      </c>
      <c r="G633" t="s">
        <v>600</v>
      </c>
      <c r="H633" t="s">
        <v>30</v>
      </c>
      <c r="I633">
        <v>9.4280607539591783E-3</v>
      </c>
      <c r="J633" t="s">
        <v>6</v>
      </c>
      <c r="L633" t="s">
        <v>601</v>
      </c>
      <c r="M633" t="s">
        <v>30</v>
      </c>
      <c r="N633">
        <v>9.1374214971908577E-3</v>
      </c>
      <c r="O633" t="s">
        <v>6</v>
      </c>
    </row>
    <row r="634" spans="2:15" x14ac:dyDescent="0.45">
      <c r="B634" t="s">
        <v>599</v>
      </c>
      <c r="C634" t="s">
        <v>31</v>
      </c>
      <c r="D634">
        <v>5.9199672709695818E-2</v>
      </c>
      <c r="E634" t="s">
        <v>6</v>
      </c>
      <c r="G634" t="s">
        <v>600</v>
      </c>
      <c r="H634" t="s">
        <v>31</v>
      </c>
      <c r="I634">
        <v>9.7061025028423349E-3</v>
      </c>
      <c r="J634" t="s">
        <v>6</v>
      </c>
      <c r="L634" t="s">
        <v>601</v>
      </c>
      <c r="M634" t="s">
        <v>31</v>
      </c>
      <c r="N634">
        <v>9.1999263825170499E-3</v>
      </c>
      <c r="O634" t="s">
        <v>6</v>
      </c>
    </row>
    <row r="635" spans="2:15" x14ac:dyDescent="0.45">
      <c r="B635" t="s">
        <v>599</v>
      </c>
      <c r="C635" t="s">
        <v>32</v>
      </c>
      <c r="D635">
        <v>8.1204009412615089E-2</v>
      </c>
      <c r="E635" t="s">
        <v>6</v>
      </c>
      <c r="G635" t="s">
        <v>600</v>
      </c>
      <c r="H635" t="s">
        <v>32</v>
      </c>
      <c r="I635">
        <v>1.1708228007749278E-2</v>
      </c>
      <c r="J635" t="s">
        <v>6</v>
      </c>
      <c r="L635" t="s">
        <v>601</v>
      </c>
      <c r="M635" t="s">
        <v>32</v>
      </c>
      <c r="N635">
        <v>1.1397380114219945E-2</v>
      </c>
      <c r="O635" t="s">
        <v>6</v>
      </c>
    </row>
    <row r="636" spans="2:15" x14ac:dyDescent="0.45">
      <c r="B636" t="s">
        <v>599</v>
      </c>
      <c r="C636" t="s">
        <v>33</v>
      </c>
      <c r="D636">
        <v>8.0252164331594419E-2</v>
      </c>
      <c r="E636" t="s">
        <v>6</v>
      </c>
      <c r="G636" t="s">
        <v>600</v>
      </c>
      <c r="H636" t="s">
        <v>33</v>
      </c>
      <c r="I636">
        <v>1.6242608878312782E-2</v>
      </c>
      <c r="J636" t="s">
        <v>6</v>
      </c>
      <c r="L636" t="s">
        <v>601</v>
      </c>
      <c r="M636" t="s">
        <v>33</v>
      </c>
      <c r="N636">
        <v>1.5464711452575466E-2</v>
      </c>
      <c r="O636" t="s">
        <v>6</v>
      </c>
    </row>
    <row r="637" spans="2:15" x14ac:dyDescent="0.45">
      <c r="B637" t="s">
        <v>599</v>
      </c>
      <c r="C637" t="s">
        <v>34</v>
      </c>
      <c r="D637">
        <v>6.1339303931839062E-2</v>
      </c>
      <c r="E637" t="s">
        <v>6</v>
      </c>
      <c r="G637" t="s">
        <v>600</v>
      </c>
      <c r="H637" t="s">
        <v>34</v>
      </c>
      <c r="I637">
        <v>1.9618656395366876E-2</v>
      </c>
      <c r="J637" t="s">
        <v>6</v>
      </c>
      <c r="L637" t="s">
        <v>601</v>
      </c>
      <c r="M637" t="s">
        <v>34</v>
      </c>
      <c r="N637">
        <v>1.914269382899567E-2</v>
      </c>
      <c r="O637" t="s">
        <v>6</v>
      </c>
    </row>
    <row r="638" spans="2:15" x14ac:dyDescent="0.45">
      <c r="B638" t="s">
        <v>599</v>
      </c>
      <c r="C638" t="s">
        <v>35</v>
      </c>
      <c r="D638">
        <v>2.9334966970004227E-2</v>
      </c>
      <c r="E638" t="s">
        <v>6</v>
      </c>
      <c r="G638" t="s">
        <v>600</v>
      </c>
      <c r="H638" t="s">
        <v>35</v>
      </c>
      <c r="I638">
        <v>1.8727371567282058E-2</v>
      </c>
      <c r="J638" t="s">
        <v>6</v>
      </c>
      <c r="L638" t="s">
        <v>601</v>
      </c>
      <c r="M638" t="s">
        <v>35</v>
      </c>
      <c r="N638">
        <v>1.9458547144930852E-2</v>
      </c>
      <c r="O638" t="s">
        <v>6</v>
      </c>
    </row>
    <row r="639" spans="2:15" x14ac:dyDescent="0.45">
      <c r="B639" t="s">
        <v>599</v>
      </c>
      <c r="C639" t="s">
        <v>36</v>
      </c>
      <c r="D639">
        <v>3.5064178350134503E-3</v>
      </c>
      <c r="E639" t="s">
        <v>6</v>
      </c>
      <c r="G639" t="s">
        <v>600</v>
      </c>
      <c r="H639" t="s">
        <v>36</v>
      </c>
      <c r="I639">
        <v>1.6048228321991001E-2</v>
      </c>
      <c r="J639" t="s">
        <v>6</v>
      </c>
      <c r="L639" t="s">
        <v>601</v>
      </c>
      <c r="M639" t="s">
        <v>36</v>
      </c>
      <c r="N639">
        <v>1.7338845288836845E-2</v>
      </c>
      <c r="O639" t="s">
        <v>6</v>
      </c>
    </row>
    <row r="640" spans="2:15" x14ac:dyDescent="0.45">
      <c r="B640" t="s">
        <v>599</v>
      </c>
      <c r="C640" t="s">
        <v>37</v>
      </c>
      <c r="D640">
        <v>0</v>
      </c>
      <c r="E640" t="s">
        <v>6</v>
      </c>
      <c r="G640" t="s">
        <v>600</v>
      </c>
      <c r="H640" t="s">
        <v>37</v>
      </c>
      <c r="I640">
        <v>1.9349355247702614E-2</v>
      </c>
      <c r="J640" t="s">
        <v>6</v>
      </c>
      <c r="L640" t="s">
        <v>601</v>
      </c>
      <c r="M640" t="s">
        <v>37</v>
      </c>
      <c r="N640">
        <v>2.079005965573804E-2</v>
      </c>
      <c r="O640" t="s">
        <v>6</v>
      </c>
    </row>
    <row r="641" spans="2:15" x14ac:dyDescent="0.45">
      <c r="B641" t="s">
        <v>599</v>
      </c>
      <c r="C641" t="s">
        <v>38</v>
      </c>
      <c r="D641">
        <v>0</v>
      </c>
      <c r="E641" t="s">
        <v>6</v>
      </c>
      <c r="G641" t="s">
        <v>600</v>
      </c>
      <c r="H641" t="s">
        <v>38</v>
      </c>
      <c r="I641">
        <v>4.2020305145449494E-2</v>
      </c>
      <c r="J641" t="s">
        <v>6</v>
      </c>
      <c r="L641" t="s">
        <v>601</v>
      </c>
      <c r="M641" t="s">
        <v>38</v>
      </c>
      <c r="N641">
        <v>3.9354427645062917E-2</v>
      </c>
      <c r="O641" t="s">
        <v>6</v>
      </c>
    </row>
    <row r="642" spans="2:15" x14ac:dyDescent="0.45">
      <c r="B642" t="s">
        <v>599</v>
      </c>
      <c r="C642" t="s">
        <v>39</v>
      </c>
      <c r="D642">
        <v>0</v>
      </c>
      <c r="E642" t="s">
        <v>6</v>
      </c>
      <c r="G642" t="s">
        <v>600</v>
      </c>
      <c r="H642" t="s">
        <v>39</v>
      </c>
      <c r="I642">
        <v>1.6834249668081093E-2</v>
      </c>
      <c r="J642" t="s">
        <v>6</v>
      </c>
      <c r="L642" t="s">
        <v>601</v>
      </c>
      <c r="M642" t="s">
        <v>39</v>
      </c>
      <c r="N642">
        <v>1.5869968538371606E-2</v>
      </c>
      <c r="O642" t="s">
        <v>6</v>
      </c>
    </row>
    <row r="643" spans="2:15" x14ac:dyDescent="0.45">
      <c r="B643" t="s">
        <v>599</v>
      </c>
      <c r="C643" t="s">
        <v>40</v>
      </c>
      <c r="D643">
        <v>5.330326031298442E-3</v>
      </c>
      <c r="E643" t="s">
        <v>6</v>
      </c>
      <c r="G643" t="s">
        <v>600</v>
      </c>
      <c r="H643" t="s">
        <v>40</v>
      </c>
      <c r="I643">
        <v>1.6660375675618556E-2</v>
      </c>
      <c r="J643" t="s">
        <v>6</v>
      </c>
      <c r="L643" t="s">
        <v>601</v>
      </c>
      <c r="M643" t="s">
        <v>40</v>
      </c>
      <c r="N643">
        <v>1.5889725343783811E-2</v>
      </c>
      <c r="O643" t="s">
        <v>6</v>
      </c>
    </row>
    <row r="644" spans="2:15" x14ac:dyDescent="0.45">
      <c r="B644" t="s">
        <v>599</v>
      </c>
      <c r="C644" t="s">
        <v>41</v>
      </c>
      <c r="D644">
        <v>3.461373747073427E-2</v>
      </c>
      <c r="E644" t="s">
        <v>6</v>
      </c>
      <c r="G644" t="s">
        <v>600</v>
      </c>
      <c r="H644" t="s">
        <v>41</v>
      </c>
      <c r="I644">
        <v>1.698559408611788E-2</v>
      </c>
      <c r="J644" t="s">
        <v>6</v>
      </c>
      <c r="L644" t="s">
        <v>601</v>
      </c>
      <c r="M644" t="s">
        <v>41</v>
      </c>
      <c r="N644">
        <v>1.6251213318269453E-2</v>
      </c>
      <c r="O644" t="s">
        <v>6</v>
      </c>
    </row>
    <row r="645" spans="2:15" x14ac:dyDescent="0.45">
      <c r="B645" t="s">
        <v>599</v>
      </c>
      <c r="C645" t="s">
        <v>42</v>
      </c>
      <c r="D645">
        <v>5.8715149149601645E-2</v>
      </c>
      <c r="E645" t="s">
        <v>6</v>
      </c>
      <c r="G645" t="s">
        <v>600</v>
      </c>
      <c r="H645" t="s">
        <v>42</v>
      </c>
      <c r="I645">
        <v>1.8430612741555271E-2</v>
      </c>
      <c r="J645" t="s">
        <v>6</v>
      </c>
      <c r="L645" t="s">
        <v>601</v>
      </c>
      <c r="M645" t="s">
        <v>42</v>
      </c>
      <c r="N645">
        <v>1.6892886421364016E-2</v>
      </c>
      <c r="O645" t="s">
        <v>6</v>
      </c>
    </row>
    <row r="646" spans="2:15" x14ac:dyDescent="0.45">
      <c r="B646" t="s">
        <v>599</v>
      </c>
      <c r="C646" t="s">
        <v>43</v>
      </c>
      <c r="D646">
        <v>5.7777104874728577E-2</v>
      </c>
      <c r="E646" t="s">
        <v>6</v>
      </c>
      <c r="G646" t="s">
        <v>600</v>
      </c>
      <c r="H646" t="s">
        <v>43</v>
      </c>
      <c r="I646">
        <v>1.8899550710534056E-2</v>
      </c>
      <c r="J646" t="s">
        <v>6</v>
      </c>
      <c r="L646" t="s">
        <v>601</v>
      </c>
      <c r="M646" t="s">
        <v>43</v>
      </c>
      <c r="N646">
        <v>1.7096702140176806E-2</v>
      </c>
      <c r="O646" t="s">
        <v>6</v>
      </c>
    </row>
    <row r="647" spans="2:15" x14ac:dyDescent="0.45">
      <c r="B647" t="s">
        <v>599</v>
      </c>
      <c r="C647" t="s">
        <v>44</v>
      </c>
      <c r="D647">
        <v>3.7476978782355008E-2</v>
      </c>
      <c r="E647" t="s">
        <v>6</v>
      </c>
      <c r="G647" t="s">
        <v>600</v>
      </c>
      <c r="H647" t="s">
        <v>44</v>
      </c>
      <c r="I647">
        <v>1.9197118661019273E-2</v>
      </c>
      <c r="J647" t="s">
        <v>6</v>
      </c>
      <c r="L647" t="s">
        <v>601</v>
      </c>
      <c r="M647" t="s">
        <v>44</v>
      </c>
      <c r="N647">
        <v>1.7363505440733749E-2</v>
      </c>
      <c r="O647" t="s">
        <v>6</v>
      </c>
    </row>
    <row r="648" spans="2:15" x14ac:dyDescent="0.45">
      <c r="B648" t="s">
        <v>599</v>
      </c>
      <c r="C648" t="s">
        <v>45</v>
      </c>
      <c r="D648">
        <v>8.8506460053899057E-3</v>
      </c>
      <c r="E648" t="s">
        <v>6</v>
      </c>
      <c r="G648" t="s">
        <v>600</v>
      </c>
      <c r="H648" t="s">
        <v>45</v>
      </c>
      <c r="I648">
        <v>1.8210893504157648E-2</v>
      </c>
      <c r="J648" t="s">
        <v>6</v>
      </c>
      <c r="L648" t="s">
        <v>601</v>
      </c>
      <c r="M648" t="s">
        <v>45</v>
      </c>
      <c r="N648">
        <v>1.6912969795158085E-2</v>
      </c>
      <c r="O648" t="s">
        <v>6</v>
      </c>
    </row>
    <row r="649" spans="2:15" x14ac:dyDescent="0.45">
      <c r="B649" t="s">
        <v>599</v>
      </c>
      <c r="C649" t="s">
        <v>46</v>
      </c>
      <c r="D649">
        <v>2.5936243334701151E-5</v>
      </c>
      <c r="E649" t="s">
        <v>6</v>
      </c>
      <c r="G649" t="s">
        <v>600</v>
      </c>
      <c r="H649" t="s">
        <v>46</v>
      </c>
      <c r="I649">
        <v>1.7330462025171675E-2</v>
      </c>
      <c r="J649" t="s">
        <v>6</v>
      </c>
      <c r="L649" t="s">
        <v>601</v>
      </c>
      <c r="M649" t="s">
        <v>46</v>
      </c>
      <c r="N649">
        <v>1.6195269737234421E-2</v>
      </c>
      <c r="O649" t="s">
        <v>6</v>
      </c>
    </row>
    <row r="650" spans="2:15" x14ac:dyDescent="0.45">
      <c r="B650" t="s">
        <v>599</v>
      </c>
      <c r="C650" t="s">
        <v>47</v>
      </c>
      <c r="D650">
        <v>0</v>
      </c>
      <c r="E650" t="s">
        <v>6</v>
      </c>
      <c r="G650" t="s">
        <v>600</v>
      </c>
      <c r="H650" t="s">
        <v>47</v>
      </c>
      <c r="I650">
        <v>2.5573091323438674E-2</v>
      </c>
      <c r="J650" t="s">
        <v>6</v>
      </c>
      <c r="L650" t="s">
        <v>601</v>
      </c>
      <c r="M650" t="s">
        <v>47</v>
      </c>
      <c r="N650">
        <v>2.4270571699639001E-2</v>
      </c>
      <c r="O650" t="s">
        <v>6</v>
      </c>
    </row>
    <row r="651" spans="2:15" x14ac:dyDescent="0.45">
      <c r="B651" t="s">
        <v>602</v>
      </c>
      <c r="C651" t="s">
        <v>5</v>
      </c>
      <c r="D651">
        <v>0</v>
      </c>
      <c r="E651" t="s">
        <v>6</v>
      </c>
      <c r="G651" t="s">
        <v>603</v>
      </c>
      <c r="H651" t="s">
        <v>5</v>
      </c>
      <c r="I651">
        <v>6.2915790287227047E-2</v>
      </c>
      <c r="J651" t="s">
        <v>6</v>
      </c>
      <c r="L651" t="s">
        <v>604</v>
      </c>
      <c r="M651" t="s">
        <v>5</v>
      </c>
      <c r="N651">
        <v>6.3049853825394145E-2</v>
      </c>
      <c r="O651" t="s">
        <v>6</v>
      </c>
    </row>
    <row r="652" spans="2:15" x14ac:dyDescent="0.45">
      <c r="B652" t="s">
        <v>602</v>
      </c>
      <c r="C652" t="s">
        <v>9</v>
      </c>
      <c r="D652">
        <v>0</v>
      </c>
      <c r="E652" t="s">
        <v>6</v>
      </c>
      <c r="G652" t="s">
        <v>603</v>
      </c>
      <c r="H652" t="s">
        <v>9</v>
      </c>
      <c r="I652">
        <v>2.4159815076335075E-2</v>
      </c>
      <c r="J652" t="s">
        <v>6</v>
      </c>
      <c r="L652" t="s">
        <v>604</v>
      </c>
      <c r="M652" t="s">
        <v>9</v>
      </c>
      <c r="N652">
        <v>2.6074844476165333E-2</v>
      </c>
      <c r="O652" t="s">
        <v>6</v>
      </c>
    </row>
    <row r="653" spans="2:15" x14ac:dyDescent="0.45">
      <c r="B653" t="s">
        <v>602</v>
      </c>
      <c r="C653" t="s">
        <v>10</v>
      </c>
      <c r="D653">
        <v>4.2308337630528683E-4</v>
      </c>
      <c r="E653" t="s">
        <v>6</v>
      </c>
      <c r="G653" t="s">
        <v>603</v>
      </c>
      <c r="H653" t="s">
        <v>10</v>
      </c>
      <c r="I653">
        <v>2.2621224680079703E-2</v>
      </c>
      <c r="J653" t="s">
        <v>6</v>
      </c>
      <c r="L653" t="s">
        <v>604</v>
      </c>
      <c r="M653" t="s">
        <v>10</v>
      </c>
      <c r="N653">
        <v>2.639631275038825E-2</v>
      </c>
      <c r="O653" t="s">
        <v>6</v>
      </c>
    </row>
    <row r="654" spans="2:15" x14ac:dyDescent="0.45">
      <c r="B654" t="s">
        <v>602</v>
      </c>
      <c r="C654" t="s">
        <v>11</v>
      </c>
      <c r="D654">
        <v>2.5691244919392953E-2</v>
      </c>
      <c r="E654" t="s">
        <v>6</v>
      </c>
      <c r="G654" t="s">
        <v>603</v>
      </c>
      <c r="H654" t="s">
        <v>11</v>
      </c>
      <c r="I654">
        <v>2.2819782568723985E-2</v>
      </c>
      <c r="J654" t="s">
        <v>6</v>
      </c>
      <c r="L654" t="s">
        <v>604</v>
      </c>
      <c r="M654" t="s">
        <v>11</v>
      </c>
      <c r="N654">
        <v>2.6426586464543933E-2</v>
      </c>
      <c r="O654" t="s">
        <v>6</v>
      </c>
    </row>
    <row r="655" spans="2:15" x14ac:dyDescent="0.45">
      <c r="B655" t="s">
        <v>602</v>
      </c>
      <c r="C655" t="s">
        <v>12</v>
      </c>
      <c r="D655">
        <v>5.8601444006935365E-2</v>
      </c>
      <c r="E655" t="s">
        <v>6</v>
      </c>
      <c r="G655" t="s">
        <v>603</v>
      </c>
      <c r="H655" t="s">
        <v>12</v>
      </c>
      <c r="I655">
        <v>2.9425300590062535E-2</v>
      </c>
      <c r="J655" t="s">
        <v>6</v>
      </c>
      <c r="L655" t="s">
        <v>604</v>
      </c>
      <c r="M655" t="s">
        <v>12</v>
      </c>
      <c r="N655">
        <v>2.6399630275448782E-2</v>
      </c>
      <c r="O655" t="s">
        <v>6</v>
      </c>
    </row>
    <row r="656" spans="2:15" x14ac:dyDescent="0.45">
      <c r="B656" t="s">
        <v>602</v>
      </c>
      <c r="C656" t="s">
        <v>13</v>
      </c>
      <c r="D656">
        <v>6.4051414452975672E-2</v>
      </c>
      <c r="E656" t="s">
        <v>6</v>
      </c>
      <c r="G656" t="s">
        <v>603</v>
      </c>
      <c r="H656" t="s">
        <v>13</v>
      </c>
      <c r="I656">
        <v>3.2973180372937914E-2</v>
      </c>
      <c r="J656" t="s">
        <v>6</v>
      </c>
      <c r="L656" t="s">
        <v>604</v>
      </c>
      <c r="M656" t="s">
        <v>13</v>
      </c>
      <c r="N656">
        <v>2.6503319228669449E-2</v>
      </c>
      <c r="O656" t="s">
        <v>6</v>
      </c>
    </row>
    <row r="657" spans="2:15" x14ac:dyDescent="0.45">
      <c r="B657" t="s">
        <v>602</v>
      </c>
      <c r="C657" t="s">
        <v>14</v>
      </c>
      <c r="D657">
        <v>3.8682728282812481E-2</v>
      </c>
      <c r="E657" t="s">
        <v>6</v>
      </c>
      <c r="G657" t="s">
        <v>603</v>
      </c>
      <c r="H657" t="s">
        <v>14</v>
      </c>
      <c r="I657">
        <v>3.2047679686068087E-2</v>
      </c>
      <c r="J657" t="s">
        <v>6</v>
      </c>
      <c r="L657" t="s">
        <v>604</v>
      </c>
      <c r="M657" t="s">
        <v>14</v>
      </c>
      <c r="N657">
        <v>2.5681430580363599E-2</v>
      </c>
      <c r="O657" t="s">
        <v>6</v>
      </c>
    </row>
    <row r="658" spans="2:15" x14ac:dyDescent="0.45">
      <c r="B658" t="s">
        <v>602</v>
      </c>
      <c r="C658" t="s">
        <v>15</v>
      </c>
      <c r="D658">
        <v>4.8506455047047431E-3</v>
      </c>
      <c r="E658" t="s">
        <v>6</v>
      </c>
      <c r="G658" t="s">
        <v>603</v>
      </c>
      <c r="H658" t="s">
        <v>15</v>
      </c>
      <c r="I658">
        <v>2.9370574205961189E-2</v>
      </c>
      <c r="J658" t="s">
        <v>6</v>
      </c>
      <c r="L658" t="s">
        <v>604</v>
      </c>
      <c r="M658" t="s">
        <v>15</v>
      </c>
      <c r="N658">
        <v>2.5128369797975298E-2</v>
      </c>
      <c r="O658" t="s">
        <v>6</v>
      </c>
    </row>
    <row r="659" spans="2:15" x14ac:dyDescent="0.45">
      <c r="B659" t="s">
        <v>602</v>
      </c>
      <c r="C659" t="s">
        <v>16</v>
      </c>
      <c r="D659">
        <v>0</v>
      </c>
      <c r="E659" t="s">
        <v>6</v>
      </c>
      <c r="G659" t="s">
        <v>603</v>
      </c>
      <c r="H659" t="s">
        <v>16</v>
      </c>
      <c r="I659">
        <v>2.7027328739109291E-2</v>
      </c>
      <c r="J659" t="s">
        <v>6</v>
      </c>
      <c r="L659" t="s">
        <v>604</v>
      </c>
      <c r="M659" t="s">
        <v>16</v>
      </c>
      <c r="N659">
        <v>2.4392104246381822E-2</v>
      </c>
      <c r="O659" t="s">
        <v>6</v>
      </c>
    </row>
    <row r="660" spans="2:15" x14ac:dyDescent="0.45">
      <c r="B660" t="s">
        <v>602</v>
      </c>
      <c r="C660" t="s">
        <v>17</v>
      </c>
      <c r="D660">
        <v>0</v>
      </c>
      <c r="E660" t="s">
        <v>6</v>
      </c>
      <c r="G660" t="s">
        <v>603</v>
      </c>
      <c r="H660" t="s">
        <v>17</v>
      </c>
      <c r="I660">
        <v>3.8944911361073815E-2</v>
      </c>
      <c r="J660" t="s">
        <v>6</v>
      </c>
      <c r="L660" t="s">
        <v>604</v>
      </c>
      <c r="M660" t="s">
        <v>17</v>
      </c>
      <c r="N660">
        <v>3.5555056831513367E-2</v>
      </c>
      <c r="O660" t="s">
        <v>6</v>
      </c>
    </row>
    <row r="661" spans="2:15" x14ac:dyDescent="0.45">
      <c r="B661" t="s">
        <v>602</v>
      </c>
      <c r="C661" t="s">
        <v>18</v>
      </c>
      <c r="D661">
        <v>0</v>
      </c>
      <c r="E661" t="s">
        <v>6</v>
      </c>
      <c r="G661" t="s">
        <v>603</v>
      </c>
      <c r="H661" t="s">
        <v>18</v>
      </c>
      <c r="I661">
        <v>7.0387004229828257E-2</v>
      </c>
      <c r="J661" t="s">
        <v>6</v>
      </c>
      <c r="L661" t="s">
        <v>604</v>
      </c>
      <c r="M661" t="s">
        <v>18</v>
      </c>
      <c r="N661">
        <v>7.3175082581233203E-2</v>
      </c>
      <c r="O661" t="s">
        <v>6</v>
      </c>
    </row>
    <row r="662" spans="2:15" x14ac:dyDescent="0.45">
      <c r="B662" t="s">
        <v>602</v>
      </c>
      <c r="C662" t="s">
        <v>19</v>
      </c>
      <c r="D662">
        <v>4.217512269604559E-4</v>
      </c>
      <c r="E662" t="s">
        <v>6</v>
      </c>
      <c r="G662" t="s">
        <v>603</v>
      </c>
      <c r="H662" t="s">
        <v>19</v>
      </c>
      <c r="I662">
        <v>2.765108953321296E-2</v>
      </c>
      <c r="J662" t="s">
        <v>6</v>
      </c>
      <c r="L662" t="s">
        <v>604</v>
      </c>
      <c r="M662" t="s">
        <v>19</v>
      </c>
      <c r="N662">
        <v>2.7853469651183672E-2</v>
      </c>
      <c r="O662" t="s">
        <v>6</v>
      </c>
    </row>
    <row r="663" spans="2:15" x14ac:dyDescent="0.45">
      <c r="B663" t="s">
        <v>602</v>
      </c>
      <c r="C663" t="s">
        <v>20</v>
      </c>
      <c r="D663">
        <v>1.3526580843088512E-2</v>
      </c>
      <c r="E663" t="s">
        <v>6</v>
      </c>
      <c r="G663" t="s">
        <v>603</v>
      </c>
      <c r="H663" t="s">
        <v>20</v>
      </c>
      <c r="I663">
        <v>2.7281201033477111E-2</v>
      </c>
      <c r="J663" t="s">
        <v>6</v>
      </c>
      <c r="L663" t="s">
        <v>604</v>
      </c>
      <c r="M663" t="s">
        <v>20</v>
      </c>
      <c r="N663">
        <v>2.6755405729367489E-2</v>
      </c>
      <c r="O663" t="s">
        <v>6</v>
      </c>
    </row>
    <row r="664" spans="2:15" x14ac:dyDescent="0.45">
      <c r="B664" t="s">
        <v>602</v>
      </c>
      <c r="C664" t="s">
        <v>21</v>
      </c>
      <c r="D664">
        <v>5.0023477465011783E-2</v>
      </c>
      <c r="E664" t="s">
        <v>6</v>
      </c>
      <c r="G664" t="s">
        <v>603</v>
      </c>
      <c r="H664" t="s">
        <v>21</v>
      </c>
      <c r="I664">
        <v>3.1150642895303976E-2</v>
      </c>
      <c r="J664" t="s">
        <v>6</v>
      </c>
      <c r="L664" t="s">
        <v>604</v>
      </c>
      <c r="M664" t="s">
        <v>21</v>
      </c>
      <c r="N664">
        <v>2.6017053836219464E-2</v>
      </c>
      <c r="O664" t="s">
        <v>6</v>
      </c>
    </row>
    <row r="665" spans="2:15" x14ac:dyDescent="0.45">
      <c r="B665" t="s">
        <v>602</v>
      </c>
      <c r="C665" t="s">
        <v>22</v>
      </c>
      <c r="D665">
        <v>7.5128803842825637E-2</v>
      </c>
      <c r="E665" t="s">
        <v>6</v>
      </c>
      <c r="G665" t="s">
        <v>603</v>
      </c>
      <c r="H665" t="s">
        <v>22</v>
      </c>
      <c r="I665">
        <v>3.4645129907023266E-2</v>
      </c>
      <c r="J665" t="s">
        <v>6</v>
      </c>
      <c r="L665" t="s">
        <v>604</v>
      </c>
      <c r="M665" t="s">
        <v>22</v>
      </c>
      <c r="N665">
        <v>2.5887699013912847E-2</v>
      </c>
      <c r="O665" t="s">
        <v>6</v>
      </c>
    </row>
    <row r="666" spans="2:15" x14ac:dyDescent="0.45">
      <c r="B666" t="s">
        <v>602</v>
      </c>
      <c r="C666" t="s">
        <v>23</v>
      </c>
      <c r="D666">
        <v>7.4480951511920829E-2</v>
      </c>
      <c r="E666" t="s">
        <v>6</v>
      </c>
      <c r="G666" t="s">
        <v>603</v>
      </c>
      <c r="H666" t="s">
        <v>23</v>
      </c>
      <c r="I666">
        <v>3.9613362812313251E-2</v>
      </c>
      <c r="J666" t="s">
        <v>6</v>
      </c>
      <c r="L666" t="s">
        <v>604</v>
      </c>
      <c r="M666" t="s">
        <v>23</v>
      </c>
      <c r="N666">
        <v>2.5991132928874366E-2</v>
      </c>
      <c r="O666" t="s">
        <v>6</v>
      </c>
    </row>
    <row r="667" spans="2:15" x14ac:dyDescent="0.45">
      <c r="B667" t="s">
        <v>602</v>
      </c>
      <c r="C667" t="s">
        <v>24</v>
      </c>
      <c r="D667">
        <v>5.3852810310966379E-2</v>
      </c>
      <c r="E667" t="s">
        <v>6</v>
      </c>
      <c r="G667" t="s">
        <v>603</v>
      </c>
      <c r="H667" t="s">
        <v>24</v>
      </c>
      <c r="I667">
        <v>4.0649404664351199E-2</v>
      </c>
      <c r="J667" t="s">
        <v>6</v>
      </c>
      <c r="L667" t="s">
        <v>604</v>
      </c>
      <c r="M667" t="s">
        <v>24</v>
      </c>
      <c r="N667">
        <v>2.6500870626570791E-2</v>
      </c>
      <c r="O667" t="s">
        <v>6</v>
      </c>
    </row>
    <row r="668" spans="2:15" x14ac:dyDescent="0.45">
      <c r="B668" t="s">
        <v>602</v>
      </c>
      <c r="C668" t="s">
        <v>25</v>
      </c>
      <c r="D668">
        <v>2.1541621257649513E-2</v>
      </c>
      <c r="E668" t="s">
        <v>6</v>
      </c>
      <c r="G668" t="s">
        <v>603</v>
      </c>
      <c r="H668" t="s">
        <v>25</v>
      </c>
      <c r="I668">
        <v>3.7110516886535577E-2</v>
      </c>
      <c r="J668" t="s">
        <v>6</v>
      </c>
      <c r="L668" t="s">
        <v>604</v>
      </c>
      <c r="M668" t="s">
        <v>25</v>
      </c>
      <c r="N668">
        <v>2.7294162752497068E-2</v>
      </c>
      <c r="O668" t="s">
        <v>6</v>
      </c>
    </row>
    <row r="669" spans="2:15" x14ac:dyDescent="0.45">
      <c r="B669" t="s">
        <v>602</v>
      </c>
      <c r="C669" t="s">
        <v>26</v>
      </c>
      <c r="D669">
        <v>1.1175005186688219E-3</v>
      </c>
      <c r="E669" t="s">
        <v>6</v>
      </c>
      <c r="G669" t="s">
        <v>603</v>
      </c>
      <c r="H669" t="s">
        <v>26</v>
      </c>
      <c r="I669">
        <v>3.3114204517992983E-2</v>
      </c>
      <c r="J669" t="s">
        <v>6</v>
      </c>
      <c r="L669" t="s">
        <v>604</v>
      </c>
      <c r="M669" t="s">
        <v>26</v>
      </c>
      <c r="N669">
        <v>2.7872757974689598E-2</v>
      </c>
      <c r="O669" t="s">
        <v>6</v>
      </c>
    </row>
    <row r="670" spans="2:15" x14ac:dyDescent="0.45">
      <c r="B670" t="s">
        <v>602</v>
      </c>
      <c r="C670" t="s">
        <v>27</v>
      </c>
      <c r="D670">
        <v>0</v>
      </c>
      <c r="E670" t="s">
        <v>6</v>
      </c>
      <c r="G670" t="s">
        <v>603</v>
      </c>
      <c r="H670" t="s">
        <v>27</v>
      </c>
      <c r="I670">
        <v>4.4706074776158455E-2</v>
      </c>
      <c r="J670" t="s">
        <v>6</v>
      </c>
      <c r="L670" t="s">
        <v>604</v>
      </c>
      <c r="M670" t="s">
        <v>27</v>
      </c>
      <c r="N670">
        <v>4.230014195659007E-2</v>
      </c>
      <c r="O670" t="s">
        <v>6</v>
      </c>
    </row>
    <row r="671" spans="2:15" x14ac:dyDescent="0.45">
      <c r="B671" t="s">
        <v>602</v>
      </c>
      <c r="C671" t="s">
        <v>28</v>
      </c>
      <c r="D671">
        <v>0</v>
      </c>
      <c r="E671" t="s">
        <v>6</v>
      </c>
      <c r="G671" t="s">
        <v>603</v>
      </c>
      <c r="H671" t="s">
        <v>28</v>
      </c>
      <c r="I671">
        <v>1.6385059361497537E-2</v>
      </c>
      <c r="J671" t="s">
        <v>6</v>
      </c>
      <c r="L671" t="s">
        <v>604</v>
      </c>
      <c r="M671" t="s">
        <v>28</v>
      </c>
      <c r="N671">
        <v>2.7909569838526865E-2</v>
      </c>
      <c r="O671" t="s">
        <v>6</v>
      </c>
    </row>
    <row r="672" spans="2:15" x14ac:dyDescent="0.45">
      <c r="B672" t="s">
        <v>602</v>
      </c>
      <c r="C672" t="s">
        <v>29</v>
      </c>
      <c r="D672">
        <v>1.0858776149064203E-3</v>
      </c>
      <c r="E672" t="s">
        <v>6</v>
      </c>
      <c r="G672" t="s">
        <v>603</v>
      </c>
      <c r="H672" t="s">
        <v>29</v>
      </c>
      <c r="I672">
        <v>6.3755285251953465E-3</v>
      </c>
      <c r="J672" t="s">
        <v>6</v>
      </c>
      <c r="L672" t="s">
        <v>604</v>
      </c>
      <c r="M672" t="s">
        <v>29</v>
      </c>
      <c r="N672">
        <v>1.0712055054191958E-2</v>
      </c>
      <c r="O672" t="s">
        <v>6</v>
      </c>
    </row>
    <row r="673" spans="2:15" x14ac:dyDescent="0.45">
      <c r="B673" t="s">
        <v>602</v>
      </c>
      <c r="C673" t="s">
        <v>30</v>
      </c>
      <c r="D673">
        <v>2.011933159347459E-2</v>
      </c>
      <c r="E673" t="s">
        <v>6</v>
      </c>
      <c r="G673" t="s">
        <v>603</v>
      </c>
      <c r="H673" t="s">
        <v>30</v>
      </c>
      <c r="I673">
        <v>5.496777628092476E-3</v>
      </c>
      <c r="J673" t="s">
        <v>6</v>
      </c>
      <c r="L673" t="s">
        <v>604</v>
      </c>
      <c r="M673" t="s">
        <v>30</v>
      </c>
      <c r="N673">
        <v>1.0355931855376196E-2</v>
      </c>
      <c r="O673" t="s">
        <v>6</v>
      </c>
    </row>
    <row r="674" spans="2:15" x14ac:dyDescent="0.45">
      <c r="B674" t="s">
        <v>602</v>
      </c>
      <c r="C674" t="s">
        <v>31</v>
      </c>
      <c r="D674">
        <v>5.7877743394727302E-2</v>
      </c>
      <c r="E674" t="s">
        <v>6</v>
      </c>
      <c r="G674" t="s">
        <v>603</v>
      </c>
      <c r="H674" t="s">
        <v>31</v>
      </c>
      <c r="I674">
        <v>6.5728738676085249E-3</v>
      </c>
      <c r="J674" t="s">
        <v>6</v>
      </c>
      <c r="L674" t="s">
        <v>604</v>
      </c>
      <c r="M674" t="s">
        <v>31</v>
      </c>
      <c r="N674">
        <v>1.0479367306306518E-2</v>
      </c>
      <c r="O674" t="s">
        <v>6</v>
      </c>
    </row>
    <row r="675" spans="2:15" x14ac:dyDescent="0.45">
      <c r="B675" t="s">
        <v>602</v>
      </c>
      <c r="C675" t="s">
        <v>32</v>
      </c>
      <c r="D675">
        <v>7.8037789173132865E-2</v>
      </c>
      <c r="E675" t="s">
        <v>6</v>
      </c>
      <c r="G675" t="s">
        <v>603</v>
      </c>
      <c r="H675" t="s">
        <v>32</v>
      </c>
      <c r="I675">
        <v>8.8343075731135857E-3</v>
      </c>
      <c r="J675" t="s">
        <v>6</v>
      </c>
      <c r="L675" t="s">
        <v>604</v>
      </c>
      <c r="M675" t="s">
        <v>32</v>
      </c>
      <c r="N675">
        <v>1.0304566854164181E-2</v>
      </c>
      <c r="O675" t="s">
        <v>6</v>
      </c>
    </row>
    <row r="676" spans="2:15" x14ac:dyDescent="0.45">
      <c r="B676" t="s">
        <v>602</v>
      </c>
      <c r="C676" t="s">
        <v>33</v>
      </c>
      <c r="D676">
        <v>7.5634229410515577E-2</v>
      </c>
      <c r="E676" t="s">
        <v>6</v>
      </c>
      <c r="G676" t="s">
        <v>603</v>
      </c>
      <c r="H676" t="s">
        <v>33</v>
      </c>
      <c r="I676">
        <v>1.3457924475233519E-2</v>
      </c>
      <c r="J676" t="s">
        <v>6</v>
      </c>
      <c r="L676" t="s">
        <v>604</v>
      </c>
      <c r="M676" t="s">
        <v>33</v>
      </c>
      <c r="N676">
        <v>1.1148070594547858E-2</v>
      </c>
      <c r="O676" t="s">
        <v>6</v>
      </c>
    </row>
    <row r="677" spans="2:15" x14ac:dyDescent="0.45">
      <c r="B677" t="s">
        <v>602</v>
      </c>
      <c r="C677" t="s">
        <v>34</v>
      </c>
      <c r="D677">
        <v>5.4985591606899961E-2</v>
      </c>
      <c r="E677" t="s">
        <v>6</v>
      </c>
      <c r="G677" t="s">
        <v>603</v>
      </c>
      <c r="H677" t="s">
        <v>34</v>
      </c>
      <c r="I677">
        <v>1.610756410990254E-2</v>
      </c>
      <c r="J677" t="s">
        <v>6</v>
      </c>
      <c r="L677" t="s">
        <v>604</v>
      </c>
      <c r="M677" t="s">
        <v>34</v>
      </c>
      <c r="N677">
        <v>1.2278864403077039E-2</v>
      </c>
      <c r="O677" t="s">
        <v>6</v>
      </c>
    </row>
    <row r="678" spans="2:15" x14ac:dyDescent="0.45">
      <c r="B678" t="s">
        <v>602</v>
      </c>
      <c r="C678" t="s">
        <v>35</v>
      </c>
      <c r="D678">
        <v>2.5807921587363929E-2</v>
      </c>
      <c r="E678" t="s">
        <v>6</v>
      </c>
      <c r="G678" t="s">
        <v>603</v>
      </c>
      <c r="H678" t="s">
        <v>35</v>
      </c>
      <c r="I678">
        <v>1.4602839056428341E-2</v>
      </c>
      <c r="J678" t="s">
        <v>6</v>
      </c>
      <c r="L678" t="s">
        <v>604</v>
      </c>
      <c r="M678" t="s">
        <v>35</v>
      </c>
      <c r="N678">
        <v>1.3056347681840174E-2</v>
      </c>
      <c r="O678" t="s">
        <v>6</v>
      </c>
    </row>
    <row r="679" spans="2:15" x14ac:dyDescent="0.45">
      <c r="B679" t="s">
        <v>602</v>
      </c>
      <c r="C679" t="s">
        <v>36</v>
      </c>
      <c r="D679">
        <v>2.9843271297898349E-3</v>
      </c>
      <c r="E679" t="s">
        <v>6</v>
      </c>
      <c r="G679" t="s">
        <v>603</v>
      </c>
      <c r="H679" t="s">
        <v>36</v>
      </c>
      <c r="I679">
        <v>1.1043572036625543E-2</v>
      </c>
      <c r="J679" t="s">
        <v>6</v>
      </c>
      <c r="L679" t="s">
        <v>604</v>
      </c>
      <c r="M679" t="s">
        <v>36</v>
      </c>
      <c r="N679">
        <v>1.3154989660616895E-2</v>
      </c>
      <c r="O679" t="s">
        <v>6</v>
      </c>
    </row>
    <row r="680" spans="2:15" x14ac:dyDescent="0.45">
      <c r="B680" t="s">
        <v>602</v>
      </c>
      <c r="C680" t="s">
        <v>37</v>
      </c>
      <c r="D680">
        <v>0</v>
      </c>
      <c r="E680" t="s">
        <v>6</v>
      </c>
      <c r="G680" t="s">
        <v>603</v>
      </c>
      <c r="H680" t="s">
        <v>37</v>
      </c>
      <c r="I680">
        <v>1.1373304334855458E-2</v>
      </c>
      <c r="J680" t="s">
        <v>6</v>
      </c>
      <c r="L680" t="s">
        <v>604</v>
      </c>
      <c r="M680" t="s">
        <v>37</v>
      </c>
      <c r="N680">
        <v>1.8872770950392196E-2</v>
      </c>
      <c r="O680" t="s">
        <v>6</v>
      </c>
    </row>
    <row r="681" spans="2:15" x14ac:dyDescent="0.45">
      <c r="B681" t="s">
        <v>602</v>
      </c>
      <c r="C681" t="s">
        <v>38</v>
      </c>
      <c r="D681">
        <v>0</v>
      </c>
      <c r="E681" t="s">
        <v>6</v>
      </c>
      <c r="G681" t="s">
        <v>603</v>
      </c>
      <c r="H681" t="s">
        <v>38</v>
      </c>
      <c r="I681">
        <v>3.0073891559705537E-2</v>
      </c>
      <c r="J681" t="s">
        <v>6</v>
      </c>
      <c r="L681" t="s">
        <v>604</v>
      </c>
      <c r="M681" t="s">
        <v>38</v>
      </c>
      <c r="N681">
        <v>4.9040899557310121E-2</v>
      </c>
      <c r="O681" t="s">
        <v>6</v>
      </c>
    </row>
    <row r="682" spans="2:15" x14ac:dyDescent="0.45">
      <c r="B682" t="s">
        <v>602</v>
      </c>
      <c r="C682" t="s">
        <v>39</v>
      </c>
      <c r="D682">
        <v>0</v>
      </c>
      <c r="E682" t="s">
        <v>6</v>
      </c>
      <c r="G682" t="s">
        <v>603</v>
      </c>
      <c r="H682" t="s">
        <v>39</v>
      </c>
      <c r="I682">
        <v>1.2540741273169818E-2</v>
      </c>
      <c r="J682" t="s">
        <v>6</v>
      </c>
      <c r="L682" t="s">
        <v>604</v>
      </c>
      <c r="M682" t="s">
        <v>39</v>
      </c>
      <c r="N682">
        <v>1.9343168450456038E-2</v>
      </c>
      <c r="O682" t="s">
        <v>6</v>
      </c>
    </row>
    <row r="683" spans="2:15" x14ac:dyDescent="0.45">
      <c r="B683" t="s">
        <v>602</v>
      </c>
      <c r="C683" t="s">
        <v>40</v>
      </c>
      <c r="D683">
        <v>4.9728453538323801E-3</v>
      </c>
      <c r="E683" t="s">
        <v>6</v>
      </c>
      <c r="G683" t="s">
        <v>603</v>
      </c>
      <c r="H683" t="s">
        <v>40</v>
      </c>
      <c r="I683">
        <v>1.2722272532068316E-2</v>
      </c>
      <c r="J683" t="s">
        <v>6</v>
      </c>
      <c r="L683" t="s">
        <v>604</v>
      </c>
      <c r="M683" t="s">
        <v>40</v>
      </c>
      <c r="N683">
        <v>1.8793363868741791E-2</v>
      </c>
      <c r="O683" t="s">
        <v>6</v>
      </c>
    </row>
    <row r="684" spans="2:15" x14ac:dyDescent="0.45">
      <c r="B684" t="s">
        <v>602</v>
      </c>
      <c r="C684" t="s">
        <v>41</v>
      </c>
      <c r="D684">
        <v>3.3373624617295337E-2</v>
      </c>
      <c r="E684" t="s">
        <v>6</v>
      </c>
      <c r="G684" t="s">
        <v>603</v>
      </c>
      <c r="H684" t="s">
        <v>41</v>
      </c>
      <c r="I684">
        <v>1.4237850300049886E-2</v>
      </c>
      <c r="J684" t="s">
        <v>6</v>
      </c>
      <c r="L684" t="s">
        <v>604</v>
      </c>
      <c r="M684" t="s">
        <v>41</v>
      </c>
      <c r="N684">
        <v>1.7798809777204709E-2</v>
      </c>
      <c r="O684" t="s">
        <v>6</v>
      </c>
    </row>
    <row r="685" spans="2:15" x14ac:dyDescent="0.45">
      <c r="B685" t="s">
        <v>602</v>
      </c>
      <c r="C685" t="s">
        <v>42</v>
      </c>
      <c r="D685">
        <v>5.8277352980411368E-2</v>
      </c>
      <c r="E685" t="s">
        <v>6</v>
      </c>
      <c r="G685" t="s">
        <v>603</v>
      </c>
      <c r="H685" t="s">
        <v>42</v>
      </c>
      <c r="I685">
        <v>1.8869563209683013E-2</v>
      </c>
      <c r="J685" t="s">
        <v>6</v>
      </c>
      <c r="L685" t="s">
        <v>604</v>
      </c>
      <c r="M685" t="s">
        <v>42</v>
      </c>
      <c r="N685">
        <v>1.7719215305611116E-2</v>
      </c>
      <c r="O685" t="s">
        <v>6</v>
      </c>
    </row>
    <row r="686" spans="2:15" x14ac:dyDescent="0.45">
      <c r="B686" t="s">
        <v>602</v>
      </c>
      <c r="C686" t="s">
        <v>43</v>
      </c>
      <c r="D686">
        <v>5.9178438369720636E-2</v>
      </c>
      <c r="E686" t="s">
        <v>6</v>
      </c>
      <c r="G686" t="s">
        <v>603</v>
      </c>
      <c r="H686" t="s">
        <v>43</v>
      </c>
      <c r="I686">
        <v>2.1573831293155529E-2</v>
      </c>
      <c r="J686" t="s">
        <v>6</v>
      </c>
      <c r="L686" t="s">
        <v>604</v>
      </c>
      <c r="M686" t="s">
        <v>43</v>
      </c>
      <c r="N686">
        <v>1.8176999367013818E-2</v>
      </c>
      <c r="O686" t="s">
        <v>6</v>
      </c>
    </row>
    <row r="687" spans="2:15" x14ac:dyDescent="0.45">
      <c r="B687" t="s">
        <v>602</v>
      </c>
      <c r="C687" t="s">
        <v>44</v>
      </c>
      <c r="D687">
        <v>3.7420353958573252E-2</v>
      </c>
      <c r="E687" t="s">
        <v>6</v>
      </c>
      <c r="G687" t="s">
        <v>603</v>
      </c>
      <c r="H687" t="s">
        <v>44</v>
      </c>
      <c r="I687">
        <v>2.1022033459227131E-2</v>
      </c>
      <c r="J687" t="s">
        <v>6</v>
      </c>
      <c r="L687" t="s">
        <v>604</v>
      </c>
      <c r="M687" t="s">
        <v>44</v>
      </c>
      <c r="N687">
        <v>1.828760281755816E-2</v>
      </c>
      <c r="O687" t="s">
        <v>6</v>
      </c>
    </row>
    <row r="688" spans="2:15" x14ac:dyDescent="0.45">
      <c r="B688" t="s">
        <v>602</v>
      </c>
      <c r="C688" t="s">
        <v>45</v>
      </c>
      <c r="D688">
        <v>7.8340923197230978E-3</v>
      </c>
      <c r="E688" t="s">
        <v>6</v>
      </c>
      <c r="G688" t="s">
        <v>603</v>
      </c>
      <c r="H688" t="s">
        <v>45</v>
      </c>
      <c r="I688">
        <v>1.7322113717211644E-2</v>
      </c>
      <c r="J688" t="s">
        <v>6</v>
      </c>
      <c r="L688" t="s">
        <v>604</v>
      </c>
      <c r="M688" t="s">
        <v>45</v>
      </c>
      <c r="N688">
        <v>1.847126119075233E-2</v>
      </c>
      <c r="O688" t="s">
        <v>6</v>
      </c>
    </row>
    <row r="689" spans="2:15" x14ac:dyDescent="0.45">
      <c r="B689" t="s">
        <v>602</v>
      </c>
      <c r="C689" t="s">
        <v>46</v>
      </c>
      <c r="D689">
        <v>1.6423369416236701E-5</v>
      </c>
      <c r="E689" t="s">
        <v>6</v>
      </c>
      <c r="G689" t="s">
        <v>603</v>
      </c>
      <c r="H689" t="s">
        <v>46</v>
      </c>
      <c r="I689">
        <v>1.4075772249460397E-2</v>
      </c>
      <c r="J689" t="s">
        <v>6</v>
      </c>
      <c r="L689" t="s">
        <v>604</v>
      </c>
      <c r="M689" t="s">
        <v>46</v>
      </c>
      <c r="N689">
        <v>1.9172827390001701E-2</v>
      </c>
      <c r="O689" t="s">
        <v>6</v>
      </c>
    </row>
    <row r="690" spans="2:15" x14ac:dyDescent="0.45">
      <c r="B690" t="s">
        <v>602</v>
      </c>
      <c r="C690" t="s">
        <v>47</v>
      </c>
      <c r="D690">
        <v>0</v>
      </c>
      <c r="E690" t="s">
        <v>6</v>
      </c>
      <c r="G690" t="s">
        <v>603</v>
      </c>
      <c r="H690" t="s">
        <v>47</v>
      </c>
      <c r="I690">
        <v>1.8697960613941449E-2</v>
      </c>
      <c r="J690" t="s">
        <v>6</v>
      </c>
      <c r="L690" t="s">
        <v>604</v>
      </c>
      <c r="M690" t="s">
        <v>47</v>
      </c>
      <c r="N690">
        <v>2.9668032548324903E-2</v>
      </c>
      <c r="O690" t="s">
        <v>6</v>
      </c>
    </row>
    <row r="691" spans="2:15" x14ac:dyDescent="0.45">
      <c r="B691" t="s">
        <v>605</v>
      </c>
      <c r="C691" t="s">
        <v>5</v>
      </c>
      <c r="D691">
        <v>0</v>
      </c>
      <c r="E691" t="s">
        <v>6</v>
      </c>
      <c r="G691" t="s">
        <v>606</v>
      </c>
      <c r="H691" t="s">
        <v>5</v>
      </c>
      <c r="I691">
        <v>7.2934252896928661E-2</v>
      </c>
      <c r="J691" t="s">
        <v>6</v>
      </c>
      <c r="L691" t="s">
        <v>607</v>
      </c>
      <c r="M691" t="s">
        <v>5</v>
      </c>
      <c r="N691">
        <v>6.3970210138484973E-2</v>
      </c>
      <c r="O691" t="s">
        <v>6</v>
      </c>
    </row>
    <row r="692" spans="2:15" x14ac:dyDescent="0.45">
      <c r="B692" t="s">
        <v>605</v>
      </c>
      <c r="C692" t="s">
        <v>9</v>
      </c>
      <c r="D692">
        <v>0</v>
      </c>
      <c r="E692" t="s">
        <v>6</v>
      </c>
      <c r="G692" t="s">
        <v>606</v>
      </c>
      <c r="H692" t="s">
        <v>9</v>
      </c>
      <c r="I692">
        <v>2.8297641507931657E-2</v>
      </c>
      <c r="J692" t="s">
        <v>6</v>
      </c>
      <c r="L692" t="s">
        <v>607</v>
      </c>
      <c r="M692" t="s">
        <v>9</v>
      </c>
      <c r="N692">
        <v>2.57328695515672E-2</v>
      </c>
      <c r="O692" t="s">
        <v>6</v>
      </c>
    </row>
    <row r="693" spans="2:15" x14ac:dyDescent="0.45">
      <c r="B693" t="s">
        <v>605</v>
      </c>
      <c r="C693" t="s">
        <v>10</v>
      </c>
      <c r="D693">
        <v>6.9066997389187978E-4</v>
      </c>
      <c r="E693" t="s">
        <v>6</v>
      </c>
      <c r="G693" t="s">
        <v>606</v>
      </c>
      <c r="H693" t="s">
        <v>10</v>
      </c>
      <c r="I693">
        <v>2.7090738446444759E-2</v>
      </c>
      <c r="J693" t="s">
        <v>6</v>
      </c>
      <c r="L693" t="s">
        <v>607</v>
      </c>
      <c r="M693" t="s">
        <v>10</v>
      </c>
      <c r="N693">
        <v>2.542951078193292E-2</v>
      </c>
      <c r="O693" t="s">
        <v>6</v>
      </c>
    </row>
    <row r="694" spans="2:15" x14ac:dyDescent="0.45">
      <c r="B694" t="s">
        <v>605</v>
      </c>
      <c r="C694" t="s">
        <v>11</v>
      </c>
      <c r="D694">
        <v>2.4766647140587954E-2</v>
      </c>
      <c r="E694" t="s">
        <v>6</v>
      </c>
      <c r="G694" t="s">
        <v>606</v>
      </c>
      <c r="H694" t="s">
        <v>11</v>
      </c>
      <c r="I694">
        <v>2.5778333733456314E-2</v>
      </c>
      <c r="J694" t="s">
        <v>6</v>
      </c>
      <c r="L694" t="s">
        <v>607</v>
      </c>
      <c r="M694" t="s">
        <v>11</v>
      </c>
      <c r="N694">
        <v>2.4692528804286424E-2</v>
      </c>
      <c r="O694" t="s">
        <v>6</v>
      </c>
    </row>
    <row r="695" spans="2:15" x14ac:dyDescent="0.45">
      <c r="B695" t="s">
        <v>605</v>
      </c>
      <c r="C695" t="s">
        <v>12</v>
      </c>
      <c r="D695">
        <v>5.0257193806838407E-2</v>
      </c>
      <c r="E695" t="s">
        <v>6</v>
      </c>
      <c r="G695" t="s">
        <v>606</v>
      </c>
      <c r="H695" t="s">
        <v>12</v>
      </c>
      <c r="I695">
        <v>2.9096856531689155E-2</v>
      </c>
      <c r="J695" t="s">
        <v>6</v>
      </c>
      <c r="L695" t="s">
        <v>607</v>
      </c>
      <c r="M695" t="s">
        <v>12</v>
      </c>
      <c r="N695">
        <v>2.4812796827222167E-2</v>
      </c>
      <c r="O695" t="s">
        <v>6</v>
      </c>
    </row>
    <row r="696" spans="2:15" x14ac:dyDescent="0.45">
      <c r="B696" t="s">
        <v>605</v>
      </c>
      <c r="C696" t="s">
        <v>13</v>
      </c>
      <c r="D696">
        <v>5.3225624221640261E-2</v>
      </c>
      <c r="E696" t="s">
        <v>6</v>
      </c>
      <c r="G696" t="s">
        <v>606</v>
      </c>
      <c r="H696" t="s">
        <v>13</v>
      </c>
      <c r="I696">
        <v>3.1183955233803837E-2</v>
      </c>
      <c r="J696" t="s">
        <v>6</v>
      </c>
      <c r="L696" t="s">
        <v>607</v>
      </c>
      <c r="M696" t="s">
        <v>13</v>
      </c>
      <c r="N696">
        <v>2.523650124400402E-2</v>
      </c>
      <c r="O696" t="s">
        <v>6</v>
      </c>
    </row>
    <row r="697" spans="2:15" x14ac:dyDescent="0.45">
      <c r="B697" t="s">
        <v>605</v>
      </c>
      <c r="C697" t="s">
        <v>14</v>
      </c>
      <c r="D697">
        <v>3.1602459100289124E-2</v>
      </c>
      <c r="E697" t="s">
        <v>6</v>
      </c>
      <c r="G697" t="s">
        <v>606</v>
      </c>
      <c r="H697" t="s">
        <v>14</v>
      </c>
      <c r="I697">
        <v>3.096520493663282E-2</v>
      </c>
      <c r="J697" t="s">
        <v>6</v>
      </c>
      <c r="L697" t="s">
        <v>607</v>
      </c>
      <c r="M697" t="s">
        <v>14</v>
      </c>
      <c r="N697">
        <v>2.5174829243142731E-2</v>
      </c>
      <c r="O697" t="s">
        <v>6</v>
      </c>
    </row>
    <row r="698" spans="2:15" x14ac:dyDescent="0.45">
      <c r="B698" t="s">
        <v>605</v>
      </c>
      <c r="C698" t="s">
        <v>15</v>
      </c>
      <c r="D698">
        <v>3.2786464459909365E-3</v>
      </c>
      <c r="E698" t="s">
        <v>6</v>
      </c>
      <c r="G698" t="s">
        <v>606</v>
      </c>
      <c r="H698" t="s">
        <v>15</v>
      </c>
      <c r="I698">
        <v>3.1026113551048715E-2</v>
      </c>
      <c r="J698" t="s">
        <v>6</v>
      </c>
      <c r="L698" t="s">
        <v>607</v>
      </c>
      <c r="M698" t="s">
        <v>15</v>
      </c>
      <c r="N698">
        <v>2.4758910506602588E-2</v>
      </c>
      <c r="O698" t="s">
        <v>6</v>
      </c>
    </row>
    <row r="699" spans="2:15" x14ac:dyDescent="0.45">
      <c r="B699" t="s">
        <v>605</v>
      </c>
      <c r="C699" t="s">
        <v>16</v>
      </c>
      <c r="D699">
        <v>0</v>
      </c>
      <c r="E699" t="s">
        <v>6</v>
      </c>
      <c r="G699" t="s">
        <v>606</v>
      </c>
      <c r="H699" t="s">
        <v>16</v>
      </c>
      <c r="I699">
        <v>2.9842554739916764E-2</v>
      </c>
      <c r="J699" t="s">
        <v>6</v>
      </c>
      <c r="L699" t="s">
        <v>607</v>
      </c>
      <c r="M699" t="s">
        <v>16</v>
      </c>
      <c r="N699">
        <v>2.4402501282346712E-2</v>
      </c>
      <c r="O699" t="s">
        <v>6</v>
      </c>
    </row>
    <row r="700" spans="2:15" x14ac:dyDescent="0.45">
      <c r="B700" t="s">
        <v>605</v>
      </c>
      <c r="C700" t="s">
        <v>17</v>
      </c>
      <c r="D700">
        <v>0</v>
      </c>
      <c r="E700" t="s">
        <v>6</v>
      </c>
      <c r="G700" t="s">
        <v>606</v>
      </c>
      <c r="H700" t="s">
        <v>17</v>
      </c>
      <c r="I700">
        <v>4.1803205798717227E-2</v>
      </c>
      <c r="J700" t="s">
        <v>6</v>
      </c>
      <c r="L700" t="s">
        <v>607</v>
      </c>
      <c r="M700" t="s">
        <v>17</v>
      </c>
      <c r="N700">
        <v>3.7151238788494592E-2</v>
      </c>
      <c r="O700" t="s">
        <v>6</v>
      </c>
    </row>
    <row r="701" spans="2:15" x14ac:dyDescent="0.45">
      <c r="B701" t="s">
        <v>605</v>
      </c>
      <c r="C701" t="s">
        <v>18</v>
      </c>
      <c r="D701">
        <v>0</v>
      </c>
      <c r="E701" t="s">
        <v>6</v>
      </c>
      <c r="G701" t="s">
        <v>606</v>
      </c>
      <c r="H701" t="s">
        <v>18</v>
      </c>
      <c r="I701">
        <v>6.2829142308088934E-2</v>
      </c>
      <c r="J701" t="s">
        <v>6</v>
      </c>
      <c r="L701" t="s">
        <v>607</v>
      </c>
      <c r="M701" t="s">
        <v>18</v>
      </c>
      <c r="N701">
        <v>6.6442211364070886E-2</v>
      </c>
      <c r="O701" t="s">
        <v>6</v>
      </c>
    </row>
    <row r="702" spans="2:15" x14ac:dyDescent="0.45">
      <c r="B702" t="s">
        <v>605</v>
      </c>
      <c r="C702" t="s">
        <v>19</v>
      </c>
      <c r="D702">
        <v>5.0507363589045453E-4</v>
      </c>
      <c r="E702" t="s">
        <v>6</v>
      </c>
      <c r="G702" t="s">
        <v>606</v>
      </c>
      <c r="H702" t="s">
        <v>19</v>
      </c>
      <c r="I702">
        <v>2.4816888330699713E-2</v>
      </c>
      <c r="J702" t="s">
        <v>6</v>
      </c>
      <c r="L702" t="s">
        <v>607</v>
      </c>
      <c r="M702" t="s">
        <v>19</v>
      </c>
      <c r="N702">
        <v>2.5500762917233473E-2</v>
      </c>
      <c r="O702" t="s">
        <v>6</v>
      </c>
    </row>
    <row r="703" spans="2:15" x14ac:dyDescent="0.45">
      <c r="B703" t="s">
        <v>605</v>
      </c>
      <c r="C703" t="s">
        <v>20</v>
      </c>
      <c r="D703">
        <v>1.4537835573709227E-2</v>
      </c>
      <c r="E703" t="s">
        <v>6</v>
      </c>
      <c r="G703" t="s">
        <v>606</v>
      </c>
      <c r="H703" t="s">
        <v>20</v>
      </c>
      <c r="I703">
        <v>2.4517411896154934E-2</v>
      </c>
      <c r="J703" t="s">
        <v>6</v>
      </c>
      <c r="L703" t="s">
        <v>607</v>
      </c>
      <c r="M703" t="s">
        <v>20</v>
      </c>
      <c r="N703">
        <v>2.4322848509129948E-2</v>
      </c>
      <c r="O703" t="s">
        <v>6</v>
      </c>
    </row>
    <row r="704" spans="2:15" x14ac:dyDescent="0.45">
      <c r="B704" t="s">
        <v>605</v>
      </c>
      <c r="C704" t="s">
        <v>21</v>
      </c>
      <c r="D704">
        <v>4.8062803183741731E-2</v>
      </c>
      <c r="E704" t="s">
        <v>6</v>
      </c>
      <c r="G704" t="s">
        <v>606</v>
      </c>
      <c r="H704" t="s">
        <v>21</v>
      </c>
      <c r="I704">
        <v>2.4478011913668631E-2</v>
      </c>
      <c r="J704" t="s">
        <v>6</v>
      </c>
      <c r="L704" t="s">
        <v>607</v>
      </c>
      <c r="M704" t="s">
        <v>21</v>
      </c>
      <c r="N704">
        <v>2.4208508086794089E-2</v>
      </c>
      <c r="O704" t="s">
        <v>6</v>
      </c>
    </row>
    <row r="705" spans="2:15" x14ac:dyDescent="0.45">
      <c r="B705" t="s">
        <v>605</v>
      </c>
      <c r="C705" t="s">
        <v>22</v>
      </c>
      <c r="D705">
        <v>6.9910242751604637E-2</v>
      </c>
      <c r="E705" t="s">
        <v>6</v>
      </c>
      <c r="G705" t="s">
        <v>606</v>
      </c>
      <c r="H705" t="s">
        <v>22</v>
      </c>
      <c r="I705">
        <v>2.6798810787879424E-2</v>
      </c>
      <c r="J705" t="s">
        <v>6</v>
      </c>
      <c r="L705" t="s">
        <v>607</v>
      </c>
      <c r="M705" t="s">
        <v>22</v>
      </c>
      <c r="N705">
        <v>2.4762832280353371E-2</v>
      </c>
      <c r="O705" t="s">
        <v>6</v>
      </c>
    </row>
    <row r="706" spans="2:15" x14ac:dyDescent="0.45">
      <c r="B706" t="s">
        <v>605</v>
      </c>
      <c r="C706" t="s">
        <v>23</v>
      </c>
      <c r="D706">
        <v>6.9605139940733834E-2</v>
      </c>
      <c r="E706" t="s">
        <v>6</v>
      </c>
      <c r="G706" t="s">
        <v>606</v>
      </c>
      <c r="H706" t="s">
        <v>23</v>
      </c>
      <c r="I706">
        <v>2.9759117864521113E-2</v>
      </c>
      <c r="J706" t="s">
        <v>6</v>
      </c>
      <c r="L706" t="s">
        <v>607</v>
      </c>
      <c r="M706" t="s">
        <v>23</v>
      </c>
      <c r="N706">
        <v>2.6830347611763984E-2</v>
      </c>
      <c r="O706" t="s">
        <v>6</v>
      </c>
    </row>
    <row r="707" spans="2:15" x14ac:dyDescent="0.45">
      <c r="B707" t="s">
        <v>605</v>
      </c>
      <c r="C707" t="s">
        <v>24</v>
      </c>
      <c r="D707">
        <v>5.1269565368280597E-2</v>
      </c>
      <c r="E707" t="s">
        <v>6</v>
      </c>
      <c r="G707" t="s">
        <v>606</v>
      </c>
      <c r="H707" t="s">
        <v>24</v>
      </c>
      <c r="I707">
        <v>3.0662792420076267E-2</v>
      </c>
      <c r="J707" t="s">
        <v>6</v>
      </c>
      <c r="L707" t="s">
        <v>607</v>
      </c>
      <c r="M707" t="s">
        <v>24</v>
      </c>
      <c r="N707">
        <v>2.8661933425871339E-2</v>
      </c>
      <c r="O707" t="s">
        <v>6</v>
      </c>
    </row>
    <row r="708" spans="2:15" x14ac:dyDescent="0.45">
      <c r="B708" t="s">
        <v>605</v>
      </c>
      <c r="C708" t="s">
        <v>25</v>
      </c>
      <c r="D708">
        <v>1.8772683651005508E-2</v>
      </c>
      <c r="E708" t="s">
        <v>6</v>
      </c>
      <c r="G708" t="s">
        <v>606</v>
      </c>
      <c r="H708" t="s">
        <v>25</v>
      </c>
      <c r="I708">
        <v>3.0054522721868881E-2</v>
      </c>
      <c r="J708" t="s">
        <v>6</v>
      </c>
      <c r="L708" t="s">
        <v>607</v>
      </c>
      <c r="M708" t="s">
        <v>25</v>
      </c>
      <c r="N708">
        <v>2.8942555549439773E-2</v>
      </c>
      <c r="O708" t="s">
        <v>6</v>
      </c>
    </row>
    <row r="709" spans="2:15" x14ac:dyDescent="0.45">
      <c r="B709" t="s">
        <v>605</v>
      </c>
      <c r="C709" t="s">
        <v>26</v>
      </c>
      <c r="D709">
        <v>6.9917818933461749E-4</v>
      </c>
      <c r="E709" t="s">
        <v>6</v>
      </c>
      <c r="G709" t="s">
        <v>606</v>
      </c>
      <c r="H709" t="s">
        <v>26</v>
      </c>
      <c r="I709">
        <v>2.8748223587887849E-2</v>
      </c>
      <c r="J709" t="s">
        <v>6</v>
      </c>
      <c r="L709" t="s">
        <v>607</v>
      </c>
      <c r="M709" t="s">
        <v>26</v>
      </c>
      <c r="N709">
        <v>2.7918253097568697E-2</v>
      </c>
      <c r="O709" t="s">
        <v>6</v>
      </c>
    </row>
    <row r="710" spans="2:15" x14ac:dyDescent="0.45">
      <c r="B710" t="s">
        <v>605</v>
      </c>
      <c r="C710" t="s">
        <v>27</v>
      </c>
      <c r="D710">
        <v>0</v>
      </c>
      <c r="E710" t="s">
        <v>6</v>
      </c>
      <c r="G710" t="s">
        <v>606</v>
      </c>
      <c r="H710" t="s">
        <v>27</v>
      </c>
      <c r="I710">
        <v>3.884132465423331E-2</v>
      </c>
      <c r="J710" t="s">
        <v>6</v>
      </c>
      <c r="L710" t="s">
        <v>607</v>
      </c>
      <c r="M710" t="s">
        <v>27</v>
      </c>
      <c r="N710">
        <v>3.9870873942579349E-2</v>
      </c>
      <c r="O710" t="s">
        <v>6</v>
      </c>
    </row>
    <row r="711" spans="2:15" x14ac:dyDescent="0.45">
      <c r="B711" t="s">
        <v>605</v>
      </c>
      <c r="C711" t="s">
        <v>28</v>
      </c>
      <c r="D711">
        <v>0</v>
      </c>
      <c r="E711" t="s">
        <v>6</v>
      </c>
      <c r="G711" t="s">
        <v>606</v>
      </c>
      <c r="H711" t="s">
        <v>28</v>
      </c>
      <c r="I711">
        <v>3.7660476771872675E-2</v>
      </c>
      <c r="J711" t="s">
        <v>6</v>
      </c>
      <c r="L711" t="s">
        <v>607</v>
      </c>
      <c r="M711" t="s">
        <v>28</v>
      </c>
      <c r="N711">
        <v>3.0873286878954746E-2</v>
      </c>
      <c r="O711" t="s">
        <v>6</v>
      </c>
    </row>
    <row r="712" spans="2:15" x14ac:dyDescent="0.45">
      <c r="B712" t="s">
        <v>605</v>
      </c>
      <c r="C712" t="s">
        <v>29</v>
      </c>
      <c r="D712">
        <v>1.3691060232706395E-3</v>
      </c>
      <c r="E712" t="s">
        <v>6</v>
      </c>
      <c r="G712" t="s">
        <v>606</v>
      </c>
      <c r="H712" t="s">
        <v>29</v>
      </c>
      <c r="I712">
        <v>1.5189478384561826E-2</v>
      </c>
      <c r="J712" t="s">
        <v>6</v>
      </c>
      <c r="L712" t="s">
        <v>607</v>
      </c>
      <c r="M712" t="s">
        <v>29</v>
      </c>
      <c r="N712">
        <v>1.242627796980977E-2</v>
      </c>
      <c r="O712" t="s">
        <v>6</v>
      </c>
    </row>
    <row r="713" spans="2:15" x14ac:dyDescent="0.45">
      <c r="B713" t="s">
        <v>605</v>
      </c>
      <c r="C713" t="s">
        <v>30</v>
      </c>
      <c r="D713">
        <v>2.4977504900984469E-2</v>
      </c>
      <c r="E713" t="s">
        <v>6</v>
      </c>
      <c r="G713" t="s">
        <v>606</v>
      </c>
      <c r="H713" t="s">
        <v>30</v>
      </c>
      <c r="I713">
        <v>1.1916313101493277E-2</v>
      </c>
      <c r="J713" t="s">
        <v>6</v>
      </c>
      <c r="L713" t="s">
        <v>607</v>
      </c>
      <c r="M713" t="s">
        <v>30</v>
      </c>
      <c r="N713">
        <v>1.1932344379935679E-2</v>
      </c>
      <c r="O713" t="s">
        <v>6</v>
      </c>
    </row>
    <row r="714" spans="2:15" x14ac:dyDescent="0.45">
      <c r="B714" t="s">
        <v>605</v>
      </c>
      <c r="C714" t="s">
        <v>31</v>
      </c>
      <c r="D714">
        <v>6.6351410809647432E-2</v>
      </c>
      <c r="E714" t="s">
        <v>6</v>
      </c>
      <c r="G714" t="s">
        <v>606</v>
      </c>
      <c r="H714" t="s">
        <v>31</v>
      </c>
      <c r="I714">
        <v>8.1293625814810328E-3</v>
      </c>
      <c r="J714" t="s">
        <v>6</v>
      </c>
      <c r="L714" t="s">
        <v>607</v>
      </c>
      <c r="M714" t="s">
        <v>31</v>
      </c>
      <c r="N714">
        <v>1.1550891658858619E-2</v>
      </c>
      <c r="O714" t="s">
        <v>6</v>
      </c>
    </row>
    <row r="715" spans="2:15" x14ac:dyDescent="0.45">
      <c r="B715" t="s">
        <v>605</v>
      </c>
      <c r="C715" t="s">
        <v>32</v>
      </c>
      <c r="D715">
        <v>8.9426194701577644E-2</v>
      </c>
      <c r="E715" t="s">
        <v>6</v>
      </c>
      <c r="G715" t="s">
        <v>606</v>
      </c>
      <c r="H715" t="s">
        <v>32</v>
      </c>
      <c r="I715">
        <v>7.3130313964045899E-3</v>
      </c>
      <c r="J715" t="s">
        <v>6</v>
      </c>
      <c r="L715" t="s">
        <v>607</v>
      </c>
      <c r="M715" t="s">
        <v>32</v>
      </c>
      <c r="N715">
        <v>1.1341017857750397E-2</v>
      </c>
      <c r="O715" t="s">
        <v>6</v>
      </c>
    </row>
    <row r="716" spans="2:15" x14ac:dyDescent="0.45">
      <c r="B716" t="s">
        <v>605</v>
      </c>
      <c r="C716" t="s">
        <v>33</v>
      </c>
      <c r="D716">
        <v>8.8350964700250958E-2</v>
      </c>
      <c r="E716" t="s">
        <v>6</v>
      </c>
      <c r="G716" t="s">
        <v>606</v>
      </c>
      <c r="H716" t="s">
        <v>33</v>
      </c>
      <c r="I716">
        <v>9.3900780512139632E-3</v>
      </c>
      <c r="J716" t="s">
        <v>6</v>
      </c>
      <c r="L716" t="s">
        <v>607</v>
      </c>
      <c r="M716" t="s">
        <v>33</v>
      </c>
      <c r="N716">
        <v>1.3186254281164411E-2</v>
      </c>
      <c r="O716" t="s">
        <v>6</v>
      </c>
    </row>
    <row r="717" spans="2:15" x14ac:dyDescent="0.45">
      <c r="B717" t="s">
        <v>605</v>
      </c>
      <c r="C717" t="s">
        <v>34</v>
      </c>
      <c r="D717">
        <v>6.5243316180438854E-2</v>
      </c>
      <c r="E717" t="s">
        <v>6</v>
      </c>
      <c r="G717" t="s">
        <v>606</v>
      </c>
      <c r="H717" t="s">
        <v>34</v>
      </c>
      <c r="I717">
        <v>1.1404801203900514E-2</v>
      </c>
      <c r="J717" t="s">
        <v>6</v>
      </c>
      <c r="L717" t="s">
        <v>607</v>
      </c>
      <c r="M717" t="s">
        <v>34</v>
      </c>
      <c r="N717">
        <v>1.5264303865838475E-2</v>
      </c>
      <c r="O717" t="s">
        <v>6</v>
      </c>
    </row>
    <row r="718" spans="2:15" x14ac:dyDescent="0.45">
      <c r="B718" t="s">
        <v>605</v>
      </c>
      <c r="C718" t="s">
        <v>35</v>
      </c>
      <c r="D718">
        <v>2.9282202790182479E-2</v>
      </c>
      <c r="E718" t="s">
        <v>6</v>
      </c>
      <c r="G718" t="s">
        <v>606</v>
      </c>
      <c r="H718" t="s">
        <v>35</v>
      </c>
      <c r="I718">
        <v>1.1056838362401381E-2</v>
      </c>
      <c r="J718" t="s">
        <v>6</v>
      </c>
      <c r="L718" t="s">
        <v>607</v>
      </c>
      <c r="M718" t="s">
        <v>35</v>
      </c>
      <c r="N718">
        <v>1.6211221858456335E-2</v>
      </c>
      <c r="O718" t="s">
        <v>6</v>
      </c>
    </row>
    <row r="719" spans="2:15" x14ac:dyDescent="0.45">
      <c r="B719" t="s">
        <v>605</v>
      </c>
      <c r="C719" t="s">
        <v>36</v>
      </c>
      <c r="D719">
        <v>2.3805657586300245E-3</v>
      </c>
      <c r="E719" t="s">
        <v>6</v>
      </c>
      <c r="G719" t="s">
        <v>606</v>
      </c>
      <c r="H719" t="s">
        <v>36</v>
      </c>
      <c r="I719">
        <v>1.1159437601906541E-2</v>
      </c>
      <c r="J719" t="s">
        <v>6</v>
      </c>
      <c r="L719" t="s">
        <v>607</v>
      </c>
      <c r="M719" t="s">
        <v>36</v>
      </c>
      <c r="N719">
        <v>1.5677957069806805E-2</v>
      </c>
      <c r="O719" t="s">
        <v>6</v>
      </c>
    </row>
    <row r="720" spans="2:15" x14ac:dyDescent="0.45">
      <c r="B720" t="s">
        <v>605</v>
      </c>
      <c r="C720" t="s">
        <v>37</v>
      </c>
      <c r="D720">
        <v>0</v>
      </c>
      <c r="E720" t="s">
        <v>6</v>
      </c>
      <c r="G720" t="s">
        <v>606</v>
      </c>
      <c r="H720" t="s">
        <v>37</v>
      </c>
      <c r="I720">
        <v>1.8763404034044695E-2</v>
      </c>
      <c r="J720" t="s">
        <v>6</v>
      </c>
      <c r="L720" t="s">
        <v>607</v>
      </c>
      <c r="M720" t="s">
        <v>37</v>
      </c>
      <c r="N720">
        <v>2.0594621380237526E-2</v>
      </c>
      <c r="O720" t="s">
        <v>6</v>
      </c>
    </row>
    <row r="721" spans="2:15" x14ac:dyDescent="0.45">
      <c r="B721" t="s">
        <v>605</v>
      </c>
      <c r="C721" t="s">
        <v>38</v>
      </c>
      <c r="D721">
        <v>0</v>
      </c>
      <c r="E721" t="s">
        <v>6</v>
      </c>
      <c r="G721" t="s">
        <v>606</v>
      </c>
      <c r="H721" t="s">
        <v>38</v>
      </c>
      <c r="I721">
        <v>3.3460581418457244E-2</v>
      </c>
      <c r="J721" t="s">
        <v>6</v>
      </c>
      <c r="L721" t="s">
        <v>607</v>
      </c>
      <c r="M721" t="s">
        <v>38</v>
      </c>
      <c r="N721">
        <v>4.7920720330794857E-2</v>
      </c>
      <c r="O721" t="s">
        <v>6</v>
      </c>
    </row>
    <row r="722" spans="2:15" x14ac:dyDescent="0.45">
      <c r="B722" t="s">
        <v>605</v>
      </c>
      <c r="C722" t="s">
        <v>39</v>
      </c>
      <c r="D722">
        <v>0</v>
      </c>
      <c r="E722" t="s">
        <v>6</v>
      </c>
      <c r="G722" t="s">
        <v>606</v>
      </c>
      <c r="H722" t="s">
        <v>39</v>
      </c>
      <c r="I722">
        <v>1.4815750120419602E-2</v>
      </c>
      <c r="J722" t="s">
        <v>6</v>
      </c>
      <c r="L722" t="s">
        <v>607</v>
      </c>
      <c r="M722" t="s">
        <v>39</v>
      </c>
      <c r="N722">
        <v>1.8313232101288757E-2</v>
      </c>
      <c r="O722" t="s">
        <v>6</v>
      </c>
    </row>
    <row r="723" spans="2:15" x14ac:dyDescent="0.45">
      <c r="B723" t="s">
        <v>605</v>
      </c>
      <c r="C723" t="s">
        <v>40</v>
      </c>
      <c r="D723">
        <v>6.2945983032739556E-3</v>
      </c>
      <c r="E723" t="s">
        <v>6</v>
      </c>
      <c r="G723" t="s">
        <v>606</v>
      </c>
      <c r="H723" t="s">
        <v>40</v>
      </c>
      <c r="I723">
        <v>1.4889409207755288E-2</v>
      </c>
      <c r="J723" t="s">
        <v>6</v>
      </c>
      <c r="L723" t="s">
        <v>607</v>
      </c>
      <c r="M723" t="s">
        <v>40</v>
      </c>
      <c r="N723">
        <v>1.7535167374134273E-2</v>
      </c>
      <c r="O723" t="s">
        <v>6</v>
      </c>
    </row>
    <row r="724" spans="2:15" x14ac:dyDescent="0.45">
      <c r="B724" t="s">
        <v>605</v>
      </c>
      <c r="C724" t="s">
        <v>41</v>
      </c>
      <c r="D724">
        <v>3.4232009951144594E-2</v>
      </c>
      <c r="E724" t="s">
        <v>6</v>
      </c>
      <c r="G724" t="s">
        <v>606</v>
      </c>
      <c r="H724" t="s">
        <v>41</v>
      </c>
      <c r="I724">
        <v>1.5413441922213274E-2</v>
      </c>
      <c r="J724" t="s">
        <v>6</v>
      </c>
      <c r="L724" t="s">
        <v>607</v>
      </c>
      <c r="M724" t="s">
        <v>41</v>
      </c>
      <c r="N724">
        <v>1.7226491835286992E-2</v>
      </c>
      <c r="O724" t="s">
        <v>6</v>
      </c>
    </row>
    <row r="725" spans="2:15" x14ac:dyDescent="0.45">
      <c r="B725" t="s">
        <v>605</v>
      </c>
      <c r="C725" t="s">
        <v>42</v>
      </c>
      <c r="D725">
        <v>5.7469965364701704E-2</v>
      </c>
      <c r="E725" t="s">
        <v>6</v>
      </c>
      <c r="G725" t="s">
        <v>606</v>
      </c>
      <c r="H725" t="s">
        <v>42</v>
      </c>
      <c r="I725">
        <v>1.7468840858553766E-2</v>
      </c>
      <c r="J725" t="s">
        <v>6</v>
      </c>
      <c r="L725" t="s">
        <v>607</v>
      </c>
      <c r="M725" t="s">
        <v>42</v>
      </c>
      <c r="N725">
        <v>1.7347971969522417E-2</v>
      </c>
      <c r="O725" t="s">
        <v>6</v>
      </c>
    </row>
    <row r="726" spans="2:15" x14ac:dyDescent="0.45">
      <c r="B726" t="s">
        <v>605</v>
      </c>
      <c r="C726" t="s">
        <v>43</v>
      </c>
      <c r="D726">
        <v>5.6617618378285384E-2</v>
      </c>
      <c r="E726" t="s">
        <v>6</v>
      </c>
      <c r="G726" t="s">
        <v>606</v>
      </c>
      <c r="H726" t="s">
        <v>43</v>
      </c>
      <c r="I726">
        <v>1.8283869442114287E-2</v>
      </c>
      <c r="J726" t="s">
        <v>6</v>
      </c>
      <c r="L726" t="s">
        <v>607</v>
      </c>
      <c r="M726" t="s">
        <v>43</v>
      </c>
      <c r="N726">
        <v>1.7908569838873224E-2</v>
      </c>
      <c r="O726" t="s">
        <v>6</v>
      </c>
    </row>
    <row r="727" spans="2:15" x14ac:dyDescent="0.45">
      <c r="B727" t="s">
        <v>605</v>
      </c>
      <c r="C727" t="s">
        <v>44</v>
      </c>
      <c r="D727">
        <v>3.4241200558959753E-2</v>
      </c>
      <c r="E727" t="s">
        <v>6</v>
      </c>
      <c r="G727" t="s">
        <v>606</v>
      </c>
      <c r="H727" t="s">
        <v>44</v>
      </c>
      <c r="I727">
        <v>1.8800124817592814E-2</v>
      </c>
      <c r="J727" t="s">
        <v>6</v>
      </c>
      <c r="L727" t="s">
        <v>607</v>
      </c>
      <c r="M727" t="s">
        <v>44</v>
      </c>
      <c r="N727">
        <v>1.8659759889056472E-2</v>
      </c>
      <c r="O727" t="s">
        <v>6</v>
      </c>
    </row>
    <row r="728" spans="2:15" x14ac:dyDescent="0.45">
      <c r="B728" t="s">
        <v>605</v>
      </c>
      <c r="C728" t="s">
        <v>45</v>
      </c>
      <c r="D728">
        <v>6.5750726532818153E-3</v>
      </c>
      <c r="E728" t="s">
        <v>6</v>
      </c>
      <c r="G728" t="s">
        <v>606</v>
      </c>
      <c r="H728" t="s">
        <v>45</v>
      </c>
      <c r="I728">
        <v>1.7400709109470554E-2</v>
      </c>
      <c r="J728" t="s">
        <v>6</v>
      </c>
      <c r="L728" t="s">
        <v>607</v>
      </c>
      <c r="M728" t="s">
        <v>45</v>
      </c>
      <c r="N728">
        <v>1.9263298397657863E-2</v>
      </c>
      <c r="O728" t="s">
        <v>6</v>
      </c>
    </row>
    <row r="729" spans="2:15" x14ac:dyDescent="0.45">
      <c r="B729" t="s">
        <v>605</v>
      </c>
      <c r="C729" t="s">
        <v>46</v>
      </c>
      <c r="D729">
        <v>4.5059418296257078E-6</v>
      </c>
      <c r="E729" t="s">
        <v>6</v>
      </c>
      <c r="G729" t="s">
        <v>606</v>
      </c>
      <c r="H729" t="s">
        <v>46</v>
      </c>
      <c r="I729">
        <v>1.564444552542411E-2</v>
      </c>
      <c r="J729" t="s">
        <v>6</v>
      </c>
      <c r="L729" t="s">
        <v>607</v>
      </c>
      <c r="M729" t="s">
        <v>46</v>
      </c>
      <c r="N729">
        <v>1.9320286029702219E-2</v>
      </c>
      <c r="O729" t="s">
        <v>6</v>
      </c>
    </row>
    <row r="730" spans="2:15" x14ac:dyDescent="0.45">
      <c r="B730" t="s">
        <v>605</v>
      </c>
      <c r="C730" t="s">
        <v>47</v>
      </c>
      <c r="D730">
        <v>0</v>
      </c>
      <c r="E730" t="s">
        <v>6</v>
      </c>
      <c r="G730" t="s">
        <v>606</v>
      </c>
      <c r="H730" t="s">
        <v>47</v>
      </c>
      <c r="I730">
        <v>2.2314502227068943E-2</v>
      </c>
      <c r="J730" t="s">
        <v>6</v>
      </c>
      <c r="L730" t="s">
        <v>607</v>
      </c>
      <c r="M730" t="s">
        <v>47</v>
      </c>
      <c r="N730">
        <v>2.8623301079980464E-2</v>
      </c>
      <c r="O730" t="s">
        <v>6</v>
      </c>
    </row>
    <row r="731" spans="2:15" x14ac:dyDescent="0.45">
      <c r="B731" t="s">
        <v>608</v>
      </c>
      <c r="C731" t="s">
        <v>5</v>
      </c>
      <c r="D731">
        <v>0</v>
      </c>
      <c r="E731" t="s">
        <v>6</v>
      </c>
      <c r="G731" t="s">
        <v>609</v>
      </c>
      <c r="H731" t="s">
        <v>5</v>
      </c>
      <c r="I731">
        <v>6.2282197766129879E-2</v>
      </c>
      <c r="J731" t="s">
        <v>6</v>
      </c>
      <c r="L731" t="s">
        <v>610</v>
      </c>
      <c r="M731" t="s">
        <v>5</v>
      </c>
      <c r="N731">
        <v>5.7303349087490581E-2</v>
      </c>
      <c r="O731" t="s">
        <v>6</v>
      </c>
    </row>
    <row r="732" spans="2:15" x14ac:dyDescent="0.45">
      <c r="B732" t="s">
        <v>608</v>
      </c>
      <c r="C732" t="s">
        <v>9</v>
      </c>
      <c r="D732">
        <v>0</v>
      </c>
      <c r="E732" t="s">
        <v>6</v>
      </c>
      <c r="G732" t="s">
        <v>609</v>
      </c>
      <c r="H732" t="s">
        <v>9</v>
      </c>
      <c r="I732">
        <v>2.4161142864269826E-2</v>
      </c>
      <c r="J732" t="s">
        <v>6</v>
      </c>
      <c r="L732" t="s">
        <v>610</v>
      </c>
      <c r="M732" t="s">
        <v>9</v>
      </c>
      <c r="N732">
        <v>2.2756437813334907E-2</v>
      </c>
      <c r="O732" t="s">
        <v>6</v>
      </c>
    </row>
    <row r="733" spans="2:15" x14ac:dyDescent="0.45">
      <c r="B733" t="s">
        <v>608</v>
      </c>
      <c r="C733" t="s">
        <v>10</v>
      </c>
      <c r="D733">
        <v>5.638237599538779E-4</v>
      </c>
      <c r="E733" t="s">
        <v>6</v>
      </c>
      <c r="G733" t="s">
        <v>609</v>
      </c>
      <c r="H733" t="s">
        <v>10</v>
      </c>
      <c r="I733">
        <v>2.2603081836183571E-2</v>
      </c>
      <c r="J733" t="s">
        <v>6</v>
      </c>
      <c r="L733" t="s">
        <v>610</v>
      </c>
      <c r="M733" t="s">
        <v>10</v>
      </c>
      <c r="N733">
        <v>2.2851375527846243E-2</v>
      </c>
      <c r="O733" t="s">
        <v>6</v>
      </c>
    </row>
    <row r="734" spans="2:15" x14ac:dyDescent="0.45">
      <c r="B734" t="s">
        <v>608</v>
      </c>
      <c r="C734" t="s">
        <v>11</v>
      </c>
      <c r="D734">
        <v>2.4249688901030454E-2</v>
      </c>
      <c r="E734" t="s">
        <v>6</v>
      </c>
      <c r="G734" t="s">
        <v>609</v>
      </c>
      <c r="H734" t="s">
        <v>11</v>
      </c>
      <c r="I734">
        <v>2.1847527661373205E-2</v>
      </c>
      <c r="J734" t="s">
        <v>6</v>
      </c>
      <c r="L734" t="s">
        <v>610</v>
      </c>
      <c r="M734" t="s">
        <v>11</v>
      </c>
      <c r="N734">
        <v>2.256128127689944E-2</v>
      </c>
      <c r="O734" t="s">
        <v>6</v>
      </c>
    </row>
    <row r="735" spans="2:15" x14ac:dyDescent="0.45">
      <c r="B735" t="s">
        <v>608</v>
      </c>
      <c r="C735" t="s">
        <v>12</v>
      </c>
      <c r="D735">
        <v>5.2457653916908056E-2</v>
      </c>
      <c r="E735" t="s">
        <v>6</v>
      </c>
      <c r="G735" t="s">
        <v>609</v>
      </c>
      <c r="H735" t="s">
        <v>12</v>
      </c>
      <c r="I735">
        <v>2.6448280082379559E-2</v>
      </c>
      <c r="J735" t="s">
        <v>6</v>
      </c>
      <c r="L735" t="s">
        <v>610</v>
      </c>
      <c r="M735" t="s">
        <v>12</v>
      </c>
      <c r="N735">
        <v>2.1961132475202663E-2</v>
      </c>
      <c r="O735" t="s">
        <v>6</v>
      </c>
    </row>
    <row r="736" spans="2:15" x14ac:dyDescent="0.45">
      <c r="B736" t="s">
        <v>608</v>
      </c>
      <c r="C736" t="s">
        <v>13</v>
      </c>
      <c r="D736">
        <v>5.7809037041726991E-2</v>
      </c>
      <c r="E736" t="s">
        <v>6</v>
      </c>
      <c r="G736" t="s">
        <v>609</v>
      </c>
      <c r="H736" t="s">
        <v>13</v>
      </c>
      <c r="I736">
        <v>3.0381177704413505E-2</v>
      </c>
      <c r="J736" t="s">
        <v>6</v>
      </c>
      <c r="L736" t="s">
        <v>610</v>
      </c>
      <c r="M736" t="s">
        <v>13</v>
      </c>
      <c r="N736">
        <v>2.2705806104095443E-2</v>
      </c>
      <c r="O736" t="s">
        <v>6</v>
      </c>
    </row>
    <row r="737" spans="2:15" x14ac:dyDescent="0.45">
      <c r="B737" t="s">
        <v>608</v>
      </c>
      <c r="C737" t="s">
        <v>14</v>
      </c>
      <c r="D737">
        <v>3.5058306789600792E-2</v>
      </c>
      <c r="E737" t="s">
        <v>6</v>
      </c>
      <c r="G737" t="s">
        <v>609</v>
      </c>
      <c r="H737" t="s">
        <v>14</v>
      </c>
      <c r="I737">
        <v>2.9203979805457324E-2</v>
      </c>
      <c r="J737" t="s">
        <v>6</v>
      </c>
      <c r="L737" t="s">
        <v>610</v>
      </c>
      <c r="M737" t="s">
        <v>14</v>
      </c>
      <c r="N737">
        <v>2.2605449410837478E-2</v>
      </c>
      <c r="O737" t="s">
        <v>6</v>
      </c>
    </row>
    <row r="738" spans="2:15" x14ac:dyDescent="0.45">
      <c r="B738" t="s">
        <v>608</v>
      </c>
      <c r="C738" t="s">
        <v>15</v>
      </c>
      <c r="D738">
        <v>4.1031427413434282E-3</v>
      </c>
      <c r="E738" t="s">
        <v>6</v>
      </c>
      <c r="G738" t="s">
        <v>609</v>
      </c>
      <c r="H738" t="s">
        <v>15</v>
      </c>
      <c r="I738">
        <v>2.6754227062548916E-2</v>
      </c>
      <c r="J738" t="s">
        <v>6</v>
      </c>
      <c r="L738" t="s">
        <v>610</v>
      </c>
      <c r="M738" t="s">
        <v>15</v>
      </c>
      <c r="N738">
        <v>2.2832415574674782E-2</v>
      </c>
      <c r="O738" t="s">
        <v>6</v>
      </c>
    </row>
    <row r="739" spans="2:15" x14ac:dyDescent="0.45">
      <c r="B739" t="s">
        <v>608</v>
      </c>
      <c r="C739" t="s">
        <v>16</v>
      </c>
      <c r="D739">
        <v>0</v>
      </c>
      <c r="E739" t="s">
        <v>6</v>
      </c>
      <c r="G739" t="s">
        <v>609</v>
      </c>
      <c r="H739" t="s">
        <v>16</v>
      </c>
      <c r="I739">
        <v>2.5870906128642172E-2</v>
      </c>
      <c r="J739" t="s">
        <v>6</v>
      </c>
      <c r="L739" t="s">
        <v>610</v>
      </c>
      <c r="M739" t="s">
        <v>16</v>
      </c>
      <c r="N739">
        <v>2.3214202898310866E-2</v>
      </c>
      <c r="O739" t="s">
        <v>6</v>
      </c>
    </row>
    <row r="740" spans="2:15" x14ac:dyDescent="0.45">
      <c r="B740" t="s">
        <v>608</v>
      </c>
      <c r="C740" t="s">
        <v>17</v>
      </c>
      <c r="D740">
        <v>0</v>
      </c>
      <c r="E740" t="s">
        <v>6</v>
      </c>
      <c r="G740" t="s">
        <v>609</v>
      </c>
      <c r="H740" t="s">
        <v>17</v>
      </c>
      <c r="I740">
        <v>3.6648351520067901E-2</v>
      </c>
      <c r="J740" t="s">
        <v>6</v>
      </c>
      <c r="L740" t="s">
        <v>610</v>
      </c>
      <c r="M740" t="s">
        <v>17</v>
      </c>
      <c r="N740">
        <v>3.447909199936873E-2</v>
      </c>
      <c r="O740" t="s">
        <v>6</v>
      </c>
    </row>
    <row r="741" spans="2:15" x14ac:dyDescent="0.45">
      <c r="B741" t="s">
        <v>608</v>
      </c>
      <c r="C741" t="s">
        <v>18</v>
      </c>
      <c r="D741">
        <v>0</v>
      </c>
      <c r="E741" t="s">
        <v>6</v>
      </c>
      <c r="G741" t="s">
        <v>609</v>
      </c>
      <c r="H741" t="s">
        <v>18</v>
      </c>
      <c r="I741">
        <v>7.9103450383029017E-2</v>
      </c>
      <c r="J741" t="s">
        <v>6</v>
      </c>
      <c r="L741" t="s">
        <v>610</v>
      </c>
      <c r="M741" t="s">
        <v>18</v>
      </c>
      <c r="N741">
        <v>6.8044637477209111E-2</v>
      </c>
      <c r="O741" t="s">
        <v>6</v>
      </c>
    </row>
    <row r="742" spans="2:15" x14ac:dyDescent="0.45">
      <c r="B742" t="s">
        <v>608</v>
      </c>
      <c r="C742" t="s">
        <v>19</v>
      </c>
      <c r="D742">
        <v>4.1398441371901391E-4</v>
      </c>
      <c r="E742" t="s">
        <v>6</v>
      </c>
      <c r="G742" t="s">
        <v>609</v>
      </c>
      <c r="H742" t="s">
        <v>19</v>
      </c>
      <c r="I742">
        <v>3.0516136338668037E-2</v>
      </c>
      <c r="J742" t="s">
        <v>6</v>
      </c>
      <c r="L742" t="s">
        <v>610</v>
      </c>
      <c r="M742" t="s">
        <v>19</v>
      </c>
      <c r="N742">
        <v>2.7143692289871745E-2</v>
      </c>
      <c r="O742" t="s">
        <v>6</v>
      </c>
    </row>
    <row r="743" spans="2:15" x14ac:dyDescent="0.45">
      <c r="B743" t="s">
        <v>608</v>
      </c>
      <c r="C743" t="s">
        <v>20</v>
      </c>
      <c r="D743">
        <v>1.3540007130096749E-2</v>
      </c>
      <c r="E743" t="s">
        <v>6</v>
      </c>
      <c r="G743" t="s">
        <v>609</v>
      </c>
      <c r="H743" t="s">
        <v>20</v>
      </c>
      <c r="I743">
        <v>3.051387307221513E-2</v>
      </c>
      <c r="J743" t="s">
        <v>6</v>
      </c>
      <c r="L743" t="s">
        <v>610</v>
      </c>
      <c r="M743" t="s">
        <v>20</v>
      </c>
      <c r="N743">
        <v>2.6135078594758967E-2</v>
      </c>
      <c r="O743" t="s">
        <v>6</v>
      </c>
    </row>
    <row r="744" spans="2:15" x14ac:dyDescent="0.45">
      <c r="B744" t="s">
        <v>608</v>
      </c>
      <c r="C744" t="s">
        <v>21</v>
      </c>
      <c r="D744">
        <v>4.6747587786620061E-2</v>
      </c>
      <c r="E744" t="s">
        <v>6</v>
      </c>
      <c r="G744" t="s">
        <v>609</v>
      </c>
      <c r="H744" t="s">
        <v>21</v>
      </c>
      <c r="I744">
        <v>3.2603170461839311E-2</v>
      </c>
      <c r="J744" t="s">
        <v>6</v>
      </c>
      <c r="L744" t="s">
        <v>610</v>
      </c>
      <c r="M744" t="s">
        <v>21</v>
      </c>
      <c r="N744">
        <v>2.5758839702215142E-2</v>
      </c>
      <c r="O744" t="s">
        <v>6</v>
      </c>
    </row>
    <row r="745" spans="2:15" x14ac:dyDescent="0.45">
      <c r="B745" t="s">
        <v>608</v>
      </c>
      <c r="C745" t="s">
        <v>22</v>
      </c>
      <c r="D745">
        <v>6.8619372017657776E-2</v>
      </c>
      <c r="E745" t="s">
        <v>6</v>
      </c>
      <c r="G745" t="s">
        <v>609</v>
      </c>
      <c r="H745" t="s">
        <v>22</v>
      </c>
      <c r="I745">
        <v>3.4234601361480578E-2</v>
      </c>
      <c r="J745" t="s">
        <v>6</v>
      </c>
      <c r="L745" t="s">
        <v>610</v>
      </c>
      <c r="M745" t="s">
        <v>22</v>
      </c>
      <c r="N745">
        <v>2.4871324680185825E-2</v>
      </c>
      <c r="O745" t="s">
        <v>6</v>
      </c>
    </row>
    <row r="746" spans="2:15" x14ac:dyDescent="0.45">
      <c r="B746" t="s">
        <v>608</v>
      </c>
      <c r="C746" t="s">
        <v>23</v>
      </c>
      <c r="D746">
        <v>6.756725007128872E-2</v>
      </c>
      <c r="E746" t="s">
        <v>6</v>
      </c>
      <c r="G746" t="s">
        <v>609</v>
      </c>
      <c r="H746" t="s">
        <v>23</v>
      </c>
      <c r="I746">
        <v>3.8120167287777215E-2</v>
      </c>
      <c r="J746" t="s">
        <v>6</v>
      </c>
      <c r="L746" t="s">
        <v>610</v>
      </c>
      <c r="M746" t="s">
        <v>23</v>
      </c>
      <c r="N746">
        <v>2.5971721562890616E-2</v>
      </c>
      <c r="O746" t="s">
        <v>6</v>
      </c>
    </row>
    <row r="747" spans="2:15" x14ac:dyDescent="0.45">
      <c r="B747" t="s">
        <v>608</v>
      </c>
      <c r="C747" t="s">
        <v>24</v>
      </c>
      <c r="D747">
        <v>4.8818492102841435E-2</v>
      </c>
      <c r="E747" t="s">
        <v>6</v>
      </c>
      <c r="G747" t="s">
        <v>609</v>
      </c>
      <c r="H747" t="s">
        <v>24</v>
      </c>
      <c r="I747">
        <v>3.6021701431025073E-2</v>
      </c>
      <c r="J747" t="s">
        <v>6</v>
      </c>
      <c r="L747" t="s">
        <v>610</v>
      </c>
      <c r="M747" t="s">
        <v>24</v>
      </c>
      <c r="N747">
        <v>2.7514811287608323E-2</v>
      </c>
      <c r="O747" t="s">
        <v>6</v>
      </c>
    </row>
    <row r="748" spans="2:15" x14ac:dyDescent="0.45">
      <c r="B748" t="s">
        <v>608</v>
      </c>
      <c r="C748" t="s">
        <v>25</v>
      </c>
      <c r="D748">
        <v>1.9392830589253601E-2</v>
      </c>
      <c r="E748" t="s">
        <v>6</v>
      </c>
      <c r="G748" t="s">
        <v>609</v>
      </c>
      <c r="H748" t="s">
        <v>25</v>
      </c>
      <c r="I748">
        <v>3.2136108321778052E-2</v>
      </c>
      <c r="J748" t="s">
        <v>6</v>
      </c>
      <c r="L748" t="s">
        <v>610</v>
      </c>
      <c r="M748" t="s">
        <v>25</v>
      </c>
      <c r="N748">
        <v>2.8482675990347334E-2</v>
      </c>
      <c r="O748" t="s">
        <v>6</v>
      </c>
    </row>
    <row r="749" spans="2:15" x14ac:dyDescent="0.45">
      <c r="B749" t="s">
        <v>608</v>
      </c>
      <c r="C749" t="s">
        <v>26</v>
      </c>
      <c r="D749">
        <v>8.5130589734641452E-4</v>
      </c>
      <c r="E749" t="s">
        <v>6</v>
      </c>
      <c r="G749" t="s">
        <v>609</v>
      </c>
      <c r="H749" t="s">
        <v>26</v>
      </c>
      <c r="I749">
        <v>3.1250651908669172E-2</v>
      </c>
      <c r="J749" t="s">
        <v>6</v>
      </c>
      <c r="L749" t="s">
        <v>610</v>
      </c>
      <c r="M749" t="s">
        <v>26</v>
      </c>
      <c r="N749">
        <v>2.8339802408270151E-2</v>
      </c>
      <c r="O749" t="s">
        <v>6</v>
      </c>
    </row>
    <row r="750" spans="2:15" x14ac:dyDescent="0.45">
      <c r="B750" t="s">
        <v>608</v>
      </c>
      <c r="C750" t="s">
        <v>27</v>
      </c>
      <c r="D750">
        <v>0</v>
      </c>
      <c r="E750" t="s">
        <v>6</v>
      </c>
      <c r="G750" t="s">
        <v>609</v>
      </c>
      <c r="H750" t="s">
        <v>27</v>
      </c>
      <c r="I750">
        <v>4.7039820758694478E-2</v>
      </c>
      <c r="J750" t="s">
        <v>6</v>
      </c>
      <c r="L750" t="s">
        <v>610</v>
      </c>
      <c r="M750" t="s">
        <v>27</v>
      </c>
      <c r="N750">
        <v>4.0763192846820714E-2</v>
      </c>
      <c r="O750" t="s">
        <v>6</v>
      </c>
    </row>
    <row r="751" spans="2:15" x14ac:dyDescent="0.45">
      <c r="B751" t="s">
        <v>608</v>
      </c>
      <c r="C751" t="s">
        <v>28</v>
      </c>
      <c r="D751">
        <v>0</v>
      </c>
      <c r="E751" t="s">
        <v>6</v>
      </c>
      <c r="G751" t="s">
        <v>609</v>
      </c>
      <c r="H751" t="s">
        <v>28</v>
      </c>
      <c r="I751">
        <v>3.1237672204292709E-2</v>
      </c>
      <c r="J751" t="s">
        <v>6</v>
      </c>
      <c r="L751" t="s">
        <v>610</v>
      </c>
      <c r="M751" t="s">
        <v>28</v>
      </c>
      <c r="N751">
        <v>2.8798261448123277E-2</v>
      </c>
      <c r="O751" t="s">
        <v>6</v>
      </c>
    </row>
    <row r="752" spans="2:15" x14ac:dyDescent="0.45">
      <c r="B752" t="s">
        <v>608</v>
      </c>
      <c r="C752" t="s">
        <v>29</v>
      </c>
      <c r="D752">
        <v>1.0798988079148604E-3</v>
      </c>
      <c r="E752" t="s">
        <v>6</v>
      </c>
      <c r="G752" t="s">
        <v>609</v>
      </c>
      <c r="H752" t="s">
        <v>29</v>
      </c>
      <c r="I752">
        <v>1.2023182587097846E-2</v>
      </c>
      <c r="J752" t="s">
        <v>6</v>
      </c>
      <c r="L752" t="s">
        <v>610</v>
      </c>
      <c r="M752" t="s">
        <v>29</v>
      </c>
      <c r="N752">
        <v>1.0503727124654047E-2</v>
      </c>
      <c r="O752" t="s">
        <v>6</v>
      </c>
    </row>
    <row r="753" spans="2:15" x14ac:dyDescent="0.45">
      <c r="B753" t="s">
        <v>608</v>
      </c>
      <c r="C753" t="s">
        <v>30</v>
      </c>
      <c r="D753">
        <v>2.2730682255459954E-2</v>
      </c>
      <c r="E753" t="s">
        <v>6</v>
      </c>
      <c r="G753" t="s">
        <v>609</v>
      </c>
      <c r="H753" t="s">
        <v>30</v>
      </c>
      <c r="I753">
        <v>9.1679929340228606E-3</v>
      </c>
      <c r="J753" t="s">
        <v>6</v>
      </c>
      <c r="L753" t="s">
        <v>610</v>
      </c>
      <c r="M753" t="s">
        <v>30</v>
      </c>
      <c r="N753">
        <v>9.4659967477022725E-3</v>
      </c>
      <c r="O753" t="s">
        <v>6</v>
      </c>
    </row>
    <row r="754" spans="2:15" x14ac:dyDescent="0.45">
      <c r="B754" t="s">
        <v>608</v>
      </c>
      <c r="C754" t="s">
        <v>31</v>
      </c>
      <c r="D754">
        <v>6.3651419806941417E-2</v>
      </c>
      <c r="E754" t="s">
        <v>6</v>
      </c>
      <c r="G754" t="s">
        <v>609</v>
      </c>
      <c r="H754" t="s">
        <v>31</v>
      </c>
      <c r="I754">
        <v>8.0054343037441102E-3</v>
      </c>
      <c r="J754" t="s">
        <v>6</v>
      </c>
      <c r="L754" t="s">
        <v>610</v>
      </c>
      <c r="M754" t="s">
        <v>31</v>
      </c>
      <c r="N754">
        <v>9.0492416475128727E-3</v>
      </c>
      <c r="O754" t="s">
        <v>6</v>
      </c>
    </row>
    <row r="755" spans="2:15" x14ac:dyDescent="0.45">
      <c r="B755" t="s">
        <v>608</v>
      </c>
      <c r="C755" t="s">
        <v>32</v>
      </c>
      <c r="D755">
        <v>8.6945231799303066E-2</v>
      </c>
      <c r="E755" t="s">
        <v>6</v>
      </c>
      <c r="G755" t="s">
        <v>609</v>
      </c>
      <c r="H755" t="s">
        <v>32</v>
      </c>
      <c r="I755">
        <v>7.8449745680610247E-3</v>
      </c>
      <c r="J755" t="s">
        <v>6</v>
      </c>
      <c r="L755" t="s">
        <v>610</v>
      </c>
      <c r="M755" t="s">
        <v>32</v>
      </c>
      <c r="N755">
        <v>8.270932951537413E-3</v>
      </c>
      <c r="O755" t="s">
        <v>6</v>
      </c>
    </row>
    <row r="756" spans="2:15" x14ac:dyDescent="0.45">
      <c r="B756" t="s">
        <v>608</v>
      </c>
      <c r="C756" t="s">
        <v>33</v>
      </c>
      <c r="D756">
        <v>8.6851465392930233E-2</v>
      </c>
      <c r="E756" t="s">
        <v>6</v>
      </c>
      <c r="G756" t="s">
        <v>609</v>
      </c>
      <c r="H756" t="s">
        <v>33</v>
      </c>
      <c r="I756">
        <v>1.0641285549413628E-2</v>
      </c>
      <c r="J756" t="s">
        <v>6</v>
      </c>
      <c r="L756" t="s">
        <v>610</v>
      </c>
      <c r="M756" t="s">
        <v>33</v>
      </c>
      <c r="N756">
        <v>9.5110156728710482E-3</v>
      </c>
      <c r="O756" t="s">
        <v>6</v>
      </c>
    </row>
    <row r="757" spans="2:15" x14ac:dyDescent="0.45">
      <c r="B757" t="s">
        <v>608</v>
      </c>
      <c r="C757" t="s">
        <v>34</v>
      </c>
      <c r="D757">
        <v>6.6024309162234868E-2</v>
      </c>
      <c r="E757" t="s">
        <v>6</v>
      </c>
      <c r="G757" t="s">
        <v>609</v>
      </c>
      <c r="H757" t="s">
        <v>34</v>
      </c>
      <c r="I757">
        <v>1.1749561389869842E-2</v>
      </c>
      <c r="J757" t="s">
        <v>6</v>
      </c>
      <c r="L757" t="s">
        <v>610</v>
      </c>
      <c r="M757" t="s">
        <v>34</v>
      </c>
      <c r="N757">
        <v>1.0846697992332448E-2</v>
      </c>
      <c r="O757" t="s">
        <v>6</v>
      </c>
    </row>
    <row r="758" spans="2:15" x14ac:dyDescent="0.45">
      <c r="B758" t="s">
        <v>608</v>
      </c>
      <c r="C758" t="s">
        <v>35</v>
      </c>
      <c r="D758">
        <v>3.0510125630212145E-2</v>
      </c>
      <c r="E758" t="s">
        <v>6</v>
      </c>
      <c r="G758" t="s">
        <v>609</v>
      </c>
      <c r="H758" t="s">
        <v>35</v>
      </c>
      <c r="I758">
        <v>1.1546688603657908E-2</v>
      </c>
      <c r="J758" t="s">
        <v>6</v>
      </c>
      <c r="L758" t="s">
        <v>610</v>
      </c>
      <c r="M758" t="s">
        <v>35</v>
      </c>
      <c r="N758">
        <v>1.1165575696096839E-2</v>
      </c>
      <c r="O758" t="s">
        <v>6</v>
      </c>
    </row>
    <row r="759" spans="2:15" x14ac:dyDescent="0.45">
      <c r="B759" t="s">
        <v>608</v>
      </c>
      <c r="C759" t="s">
        <v>36</v>
      </c>
      <c r="D759">
        <v>2.774264367109694E-3</v>
      </c>
      <c r="E759" t="s">
        <v>6</v>
      </c>
      <c r="G759" t="s">
        <v>609</v>
      </c>
      <c r="H759" t="s">
        <v>36</v>
      </c>
      <c r="I759">
        <v>1.1815224146123394E-2</v>
      </c>
      <c r="J759" t="s">
        <v>6</v>
      </c>
      <c r="L759" t="s">
        <v>610</v>
      </c>
      <c r="M759" t="s">
        <v>36</v>
      </c>
      <c r="N759">
        <v>1.1172027878239685E-2</v>
      </c>
      <c r="O759" t="s">
        <v>6</v>
      </c>
    </row>
    <row r="760" spans="2:15" x14ac:dyDescent="0.45">
      <c r="B760" t="s">
        <v>608</v>
      </c>
      <c r="C760" t="s">
        <v>37</v>
      </c>
      <c r="D760">
        <v>0</v>
      </c>
      <c r="E760" t="s">
        <v>6</v>
      </c>
      <c r="G760" t="s">
        <v>609</v>
      </c>
      <c r="H760" t="s">
        <v>37</v>
      </c>
      <c r="I760">
        <v>1.779948072067138E-2</v>
      </c>
      <c r="J760" t="s">
        <v>6</v>
      </c>
      <c r="L760" t="s">
        <v>610</v>
      </c>
      <c r="M760" t="s">
        <v>37</v>
      </c>
      <c r="N760">
        <v>1.6718019780411521E-2</v>
      </c>
      <c r="O760" t="s">
        <v>6</v>
      </c>
    </row>
    <row r="761" spans="2:15" x14ac:dyDescent="0.45">
      <c r="B761" t="s">
        <v>608</v>
      </c>
      <c r="C761" t="s">
        <v>38</v>
      </c>
      <c r="D761">
        <v>0</v>
      </c>
      <c r="E761" t="s">
        <v>6</v>
      </c>
      <c r="G761" t="s">
        <v>609</v>
      </c>
      <c r="H761" t="s">
        <v>38</v>
      </c>
      <c r="I761">
        <v>3.1004784242975463E-2</v>
      </c>
      <c r="J761" t="s">
        <v>6</v>
      </c>
      <c r="L761" t="s">
        <v>610</v>
      </c>
      <c r="M761" t="s">
        <v>38</v>
      </c>
      <c r="N761">
        <v>5.7281928947136157E-2</v>
      </c>
      <c r="O761" t="s">
        <v>6</v>
      </c>
    </row>
    <row r="762" spans="2:15" x14ac:dyDescent="0.45">
      <c r="B762" t="s">
        <v>608</v>
      </c>
      <c r="C762" t="s">
        <v>39</v>
      </c>
      <c r="D762">
        <v>0</v>
      </c>
      <c r="E762" t="s">
        <v>6</v>
      </c>
      <c r="G762" t="s">
        <v>609</v>
      </c>
      <c r="H762" t="s">
        <v>39</v>
      </c>
      <c r="I762">
        <v>1.2980765481149141E-2</v>
      </c>
      <c r="J762" t="s">
        <v>6</v>
      </c>
      <c r="L762" t="s">
        <v>610</v>
      </c>
      <c r="M762" t="s">
        <v>39</v>
      </c>
      <c r="N762">
        <v>2.2496462737558152E-2</v>
      </c>
      <c r="O762" t="s">
        <v>6</v>
      </c>
    </row>
    <row r="763" spans="2:15" x14ac:dyDescent="0.45">
      <c r="B763" t="s">
        <v>608</v>
      </c>
      <c r="C763" t="s">
        <v>40</v>
      </c>
      <c r="D763">
        <v>5.969691648190837E-3</v>
      </c>
      <c r="E763" t="s">
        <v>6</v>
      </c>
      <c r="G763" t="s">
        <v>609</v>
      </c>
      <c r="H763" t="s">
        <v>40</v>
      </c>
      <c r="I763">
        <v>1.2681885777982134E-2</v>
      </c>
      <c r="J763" t="s">
        <v>6</v>
      </c>
      <c r="L763" t="s">
        <v>610</v>
      </c>
      <c r="M763" t="s">
        <v>40</v>
      </c>
      <c r="N763">
        <v>2.209222274051784E-2</v>
      </c>
      <c r="O763" t="s">
        <v>6</v>
      </c>
    </row>
    <row r="764" spans="2:15" x14ac:dyDescent="0.45">
      <c r="B764" t="s">
        <v>608</v>
      </c>
      <c r="C764" t="s">
        <v>41</v>
      </c>
      <c r="D764">
        <v>3.5301495276185112E-2</v>
      </c>
      <c r="E764" t="s">
        <v>6</v>
      </c>
      <c r="G764" t="s">
        <v>609</v>
      </c>
      <c r="H764" t="s">
        <v>41</v>
      </c>
      <c r="I764">
        <v>1.4241489606932677E-2</v>
      </c>
      <c r="J764" t="s">
        <v>6</v>
      </c>
      <c r="L764" t="s">
        <v>610</v>
      </c>
      <c r="M764" t="s">
        <v>41</v>
      </c>
      <c r="N764">
        <v>2.2348647452362209E-2</v>
      </c>
      <c r="O764" t="s">
        <v>6</v>
      </c>
    </row>
    <row r="765" spans="2:15" x14ac:dyDescent="0.45">
      <c r="B765" t="s">
        <v>608</v>
      </c>
      <c r="C765" t="s">
        <v>42</v>
      </c>
      <c r="D765">
        <v>5.7911400690723487E-2</v>
      </c>
      <c r="E765" t="s">
        <v>6</v>
      </c>
      <c r="G765" t="s">
        <v>609</v>
      </c>
      <c r="H765" t="s">
        <v>42</v>
      </c>
      <c r="I765">
        <v>1.5860333626900376E-2</v>
      </c>
      <c r="J765" t="s">
        <v>6</v>
      </c>
      <c r="L765" t="s">
        <v>610</v>
      </c>
      <c r="M765" t="s">
        <v>42</v>
      </c>
      <c r="N765">
        <v>2.2877188127541623E-2</v>
      </c>
      <c r="O765" t="s">
        <v>6</v>
      </c>
    </row>
    <row r="766" spans="2:15" x14ac:dyDescent="0.45">
      <c r="B766" t="s">
        <v>608</v>
      </c>
      <c r="C766" t="s">
        <v>43</v>
      </c>
      <c r="D766">
        <v>5.7007540693953584E-2</v>
      </c>
      <c r="E766" t="s">
        <v>6</v>
      </c>
      <c r="G766" t="s">
        <v>609</v>
      </c>
      <c r="H766" t="s">
        <v>43</v>
      </c>
      <c r="I766">
        <v>1.7431428346737006E-2</v>
      </c>
      <c r="J766" t="s">
        <v>6</v>
      </c>
      <c r="L766" t="s">
        <v>610</v>
      </c>
      <c r="M766" t="s">
        <v>43</v>
      </c>
      <c r="N766">
        <v>2.3759205912126144E-2</v>
      </c>
      <c r="O766" t="s">
        <v>6</v>
      </c>
    </row>
    <row r="767" spans="2:15" x14ac:dyDescent="0.45">
      <c r="B767" t="s">
        <v>608</v>
      </c>
      <c r="C767" t="s">
        <v>44</v>
      </c>
      <c r="D767">
        <v>3.5500891574925073E-2</v>
      </c>
      <c r="E767" t="s">
        <v>6</v>
      </c>
      <c r="G767" t="s">
        <v>609</v>
      </c>
      <c r="H767" t="s">
        <v>44</v>
      </c>
      <c r="I767">
        <v>1.6586145816385272E-2</v>
      </c>
      <c r="J767" t="s">
        <v>6</v>
      </c>
      <c r="L767" t="s">
        <v>610</v>
      </c>
      <c r="M767" t="s">
        <v>44</v>
      </c>
      <c r="N767">
        <v>2.4153523467277345E-2</v>
      </c>
      <c r="O767" t="s">
        <v>6</v>
      </c>
    </row>
    <row r="768" spans="2:15" x14ac:dyDescent="0.45">
      <c r="B768" t="s">
        <v>608</v>
      </c>
      <c r="C768" t="s">
        <v>45</v>
      </c>
      <c r="D768">
        <v>7.5366024984853458E-3</v>
      </c>
      <c r="E768" t="s">
        <v>6</v>
      </c>
      <c r="G768" t="s">
        <v>609</v>
      </c>
      <c r="H768" t="s">
        <v>45</v>
      </c>
      <c r="I768">
        <v>1.5158722020115671E-2</v>
      </c>
      <c r="J768" t="s">
        <v>6</v>
      </c>
      <c r="L768" t="s">
        <v>610</v>
      </c>
      <c r="M768" t="s">
        <v>45</v>
      </c>
      <c r="N768">
        <v>2.4111524546971356E-2</v>
      </c>
      <c r="O768" t="s">
        <v>6</v>
      </c>
    </row>
    <row r="769" spans="2:15" x14ac:dyDescent="0.45">
      <c r="B769" t="s">
        <v>608</v>
      </c>
      <c r="C769" t="s">
        <v>46</v>
      </c>
      <c r="D769">
        <v>1.2497236042725783E-5</v>
      </c>
      <c r="E769" t="s">
        <v>6</v>
      </c>
      <c r="G769" t="s">
        <v>609</v>
      </c>
      <c r="H769" t="s">
        <v>46</v>
      </c>
      <c r="I769">
        <v>1.4012965196061964E-2</v>
      </c>
      <c r="J769" t="s">
        <v>6</v>
      </c>
      <c r="L769" t="s">
        <v>610</v>
      </c>
      <c r="M769" t="s">
        <v>46</v>
      </c>
      <c r="N769">
        <v>2.3832347032141446E-2</v>
      </c>
      <c r="O769" t="s">
        <v>6</v>
      </c>
    </row>
    <row r="770" spans="2:15" x14ac:dyDescent="0.45">
      <c r="B770" t="s">
        <v>608</v>
      </c>
      <c r="C770" t="s">
        <v>47</v>
      </c>
      <c r="D770">
        <v>0</v>
      </c>
      <c r="E770" t="s">
        <v>6</v>
      </c>
      <c r="G770" t="s">
        <v>609</v>
      </c>
      <c r="H770" t="s">
        <v>47</v>
      </c>
      <c r="I770">
        <v>2.046942912116189E-2</v>
      </c>
      <c r="J770" t="s">
        <v>6</v>
      </c>
      <c r="L770" t="s">
        <v>610</v>
      </c>
      <c r="M770" t="s">
        <v>47</v>
      </c>
      <c r="N770">
        <v>3.5249133088643997E-2</v>
      </c>
      <c r="O770" t="s">
        <v>6</v>
      </c>
    </row>
    <row r="771" spans="2:15" x14ac:dyDescent="0.45">
      <c r="B771" t="s">
        <v>611</v>
      </c>
      <c r="C771" t="s">
        <v>5</v>
      </c>
      <c r="D771">
        <v>0</v>
      </c>
      <c r="E771" t="s">
        <v>6</v>
      </c>
      <c r="L771" t="s">
        <v>612</v>
      </c>
      <c r="M771" t="s">
        <v>5</v>
      </c>
      <c r="N771">
        <v>6.3161869618911501E-2</v>
      </c>
      <c r="O771" t="s">
        <v>6</v>
      </c>
    </row>
    <row r="772" spans="2:15" x14ac:dyDescent="0.45">
      <c r="B772" t="s">
        <v>611</v>
      </c>
      <c r="C772" t="s">
        <v>9</v>
      </c>
      <c r="D772">
        <v>0</v>
      </c>
      <c r="E772" t="s">
        <v>6</v>
      </c>
      <c r="L772" t="s">
        <v>612</v>
      </c>
      <c r="M772" t="s">
        <v>9</v>
      </c>
      <c r="N772">
        <v>2.491602374825393E-2</v>
      </c>
      <c r="O772" t="s">
        <v>6</v>
      </c>
    </row>
    <row r="773" spans="2:15" x14ac:dyDescent="0.45">
      <c r="B773" t="s">
        <v>611</v>
      </c>
      <c r="C773" t="s">
        <v>10</v>
      </c>
      <c r="D773">
        <v>6.0644695418063312E-4</v>
      </c>
      <c r="E773" t="s">
        <v>6</v>
      </c>
      <c r="L773" t="s">
        <v>612</v>
      </c>
      <c r="M773" t="s">
        <v>10</v>
      </c>
      <c r="N773">
        <v>2.5024192875224466E-2</v>
      </c>
      <c r="O773" t="s">
        <v>6</v>
      </c>
    </row>
    <row r="774" spans="2:15" x14ac:dyDescent="0.45">
      <c r="B774" t="s">
        <v>611</v>
      </c>
      <c r="C774" t="s">
        <v>11</v>
      </c>
      <c r="D774">
        <v>2.161744563436984E-2</v>
      </c>
      <c r="E774" t="s">
        <v>6</v>
      </c>
      <c r="L774" t="s">
        <v>612</v>
      </c>
      <c r="M774" t="s">
        <v>11</v>
      </c>
      <c r="N774">
        <v>2.5730461947197091E-2</v>
      </c>
      <c r="O774" t="s">
        <v>6</v>
      </c>
    </row>
    <row r="775" spans="2:15" x14ac:dyDescent="0.45">
      <c r="B775" t="s">
        <v>611</v>
      </c>
      <c r="C775" t="s">
        <v>12</v>
      </c>
      <c r="D775">
        <v>4.7706450582543275E-2</v>
      </c>
      <c r="E775" t="s">
        <v>6</v>
      </c>
      <c r="L775" t="s">
        <v>612</v>
      </c>
      <c r="M775" t="s">
        <v>12</v>
      </c>
      <c r="N775">
        <v>2.5801393358250935E-2</v>
      </c>
      <c r="O775" t="s">
        <v>6</v>
      </c>
    </row>
    <row r="776" spans="2:15" x14ac:dyDescent="0.45">
      <c r="B776" t="s">
        <v>611</v>
      </c>
      <c r="C776" t="s">
        <v>13</v>
      </c>
      <c r="D776">
        <v>5.3606918767906429E-2</v>
      </c>
      <c r="E776" t="s">
        <v>6</v>
      </c>
      <c r="L776" t="s">
        <v>612</v>
      </c>
      <c r="M776" t="s">
        <v>13</v>
      </c>
      <c r="N776">
        <v>2.6174716246851991E-2</v>
      </c>
      <c r="O776" t="s">
        <v>6</v>
      </c>
    </row>
    <row r="777" spans="2:15" x14ac:dyDescent="0.45">
      <c r="B777" t="s">
        <v>611</v>
      </c>
      <c r="C777" t="s">
        <v>14</v>
      </c>
      <c r="D777">
        <v>3.3692169723348431E-2</v>
      </c>
      <c r="E777" t="s">
        <v>6</v>
      </c>
      <c r="L777" t="s">
        <v>612</v>
      </c>
      <c r="M777" t="s">
        <v>14</v>
      </c>
      <c r="N777">
        <v>2.6142653960643854E-2</v>
      </c>
      <c r="O777" t="s">
        <v>6</v>
      </c>
    </row>
    <row r="778" spans="2:15" x14ac:dyDescent="0.45">
      <c r="B778" t="s">
        <v>611</v>
      </c>
      <c r="C778" t="s">
        <v>15</v>
      </c>
      <c r="D778">
        <v>4.1682389899165041E-3</v>
      </c>
      <c r="E778" t="s">
        <v>6</v>
      </c>
      <c r="L778" t="s">
        <v>612</v>
      </c>
      <c r="M778" t="s">
        <v>15</v>
      </c>
      <c r="N778">
        <v>2.6254498202047165E-2</v>
      </c>
      <c r="O778" t="s">
        <v>6</v>
      </c>
    </row>
    <row r="779" spans="2:15" x14ac:dyDescent="0.45">
      <c r="B779" t="s">
        <v>611</v>
      </c>
      <c r="C779" t="s">
        <v>16</v>
      </c>
      <c r="D779">
        <v>0</v>
      </c>
      <c r="E779" t="s">
        <v>6</v>
      </c>
      <c r="L779" t="s">
        <v>612</v>
      </c>
      <c r="M779" t="s">
        <v>16</v>
      </c>
      <c r="N779">
        <v>2.6082620925464442E-2</v>
      </c>
      <c r="O779" t="s">
        <v>6</v>
      </c>
    </row>
    <row r="780" spans="2:15" x14ac:dyDescent="0.45">
      <c r="B780" t="s">
        <v>611</v>
      </c>
      <c r="C780" t="s">
        <v>17</v>
      </c>
      <c r="D780">
        <v>0</v>
      </c>
      <c r="E780" t="s">
        <v>6</v>
      </c>
      <c r="L780" t="s">
        <v>612</v>
      </c>
      <c r="M780" t="s">
        <v>17</v>
      </c>
      <c r="N780">
        <v>3.9106642637739907E-2</v>
      </c>
      <c r="O780" t="s">
        <v>6</v>
      </c>
    </row>
    <row r="781" spans="2:15" x14ac:dyDescent="0.45">
      <c r="B781" t="s">
        <v>611</v>
      </c>
      <c r="C781" t="s">
        <v>18</v>
      </c>
      <c r="D781">
        <v>0</v>
      </c>
      <c r="E781" t="s">
        <v>6</v>
      </c>
      <c r="L781" t="s">
        <v>612</v>
      </c>
      <c r="M781" t="s">
        <v>18</v>
      </c>
      <c r="N781">
        <v>6.5391492586952898E-2</v>
      </c>
      <c r="O781" t="s">
        <v>6</v>
      </c>
    </row>
    <row r="782" spans="2:15" x14ac:dyDescent="0.45">
      <c r="B782" t="s">
        <v>611</v>
      </c>
      <c r="C782" t="s">
        <v>19</v>
      </c>
      <c r="D782">
        <v>4.233858302984233E-4</v>
      </c>
      <c r="E782" t="s">
        <v>6</v>
      </c>
      <c r="L782" t="s">
        <v>612</v>
      </c>
      <c r="M782" t="s">
        <v>19</v>
      </c>
      <c r="N782">
        <v>2.6356896221040108E-2</v>
      </c>
      <c r="O782" t="s">
        <v>6</v>
      </c>
    </row>
    <row r="783" spans="2:15" x14ac:dyDescent="0.45">
      <c r="B783" t="s">
        <v>611</v>
      </c>
      <c r="C783" t="s">
        <v>20</v>
      </c>
      <c r="D783">
        <v>1.3807267637789521E-2</v>
      </c>
      <c r="E783" t="s">
        <v>6</v>
      </c>
      <c r="L783" t="s">
        <v>612</v>
      </c>
      <c r="M783" t="s">
        <v>20</v>
      </c>
      <c r="N783">
        <v>2.6228912514951162E-2</v>
      </c>
      <c r="O783" t="s">
        <v>6</v>
      </c>
    </row>
    <row r="784" spans="2:15" x14ac:dyDescent="0.45">
      <c r="B784" t="s">
        <v>611</v>
      </c>
      <c r="C784" t="s">
        <v>21</v>
      </c>
      <c r="D784">
        <v>4.7328226575942364E-2</v>
      </c>
      <c r="E784" t="s">
        <v>6</v>
      </c>
      <c r="L784" t="s">
        <v>612</v>
      </c>
      <c r="M784" t="s">
        <v>21</v>
      </c>
      <c r="N784">
        <v>2.6691915708464131E-2</v>
      </c>
      <c r="O784" t="s">
        <v>6</v>
      </c>
    </row>
    <row r="785" spans="2:15" x14ac:dyDescent="0.45">
      <c r="B785" t="s">
        <v>611</v>
      </c>
      <c r="C785" t="s">
        <v>22</v>
      </c>
      <c r="D785">
        <v>7.0995699836432044E-2</v>
      </c>
      <c r="E785" t="s">
        <v>6</v>
      </c>
      <c r="L785" t="s">
        <v>612</v>
      </c>
      <c r="M785" t="s">
        <v>22</v>
      </c>
      <c r="N785">
        <v>2.6864559979374373E-2</v>
      </c>
      <c r="O785" t="s">
        <v>6</v>
      </c>
    </row>
    <row r="786" spans="2:15" x14ac:dyDescent="0.45">
      <c r="B786" t="s">
        <v>611</v>
      </c>
      <c r="C786" t="s">
        <v>23</v>
      </c>
      <c r="D786">
        <v>7.1508971175487865E-2</v>
      </c>
      <c r="E786" t="s">
        <v>6</v>
      </c>
      <c r="L786" t="s">
        <v>612</v>
      </c>
      <c r="M786" t="s">
        <v>23</v>
      </c>
      <c r="N786">
        <v>2.8460535761853815E-2</v>
      </c>
      <c r="O786" t="s">
        <v>6</v>
      </c>
    </row>
    <row r="787" spans="2:15" x14ac:dyDescent="0.45">
      <c r="B787" t="s">
        <v>611</v>
      </c>
      <c r="C787" t="s">
        <v>24</v>
      </c>
      <c r="D787">
        <v>5.2618645981444917E-2</v>
      </c>
      <c r="E787" t="s">
        <v>6</v>
      </c>
      <c r="L787" t="s">
        <v>612</v>
      </c>
      <c r="M787" t="s">
        <v>24</v>
      </c>
      <c r="N787">
        <v>2.9032099296810138E-2</v>
      </c>
      <c r="O787" t="s">
        <v>6</v>
      </c>
    </row>
    <row r="788" spans="2:15" x14ac:dyDescent="0.45">
      <c r="B788" t="s">
        <v>611</v>
      </c>
      <c r="C788" t="s">
        <v>25</v>
      </c>
      <c r="D788">
        <v>2.0345039526060604E-2</v>
      </c>
      <c r="E788" t="s">
        <v>6</v>
      </c>
      <c r="L788" t="s">
        <v>612</v>
      </c>
      <c r="M788" t="s">
        <v>25</v>
      </c>
      <c r="N788">
        <v>2.9016056095199989E-2</v>
      </c>
      <c r="O788" t="s">
        <v>6</v>
      </c>
    </row>
    <row r="789" spans="2:15" x14ac:dyDescent="0.45">
      <c r="B789" t="s">
        <v>611</v>
      </c>
      <c r="C789" t="s">
        <v>26</v>
      </c>
      <c r="D789">
        <v>8.1525996648799178E-4</v>
      </c>
      <c r="E789" t="s">
        <v>6</v>
      </c>
      <c r="L789" t="s">
        <v>612</v>
      </c>
      <c r="M789" t="s">
        <v>26</v>
      </c>
      <c r="N789">
        <v>2.7603087745324627E-2</v>
      </c>
      <c r="O789" t="s">
        <v>6</v>
      </c>
    </row>
    <row r="790" spans="2:15" x14ac:dyDescent="0.45">
      <c r="B790" t="s">
        <v>611</v>
      </c>
      <c r="C790" t="s">
        <v>27</v>
      </c>
      <c r="D790">
        <v>0</v>
      </c>
      <c r="E790" t="s">
        <v>6</v>
      </c>
      <c r="L790" t="s">
        <v>612</v>
      </c>
      <c r="M790" t="s">
        <v>27</v>
      </c>
      <c r="N790">
        <v>3.8927007904774588E-2</v>
      </c>
      <c r="O790" t="s">
        <v>6</v>
      </c>
    </row>
    <row r="791" spans="2:15" x14ac:dyDescent="0.45">
      <c r="B791" t="s">
        <v>611</v>
      </c>
      <c r="C791" t="s">
        <v>28</v>
      </c>
      <c r="D791">
        <v>0</v>
      </c>
      <c r="E791" t="s">
        <v>6</v>
      </c>
      <c r="L791" t="s">
        <v>612</v>
      </c>
      <c r="M791" t="s">
        <v>28</v>
      </c>
      <c r="N791">
        <v>2.3620324198398299E-2</v>
      </c>
      <c r="O791" t="s">
        <v>6</v>
      </c>
    </row>
    <row r="792" spans="2:15" x14ac:dyDescent="0.45">
      <c r="B792" t="s">
        <v>611</v>
      </c>
      <c r="C792" t="s">
        <v>29</v>
      </c>
      <c r="D792">
        <v>1.029514855840584E-3</v>
      </c>
      <c r="E792" t="s">
        <v>6</v>
      </c>
      <c r="L792" t="s">
        <v>612</v>
      </c>
      <c r="M792" t="s">
        <v>29</v>
      </c>
      <c r="N792">
        <v>8.9690227956868117E-3</v>
      </c>
      <c r="O792" t="s">
        <v>6</v>
      </c>
    </row>
    <row r="793" spans="2:15" x14ac:dyDescent="0.45">
      <c r="B793" t="s">
        <v>611</v>
      </c>
      <c r="C793" t="s">
        <v>30</v>
      </c>
      <c r="D793">
        <v>2.2081835528766948E-2</v>
      </c>
      <c r="E793" t="s">
        <v>6</v>
      </c>
      <c r="L793" t="s">
        <v>612</v>
      </c>
      <c r="M793" t="s">
        <v>30</v>
      </c>
      <c r="N793">
        <v>8.2311300498213221E-3</v>
      </c>
      <c r="O793" t="s">
        <v>6</v>
      </c>
    </row>
    <row r="794" spans="2:15" x14ac:dyDescent="0.45">
      <c r="B794" t="s">
        <v>611</v>
      </c>
      <c r="C794" t="s">
        <v>31</v>
      </c>
      <c r="D794">
        <v>6.1130696240252545E-2</v>
      </c>
      <c r="E794" t="s">
        <v>6</v>
      </c>
      <c r="L794" t="s">
        <v>612</v>
      </c>
      <c r="M794" t="s">
        <v>31</v>
      </c>
      <c r="N794">
        <v>7.970217897694646E-3</v>
      </c>
      <c r="O794" t="s">
        <v>6</v>
      </c>
    </row>
    <row r="795" spans="2:15" x14ac:dyDescent="0.45">
      <c r="B795" t="s">
        <v>611</v>
      </c>
      <c r="C795" t="s">
        <v>32</v>
      </c>
      <c r="D795">
        <v>8.460532055071561E-2</v>
      </c>
      <c r="E795" t="s">
        <v>6</v>
      </c>
      <c r="L795" t="s">
        <v>612</v>
      </c>
      <c r="M795" t="s">
        <v>32</v>
      </c>
      <c r="N795">
        <v>8.0477609623360296E-3</v>
      </c>
      <c r="O795" t="s">
        <v>6</v>
      </c>
    </row>
    <row r="796" spans="2:15" x14ac:dyDescent="0.45">
      <c r="B796" t="s">
        <v>611</v>
      </c>
      <c r="C796" t="s">
        <v>33</v>
      </c>
      <c r="D796">
        <v>8.7822253830722591E-2</v>
      </c>
      <c r="E796" t="s">
        <v>6</v>
      </c>
      <c r="L796" t="s">
        <v>612</v>
      </c>
      <c r="M796" t="s">
        <v>33</v>
      </c>
      <c r="N796">
        <v>1.0960333881353732E-2</v>
      </c>
      <c r="O796" t="s">
        <v>6</v>
      </c>
    </row>
    <row r="797" spans="2:15" x14ac:dyDescent="0.45">
      <c r="B797" t="s">
        <v>611</v>
      </c>
      <c r="C797" t="s">
        <v>34</v>
      </c>
      <c r="D797">
        <v>6.8166533610849761E-2</v>
      </c>
      <c r="E797" t="s">
        <v>6</v>
      </c>
      <c r="L797" t="s">
        <v>612</v>
      </c>
      <c r="M797" t="s">
        <v>34</v>
      </c>
      <c r="N797">
        <v>1.3924739401532247E-2</v>
      </c>
      <c r="O797" t="s">
        <v>6</v>
      </c>
    </row>
    <row r="798" spans="2:15" x14ac:dyDescent="0.45">
      <c r="B798" t="s">
        <v>611</v>
      </c>
      <c r="C798" t="s">
        <v>35</v>
      </c>
      <c r="D798">
        <v>3.0732190648956065E-2</v>
      </c>
      <c r="E798" t="s">
        <v>6</v>
      </c>
      <c r="L798" t="s">
        <v>612</v>
      </c>
      <c r="M798" t="s">
        <v>35</v>
      </c>
      <c r="N798">
        <v>1.3635940989053028E-2</v>
      </c>
      <c r="O798" t="s">
        <v>6</v>
      </c>
    </row>
    <row r="799" spans="2:15" x14ac:dyDescent="0.45">
      <c r="B799" t="s">
        <v>611</v>
      </c>
      <c r="C799" t="s">
        <v>36</v>
      </c>
      <c r="D799">
        <v>2.5008186412751455E-3</v>
      </c>
      <c r="E799" t="s">
        <v>6</v>
      </c>
      <c r="L799" t="s">
        <v>612</v>
      </c>
      <c r="M799" t="s">
        <v>36</v>
      </c>
      <c r="N799">
        <v>1.2173882065977366E-2</v>
      </c>
      <c r="O799" t="s">
        <v>6</v>
      </c>
    </row>
    <row r="800" spans="2:15" x14ac:dyDescent="0.45">
      <c r="B800" t="s">
        <v>611</v>
      </c>
      <c r="C800" t="s">
        <v>37</v>
      </c>
      <c r="D800">
        <v>0</v>
      </c>
      <c r="E800" t="s">
        <v>6</v>
      </c>
      <c r="L800" t="s">
        <v>612</v>
      </c>
      <c r="M800" t="s">
        <v>37</v>
      </c>
      <c r="N800">
        <v>1.4333767621500357E-2</v>
      </c>
      <c r="O800" t="s">
        <v>6</v>
      </c>
    </row>
    <row r="801" spans="2:15" x14ac:dyDescent="0.45">
      <c r="B801" t="s">
        <v>611</v>
      </c>
      <c r="C801" t="s">
        <v>38</v>
      </c>
      <c r="D801">
        <v>0</v>
      </c>
      <c r="E801" t="s">
        <v>6</v>
      </c>
      <c r="L801" t="s">
        <v>612</v>
      </c>
      <c r="M801" t="s">
        <v>38</v>
      </c>
      <c r="N801">
        <v>5.2296852259815924E-2</v>
      </c>
      <c r="O801" t="s">
        <v>6</v>
      </c>
    </row>
    <row r="802" spans="2:15" x14ac:dyDescent="0.45">
      <c r="B802" t="s">
        <v>611</v>
      </c>
      <c r="C802" t="s">
        <v>39</v>
      </c>
      <c r="D802">
        <v>0</v>
      </c>
      <c r="E802" t="s">
        <v>6</v>
      </c>
      <c r="L802" t="s">
        <v>612</v>
      </c>
      <c r="M802" t="s">
        <v>39</v>
      </c>
      <c r="N802">
        <v>2.0615210696857778E-2</v>
      </c>
      <c r="O802" t="s">
        <v>6</v>
      </c>
    </row>
    <row r="803" spans="2:15" x14ac:dyDescent="0.45">
      <c r="B803" t="s">
        <v>611</v>
      </c>
      <c r="C803" t="s">
        <v>40</v>
      </c>
      <c r="D803">
        <v>6.3486792117089016E-3</v>
      </c>
      <c r="E803" t="s">
        <v>6</v>
      </c>
      <c r="L803" t="s">
        <v>612</v>
      </c>
      <c r="M803" t="s">
        <v>40</v>
      </c>
      <c r="N803">
        <v>2.0366420163406812E-2</v>
      </c>
      <c r="O803" t="s">
        <v>6</v>
      </c>
    </row>
    <row r="804" spans="2:15" x14ac:dyDescent="0.45">
      <c r="B804" t="s">
        <v>611</v>
      </c>
      <c r="C804" t="s">
        <v>41</v>
      </c>
      <c r="D804">
        <v>3.6038470442049782E-2</v>
      </c>
      <c r="E804" t="s">
        <v>6</v>
      </c>
      <c r="L804" t="s">
        <v>612</v>
      </c>
      <c r="M804" t="s">
        <v>41</v>
      </c>
      <c r="N804">
        <v>2.0185983929925534E-2</v>
      </c>
      <c r="O804" t="s">
        <v>6</v>
      </c>
    </row>
    <row r="805" spans="2:15" x14ac:dyDescent="0.45">
      <c r="B805" t="s">
        <v>611</v>
      </c>
      <c r="C805" t="s">
        <v>42</v>
      </c>
      <c r="D805">
        <v>5.8293432248050579E-2</v>
      </c>
      <c r="E805" t="s">
        <v>6</v>
      </c>
      <c r="L805" t="s">
        <v>612</v>
      </c>
      <c r="M805" t="s">
        <v>42</v>
      </c>
      <c r="N805">
        <v>1.9707086195167808E-2</v>
      </c>
      <c r="O805" t="s">
        <v>6</v>
      </c>
    </row>
    <row r="806" spans="2:15" x14ac:dyDescent="0.45">
      <c r="B806" t="s">
        <v>611</v>
      </c>
      <c r="C806" t="s">
        <v>43</v>
      </c>
      <c r="D806">
        <v>5.7641268380971798E-2</v>
      </c>
      <c r="E806" t="s">
        <v>6</v>
      </c>
      <c r="L806" t="s">
        <v>612</v>
      </c>
      <c r="M806" t="s">
        <v>43</v>
      </c>
      <c r="N806">
        <v>2.0509640046459391E-2</v>
      </c>
      <c r="O806" t="s">
        <v>6</v>
      </c>
    </row>
    <row r="807" spans="2:15" x14ac:dyDescent="0.45">
      <c r="B807" t="s">
        <v>611</v>
      </c>
      <c r="C807" t="s">
        <v>44</v>
      </c>
      <c r="D807">
        <v>3.663084818626243E-2</v>
      </c>
      <c r="E807" t="s">
        <v>6</v>
      </c>
      <c r="L807" t="s">
        <v>612</v>
      </c>
      <c r="M807" t="s">
        <v>44</v>
      </c>
      <c r="N807">
        <v>2.0994827258438792E-2</v>
      </c>
      <c r="O807" t="s">
        <v>6</v>
      </c>
    </row>
    <row r="808" spans="2:15" x14ac:dyDescent="0.45">
      <c r="B808" t="s">
        <v>611</v>
      </c>
      <c r="C808" t="s">
        <v>45</v>
      </c>
      <c r="D808">
        <v>7.727650623891932E-3</v>
      </c>
      <c r="E808" t="s">
        <v>6</v>
      </c>
      <c r="L808" t="s">
        <v>612</v>
      </c>
      <c r="M808" t="s">
        <v>45</v>
      </c>
      <c r="N808">
        <v>2.0528682473991963E-2</v>
      </c>
      <c r="O808" t="s">
        <v>6</v>
      </c>
    </row>
    <row r="809" spans="2:15" x14ac:dyDescent="0.45">
      <c r="B809" t="s">
        <v>611</v>
      </c>
      <c r="C809" t="s">
        <v>46</v>
      </c>
      <c r="D809">
        <v>1.0319817478483478E-5</v>
      </c>
      <c r="E809" t="s">
        <v>6</v>
      </c>
      <c r="L809" t="s">
        <v>612</v>
      </c>
      <c r="M809" t="s">
        <v>46</v>
      </c>
      <c r="N809">
        <v>2.0127078055369771E-2</v>
      </c>
      <c r="O809" t="s">
        <v>6</v>
      </c>
    </row>
    <row r="810" spans="2:15" x14ac:dyDescent="0.45">
      <c r="B810" t="s">
        <v>611</v>
      </c>
      <c r="C810" t="s">
        <v>47</v>
      </c>
      <c r="D810">
        <v>0</v>
      </c>
      <c r="E810" t="s">
        <v>6</v>
      </c>
      <c r="L810" t="s">
        <v>612</v>
      </c>
      <c r="M810" t="s">
        <v>47</v>
      </c>
      <c r="N810">
        <v>2.983346172187756E-2</v>
      </c>
      <c r="O810" t="s">
        <v>6</v>
      </c>
    </row>
    <row r="811" spans="2:15" x14ac:dyDescent="0.45">
      <c r="B811" t="s">
        <v>613</v>
      </c>
      <c r="C811" t="s">
        <v>5</v>
      </c>
      <c r="D811">
        <v>0</v>
      </c>
      <c r="E811" t="s">
        <v>6</v>
      </c>
    </row>
    <row r="812" spans="2:15" x14ac:dyDescent="0.45">
      <c r="B812" t="s">
        <v>613</v>
      </c>
      <c r="C812" t="s">
        <v>9</v>
      </c>
      <c r="D812">
        <v>0</v>
      </c>
      <c r="E812" t="s">
        <v>6</v>
      </c>
    </row>
    <row r="813" spans="2:15" x14ac:dyDescent="0.45">
      <c r="B813" t="s">
        <v>613</v>
      </c>
      <c r="C813" t="s">
        <v>10</v>
      </c>
      <c r="D813">
        <v>4.0163054772971959E-4</v>
      </c>
      <c r="E813" t="s">
        <v>6</v>
      </c>
    </row>
    <row r="814" spans="2:15" x14ac:dyDescent="0.45">
      <c r="B814" t="s">
        <v>613</v>
      </c>
      <c r="C814" t="s">
        <v>11</v>
      </c>
      <c r="D814">
        <v>2.2120245631248356E-2</v>
      </c>
      <c r="E814" t="s">
        <v>6</v>
      </c>
    </row>
    <row r="815" spans="2:15" x14ac:dyDescent="0.45">
      <c r="B815" t="s">
        <v>613</v>
      </c>
      <c r="C815" t="s">
        <v>12</v>
      </c>
      <c r="D815">
        <v>5.0460012317687632E-2</v>
      </c>
      <c r="E815" t="s">
        <v>6</v>
      </c>
    </row>
    <row r="816" spans="2:15" x14ac:dyDescent="0.45">
      <c r="B816" t="s">
        <v>613</v>
      </c>
      <c r="C816" t="s">
        <v>13</v>
      </c>
      <c r="D816">
        <v>5.5891820435270953E-2</v>
      </c>
      <c r="E816" t="s">
        <v>6</v>
      </c>
    </row>
    <row r="817" spans="2:5" x14ac:dyDescent="0.45">
      <c r="B817" t="s">
        <v>613</v>
      </c>
      <c r="C817" t="s">
        <v>14</v>
      </c>
      <c r="D817">
        <v>3.496302443299671E-2</v>
      </c>
      <c r="E817" t="s">
        <v>6</v>
      </c>
    </row>
    <row r="818" spans="2:5" x14ac:dyDescent="0.45">
      <c r="B818" t="s">
        <v>613</v>
      </c>
      <c r="C818" t="s">
        <v>15</v>
      </c>
      <c r="D818">
        <v>5.1206547401628898E-3</v>
      </c>
      <c r="E818" t="s">
        <v>6</v>
      </c>
    </row>
    <row r="819" spans="2:5" x14ac:dyDescent="0.45">
      <c r="B819" t="s">
        <v>613</v>
      </c>
      <c r="C819" t="s">
        <v>16</v>
      </c>
      <c r="D819">
        <v>0</v>
      </c>
      <c r="E819" t="s">
        <v>6</v>
      </c>
    </row>
    <row r="820" spans="2:5" x14ac:dyDescent="0.45">
      <c r="B820" t="s">
        <v>613</v>
      </c>
      <c r="C820" t="s">
        <v>17</v>
      </c>
      <c r="D820">
        <v>0</v>
      </c>
      <c r="E820" t="s">
        <v>6</v>
      </c>
    </row>
    <row r="821" spans="2:5" x14ac:dyDescent="0.45">
      <c r="B821" t="s">
        <v>613</v>
      </c>
      <c r="C821" t="s">
        <v>18</v>
      </c>
      <c r="D821">
        <v>0</v>
      </c>
      <c r="E821" t="s">
        <v>6</v>
      </c>
    </row>
    <row r="822" spans="2:5" x14ac:dyDescent="0.45">
      <c r="B822" t="s">
        <v>613</v>
      </c>
      <c r="C822" t="s">
        <v>19</v>
      </c>
      <c r="D822">
        <v>3.106520965023993E-4</v>
      </c>
      <c r="E822" t="s">
        <v>6</v>
      </c>
    </row>
    <row r="823" spans="2:5" x14ac:dyDescent="0.45">
      <c r="B823" t="s">
        <v>613</v>
      </c>
      <c r="C823" t="s">
        <v>20</v>
      </c>
      <c r="D823">
        <v>1.2863478191677272E-2</v>
      </c>
      <c r="E823" t="s">
        <v>6</v>
      </c>
    </row>
    <row r="824" spans="2:5" x14ac:dyDescent="0.45">
      <c r="B824" t="s">
        <v>613</v>
      </c>
      <c r="C824" t="s">
        <v>21</v>
      </c>
      <c r="D824">
        <v>4.6742225685791242E-2</v>
      </c>
      <c r="E824" t="s">
        <v>6</v>
      </c>
    </row>
    <row r="825" spans="2:5" x14ac:dyDescent="0.45">
      <c r="B825" t="s">
        <v>613</v>
      </c>
      <c r="C825" t="s">
        <v>22</v>
      </c>
      <c r="D825">
        <v>6.8888117689332062E-2</v>
      </c>
      <c r="E825" t="s">
        <v>6</v>
      </c>
    </row>
    <row r="826" spans="2:5" x14ac:dyDescent="0.45">
      <c r="B826" t="s">
        <v>613</v>
      </c>
      <c r="C826" t="s">
        <v>23</v>
      </c>
      <c r="D826">
        <v>6.822399591148913E-2</v>
      </c>
      <c r="E826" t="s">
        <v>6</v>
      </c>
    </row>
    <row r="827" spans="2:5" x14ac:dyDescent="0.45">
      <c r="B827" t="s">
        <v>613</v>
      </c>
      <c r="C827" t="s">
        <v>24</v>
      </c>
      <c r="D827">
        <v>5.0638644196800676E-2</v>
      </c>
      <c r="E827" t="s">
        <v>6</v>
      </c>
    </row>
    <row r="828" spans="2:5" x14ac:dyDescent="0.45">
      <c r="B828" t="s">
        <v>613</v>
      </c>
      <c r="C828" t="s">
        <v>25</v>
      </c>
      <c r="D828">
        <v>2.1093474911781721E-2</v>
      </c>
      <c r="E828" t="s">
        <v>6</v>
      </c>
    </row>
    <row r="829" spans="2:5" x14ac:dyDescent="0.45">
      <c r="B829" t="s">
        <v>613</v>
      </c>
      <c r="C829" t="s">
        <v>26</v>
      </c>
      <c r="D829">
        <v>9.9606768154595336E-4</v>
      </c>
      <c r="E829" t="s">
        <v>6</v>
      </c>
    </row>
    <row r="830" spans="2:5" x14ac:dyDescent="0.45">
      <c r="B830" t="s">
        <v>613</v>
      </c>
      <c r="C830" t="s">
        <v>27</v>
      </c>
      <c r="D830">
        <v>0</v>
      </c>
      <c r="E830" t="s">
        <v>6</v>
      </c>
    </row>
    <row r="831" spans="2:5" x14ac:dyDescent="0.45">
      <c r="B831" t="s">
        <v>613</v>
      </c>
      <c r="C831" t="s">
        <v>28</v>
      </c>
      <c r="D831">
        <v>0</v>
      </c>
      <c r="E831" t="s">
        <v>6</v>
      </c>
    </row>
    <row r="832" spans="2:5" x14ac:dyDescent="0.45">
      <c r="B832" t="s">
        <v>613</v>
      </c>
      <c r="C832" t="s">
        <v>29</v>
      </c>
      <c r="D832">
        <v>8.430557971840989E-4</v>
      </c>
      <c r="E832" t="s">
        <v>6</v>
      </c>
    </row>
    <row r="833" spans="2:5" x14ac:dyDescent="0.45">
      <c r="B833" t="s">
        <v>613</v>
      </c>
      <c r="C833" t="s">
        <v>30</v>
      </c>
      <c r="D833">
        <v>2.0798440153051961E-2</v>
      </c>
      <c r="E833" t="s">
        <v>6</v>
      </c>
    </row>
    <row r="834" spans="2:5" x14ac:dyDescent="0.45">
      <c r="B834" t="s">
        <v>613</v>
      </c>
      <c r="C834" t="s">
        <v>31</v>
      </c>
      <c r="D834">
        <v>6.1551351175418427E-2</v>
      </c>
      <c r="E834" t="s">
        <v>6</v>
      </c>
    </row>
    <row r="835" spans="2:5" x14ac:dyDescent="0.45">
      <c r="B835" t="s">
        <v>613</v>
      </c>
      <c r="C835" t="s">
        <v>32</v>
      </c>
      <c r="D835">
        <v>8.6670089046132562E-2</v>
      </c>
      <c r="E835" t="s">
        <v>6</v>
      </c>
    </row>
    <row r="836" spans="2:5" x14ac:dyDescent="0.45">
      <c r="B836" t="s">
        <v>613</v>
      </c>
      <c r="C836" t="s">
        <v>33</v>
      </c>
      <c r="D836">
        <v>8.8682621748197799E-2</v>
      </c>
      <c r="E836" t="s">
        <v>6</v>
      </c>
    </row>
    <row r="837" spans="2:5" x14ac:dyDescent="0.45">
      <c r="B837" t="s">
        <v>613</v>
      </c>
      <c r="C837" t="s">
        <v>34</v>
      </c>
      <c r="D837">
        <v>6.8842464653724622E-2</v>
      </c>
      <c r="E837" t="s">
        <v>6</v>
      </c>
    </row>
    <row r="838" spans="2:5" x14ac:dyDescent="0.45">
      <c r="B838" t="s">
        <v>613</v>
      </c>
      <c r="C838" t="s">
        <v>35</v>
      </c>
      <c r="D838">
        <v>3.2139576571750414E-2</v>
      </c>
      <c r="E838" t="s">
        <v>6</v>
      </c>
    </row>
    <row r="839" spans="2:5" x14ac:dyDescent="0.45">
      <c r="B839" t="s">
        <v>613</v>
      </c>
      <c r="C839" t="s">
        <v>36</v>
      </c>
      <c r="D839">
        <v>3.1125994464337729E-3</v>
      </c>
      <c r="E839" t="s">
        <v>6</v>
      </c>
    </row>
    <row r="840" spans="2:5" x14ac:dyDescent="0.45">
      <c r="B840" t="s">
        <v>613</v>
      </c>
      <c r="C840" t="s">
        <v>37</v>
      </c>
      <c r="D840">
        <v>0</v>
      </c>
      <c r="E840" t="s">
        <v>6</v>
      </c>
    </row>
    <row r="841" spans="2:5" x14ac:dyDescent="0.45">
      <c r="B841" t="s">
        <v>613</v>
      </c>
      <c r="C841" t="s">
        <v>38</v>
      </c>
      <c r="D841">
        <v>0</v>
      </c>
      <c r="E841" t="s">
        <v>6</v>
      </c>
    </row>
    <row r="842" spans="2:5" x14ac:dyDescent="0.45">
      <c r="B842" t="s">
        <v>613</v>
      </c>
      <c r="C842" t="s">
        <v>39</v>
      </c>
      <c r="D842">
        <v>0</v>
      </c>
      <c r="E842" t="s">
        <v>6</v>
      </c>
    </row>
    <row r="843" spans="2:5" x14ac:dyDescent="0.45">
      <c r="B843" t="s">
        <v>613</v>
      </c>
      <c r="C843" t="s">
        <v>40</v>
      </c>
      <c r="D843">
        <v>5.5825053116350248E-3</v>
      </c>
      <c r="E843" t="s">
        <v>6</v>
      </c>
    </row>
    <row r="844" spans="2:5" x14ac:dyDescent="0.45">
      <c r="B844" t="s">
        <v>613</v>
      </c>
      <c r="C844" t="s">
        <v>41</v>
      </c>
      <c r="D844">
        <v>3.4100990003943454E-2</v>
      </c>
      <c r="E844" t="s">
        <v>6</v>
      </c>
    </row>
    <row r="845" spans="2:5" x14ac:dyDescent="0.45">
      <c r="B845" t="s">
        <v>613</v>
      </c>
      <c r="C845" t="s">
        <v>42</v>
      </c>
      <c r="D845">
        <v>5.6690777467161932E-2</v>
      </c>
      <c r="E845" t="s">
        <v>6</v>
      </c>
    </row>
    <row r="846" spans="2:5" x14ac:dyDescent="0.45">
      <c r="B846" t="s">
        <v>613</v>
      </c>
      <c r="C846" t="s">
        <v>43</v>
      </c>
      <c r="D846">
        <v>5.6709942964784571E-2</v>
      </c>
      <c r="E846" t="s">
        <v>6</v>
      </c>
    </row>
    <row r="847" spans="2:5" x14ac:dyDescent="0.45">
      <c r="B847" t="s">
        <v>613</v>
      </c>
      <c r="C847" t="s">
        <v>44</v>
      </c>
      <c r="D847">
        <v>3.676990085087195E-2</v>
      </c>
      <c r="E847" t="s">
        <v>6</v>
      </c>
    </row>
    <row r="848" spans="2:5" x14ac:dyDescent="0.45">
      <c r="B848" t="s">
        <v>613</v>
      </c>
      <c r="C848" t="s">
        <v>45</v>
      </c>
      <c r="D848">
        <v>8.769636749957151E-3</v>
      </c>
      <c r="E848" t="s">
        <v>6</v>
      </c>
    </row>
    <row r="849" spans="2:5" x14ac:dyDescent="0.45">
      <c r="B849" t="s">
        <v>613</v>
      </c>
      <c r="C849" t="s">
        <v>46</v>
      </c>
      <c r="D849">
        <v>2.2003589736870313E-5</v>
      </c>
      <c r="E849" t="s">
        <v>6</v>
      </c>
    </row>
    <row r="850" spans="2:5" x14ac:dyDescent="0.45">
      <c r="B850" t="s">
        <v>613</v>
      </c>
      <c r="C850" t="s">
        <v>47</v>
      </c>
      <c r="D850">
        <v>0</v>
      </c>
      <c r="E850" t="s">
        <v>6</v>
      </c>
    </row>
    <row r="851" spans="2:5" x14ac:dyDescent="0.45">
      <c r="B851" t="s">
        <v>614</v>
      </c>
      <c r="C851" t="s">
        <v>5</v>
      </c>
      <c r="D851">
        <v>0</v>
      </c>
      <c r="E851" t="s">
        <v>6</v>
      </c>
    </row>
    <row r="852" spans="2:5" x14ac:dyDescent="0.45">
      <c r="B852" t="s">
        <v>614</v>
      </c>
      <c r="C852" t="s">
        <v>9</v>
      </c>
      <c r="D852">
        <v>0</v>
      </c>
      <c r="E852" t="s">
        <v>6</v>
      </c>
    </row>
    <row r="853" spans="2:5" x14ac:dyDescent="0.45">
      <c r="B853" t="s">
        <v>614</v>
      </c>
      <c r="C853" t="s">
        <v>10</v>
      </c>
      <c r="D853">
        <v>6.4149108027158745E-4</v>
      </c>
      <c r="E853" t="s">
        <v>6</v>
      </c>
    </row>
    <row r="854" spans="2:5" x14ac:dyDescent="0.45">
      <c r="B854" t="s">
        <v>614</v>
      </c>
      <c r="C854" t="s">
        <v>11</v>
      </c>
      <c r="D854">
        <v>2.2481243374555291E-2</v>
      </c>
      <c r="E854" t="s">
        <v>6</v>
      </c>
    </row>
    <row r="855" spans="2:5" x14ac:dyDescent="0.45">
      <c r="B855" t="s">
        <v>614</v>
      </c>
      <c r="C855" t="s">
        <v>12</v>
      </c>
      <c r="D855">
        <v>4.9739204523936535E-2</v>
      </c>
      <c r="E855" t="s">
        <v>6</v>
      </c>
    </row>
    <row r="856" spans="2:5" x14ac:dyDescent="0.45">
      <c r="B856" t="s">
        <v>614</v>
      </c>
      <c r="C856" t="s">
        <v>13</v>
      </c>
      <c r="D856">
        <v>5.3519649340664249E-2</v>
      </c>
      <c r="E856" t="s">
        <v>6</v>
      </c>
    </row>
    <row r="857" spans="2:5" x14ac:dyDescent="0.45">
      <c r="B857" t="s">
        <v>614</v>
      </c>
      <c r="C857" t="s">
        <v>14</v>
      </c>
      <c r="D857">
        <v>3.334872240708793E-2</v>
      </c>
      <c r="E857" t="s">
        <v>6</v>
      </c>
    </row>
    <row r="858" spans="2:5" x14ac:dyDescent="0.45">
      <c r="B858" t="s">
        <v>614</v>
      </c>
      <c r="C858" t="s">
        <v>15</v>
      </c>
      <c r="D858">
        <v>4.6019144800656352E-3</v>
      </c>
      <c r="E858" t="s">
        <v>6</v>
      </c>
    </row>
    <row r="859" spans="2:5" x14ac:dyDescent="0.45">
      <c r="B859" t="s">
        <v>614</v>
      </c>
      <c r="C859" t="s">
        <v>16</v>
      </c>
      <c r="D859">
        <v>0</v>
      </c>
      <c r="E859" t="s">
        <v>6</v>
      </c>
    </row>
    <row r="860" spans="2:5" x14ac:dyDescent="0.45">
      <c r="B860" t="s">
        <v>614</v>
      </c>
      <c r="C860" t="s">
        <v>17</v>
      </c>
      <c r="D860">
        <v>0</v>
      </c>
      <c r="E860" t="s">
        <v>6</v>
      </c>
    </row>
    <row r="861" spans="2:5" x14ac:dyDescent="0.45">
      <c r="B861" t="s">
        <v>614</v>
      </c>
      <c r="C861" t="s">
        <v>18</v>
      </c>
      <c r="D861">
        <v>0</v>
      </c>
      <c r="E861" t="s">
        <v>6</v>
      </c>
    </row>
    <row r="862" spans="2:5" x14ac:dyDescent="0.45">
      <c r="B862" t="s">
        <v>614</v>
      </c>
      <c r="C862" t="s">
        <v>19</v>
      </c>
      <c r="D862">
        <v>3.1903518485249449E-4</v>
      </c>
      <c r="E862" t="s">
        <v>6</v>
      </c>
    </row>
    <row r="863" spans="2:5" x14ac:dyDescent="0.45">
      <c r="B863" t="s">
        <v>614</v>
      </c>
      <c r="C863" t="s">
        <v>20</v>
      </c>
      <c r="D863">
        <v>1.3772504155556104E-2</v>
      </c>
      <c r="E863" t="s">
        <v>6</v>
      </c>
    </row>
    <row r="864" spans="2:5" x14ac:dyDescent="0.45">
      <c r="B864" t="s">
        <v>614</v>
      </c>
      <c r="C864" t="s">
        <v>21</v>
      </c>
      <c r="D864">
        <v>4.832166857415799E-2</v>
      </c>
      <c r="E864" t="s">
        <v>6</v>
      </c>
    </row>
    <row r="865" spans="2:5" x14ac:dyDescent="0.45">
      <c r="B865" t="s">
        <v>614</v>
      </c>
      <c r="C865" t="s">
        <v>22</v>
      </c>
      <c r="D865">
        <v>7.0594740359873731E-2</v>
      </c>
      <c r="E865" t="s">
        <v>6</v>
      </c>
    </row>
    <row r="866" spans="2:5" x14ac:dyDescent="0.45">
      <c r="B866" t="s">
        <v>614</v>
      </c>
      <c r="C866" t="s">
        <v>23</v>
      </c>
      <c r="D866">
        <v>7.1217355711833769E-2</v>
      </c>
      <c r="E866" t="s">
        <v>6</v>
      </c>
    </row>
    <row r="867" spans="2:5" x14ac:dyDescent="0.45">
      <c r="B867" t="s">
        <v>614</v>
      </c>
      <c r="C867" t="s">
        <v>24</v>
      </c>
      <c r="D867">
        <v>5.2001223629027427E-2</v>
      </c>
      <c r="E867" t="s">
        <v>6</v>
      </c>
    </row>
    <row r="868" spans="2:5" x14ac:dyDescent="0.45">
      <c r="B868" t="s">
        <v>614</v>
      </c>
      <c r="C868" t="s">
        <v>25</v>
      </c>
      <c r="D868">
        <v>2.0423881815138167E-2</v>
      </c>
      <c r="E868" t="s">
        <v>6</v>
      </c>
    </row>
    <row r="869" spans="2:5" x14ac:dyDescent="0.45">
      <c r="B869" t="s">
        <v>614</v>
      </c>
      <c r="C869" t="s">
        <v>26</v>
      </c>
      <c r="D869">
        <v>7.1019462006271269E-4</v>
      </c>
      <c r="E869" t="s">
        <v>6</v>
      </c>
    </row>
    <row r="870" spans="2:5" x14ac:dyDescent="0.45">
      <c r="B870" t="s">
        <v>614</v>
      </c>
      <c r="C870" t="s">
        <v>27</v>
      </c>
      <c r="D870">
        <v>0</v>
      </c>
      <c r="E870" t="s">
        <v>6</v>
      </c>
    </row>
    <row r="871" spans="2:5" x14ac:dyDescent="0.45">
      <c r="B871" t="s">
        <v>614</v>
      </c>
      <c r="C871" t="s">
        <v>28</v>
      </c>
      <c r="D871">
        <v>0</v>
      </c>
      <c r="E871" t="s">
        <v>6</v>
      </c>
    </row>
    <row r="872" spans="2:5" x14ac:dyDescent="0.45">
      <c r="B872" t="s">
        <v>614</v>
      </c>
      <c r="C872" t="s">
        <v>29</v>
      </c>
      <c r="D872">
        <v>8.9243590999200787E-4</v>
      </c>
      <c r="E872" t="s">
        <v>6</v>
      </c>
    </row>
    <row r="873" spans="2:5" x14ac:dyDescent="0.45">
      <c r="B873" t="s">
        <v>614</v>
      </c>
      <c r="C873" t="s">
        <v>30</v>
      </c>
      <c r="D873">
        <v>2.1926183691939532E-2</v>
      </c>
      <c r="E873" t="s">
        <v>6</v>
      </c>
    </row>
    <row r="874" spans="2:5" x14ac:dyDescent="0.45">
      <c r="B874" t="s">
        <v>614</v>
      </c>
      <c r="C874" t="s">
        <v>31</v>
      </c>
      <c r="D874">
        <v>6.220443948885445E-2</v>
      </c>
      <c r="E874" t="s">
        <v>6</v>
      </c>
    </row>
    <row r="875" spans="2:5" x14ac:dyDescent="0.45">
      <c r="B875" t="s">
        <v>614</v>
      </c>
      <c r="C875" t="s">
        <v>32</v>
      </c>
      <c r="D875">
        <v>8.5211810753354975E-2</v>
      </c>
      <c r="E875" t="s">
        <v>6</v>
      </c>
    </row>
    <row r="876" spans="2:5" x14ac:dyDescent="0.45">
      <c r="B876" t="s">
        <v>614</v>
      </c>
      <c r="C876" t="s">
        <v>33</v>
      </c>
      <c r="D876">
        <v>8.4870242758015024E-2</v>
      </c>
      <c r="E876" t="s">
        <v>6</v>
      </c>
    </row>
    <row r="877" spans="2:5" x14ac:dyDescent="0.45">
      <c r="B877" t="s">
        <v>614</v>
      </c>
      <c r="C877" t="s">
        <v>34</v>
      </c>
      <c r="D877">
        <v>6.3179990211189335E-2</v>
      </c>
      <c r="E877" t="s">
        <v>6</v>
      </c>
    </row>
    <row r="878" spans="2:5" x14ac:dyDescent="0.45">
      <c r="B878" t="s">
        <v>614</v>
      </c>
      <c r="C878" t="s">
        <v>35</v>
      </c>
      <c r="D878">
        <v>2.8485744342851765E-2</v>
      </c>
      <c r="E878" t="s">
        <v>6</v>
      </c>
    </row>
    <row r="879" spans="2:5" x14ac:dyDescent="0.45">
      <c r="B879" t="s">
        <v>614</v>
      </c>
      <c r="C879" t="s">
        <v>36</v>
      </c>
      <c r="D879">
        <v>2.1595740355369445E-3</v>
      </c>
      <c r="E879" t="s">
        <v>6</v>
      </c>
    </row>
    <row r="880" spans="2:5" x14ac:dyDescent="0.45">
      <c r="B880" t="s">
        <v>614</v>
      </c>
      <c r="C880" t="s">
        <v>37</v>
      </c>
      <c r="D880">
        <v>0</v>
      </c>
      <c r="E880" t="s">
        <v>6</v>
      </c>
    </row>
    <row r="881" spans="2:5" x14ac:dyDescent="0.45">
      <c r="B881" t="s">
        <v>614</v>
      </c>
      <c r="C881" t="s">
        <v>38</v>
      </c>
      <c r="D881">
        <v>0</v>
      </c>
      <c r="E881" t="s">
        <v>6</v>
      </c>
    </row>
    <row r="882" spans="2:5" x14ac:dyDescent="0.45">
      <c r="B882" t="s">
        <v>614</v>
      </c>
      <c r="C882" t="s">
        <v>39</v>
      </c>
      <c r="D882">
        <v>0</v>
      </c>
      <c r="E882" t="s">
        <v>6</v>
      </c>
    </row>
    <row r="883" spans="2:5" x14ac:dyDescent="0.45">
      <c r="B883" t="s">
        <v>614</v>
      </c>
      <c r="C883" t="s">
        <v>40</v>
      </c>
      <c r="D883">
        <v>6.6916274511975866E-3</v>
      </c>
      <c r="E883" t="s">
        <v>6</v>
      </c>
    </row>
    <row r="884" spans="2:5" x14ac:dyDescent="0.45">
      <c r="B884" t="s">
        <v>614</v>
      </c>
      <c r="C884" t="s">
        <v>41</v>
      </c>
      <c r="D884">
        <v>3.714736276961314E-2</v>
      </c>
      <c r="E884" t="s">
        <v>6</v>
      </c>
    </row>
    <row r="885" spans="2:5" x14ac:dyDescent="0.45">
      <c r="B885" t="s">
        <v>614</v>
      </c>
      <c r="C885" t="s">
        <v>42</v>
      </c>
      <c r="D885">
        <v>6.02586738895107E-2</v>
      </c>
      <c r="E885" t="s">
        <v>6</v>
      </c>
    </row>
    <row r="886" spans="2:5" x14ac:dyDescent="0.45">
      <c r="B886" t="s">
        <v>614</v>
      </c>
      <c r="C886" t="s">
        <v>43</v>
      </c>
      <c r="D886">
        <v>5.9136656560855962E-2</v>
      </c>
      <c r="E886" t="s">
        <v>6</v>
      </c>
    </row>
    <row r="887" spans="2:5" x14ac:dyDescent="0.45">
      <c r="B887" t="s">
        <v>614</v>
      </c>
      <c r="C887" t="s">
        <v>44</v>
      </c>
      <c r="D887">
        <v>3.8033378377973485E-2</v>
      </c>
      <c r="E887" t="s">
        <v>6</v>
      </c>
    </row>
    <row r="888" spans="2:5" x14ac:dyDescent="0.45">
      <c r="B888" t="s">
        <v>614</v>
      </c>
      <c r="C888" t="s">
        <v>45</v>
      </c>
      <c r="D888">
        <v>8.1011712465017226E-3</v>
      </c>
      <c r="E888" t="s">
        <v>6</v>
      </c>
    </row>
    <row r="889" spans="2:5" x14ac:dyDescent="0.45">
      <c r="B889" t="s">
        <v>614</v>
      </c>
      <c r="C889" t="s">
        <v>46</v>
      </c>
      <c r="D889">
        <v>7.8792555325771269E-6</v>
      </c>
      <c r="E889" t="s">
        <v>6</v>
      </c>
    </row>
    <row r="890" spans="2:5" x14ac:dyDescent="0.45">
      <c r="B890" t="s">
        <v>614</v>
      </c>
      <c r="C890" t="s">
        <v>47</v>
      </c>
      <c r="D890">
        <v>0</v>
      </c>
      <c r="E890" t="s">
        <v>6</v>
      </c>
    </row>
    <row r="891" spans="2:5" x14ac:dyDescent="0.45">
      <c r="B891" t="s">
        <v>615</v>
      </c>
      <c r="C891" t="s">
        <v>5</v>
      </c>
      <c r="D891">
        <v>0</v>
      </c>
      <c r="E891" t="s">
        <v>6</v>
      </c>
    </row>
    <row r="892" spans="2:5" x14ac:dyDescent="0.45">
      <c r="B892" t="s">
        <v>615</v>
      </c>
      <c r="C892" t="s">
        <v>9</v>
      </c>
      <c r="D892">
        <v>0</v>
      </c>
      <c r="E892" t="s">
        <v>6</v>
      </c>
    </row>
    <row r="893" spans="2:5" x14ac:dyDescent="0.45">
      <c r="B893" t="s">
        <v>615</v>
      </c>
      <c r="C893" t="s">
        <v>10</v>
      </c>
      <c r="D893">
        <v>5.0852740910130344E-4</v>
      </c>
      <c r="E893" t="s">
        <v>6</v>
      </c>
    </row>
    <row r="894" spans="2:5" x14ac:dyDescent="0.45">
      <c r="B894" t="s">
        <v>615</v>
      </c>
      <c r="C894" t="s">
        <v>11</v>
      </c>
      <c r="D894">
        <v>2.2501121362856889E-2</v>
      </c>
      <c r="E894" t="s">
        <v>6</v>
      </c>
    </row>
    <row r="895" spans="2:5" x14ac:dyDescent="0.45">
      <c r="B895" t="s">
        <v>615</v>
      </c>
      <c r="C895" t="s">
        <v>12</v>
      </c>
      <c r="D895">
        <v>5.071277830465714E-2</v>
      </c>
      <c r="E895" t="s">
        <v>6</v>
      </c>
    </row>
    <row r="896" spans="2:5" x14ac:dyDescent="0.45">
      <c r="B896" t="s">
        <v>615</v>
      </c>
      <c r="C896" t="s">
        <v>13</v>
      </c>
      <c r="D896">
        <v>5.5565267472926512E-2</v>
      </c>
      <c r="E896" t="s">
        <v>6</v>
      </c>
    </row>
    <row r="897" spans="2:5" x14ac:dyDescent="0.45">
      <c r="B897" t="s">
        <v>615</v>
      </c>
      <c r="C897" t="s">
        <v>14</v>
      </c>
      <c r="D897">
        <v>3.6008993136460818E-2</v>
      </c>
      <c r="E897" t="s">
        <v>6</v>
      </c>
    </row>
    <row r="898" spans="2:5" x14ac:dyDescent="0.45">
      <c r="B898" t="s">
        <v>615</v>
      </c>
      <c r="C898" t="s">
        <v>15</v>
      </c>
      <c r="D898">
        <v>5.8985507047553771E-3</v>
      </c>
      <c r="E898" t="s">
        <v>6</v>
      </c>
    </row>
    <row r="899" spans="2:5" x14ac:dyDescent="0.45">
      <c r="B899" t="s">
        <v>615</v>
      </c>
      <c r="C899" t="s">
        <v>16</v>
      </c>
      <c r="D899">
        <v>0</v>
      </c>
      <c r="E899" t="s">
        <v>6</v>
      </c>
    </row>
    <row r="900" spans="2:5" x14ac:dyDescent="0.45">
      <c r="B900" t="s">
        <v>615</v>
      </c>
      <c r="C900" t="s">
        <v>17</v>
      </c>
      <c r="D900">
        <v>0</v>
      </c>
      <c r="E900" t="s">
        <v>6</v>
      </c>
    </row>
    <row r="901" spans="2:5" x14ac:dyDescent="0.45">
      <c r="B901" t="s">
        <v>615</v>
      </c>
      <c r="C901" t="s">
        <v>18</v>
      </c>
      <c r="D901">
        <v>0</v>
      </c>
      <c r="E901" t="s">
        <v>6</v>
      </c>
    </row>
    <row r="902" spans="2:5" x14ac:dyDescent="0.45">
      <c r="B902" t="s">
        <v>615</v>
      </c>
      <c r="C902" t="s">
        <v>19</v>
      </c>
      <c r="D902">
        <v>2.3648697824516434E-4</v>
      </c>
      <c r="E902" t="s">
        <v>6</v>
      </c>
    </row>
    <row r="903" spans="2:5" x14ac:dyDescent="0.45">
      <c r="B903" t="s">
        <v>615</v>
      </c>
      <c r="C903" t="s">
        <v>20</v>
      </c>
      <c r="D903">
        <v>1.2211882820746249E-2</v>
      </c>
      <c r="E903" t="s">
        <v>6</v>
      </c>
    </row>
    <row r="904" spans="2:5" x14ac:dyDescent="0.45">
      <c r="B904" t="s">
        <v>615</v>
      </c>
      <c r="C904" t="s">
        <v>21</v>
      </c>
      <c r="D904">
        <v>4.4716112040573637E-2</v>
      </c>
      <c r="E904" t="s">
        <v>6</v>
      </c>
    </row>
    <row r="905" spans="2:5" x14ac:dyDescent="0.45">
      <c r="B905" t="s">
        <v>615</v>
      </c>
      <c r="C905" t="s">
        <v>22</v>
      </c>
      <c r="D905">
        <v>6.7547446901240524E-2</v>
      </c>
      <c r="E905" t="s">
        <v>6</v>
      </c>
    </row>
    <row r="906" spans="2:5" x14ac:dyDescent="0.45">
      <c r="B906" t="s">
        <v>615</v>
      </c>
      <c r="C906" t="s">
        <v>23</v>
      </c>
      <c r="D906">
        <v>6.9833556857050089E-2</v>
      </c>
      <c r="E906" t="s">
        <v>6</v>
      </c>
    </row>
    <row r="907" spans="2:5" x14ac:dyDescent="0.45">
      <c r="B907" t="s">
        <v>615</v>
      </c>
      <c r="C907" t="s">
        <v>24</v>
      </c>
      <c r="D907">
        <v>5.4076482818635856E-2</v>
      </c>
      <c r="E907" t="s">
        <v>6</v>
      </c>
    </row>
    <row r="908" spans="2:5" x14ac:dyDescent="0.45">
      <c r="B908" t="s">
        <v>615</v>
      </c>
      <c r="C908" t="s">
        <v>25</v>
      </c>
      <c r="D908">
        <v>2.2479669177159586E-2</v>
      </c>
      <c r="E908" t="s">
        <v>6</v>
      </c>
    </row>
    <row r="909" spans="2:5" x14ac:dyDescent="0.45">
      <c r="B909" t="s">
        <v>615</v>
      </c>
      <c r="C909" t="s">
        <v>26</v>
      </c>
      <c r="D909">
        <v>9.4251096648511376E-4</v>
      </c>
      <c r="E909" t="s">
        <v>6</v>
      </c>
    </row>
    <row r="910" spans="2:5" x14ac:dyDescent="0.45">
      <c r="B910" t="s">
        <v>615</v>
      </c>
      <c r="C910" t="s">
        <v>27</v>
      </c>
      <c r="D910">
        <v>0</v>
      </c>
      <c r="E910" t="s">
        <v>6</v>
      </c>
    </row>
    <row r="911" spans="2:5" x14ac:dyDescent="0.45">
      <c r="B911" t="s">
        <v>615</v>
      </c>
      <c r="C911" t="s">
        <v>28</v>
      </c>
      <c r="D911">
        <v>0</v>
      </c>
      <c r="E911" t="s">
        <v>6</v>
      </c>
    </row>
    <row r="912" spans="2:5" x14ac:dyDescent="0.45">
      <c r="B912" t="s">
        <v>615</v>
      </c>
      <c r="C912" t="s">
        <v>29</v>
      </c>
      <c r="D912">
        <v>7.3195248884870166E-4</v>
      </c>
      <c r="E912" t="s">
        <v>6</v>
      </c>
    </row>
    <row r="913" spans="2:5" x14ac:dyDescent="0.45">
      <c r="B913" t="s">
        <v>615</v>
      </c>
      <c r="C913" t="s">
        <v>30</v>
      </c>
      <c r="D913">
        <v>1.9794780618051292E-2</v>
      </c>
      <c r="E913" t="s">
        <v>6</v>
      </c>
    </row>
    <row r="914" spans="2:5" x14ac:dyDescent="0.45">
      <c r="B914" t="s">
        <v>615</v>
      </c>
      <c r="C914" t="s">
        <v>31</v>
      </c>
      <c r="D914">
        <v>6.0624728446393716E-2</v>
      </c>
      <c r="E914" t="s">
        <v>6</v>
      </c>
    </row>
    <row r="915" spans="2:5" x14ac:dyDescent="0.45">
      <c r="B915" t="s">
        <v>615</v>
      </c>
      <c r="C915" t="s">
        <v>32</v>
      </c>
      <c r="D915">
        <v>8.5895948255636775E-2</v>
      </c>
      <c r="E915" t="s">
        <v>6</v>
      </c>
    </row>
    <row r="916" spans="2:5" x14ac:dyDescent="0.45">
      <c r="B916" t="s">
        <v>615</v>
      </c>
      <c r="C916" t="s">
        <v>33</v>
      </c>
      <c r="D916">
        <v>8.6861661756780159E-2</v>
      </c>
      <c r="E916" t="s">
        <v>6</v>
      </c>
    </row>
    <row r="917" spans="2:5" x14ac:dyDescent="0.45">
      <c r="B917" t="s">
        <v>615</v>
      </c>
      <c r="C917" t="s">
        <v>34</v>
      </c>
      <c r="D917">
        <v>6.6243373758765906E-2</v>
      </c>
      <c r="E917" t="s">
        <v>6</v>
      </c>
    </row>
    <row r="918" spans="2:5" x14ac:dyDescent="0.45">
      <c r="B918" t="s">
        <v>615</v>
      </c>
      <c r="C918" t="s">
        <v>35</v>
      </c>
      <c r="D918">
        <v>3.1318958177956248E-2</v>
      </c>
      <c r="E918" t="s">
        <v>6</v>
      </c>
    </row>
    <row r="919" spans="2:5" x14ac:dyDescent="0.45">
      <c r="B919" t="s">
        <v>615</v>
      </c>
      <c r="C919" t="s">
        <v>36</v>
      </c>
      <c r="D919">
        <v>2.8092293690747221E-3</v>
      </c>
      <c r="E919" t="s">
        <v>6</v>
      </c>
    </row>
    <row r="920" spans="2:5" x14ac:dyDescent="0.45">
      <c r="B920" t="s">
        <v>615</v>
      </c>
      <c r="C920" t="s">
        <v>37</v>
      </c>
      <c r="D920">
        <v>0</v>
      </c>
      <c r="E920" t="s">
        <v>6</v>
      </c>
    </row>
    <row r="921" spans="2:5" x14ac:dyDescent="0.45">
      <c r="B921" t="s">
        <v>615</v>
      </c>
      <c r="C921" t="s">
        <v>38</v>
      </c>
      <c r="D921">
        <v>0</v>
      </c>
      <c r="E921" t="s">
        <v>6</v>
      </c>
    </row>
    <row r="922" spans="2:5" x14ac:dyDescent="0.45">
      <c r="B922" t="s">
        <v>615</v>
      </c>
      <c r="C922" t="s">
        <v>39</v>
      </c>
      <c r="D922">
        <v>0</v>
      </c>
      <c r="E922" t="s">
        <v>6</v>
      </c>
    </row>
    <row r="923" spans="2:5" x14ac:dyDescent="0.45">
      <c r="B923" t="s">
        <v>615</v>
      </c>
      <c r="C923" t="s">
        <v>40</v>
      </c>
      <c r="D923">
        <v>5.447927179104496E-3</v>
      </c>
      <c r="E923" t="s">
        <v>6</v>
      </c>
    </row>
    <row r="924" spans="2:5" x14ac:dyDescent="0.45">
      <c r="B924" t="s">
        <v>615</v>
      </c>
      <c r="C924" t="s">
        <v>41</v>
      </c>
      <c r="D924">
        <v>3.3674182850553111E-2</v>
      </c>
      <c r="E924" t="s">
        <v>6</v>
      </c>
    </row>
    <row r="925" spans="2:5" x14ac:dyDescent="0.45">
      <c r="B925" t="s">
        <v>615</v>
      </c>
      <c r="C925" t="s">
        <v>42</v>
      </c>
      <c r="D925">
        <v>5.688451921766579E-2</v>
      </c>
      <c r="E925" t="s">
        <v>6</v>
      </c>
    </row>
    <row r="926" spans="2:5" x14ac:dyDescent="0.45">
      <c r="B926" t="s">
        <v>615</v>
      </c>
      <c r="C926" t="s">
        <v>43</v>
      </c>
      <c r="D926">
        <v>5.8429072346984079E-2</v>
      </c>
      <c r="E926" t="s">
        <v>6</v>
      </c>
    </row>
    <row r="927" spans="2:5" x14ac:dyDescent="0.45">
      <c r="B927" t="s">
        <v>615</v>
      </c>
      <c r="C927" t="s">
        <v>44</v>
      </c>
      <c r="D927">
        <v>3.8632574665709636E-2</v>
      </c>
      <c r="E927" t="s">
        <v>6</v>
      </c>
    </row>
    <row r="928" spans="2:5" x14ac:dyDescent="0.45">
      <c r="B928" t="s">
        <v>615</v>
      </c>
      <c r="C928" t="s">
        <v>45</v>
      </c>
      <c r="D928">
        <v>9.3938456078320846E-3</v>
      </c>
      <c r="E928" t="s">
        <v>6</v>
      </c>
    </row>
    <row r="929" spans="2:5" x14ac:dyDescent="0.45">
      <c r="B929" t="s">
        <v>615</v>
      </c>
      <c r="C929" t="s">
        <v>46</v>
      </c>
      <c r="D929">
        <v>1.7858309746073643E-5</v>
      </c>
      <c r="E929" t="s">
        <v>6</v>
      </c>
    </row>
    <row r="930" spans="2:5" x14ac:dyDescent="0.45">
      <c r="B930" t="s">
        <v>615</v>
      </c>
      <c r="C930" t="s">
        <v>47</v>
      </c>
      <c r="D930">
        <v>0</v>
      </c>
      <c r="E930" t="s">
        <v>6</v>
      </c>
    </row>
    <row r="931" spans="2:5" x14ac:dyDescent="0.45">
      <c r="B931" t="s">
        <v>616</v>
      </c>
      <c r="C931" t="s">
        <v>5</v>
      </c>
      <c r="D931">
        <v>0</v>
      </c>
      <c r="E931" t="s">
        <v>6</v>
      </c>
    </row>
    <row r="932" spans="2:5" x14ac:dyDescent="0.45">
      <c r="B932" t="s">
        <v>616</v>
      </c>
      <c r="C932" t="s">
        <v>9</v>
      </c>
      <c r="D932">
        <v>0</v>
      </c>
      <c r="E932" t="s">
        <v>6</v>
      </c>
    </row>
    <row r="933" spans="2:5" x14ac:dyDescent="0.45">
      <c r="B933" t="s">
        <v>616</v>
      </c>
      <c r="C933" t="s">
        <v>10</v>
      </c>
      <c r="D933">
        <v>6.2556978205478646E-4</v>
      </c>
      <c r="E933" t="s">
        <v>6</v>
      </c>
    </row>
    <row r="934" spans="2:5" x14ac:dyDescent="0.45">
      <c r="B934" t="s">
        <v>616</v>
      </c>
      <c r="C934" t="s">
        <v>11</v>
      </c>
      <c r="D934">
        <v>2.3085778454156318E-2</v>
      </c>
      <c r="E934" t="s">
        <v>6</v>
      </c>
    </row>
    <row r="935" spans="2:5" x14ac:dyDescent="0.45">
      <c r="B935" t="s">
        <v>616</v>
      </c>
      <c r="C935" t="s">
        <v>12</v>
      </c>
      <c r="D935">
        <v>5.0937223342353788E-2</v>
      </c>
      <c r="E935" t="s">
        <v>6</v>
      </c>
    </row>
    <row r="936" spans="2:5" x14ac:dyDescent="0.45">
      <c r="B936" t="s">
        <v>616</v>
      </c>
      <c r="C936" t="s">
        <v>13</v>
      </c>
      <c r="D936">
        <v>5.528708363239402E-2</v>
      </c>
      <c r="E936" t="s">
        <v>6</v>
      </c>
    </row>
    <row r="937" spans="2:5" x14ac:dyDescent="0.45">
      <c r="B937" t="s">
        <v>616</v>
      </c>
      <c r="C937" t="s">
        <v>14</v>
      </c>
      <c r="D937">
        <v>3.6059112969107271E-2</v>
      </c>
      <c r="E937" t="s">
        <v>6</v>
      </c>
    </row>
    <row r="938" spans="2:5" x14ac:dyDescent="0.45">
      <c r="B938" t="s">
        <v>616</v>
      </c>
      <c r="C938" t="s">
        <v>15</v>
      </c>
      <c r="D938">
        <v>6.452597835813919E-3</v>
      </c>
      <c r="E938" t="s">
        <v>6</v>
      </c>
    </row>
    <row r="939" spans="2:5" x14ac:dyDescent="0.45">
      <c r="B939" t="s">
        <v>616</v>
      </c>
      <c r="C939" t="s">
        <v>16</v>
      </c>
      <c r="D939">
        <v>0</v>
      </c>
      <c r="E939" t="s">
        <v>6</v>
      </c>
    </row>
    <row r="940" spans="2:5" x14ac:dyDescent="0.45">
      <c r="B940" t="s">
        <v>616</v>
      </c>
      <c r="C940" t="s">
        <v>17</v>
      </c>
      <c r="D940">
        <v>0</v>
      </c>
      <c r="E940" t="s">
        <v>6</v>
      </c>
    </row>
    <row r="941" spans="2:5" x14ac:dyDescent="0.45">
      <c r="B941" t="s">
        <v>616</v>
      </c>
      <c r="C941" t="s">
        <v>18</v>
      </c>
      <c r="D941">
        <v>0</v>
      </c>
      <c r="E941" t="s">
        <v>6</v>
      </c>
    </row>
    <row r="942" spans="2:5" x14ac:dyDescent="0.45">
      <c r="B942" t="s">
        <v>616</v>
      </c>
      <c r="C942" t="s">
        <v>19</v>
      </c>
      <c r="D942">
        <v>2.4104453479984156E-4</v>
      </c>
      <c r="E942" t="s">
        <v>6</v>
      </c>
    </row>
    <row r="943" spans="2:5" x14ac:dyDescent="0.45">
      <c r="B943" t="s">
        <v>616</v>
      </c>
      <c r="C943" t="s">
        <v>20</v>
      </c>
      <c r="D943">
        <v>1.2819842911640338E-2</v>
      </c>
      <c r="E943" t="s">
        <v>6</v>
      </c>
    </row>
    <row r="944" spans="2:5" x14ac:dyDescent="0.45">
      <c r="B944" t="s">
        <v>616</v>
      </c>
      <c r="C944" t="s">
        <v>21</v>
      </c>
      <c r="D944">
        <v>4.641303650001477E-2</v>
      </c>
      <c r="E944" t="s">
        <v>6</v>
      </c>
    </row>
    <row r="945" spans="2:5" x14ac:dyDescent="0.45">
      <c r="B945" t="s">
        <v>616</v>
      </c>
      <c r="C945" t="s">
        <v>22</v>
      </c>
      <c r="D945">
        <v>6.9068995691878937E-2</v>
      </c>
      <c r="E945" t="s">
        <v>6</v>
      </c>
    </row>
    <row r="946" spans="2:5" x14ac:dyDescent="0.45">
      <c r="B946" t="s">
        <v>616</v>
      </c>
      <c r="C946" t="s">
        <v>23</v>
      </c>
      <c r="D946">
        <v>7.2205859790163612E-2</v>
      </c>
      <c r="E946" t="s">
        <v>6</v>
      </c>
    </row>
    <row r="947" spans="2:5" x14ac:dyDescent="0.45">
      <c r="B947" t="s">
        <v>616</v>
      </c>
      <c r="C947" t="s">
        <v>24</v>
      </c>
      <c r="D947">
        <v>5.534724759460203E-2</v>
      </c>
      <c r="E947" t="s">
        <v>6</v>
      </c>
    </row>
    <row r="948" spans="2:5" x14ac:dyDescent="0.45">
      <c r="B948" t="s">
        <v>616</v>
      </c>
      <c r="C948" t="s">
        <v>25</v>
      </c>
      <c r="D948">
        <v>2.2728698465660356E-2</v>
      </c>
      <c r="E948" t="s">
        <v>6</v>
      </c>
    </row>
    <row r="949" spans="2:5" x14ac:dyDescent="0.45">
      <c r="B949" t="s">
        <v>616</v>
      </c>
      <c r="C949" t="s">
        <v>26</v>
      </c>
      <c r="D949">
        <v>7.9470368336773491E-4</v>
      </c>
      <c r="E949" t="s">
        <v>6</v>
      </c>
    </row>
    <row r="950" spans="2:5" x14ac:dyDescent="0.45">
      <c r="B950" t="s">
        <v>616</v>
      </c>
      <c r="C950" t="s">
        <v>27</v>
      </c>
      <c r="D950">
        <v>0</v>
      </c>
      <c r="E950" t="s">
        <v>6</v>
      </c>
    </row>
    <row r="951" spans="2:5" x14ac:dyDescent="0.45">
      <c r="B951" t="s">
        <v>616</v>
      </c>
      <c r="C951" t="s">
        <v>28</v>
      </c>
      <c r="D951">
        <v>0</v>
      </c>
      <c r="E951" t="s">
        <v>6</v>
      </c>
    </row>
    <row r="952" spans="2:5" x14ac:dyDescent="0.45">
      <c r="B952" t="s">
        <v>616</v>
      </c>
      <c r="C952" t="s">
        <v>29</v>
      </c>
      <c r="D952">
        <v>6.9672715297364001E-4</v>
      </c>
      <c r="E952" t="s">
        <v>6</v>
      </c>
    </row>
    <row r="953" spans="2:5" x14ac:dyDescent="0.45">
      <c r="B953" t="s">
        <v>616</v>
      </c>
      <c r="C953" t="s">
        <v>30</v>
      </c>
      <c r="D953">
        <v>1.9333781475919881E-2</v>
      </c>
      <c r="E953" t="s">
        <v>6</v>
      </c>
    </row>
    <row r="954" spans="2:5" x14ac:dyDescent="0.45">
      <c r="B954" t="s">
        <v>616</v>
      </c>
      <c r="C954" t="s">
        <v>31</v>
      </c>
      <c r="D954">
        <v>5.7988148297117258E-2</v>
      </c>
      <c r="E954" t="s">
        <v>6</v>
      </c>
    </row>
    <row r="955" spans="2:5" x14ac:dyDescent="0.45">
      <c r="B955" t="s">
        <v>616</v>
      </c>
      <c r="C955" t="s">
        <v>32</v>
      </c>
      <c r="D955">
        <v>8.1483159424198509E-2</v>
      </c>
      <c r="E955" t="s">
        <v>6</v>
      </c>
    </row>
    <row r="956" spans="2:5" x14ac:dyDescent="0.45">
      <c r="B956" t="s">
        <v>616</v>
      </c>
      <c r="C956" t="s">
        <v>33</v>
      </c>
      <c r="D956">
        <v>8.2509125082441223E-2</v>
      </c>
      <c r="E956" t="s">
        <v>6</v>
      </c>
    </row>
    <row r="957" spans="2:5" x14ac:dyDescent="0.45">
      <c r="B957" t="s">
        <v>616</v>
      </c>
      <c r="C957" t="s">
        <v>34</v>
      </c>
      <c r="D957">
        <v>6.3541041233898268E-2</v>
      </c>
      <c r="E957" t="s">
        <v>6</v>
      </c>
    </row>
    <row r="958" spans="2:5" x14ac:dyDescent="0.45">
      <c r="B958" t="s">
        <v>616</v>
      </c>
      <c r="C958" t="s">
        <v>35</v>
      </c>
      <c r="D958">
        <v>2.9849772021222801E-2</v>
      </c>
      <c r="E958" t="s">
        <v>6</v>
      </c>
    </row>
    <row r="959" spans="2:5" x14ac:dyDescent="0.45">
      <c r="B959" t="s">
        <v>616</v>
      </c>
      <c r="C959" t="s">
        <v>36</v>
      </c>
      <c r="D959">
        <v>2.3908267013211517E-3</v>
      </c>
      <c r="E959" t="s">
        <v>6</v>
      </c>
    </row>
    <row r="960" spans="2:5" x14ac:dyDescent="0.45">
      <c r="B960" t="s">
        <v>616</v>
      </c>
      <c r="C960" t="s">
        <v>37</v>
      </c>
      <c r="D960">
        <v>0</v>
      </c>
      <c r="E960" t="s">
        <v>6</v>
      </c>
    </row>
    <row r="961" spans="2:5" x14ac:dyDescent="0.45">
      <c r="B961" t="s">
        <v>616</v>
      </c>
      <c r="C961" t="s">
        <v>38</v>
      </c>
      <c r="D961">
        <v>0</v>
      </c>
      <c r="E961" t="s">
        <v>6</v>
      </c>
    </row>
    <row r="962" spans="2:5" x14ac:dyDescent="0.45">
      <c r="B962" t="s">
        <v>616</v>
      </c>
      <c r="C962" t="s">
        <v>39</v>
      </c>
      <c r="D962">
        <v>0</v>
      </c>
      <c r="E962" t="s">
        <v>6</v>
      </c>
    </row>
    <row r="963" spans="2:5" x14ac:dyDescent="0.45">
      <c r="B963" t="s">
        <v>616</v>
      </c>
      <c r="C963" t="s">
        <v>40</v>
      </c>
      <c r="D963">
        <v>6.1021171934212354E-3</v>
      </c>
      <c r="E963" t="s">
        <v>6</v>
      </c>
    </row>
    <row r="964" spans="2:5" x14ac:dyDescent="0.45">
      <c r="B964" t="s">
        <v>616</v>
      </c>
      <c r="C964" t="s">
        <v>41</v>
      </c>
      <c r="D964">
        <v>3.6347454044126495E-2</v>
      </c>
      <c r="E964" t="s">
        <v>6</v>
      </c>
    </row>
    <row r="965" spans="2:5" x14ac:dyDescent="0.45">
      <c r="B965" t="s">
        <v>616</v>
      </c>
      <c r="C965" t="s">
        <v>42</v>
      </c>
      <c r="D965">
        <v>5.9140691561949177E-2</v>
      </c>
      <c r="E965" t="s">
        <v>6</v>
      </c>
    </row>
    <row r="966" spans="2:5" x14ac:dyDescent="0.45">
      <c r="B966" t="s">
        <v>616</v>
      </c>
      <c r="C966" t="s">
        <v>43</v>
      </c>
      <c r="D966">
        <v>5.9853084528727112E-2</v>
      </c>
      <c r="E966" t="s">
        <v>6</v>
      </c>
    </row>
    <row r="967" spans="2:5" x14ac:dyDescent="0.45">
      <c r="B967" t="s">
        <v>616</v>
      </c>
      <c r="C967" t="s">
        <v>44</v>
      </c>
      <c r="D967">
        <v>3.9358452560952904E-2</v>
      </c>
      <c r="E967" t="s">
        <v>6</v>
      </c>
    </row>
    <row r="968" spans="2:5" x14ac:dyDescent="0.45">
      <c r="B968" t="s">
        <v>616</v>
      </c>
      <c r="C968" t="s">
        <v>45</v>
      </c>
      <c r="D968">
        <v>9.3254101285535195E-3</v>
      </c>
      <c r="E968" t="s">
        <v>6</v>
      </c>
    </row>
    <row r="969" spans="2:5" x14ac:dyDescent="0.45">
      <c r="B969" t="s">
        <v>616</v>
      </c>
      <c r="C969" t="s">
        <v>46</v>
      </c>
      <c r="D969">
        <v>1.341340516488322E-5</v>
      </c>
      <c r="E969" t="s">
        <v>6</v>
      </c>
    </row>
    <row r="970" spans="2:5" x14ac:dyDescent="0.45">
      <c r="B970" t="s">
        <v>616</v>
      </c>
      <c r="C970" t="s">
        <v>47</v>
      </c>
      <c r="D970">
        <v>0</v>
      </c>
      <c r="E970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7FD7-C113-405C-8929-76DF4A10E1B6}">
  <dimension ref="B9:FT73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region=ITA")</f>
        <v>~TFM_DINS-TSL: attribute=FLO_EMIS; other_indexes=ACT; region=ITA</v>
      </c>
      <c r="AS9" t="str">
        <f>IF(A11="x","DeActivated","~TFM_INS-TSL: attribute=FLO_SHAR; limtype=FX; region=ITA")</f>
        <v>~TFM_INS-TSL: attribute=FLO_SHAR; limtype=FX; region=ITA</v>
      </c>
      <c r="CJ9" t="str">
        <f>IF(A11="x","DeActivated","~TFM_INS-TSL: attribute=FLO_SHAR; limtype=FX; region=ITA")</f>
        <v>~TFM_INS-TSL: attribute=FLO_SHAR; limtype=FX; region=ITA</v>
      </c>
      <c r="EA9" t="str">
        <f>IF(A11="x","DeActivated","~TFM_DINS-TSL: attribute=NCAP_PKCNT; region=ITA")</f>
        <v>~TFM_DINS-TSL: attribute=NCAP_PKCNT; region=ITA</v>
      </c>
      <c r="FQ9" t="str">
        <f>IF(A11="x","DeActivated","~TFM_DINS-AT: region=ITA")</f>
        <v>~TFM_DINS-AT: region=ITA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617</v>
      </c>
      <c r="C11" t="s">
        <v>123</v>
      </c>
      <c r="D11">
        <v>0</v>
      </c>
      <c r="E11">
        <v>0</v>
      </c>
      <c r="F11">
        <v>0.89606954922640125</v>
      </c>
      <c r="G11">
        <v>0.23140888816069602</v>
      </c>
      <c r="H11">
        <v>0.12516437398195271</v>
      </c>
      <c r="I11">
        <v>0.12119883929419643</v>
      </c>
      <c r="J11">
        <v>0.16359953701695279</v>
      </c>
      <c r="K11">
        <v>0.41811814595492314</v>
      </c>
      <c r="L11">
        <v>0</v>
      </c>
      <c r="M11">
        <v>0</v>
      </c>
      <c r="N11">
        <v>0</v>
      </c>
      <c r="O11">
        <v>0.86152641614754388</v>
      </c>
      <c r="P11">
        <v>0.39157028310351083</v>
      </c>
      <c r="Q11">
        <v>0.15098614385495576</v>
      </c>
      <c r="R11">
        <v>0.10246887966762024</v>
      </c>
      <c r="S11">
        <v>8.8694314256645743E-2</v>
      </c>
      <c r="T11">
        <v>9.95820476197085E-2</v>
      </c>
      <c r="U11">
        <v>0.20363199917458832</v>
      </c>
      <c r="V11">
        <v>0.64449744332089776</v>
      </c>
      <c r="W11">
        <v>0</v>
      </c>
      <c r="X11">
        <v>0</v>
      </c>
      <c r="Y11">
        <v>0.69359216615175601</v>
      </c>
      <c r="Z11">
        <v>0.29461712113524602</v>
      </c>
      <c r="AA11">
        <v>9.0712088716861927E-2</v>
      </c>
      <c r="AB11">
        <v>3.7640837217022563E-2</v>
      </c>
      <c r="AC11">
        <v>3.8081064893527472E-2</v>
      </c>
      <c r="AD11">
        <v>5.8760795968114232E-2</v>
      </c>
      <c r="AE11">
        <v>0.1521051311915374</v>
      </c>
      <c r="AF11">
        <v>0.4642106606375303</v>
      </c>
      <c r="AG11">
        <v>0</v>
      </c>
      <c r="AH11">
        <v>0</v>
      </c>
      <c r="AI11">
        <v>0</v>
      </c>
      <c r="AJ11">
        <v>0.49909688382821243</v>
      </c>
      <c r="AK11">
        <v>0.14419167602870622</v>
      </c>
      <c r="AL11">
        <v>8.2316670610914799E-2</v>
      </c>
      <c r="AM11">
        <v>9.1297077139177715E-2</v>
      </c>
      <c r="AN11">
        <v>0.14592910978928897</v>
      </c>
      <c r="AO11">
        <v>0.37584709320106036</v>
      </c>
      <c r="AP11">
        <v>0.93734799080759779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0.39546205662353257</v>
      </c>
      <c r="AX11">
        <v>0.13417099335741739</v>
      </c>
      <c r="AY11">
        <v>6.7834333135343941E-2</v>
      </c>
      <c r="AZ11">
        <v>3.3687425659149596E-2</v>
      </c>
      <c r="BA11">
        <v>1.0484247595498574E-2</v>
      </c>
      <c r="BB11">
        <v>5.9106183026349596E-2</v>
      </c>
      <c r="BC11">
        <v>0</v>
      </c>
      <c r="BD11">
        <v>0</v>
      </c>
      <c r="BE11">
        <v>0</v>
      </c>
      <c r="BF11">
        <v>0.6177242037751951</v>
      </c>
      <c r="BG11">
        <v>0.20659359418150997</v>
      </c>
      <c r="BH11">
        <v>7.9914648763842161E-2</v>
      </c>
      <c r="BI11">
        <v>4.8673743602307133E-2</v>
      </c>
      <c r="BJ11">
        <v>1.4976000746520775E-2</v>
      </c>
      <c r="BK11">
        <v>3.496226998846645E-3</v>
      </c>
      <c r="BL11">
        <v>3.300145120439802E-2</v>
      </c>
      <c r="BM11">
        <v>0.44771175567963684</v>
      </c>
      <c r="BN11">
        <v>0</v>
      </c>
      <c r="BO11">
        <v>0</v>
      </c>
      <c r="BP11">
        <v>0.41165444405711205</v>
      </c>
      <c r="BQ11">
        <v>0.12313609581927305</v>
      </c>
      <c r="BR11">
        <v>4.263678405283438E-2</v>
      </c>
      <c r="BS11">
        <v>1.6659120785614628E-2</v>
      </c>
      <c r="BT11">
        <v>1.6060228343170908E-2</v>
      </c>
      <c r="BU11">
        <v>1.4848585610772336E-2</v>
      </c>
      <c r="BV11">
        <v>7.5134911710203964E-2</v>
      </c>
      <c r="BW11">
        <v>0.26950700435056141</v>
      </c>
      <c r="BX11">
        <v>0</v>
      </c>
      <c r="BY11">
        <v>0</v>
      </c>
      <c r="BZ11">
        <v>0.91402004588817776</v>
      </c>
      <c r="CA11">
        <v>0.30808418668334386</v>
      </c>
      <c r="CB11">
        <v>0.10511500855416769</v>
      </c>
      <c r="CC11">
        <v>7.4208228732698833E-2</v>
      </c>
      <c r="CD11">
        <v>7.2427042360076353E-3</v>
      </c>
      <c r="CE11">
        <v>3.6022012765303335E-3</v>
      </c>
      <c r="CF11">
        <v>2.2490420696529533E-2</v>
      </c>
      <c r="CG11">
        <v>3.9495754056358683E-2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3.0788082209938141E-2</v>
      </c>
      <c r="CR11">
        <v>9.4760292977581498E-2</v>
      </c>
      <c r="CS11">
        <v>0.30772729763420376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7.2004803909299607E-3</v>
      </c>
      <c r="DA11">
        <v>4.3698179231852784E-2</v>
      </c>
      <c r="DB11">
        <v>6.4481192800061496E-2</v>
      </c>
      <c r="DC11">
        <v>9.8837998360978618E-2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1.9729342301977634E-2</v>
      </c>
      <c r="DM11">
        <v>1.2765755503133755E-2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6.806976832626313E-2</v>
      </c>
      <c r="DV11">
        <v>0.10541989180488055</v>
      </c>
      <c r="DW11">
        <v>0.28360651197437409</v>
      </c>
      <c r="DX11">
        <v>0</v>
      </c>
      <c r="DY11">
        <v>0</v>
      </c>
      <c r="EA11" t="s">
        <v>617</v>
      </c>
      <c r="EB11">
        <v>0</v>
      </c>
      <c r="EC11">
        <v>0</v>
      </c>
      <c r="ED11">
        <v>3.2643687711249778E-3</v>
      </c>
      <c r="EE11">
        <v>0.19536070805322217</v>
      </c>
      <c r="EF11">
        <v>0.43228865811236716</v>
      </c>
      <c r="EG11">
        <v>0.47768427171991473</v>
      </c>
      <c r="EH11">
        <v>0.32200420268879615</v>
      </c>
      <c r="EI11">
        <v>7.2850732845110483E-2</v>
      </c>
      <c r="EJ11">
        <v>0</v>
      </c>
      <c r="EK11">
        <v>0</v>
      </c>
      <c r="EL11">
        <v>0</v>
      </c>
      <c r="EM11">
        <v>7.6683928406703374E-4</v>
      </c>
      <c r="EN11">
        <v>9.0875233300233574E-2</v>
      </c>
      <c r="EO11">
        <v>0.37282536128104404</v>
      </c>
      <c r="EP11">
        <v>0.57680378683759681</v>
      </c>
      <c r="EQ11">
        <v>0.61510304955625006</v>
      </c>
      <c r="ER11">
        <v>0.48952980207791302</v>
      </c>
      <c r="ES11">
        <v>0.21594506748214465</v>
      </c>
      <c r="ET11">
        <v>8.167759282130942E-3</v>
      </c>
      <c r="EU11">
        <v>0</v>
      </c>
      <c r="EV11">
        <v>0</v>
      </c>
      <c r="EW11">
        <v>2.2546588788160335E-3</v>
      </c>
      <c r="EX11">
        <v>0.12743686314320407</v>
      </c>
      <c r="EY11">
        <v>0.43165798028744423</v>
      </c>
      <c r="EZ11">
        <v>0.62952871431550939</v>
      </c>
      <c r="FA11">
        <v>0.6574021659855861</v>
      </c>
      <c r="FB11">
        <v>0.52933708466721074</v>
      </c>
      <c r="FC11">
        <v>0.26267627794938908</v>
      </c>
      <c r="FD11">
        <v>2.4018036948913274E-2</v>
      </c>
      <c r="FE11">
        <v>0</v>
      </c>
      <c r="FF11">
        <v>0</v>
      </c>
      <c r="FG11">
        <v>0</v>
      </c>
      <c r="FH11">
        <v>4.743920206156476E-2</v>
      </c>
      <c r="FI11">
        <v>0.32908544893513808</v>
      </c>
      <c r="FJ11">
        <v>0.5428004951990002</v>
      </c>
      <c r="FK11">
        <v>0.55254284165767031</v>
      </c>
      <c r="FL11">
        <v>0.37520050409944034</v>
      </c>
      <c r="FM11">
        <v>9.8516485303980009E-2</v>
      </c>
      <c r="FN11">
        <v>2.3635935587960934E-4</v>
      </c>
      <c r="FO11">
        <v>0</v>
      </c>
      <c r="FQ11" t="s">
        <v>617</v>
      </c>
      <c r="FR11" t="s">
        <v>127</v>
      </c>
      <c r="FS11" t="s">
        <v>128</v>
      </c>
      <c r="FT11">
        <v>0.56328228686865311</v>
      </c>
    </row>
    <row r="12" spans="2:176" x14ac:dyDescent="0.45">
      <c r="B12" t="s">
        <v>618</v>
      </c>
      <c r="C12" t="s">
        <v>123</v>
      </c>
      <c r="D12">
        <v>0</v>
      </c>
      <c r="E12">
        <v>0</v>
      </c>
      <c r="F12">
        <v>0.90436141119133118</v>
      </c>
      <c r="G12">
        <v>0.25026076791705676</v>
      </c>
      <c r="H12">
        <v>0.1254147127061237</v>
      </c>
      <c r="I12">
        <v>0.12157867946677134</v>
      </c>
      <c r="J12">
        <v>0.16633366738201338</v>
      </c>
      <c r="K12">
        <v>0.42726397232479157</v>
      </c>
      <c r="L12">
        <v>0</v>
      </c>
      <c r="M12">
        <v>0</v>
      </c>
      <c r="N12">
        <v>0</v>
      </c>
      <c r="O12">
        <v>0.84323651498532004</v>
      </c>
      <c r="P12">
        <v>0.39142821472739137</v>
      </c>
      <c r="Q12">
        <v>0.16769812025158629</v>
      </c>
      <c r="R12">
        <v>0.11384406374654363</v>
      </c>
      <c r="S12">
        <v>9.1914152446485972E-2</v>
      </c>
      <c r="T12">
        <v>0.10912886844465974</v>
      </c>
      <c r="U12">
        <v>0.21454346910579217</v>
      </c>
      <c r="V12">
        <v>0.64640826047451849</v>
      </c>
      <c r="W12">
        <v>0</v>
      </c>
      <c r="X12">
        <v>0</v>
      </c>
      <c r="Y12">
        <v>0.68098910300977678</v>
      </c>
      <c r="Z12">
        <v>0.28453650095428756</v>
      </c>
      <c r="AA12">
        <v>8.6082131238334941E-2</v>
      </c>
      <c r="AB12">
        <v>3.3101005986040689E-2</v>
      </c>
      <c r="AC12">
        <v>3.2868605635194455E-2</v>
      </c>
      <c r="AD12">
        <v>5.6808678306763782E-2</v>
      </c>
      <c r="AE12">
        <v>0.1499862617606815</v>
      </c>
      <c r="AF12">
        <v>0.45126704960664055</v>
      </c>
      <c r="AG12">
        <v>0</v>
      </c>
      <c r="AH12">
        <v>0</v>
      </c>
      <c r="AI12">
        <v>0</v>
      </c>
      <c r="AJ12">
        <v>0.5094276701374163</v>
      </c>
      <c r="AK12">
        <v>0.15309711144238453</v>
      </c>
      <c r="AL12">
        <v>8.7991950967267987E-2</v>
      </c>
      <c r="AM12">
        <v>0.10129306391920291</v>
      </c>
      <c r="AN12">
        <v>0.16205533369057237</v>
      </c>
      <c r="AO12">
        <v>0.39374441138107652</v>
      </c>
      <c r="AP12">
        <v>0.93552381559120668</v>
      </c>
      <c r="AQ12">
        <v>0</v>
      </c>
      <c r="AS12" t="s">
        <v>130</v>
      </c>
      <c r="AT12" t="s">
        <v>125</v>
      </c>
      <c r="AU12">
        <v>7.8496012068919824E-4</v>
      </c>
      <c r="AV12">
        <v>3.1007504632652931E-3</v>
      </c>
      <c r="AW12">
        <v>2.4694700399896189E-3</v>
      </c>
      <c r="AX12">
        <v>1.6401931389834969E-3</v>
      </c>
      <c r="AY12">
        <v>4.5129519329875504E-3</v>
      </c>
      <c r="AZ12">
        <v>4.7214287791178281E-3</v>
      </c>
      <c r="BA12">
        <v>9.8899789834684952E-4</v>
      </c>
      <c r="BB12">
        <v>0</v>
      </c>
      <c r="BC12">
        <v>5.3558038161086998E-4</v>
      </c>
      <c r="BD12">
        <v>0</v>
      </c>
      <c r="BE12">
        <v>1.336232656486012E-3</v>
      </c>
      <c r="BF12">
        <v>4.6670521310192576E-3</v>
      </c>
      <c r="BG12">
        <v>8.6164704374089417E-3</v>
      </c>
      <c r="BH12">
        <v>3.5127173829700951E-3</v>
      </c>
      <c r="BI12">
        <v>5.7976573793452899E-3</v>
      </c>
      <c r="BJ12">
        <v>3.3080826896200359E-3</v>
      </c>
      <c r="BK12">
        <v>0</v>
      </c>
      <c r="BL12">
        <v>0</v>
      </c>
      <c r="BM12">
        <v>4.3183697159475897E-4</v>
      </c>
      <c r="BN12">
        <v>8.0781999740957603E-4</v>
      </c>
      <c r="BO12">
        <v>1.1557594860332934E-3</v>
      </c>
      <c r="BP12">
        <v>2.1129707094783498E-4</v>
      </c>
      <c r="BQ12">
        <v>0</v>
      </c>
      <c r="BR12">
        <v>2.7730093222027332E-4</v>
      </c>
      <c r="BS12">
        <v>3.3921084275122457E-3</v>
      </c>
      <c r="BT12">
        <v>3.1449690972290257E-3</v>
      </c>
      <c r="BU12">
        <v>3.8084465476311497E-3</v>
      </c>
      <c r="BV12">
        <v>2.3606259606303791E-5</v>
      </c>
      <c r="BW12">
        <v>4.0572711154871871E-4</v>
      </c>
      <c r="BX12">
        <v>2.0095781756181716E-4</v>
      </c>
      <c r="BY12">
        <v>4.3004364253115919E-3</v>
      </c>
      <c r="BZ12">
        <v>1.6150168347434195E-3</v>
      </c>
      <c r="CA12">
        <v>2.3021210915876657E-3</v>
      </c>
      <c r="CB12">
        <v>0</v>
      </c>
      <c r="CC12">
        <v>4.5762483840095717E-4</v>
      </c>
      <c r="CD12">
        <v>1.996798706266891E-3</v>
      </c>
      <c r="CE12">
        <v>0</v>
      </c>
      <c r="CF12">
        <v>2.6388016446997394E-3</v>
      </c>
      <c r="CG12">
        <v>9.665747777471187E-3</v>
      </c>
      <c r="CH12">
        <v>7.1575788254573552E-4</v>
      </c>
      <c r="CJ12" t="s">
        <v>130</v>
      </c>
      <c r="CK12" t="s">
        <v>126</v>
      </c>
      <c r="CL12">
        <v>5.8025302520970162E-3</v>
      </c>
      <c r="CM12">
        <v>2.4824565678891464E-3</v>
      </c>
      <c r="CN12">
        <v>1.0972729289264137E-2</v>
      </c>
      <c r="CO12">
        <v>2.2396568647306825E-2</v>
      </c>
      <c r="CP12">
        <v>2.4630502308322508E-2</v>
      </c>
      <c r="CQ12">
        <v>1.5189577846926358E-2</v>
      </c>
      <c r="CR12">
        <v>2.6256850701921616E-2</v>
      </c>
      <c r="CS12">
        <v>1.1227918240687767E-2</v>
      </c>
      <c r="CT12">
        <v>1.2182728636930963E-2</v>
      </c>
      <c r="CU12">
        <v>7.7285995586918654E-3</v>
      </c>
      <c r="CV12">
        <v>7.4352868699132805E-3</v>
      </c>
      <c r="CW12">
        <v>1.6421280783252019E-2</v>
      </c>
      <c r="CX12">
        <v>8.0150371794712651E-3</v>
      </c>
      <c r="CY12">
        <v>1.8552070495239964E-2</v>
      </c>
      <c r="CZ12">
        <v>1.8970012202304144E-2</v>
      </c>
      <c r="DA12">
        <v>2.505870352485386E-2</v>
      </c>
      <c r="DB12">
        <v>2.1493433746396933E-2</v>
      </c>
      <c r="DC12">
        <v>1.7598470909445288E-2</v>
      </c>
      <c r="DD12">
        <v>1.0560994897242073E-2</v>
      </c>
      <c r="DE12">
        <v>1.0858469597685475E-3</v>
      </c>
      <c r="DF12">
        <v>6.39907319415164E-3</v>
      </c>
      <c r="DG12">
        <v>5.1441913655078707E-3</v>
      </c>
      <c r="DH12">
        <v>3.1404728107903611E-3</v>
      </c>
      <c r="DI12">
        <v>2.7556295754175087E-3</v>
      </c>
      <c r="DJ12">
        <v>4.4889034440396061E-4</v>
      </c>
      <c r="DK12">
        <v>5.6292182656496577E-3</v>
      </c>
      <c r="DL12">
        <v>7.5013416543667569E-3</v>
      </c>
      <c r="DM12">
        <v>1.3400549098129882E-2</v>
      </c>
      <c r="DN12">
        <v>9.3290701945342985E-3</v>
      </c>
      <c r="DO12">
        <v>4.2687100473450066E-3</v>
      </c>
      <c r="DP12">
        <v>3.6956872621966021E-3</v>
      </c>
      <c r="DQ12">
        <v>1.2514455875859209E-2</v>
      </c>
      <c r="DR12">
        <v>1.9088771519441158E-2</v>
      </c>
      <c r="DS12">
        <v>1.2267426772529118E-2</v>
      </c>
      <c r="DT12">
        <v>1.6251089001656626E-2</v>
      </c>
      <c r="DU12">
        <v>2.9065977328264422E-3</v>
      </c>
      <c r="DV12">
        <v>6.3554364928826582E-3</v>
      </c>
      <c r="DW12">
        <v>6.0110542086452921E-3</v>
      </c>
      <c r="DX12">
        <v>3.0550430409074705E-3</v>
      </c>
      <c r="DY12">
        <v>1.5023571660199077E-2</v>
      </c>
      <c r="EA12" t="s">
        <v>618</v>
      </c>
      <c r="EB12">
        <v>0</v>
      </c>
      <c r="EC12">
        <v>0</v>
      </c>
      <c r="ED12">
        <v>3.3578262693223829E-3</v>
      </c>
      <c r="EE12">
        <v>0.18443358479153421</v>
      </c>
      <c r="EF12">
        <v>0.43110367698314361</v>
      </c>
      <c r="EG12">
        <v>0.47651067206169612</v>
      </c>
      <c r="EH12">
        <v>0.31916295955329432</v>
      </c>
      <c r="EI12">
        <v>6.9887052248836762E-2</v>
      </c>
      <c r="EJ12">
        <v>0</v>
      </c>
      <c r="EK12">
        <v>0</v>
      </c>
      <c r="EL12">
        <v>0</v>
      </c>
      <c r="EM12">
        <v>8.3818213576288643E-4</v>
      </c>
      <c r="EN12">
        <v>8.6314800294979607E-2</v>
      </c>
      <c r="EO12">
        <v>0.35329492476504082</v>
      </c>
      <c r="EP12">
        <v>0.55445855142209832</v>
      </c>
      <c r="EQ12">
        <v>0.60256417716404564</v>
      </c>
      <c r="ER12">
        <v>0.47684893038834547</v>
      </c>
      <c r="ES12">
        <v>0.2098700467182088</v>
      </c>
      <c r="ET12">
        <v>8.22489324070853E-3</v>
      </c>
      <c r="EU12">
        <v>0</v>
      </c>
      <c r="EV12">
        <v>0</v>
      </c>
      <c r="EW12">
        <v>2.6579739651986841E-3</v>
      </c>
      <c r="EX12">
        <v>0.12955514722725536</v>
      </c>
      <c r="EY12">
        <v>0.43855779958281321</v>
      </c>
      <c r="EZ12">
        <v>0.63869879629977022</v>
      </c>
      <c r="FA12">
        <v>0.66679528385455611</v>
      </c>
      <c r="FB12">
        <v>0.53003304874679258</v>
      </c>
      <c r="FC12">
        <v>0.260854012536542</v>
      </c>
      <c r="FD12">
        <v>2.5065776067598335E-2</v>
      </c>
      <c r="FE12">
        <v>0</v>
      </c>
      <c r="FF12">
        <v>0</v>
      </c>
      <c r="FG12">
        <v>0</v>
      </c>
      <c r="FH12">
        <v>4.4980529220082166E-2</v>
      </c>
      <c r="FI12">
        <v>0.31354380491149714</v>
      </c>
      <c r="FJ12">
        <v>0.53111067741194085</v>
      </c>
      <c r="FK12">
        <v>0.53622404427690729</v>
      </c>
      <c r="FL12">
        <v>0.36206864837469466</v>
      </c>
      <c r="FM12">
        <v>9.5567926987795038E-2</v>
      </c>
      <c r="FN12">
        <v>2.7009850963766299E-4</v>
      </c>
      <c r="FO12">
        <v>0</v>
      </c>
      <c r="FQ12" t="s">
        <v>618</v>
      </c>
      <c r="FR12" t="s">
        <v>127</v>
      </c>
      <c r="FS12" t="s">
        <v>128</v>
      </c>
      <c r="FT12">
        <v>0.489277416817543</v>
      </c>
    </row>
    <row r="13" spans="2:176" x14ac:dyDescent="0.45">
      <c r="B13" t="s">
        <v>619</v>
      </c>
      <c r="C13" t="s">
        <v>123</v>
      </c>
      <c r="D13">
        <v>0</v>
      </c>
      <c r="E13">
        <v>0</v>
      </c>
      <c r="F13">
        <v>0.62591866065836166</v>
      </c>
      <c r="G13">
        <v>0.18630272668303535</v>
      </c>
      <c r="H13">
        <v>0.10599152030314614</v>
      </c>
      <c r="I13">
        <v>0.10238661261621404</v>
      </c>
      <c r="J13">
        <v>0.16200244469744496</v>
      </c>
      <c r="K13">
        <v>0.45701339950441994</v>
      </c>
      <c r="L13">
        <v>0</v>
      </c>
      <c r="M13">
        <v>0</v>
      </c>
      <c r="N13">
        <v>0</v>
      </c>
      <c r="O13">
        <v>0.80520680252698484</v>
      </c>
      <c r="P13">
        <v>0.31705438665080854</v>
      </c>
      <c r="Q13">
        <v>0.11102746250224178</v>
      </c>
      <c r="R13">
        <v>7.8835652579298185E-2</v>
      </c>
      <c r="S13">
        <v>6.8240741998227425E-2</v>
      </c>
      <c r="T13">
        <v>8.8100975650789864E-2</v>
      </c>
      <c r="U13">
        <v>0.23508561951331547</v>
      </c>
      <c r="V13">
        <v>0.71233024522836497</v>
      </c>
      <c r="W13">
        <v>0</v>
      </c>
      <c r="X13">
        <v>0</v>
      </c>
      <c r="Y13">
        <v>0.63495504556140292</v>
      </c>
      <c r="Z13">
        <v>0.24639582526797599</v>
      </c>
      <c r="AA13">
        <v>7.5028464375713311E-2</v>
      </c>
      <c r="AB13">
        <v>2.7061376417662677E-2</v>
      </c>
      <c r="AC13">
        <v>2.3892686189972753E-2</v>
      </c>
      <c r="AD13">
        <v>5.8465559089188893E-2</v>
      </c>
      <c r="AE13">
        <v>0.17972380818036543</v>
      </c>
      <c r="AF13">
        <v>0.54324367924350225</v>
      </c>
      <c r="AG13">
        <v>0</v>
      </c>
      <c r="AH13">
        <v>0</v>
      </c>
      <c r="AI13">
        <v>0</v>
      </c>
      <c r="AJ13">
        <v>0.4238357215453345</v>
      </c>
      <c r="AK13">
        <v>0.12444677698689716</v>
      </c>
      <c r="AL13">
        <v>7.5647538084192473E-2</v>
      </c>
      <c r="AM13">
        <v>7.6825898153700334E-2</v>
      </c>
      <c r="AN13">
        <v>0.13459078349287204</v>
      </c>
      <c r="AO13">
        <v>0.40932523649464186</v>
      </c>
      <c r="AP13">
        <v>0.97252747252747263</v>
      </c>
      <c r="AQ13">
        <v>0</v>
      </c>
      <c r="AS13" t="s">
        <v>132</v>
      </c>
      <c r="AT13" t="s">
        <v>125</v>
      </c>
      <c r="AU13">
        <v>0</v>
      </c>
      <c r="AV13">
        <v>8.4286948376706482E-4</v>
      </c>
      <c r="AW13">
        <v>1.0847071484968922E-3</v>
      </c>
      <c r="AX13">
        <v>8.0462131737115013E-4</v>
      </c>
      <c r="AY13">
        <v>1.7757978197141741E-3</v>
      </c>
      <c r="AZ13">
        <v>1.6750874319014996E-3</v>
      </c>
      <c r="BA13">
        <v>2.0342857848862166E-3</v>
      </c>
      <c r="BB13">
        <v>1.0978104092094099E-3</v>
      </c>
      <c r="BC13">
        <v>1.1513164617954433E-4</v>
      </c>
      <c r="BD13">
        <v>0</v>
      </c>
      <c r="BE13">
        <v>1.3317224297602777E-3</v>
      </c>
      <c r="BF13">
        <v>0</v>
      </c>
      <c r="BG13">
        <v>1.5243377271007682E-3</v>
      </c>
      <c r="BH13">
        <v>2.0839400728819724E-3</v>
      </c>
      <c r="BI13">
        <v>5.4241644002799832E-3</v>
      </c>
      <c r="BJ13">
        <v>2.9387957145984123E-3</v>
      </c>
      <c r="BK13">
        <v>1.105104071004492E-4</v>
      </c>
      <c r="BL13">
        <v>7.5425084298031265E-4</v>
      </c>
      <c r="BM13">
        <v>4.3997691810373036E-3</v>
      </c>
      <c r="BN13">
        <v>6.7691196550485205E-4</v>
      </c>
      <c r="BO13">
        <v>1.0173471008539168E-2</v>
      </c>
      <c r="BP13">
        <v>1.2546704307807163E-3</v>
      </c>
      <c r="BQ13">
        <v>7.6642958873356171E-3</v>
      </c>
      <c r="BR13">
        <v>1.2246806487886982E-3</v>
      </c>
      <c r="BS13">
        <v>6.7243534066459634E-4</v>
      </c>
      <c r="BT13">
        <v>1.9175012528680783E-3</v>
      </c>
      <c r="BU13">
        <v>1.7517641322126799E-3</v>
      </c>
      <c r="BV13">
        <v>9.4232067609205459E-4</v>
      </c>
      <c r="BW13">
        <v>2.805791869969512E-3</v>
      </c>
      <c r="BX13">
        <v>0</v>
      </c>
      <c r="BY13">
        <v>4.0868060310321032E-3</v>
      </c>
      <c r="BZ13">
        <v>3.0311686189808322E-3</v>
      </c>
      <c r="CA13">
        <v>1.2658760889277501E-3</v>
      </c>
      <c r="CB13">
        <v>1.8067376611591395E-3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9.2979566333554412E-4</v>
      </c>
      <c r="CJ13" t="s">
        <v>132</v>
      </c>
      <c r="CK13" t="s">
        <v>126</v>
      </c>
      <c r="CL13">
        <v>0</v>
      </c>
      <c r="CM13">
        <v>1.4593762143591041E-3</v>
      </c>
      <c r="CN13">
        <v>6.5087354271292034E-3</v>
      </c>
      <c r="CO13">
        <v>1.2956453054282438E-2</v>
      </c>
      <c r="CP13">
        <v>6.0881870126974743E-3</v>
      </c>
      <c r="CQ13">
        <v>8.3179816603593769E-3</v>
      </c>
      <c r="CR13">
        <v>5.6813300043304831E-3</v>
      </c>
      <c r="CS13">
        <v>1.2118065640301557E-2</v>
      </c>
      <c r="CT13">
        <v>1.8128024173968943E-2</v>
      </c>
      <c r="CU13">
        <v>4.6663094905203227E-3</v>
      </c>
      <c r="CV13">
        <v>1.0667900237705714E-2</v>
      </c>
      <c r="CW13">
        <v>1.5422941370464299E-2</v>
      </c>
      <c r="CX13">
        <v>8.1614570931057354E-3</v>
      </c>
      <c r="CY13">
        <v>4.1703915581326875E-3</v>
      </c>
      <c r="CZ13">
        <v>1.0953763051627239E-2</v>
      </c>
      <c r="DA13">
        <v>1.8685068476712585E-2</v>
      </c>
      <c r="DB13">
        <v>1.6372410997346706E-2</v>
      </c>
      <c r="DC13">
        <v>1.049193230629588E-2</v>
      </c>
      <c r="DD13">
        <v>3.8262546891585751E-3</v>
      </c>
      <c r="DE13">
        <v>2.5664699152361387E-3</v>
      </c>
      <c r="DF13">
        <v>3.8523628768436635E-3</v>
      </c>
      <c r="DG13">
        <v>1.7059226640329748E-2</v>
      </c>
      <c r="DH13">
        <v>1.3739458530925182E-2</v>
      </c>
      <c r="DI13">
        <v>1.8615288814023492E-2</v>
      </c>
      <c r="DJ13">
        <v>1.3534774129805981E-2</v>
      </c>
      <c r="DK13">
        <v>5.6142725914193796E-3</v>
      </c>
      <c r="DL13">
        <v>4.9805774385592565E-3</v>
      </c>
      <c r="DM13">
        <v>4.8393192306977958E-3</v>
      </c>
      <c r="DN13">
        <v>2.741915123818659E-3</v>
      </c>
      <c r="DO13">
        <v>6.2627228812187413E-3</v>
      </c>
      <c r="DP13">
        <v>5.6914943679433382E-3</v>
      </c>
      <c r="DQ13">
        <v>1.141010948187143E-2</v>
      </c>
      <c r="DR13">
        <v>1.3034192070950747E-2</v>
      </c>
      <c r="DS13">
        <v>1.4951375526966902E-2</v>
      </c>
      <c r="DT13">
        <v>3.8002255853150659E-3</v>
      </c>
      <c r="DU13">
        <v>4.5409749277798631E-3</v>
      </c>
      <c r="DV13">
        <v>1.5446432935041924E-4</v>
      </c>
      <c r="DW13">
        <v>1.6790596360365394E-4</v>
      </c>
      <c r="DX13">
        <v>9.8086207996028935E-4</v>
      </c>
      <c r="DY13">
        <v>1.5780875510483339E-3</v>
      </c>
      <c r="EA13" t="s">
        <v>619</v>
      </c>
      <c r="EB13">
        <v>0</v>
      </c>
      <c r="EC13">
        <v>0</v>
      </c>
      <c r="ED13">
        <v>1.6276381011454191E-2</v>
      </c>
      <c r="EE13">
        <v>0.24207129095818175</v>
      </c>
      <c r="EF13">
        <v>0.45677143226988021</v>
      </c>
      <c r="EG13">
        <v>0.47898081416262228</v>
      </c>
      <c r="EH13">
        <v>0.30702059880895727</v>
      </c>
      <c r="EI13">
        <v>5.6870803105181146E-2</v>
      </c>
      <c r="EJ13">
        <v>0</v>
      </c>
      <c r="EK13">
        <v>0</v>
      </c>
      <c r="EL13">
        <v>0</v>
      </c>
      <c r="EM13">
        <v>1.7763368167012588E-3</v>
      </c>
      <c r="EN13">
        <v>0.12639275194295446</v>
      </c>
      <c r="EO13">
        <v>0.43581684181791935</v>
      </c>
      <c r="EP13">
        <v>0.63006714078769299</v>
      </c>
      <c r="EQ13">
        <v>0.65010197580400064</v>
      </c>
      <c r="ER13">
        <v>0.48894869559483067</v>
      </c>
      <c r="ES13">
        <v>0.1867806432539407</v>
      </c>
      <c r="ET13">
        <v>3.865560874256011E-3</v>
      </c>
      <c r="EU13">
        <v>0</v>
      </c>
      <c r="EV13">
        <v>0</v>
      </c>
      <c r="EW13">
        <v>4.1936493236731289E-3</v>
      </c>
      <c r="EX13">
        <v>0.16259370594806874</v>
      </c>
      <c r="EY13">
        <v>0.47423259204313756</v>
      </c>
      <c r="EZ13">
        <v>0.66092014521080222</v>
      </c>
      <c r="FA13">
        <v>0.67702729198648948</v>
      </c>
      <c r="FB13">
        <v>0.52331287943484195</v>
      </c>
      <c r="FC13">
        <v>0.2287244879331245</v>
      </c>
      <c r="FD13">
        <v>1.1635259482871578E-2</v>
      </c>
      <c r="FE13">
        <v>0</v>
      </c>
      <c r="FF13">
        <v>0</v>
      </c>
      <c r="FG13">
        <v>0</v>
      </c>
      <c r="FH13">
        <v>7.1876714960603591E-2</v>
      </c>
      <c r="FI13">
        <v>0.35791188857871165</v>
      </c>
      <c r="FJ13">
        <v>0.54355910468589275</v>
      </c>
      <c r="FK13">
        <v>0.53880789320447786</v>
      </c>
      <c r="FL13">
        <v>0.34698172685071021</v>
      </c>
      <c r="FM13">
        <v>7.2926351355775465E-2</v>
      </c>
      <c r="FN13">
        <v>1.5533109747581274E-5</v>
      </c>
      <c r="FO13">
        <v>0</v>
      </c>
      <c r="FQ13" t="s">
        <v>619</v>
      </c>
      <c r="FR13" t="s">
        <v>127</v>
      </c>
      <c r="FS13" t="s">
        <v>128</v>
      </c>
      <c r="FT13">
        <v>0.42916434319747188</v>
      </c>
    </row>
    <row r="14" spans="2:176" x14ac:dyDescent="0.45">
      <c r="B14" t="s">
        <v>620</v>
      </c>
      <c r="C14" t="s">
        <v>123</v>
      </c>
      <c r="D14">
        <v>0</v>
      </c>
      <c r="E14">
        <v>0</v>
      </c>
      <c r="F14">
        <v>0.53100715706038937</v>
      </c>
      <c r="G14">
        <v>0.1746876581501294</v>
      </c>
      <c r="H14">
        <v>0.10637287468618289</v>
      </c>
      <c r="I14">
        <v>0.1197026061805076</v>
      </c>
      <c r="J14">
        <v>0.17417824771767837</v>
      </c>
      <c r="K14">
        <v>0.49468285679767143</v>
      </c>
      <c r="L14">
        <v>0</v>
      </c>
      <c r="M14">
        <v>0</v>
      </c>
      <c r="N14">
        <v>0</v>
      </c>
      <c r="O14">
        <v>0.77739102143102057</v>
      </c>
      <c r="P14">
        <v>0.29063655694586749</v>
      </c>
      <c r="Q14">
        <v>0.10032754206862909</v>
      </c>
      <c r="R14">
        <v>7.5657573953641963E-2</v>
      </c>
      <c r="S14">
        <v>8.3160585705581644E-2</v>
      </c>
      <c r="T14">
        <v>9.4580036754621177E-2</v>
      </c>
      <c r="U14">
        <v>0.2617732094323667</v>
      </c>
      <c r="V14">
        <v>0.77051535791102355</v>
      </c>
      <c r="W14">
        <v>0</v>
      </c>
      <c r="X14">
        <v>0</v>
      </c>
      <c r="Y14">
        <v>0.59986754227070338</v>
      </c>
      <c r="Z14">
        <v>0.22155684972422013</v>
      </c>
      <c r="AA14">
        <v>6.715502753769638E-2</v>
      </c>
      <c r="AB14">
        <v>2.7028903284690382E-2</v>
      </c>
      <c r="AC14">
        <v>3.8797221343710997E-2</v>
      </c>
      <c r="AD14">
        <v>6.8246651373929684E-2</v>
      </c>
      <c r="AE14">
        <v>0.19619703127865315</v>
      </c>
      <c r="AF14">
        <v>0.56569189204455683</v>
      </c>
      <c r="AG14">
        <v>0</v>
      </c>
      <c r="AH14">
        <v>0</v>
      </c>
      <c r="AI14">
        <v>0</v>
      </c>
      <c r="AJ14">
        <v>0.39294957689117194</v>
      </c>
      <c r="AK14">
        <v>0.12776747891084991</v>
      </c>
      <c r="AL14">
        <v>8.5496528907483257E-2</v>
      </c>
      <c r="AM14">
        <v>9.0982281712399499E-2</v>
      </c>
      <c r="AN14">
        <v>0.15304156977307895</v>
      </c>
      <c r="AO14">
        <v>0.43888720985231006</v>
      </c>
      <c r="AP14">
        <v>0</v>
      </c>
      <c r="AQ14">
        <v>0</v>
      </c>
      <c r="EA14" t="s">
        <v>620</v>
      </c>
      <c r="EB14">
        <v>0</v>
      </c>
      <c r="EC14">
        <v>0</v>
      </c>
      <c r="ED14">
        <v>3.1590149994425637E-2</v>
      </c>
      <c r="EE14">
        <v>0.28767181914981488</v>
      </c>
      <c r="EF14">
        <v>0.49725092195890552</v>
      </c>
      <c r="EG14">
        <v>0.48392255788781824</v>
      </c>
      <c r="EH14">
        <v>0.29825088238762321</v>
      </c>
      <c r="EI14">
        <v>4.856748217271005E-2</v>
      </c>
      <c r="EJ14">
        <v>0</v>
      </c>
      <c r="EK14">
        <v>0</v>
      </c>
      <c r="EL14">
        <v>0</v>
      </c>
      <c r="EM14">
        <v>2.9806182499668515E-3</v>
      </c>
      <c r="EN14">
        <v>0.15170568942070084</v>
      </c>
      <c r="EO14">
        <v>0.47261044201392066</v>
      </c>
      <c r="EP14">
        <v>0.64480467579899403</v>
      </c>
      <c r="EQ14">
        <v>0.63199236631783706</v>
      </c>
      <c r="ER14">
        <v>0.46370457135094528</v>
      </c>
      <c r="ES14">
        <v>0.16389275750468357</v>
      </c>
      <c r="ET14">
        <v>2.5046358590127657E-3</v>
      </c>
      <c r="EU14">
        <v>0</v>
      </c>
      <c r="EV14">
        <v>0</v>
      </c>
      <c r="EW14">
        <v>6.2477844255032318E-3</v>
      </c>
      <c r="EX14">
        <v>0.18887213685407181</v>
      </c>
      <c r="EY14">
        <v>0.50034449642185819</v>
      </c>
      <c r="EZ14">
        <v>0.66197192266006677</v>
      </c>
      <c r="FA14">
        <v>0.64185907015117016</v>
      </c>
      <c r="FB14">
        <v>0.4716853018124863</v>
      </c>
      <c r="FC14">
        <v>0.19712993576089033</v>
      </c>
      <c r="FD14">
        <v>8.4012278247067376E-3</v>
      </c>
      <c r="FE14">
        <v>0</v>
      </c>
      <c r="FF14">
        <v>0</v>
      </c>
      <c r="FG14">
        <v>0</v>
      </c>
      <c r="FH14">
        <v>8.9548154809033595E-2</v>
      </c>
      <c r="FI14">
        <v>0.38527145142786551</v>
      </c>
      <c r="FJ14">
        <v>0.55785784331838351</v>
      </c>
      <c r="FK14">
        <v>0.53040254966395117</v>
      </c>
      <c r="FL14">
        <v>0.327028356390271</v>
      </c>
      <c r="FM14">
        <v>5.9932338498350543E-2</v>
      </c>
      <c r="FN14">
        <v>0</v>
      </c>
      <c r="FO14">
        <v>0</v>
      </c>
      <c r="FQ14" t="s">
        <v>620</v>
      </c>
      <c r="FR14" t="s">
        <v>127</v>
      </c>
      <c r="FS14" t="s">
        <v>128</v>
      </c>
      <c r="FT14">
        <v>0.56906345277421821</v>
      </c>
    </row>
    <row r="15" spans="2:176" x14ac:dyDescent="0.45">
      <c r="B15" t="s">
        <v>621</v>
      </c>
      <c r="C15" t="s">
        <v>123</v>
      </c>
      <c r="D15">
        <v>0</v>
      </c>
      <c r="E15">
        <v>0</v>
      </c>
      <c r="F15">
        <v>0.53433946377970942</v>
      </c>
      <c r="G15">
        <v>0.17993457587568074</v>
      </c>
      <c r="H15">
        <v>0.11564282849081288</v>
      </c>
      <c r="I15">
        <v>0.12279615317891955</v>
      </c>
      <c r="J15">
        <v>0.19326131895624379</v>
      </c>
      <c r="K15">
        <v>0.64302268941414498</v>
      </c>
      <c r="L15">
        <v>0</v>
      </c>
      <c r="M15">
        <v>0</v>
      </c>
      <c r="N15">
        <v>0</v>
      </c>
      <c r="O15">
        <v>0.74310979340745764</v>
      </c>
      <c r="P15">
        <v>0.26874998424697344</v>
      </c>
      <c r="Q15">
        <v>0.1008153337393053</v>
      </c>
      <c r="R15">
        <v>7.425624941629172E-2</v>
      </c>
      <c r="S15">
        <v>8.3081302310537189E-2</v>
      </c>
      <c r="T15">
        <v>0.11365264077024659</v>
      </c>
      <c r="U15">
        <v>0.295070971178508</v>
      </c>
      <c r="V15">
        <v>0.79102374379557061</v>
      </c>
      <c r="W15">
        <v>0</v>
      </c>
      <c r="X15">
        <v>0</v>
      </c>
      <c r="Y15">
        <v>0.56535273110963546</v>
      </c>
      <c r="Z15">
        <v>0.20190656455151182</v>
      </c>
      <c r="AA15">
        <v>6.3014126898241471E-2</v>
      </c>
      <c r="AB15">
        <v>2.4219483259299908E-2</v>
      </c>
      <c r="AC15">
        <v>3.4566713005963208E-2</v>
      </c>
      <c r="AD15">
        <v>6.8440663572172961E-2</v>
      </c>
      <c r="AE15">
        <v>0.2127459127774364</v>
      </c>
      <c r="AF15">
        <v>0.58019520601382457</v>
      </c>
      <c r="AG15">
        <v>0</v>
      </c>
      <c r="AH15">
        <v>0</v>
      </c>
      <c r="AI15">
        <v>0.98351648351648335</v>
      </c>
      <c r="AJ15">
        <v>0.36835906960703146</v>
      </c>
      <c r="AK15">
        <v>0.13275905568914048</v>
      </c>
      <c r="AL15">
        <v>0.10330562189677917</v>
      </c>
      <c r="AM15">
        <v>0.11526643360909475</v>
      </c>
      <c r="AN15">
        <v>0.18274773706128733</v>
      </c>
      <c r="AO15">
        <v>0.51942009031360614</v>
      </c>
      <c r="AP15">
        <v>0</v>
      </c>
      <c r="AQ15">
        <v>0</v>
      </c>
      <c r="EA15" t="s">
        <v>621</v>
      </c>
      <c r="EB15">
        <v>0</v>
      </c>
      <c r="EC15">
        <v>0</v>
      </c>
      <c r="ED15">
        <v>3.2839360751031152E-2</v>
      </c>
      <c r="EE15">
        <v>0.28080270512348771</v>
      </c>
      <c r="EF15">
        <v>0.46959960336602602</v>
      </c>
      <c r="EG15">
        <v>0.45182667978140018</v>
      </c>
      <c r="EH15">
        <v>0.26182773222944072</v>
      </c>
      <c r="EI15">
        <v>3.1048302368385534E-2</v>
      </c>
      <c r="EJ15">
        <v>0</v>
      </c>
      <c r="EK15">
        <v>0</v>
      </c>
      <c r="EL15">
        <v>0</v>
      </c>
      <c r="EM15">
        <v>4.3826019203081646E-3</v>
      </c>
      <c r="EN15">
        <v>0.16436543222550717</v>
      </c>
      <c r="EO15">
        <v>0.46748623741376777</v>
      </c>
      <c r="EP15">
        <v>0.6349642645772926</v>
      </c>
      <c r="EQ15">
        <v>0.61802306450618683</v>
      </c>
      <c r="ER15">
        <v>0.43389399678791352</v>
      </c>
      <c r="ES15">
        <v>0.13915360267792187</v>
      </c>
      <c r="ET15">
        <v>1.8551648537269004E-3</v>
      </c>
      <c r="EU15">
        <v>0</v>
      </c>
      <c r="EV15">
        <v>0</v>
      </c>
      <c r="EW15">
        <v>8.7411594740605218E-3</v>
      </c>
      <c r="EX15">
        <v>0.20518854882081228</v>
      </c>
      <c r="EY15">
        <v>0.50456157875556329</v>
      </c>
      <c r="EZ15">
        <v>0.65740753552697628</v>
      </c>
      <c r="FA15">
        <v>0.63294583348488476</v>
      </c>
      <c r="FB15">
        <v>0.45890426855160937</v>
      </c>
      <c r="FC15">
        <v>0.18005778641794534</v>
      </c>
      <c r="FD15">
        <v>7.069589978713803E-3</v>
      </c>
      <c r="FE15">
        <v>0</v>
      </c>
      <c r="FF15">
        <v>0</v>
      </c>
      <c r="FG15">
        <v>1.0074589922001094E-6</v>
      </c>
      <c r="FH15">
        <v>0.10358075030162829</v>
      </c>
      <c r="FI15">
        <v>0.3867762530046901</v>
      </c>
      <c r="FJ15">
        <v>0.54126563568000308</v>
      </c>
      <c r="FK15">
        <v>0.49452432177093975</v>
      </c>
      <c r="FL15">
        <v>0.29093559720006801</v>
      </c>
      <c r="FM15">
        <v>4.5812469891513982E-2</v>
      </c>
      <c r="FN15">
        <v>0</v>
      </c>
      <c r="FO15">
        <v>0</v>
      </c>
      <c r="FQ15" t="s">
        <v>621</v>
      </c>
      <c r="FR15" t="s">
        <v>127</v>
      </c>
      <c r="FS15" t="s">
        <v>128</v>
      </c>
      <c r="FT15">
        <v>0.5393203443756811</v>
      </c>
    </row>
    <row r="16" spans="2:176" x14ac:dyDescent="0.45">
      <c r="B16" t="s">
        <v>622</v>
      </c>
      <c r="C16" t="s">
        <v>123</v>
      </c>
      <c r="D16">
        <v>0</v>
      </c>
      <c r="E16">
        <v>0</v>
      </c>
      <c r="F16">
        <v>0.68208860860547071</v>
      </c>
      <c r="G16">
        <v>0.21659372952497399</v>
      </c>
      <c r="H16">
        <v>0.1356242505921425</v>
      </c>
      <c r="I16">
        <v>0.1484224395617241</v>
      </c>
      <c r="J16">
        <v>0.20485674637354215</v>
      </c>
      <c r="K16">
        <v>0.63018882224954986</v>
      </c>
      <c r="L16">
        <v>0</v>
      </c>
      <c r="M16">
        <v>0</v>
      </c>
      <c r="N16">
        <v>0</v>
      </c>
      <c r="O16">
        <v>0.76006946659671204</v>
      </c>
      <c r="P16">
        <v>0.30735125726355622</v>
      </c>
      <c r="Q16">
        <v>0.13418446565916589</v>
      </c>
      <c r="R16">
        <v>9.6187948156918793E-2</v>
      </c>
      <c r="S16">
        <v>0.10069247204795377</v>
      </c>
      <c r="T16">
        <v>0.13169000705629447</v>
      </c>
      <c r="U16">
        <v>0.2851370803434442</v>
      </c>
      <c r="V16">
        <v>0.74350671777346433</v>
      </c>
      <c r="W16">
        <v>0</v>
      </c>
      <c r="X16">
        <v>0</v>
      </c>
      <c r="Y16">
        <v>0.58622077065867384</v>
      </c>
      <c r="Z16">
        <v>0.21500406401585029</v>
      </c>
      <c r="AA16">
        <v>7.4037167702105597E-2</v>
      </c>
      <c r="AB16">
        <v>3.5711860169478464E-2</v>
      </c>
      <c r="AC16">
        <v>4.2720104325828588E-2</v>
      </c>
      <c r="AD16">
        <v>7.6881798894477021E-2</v>
      </c>
      <c r="AE16">
        <v>0.19187703393805644</v>
      </c>
      <c r="AF16">
        <v>0.55622309457028174</v>
      </c>
      <c r="AG16">
        <v>0</v>
      </c>
      <c r="AH16">
        <v>0</v>
      </c>
      <c r="AI16">
        <v>0</v>
      </c>
      <c r="AJ16">
        <v>0.42132408060454646</v>
      </c>
      <c r="AK16">
        <v>0.18292562874120349</v>
      </c>
      <c r="AL16">
        <v>0.13797719038944894</v>
      </c>
      <c r="AM16">
        <v>0.13593082628940037</v>
      </c>
      <c r="AN16">
        <v>0.19422237385807956</v>
      </c>
      <c r="AO16">
        <v>0.49948089001198731</v>
      </c>
      <c r="AP16">
        <v>0</v>
      </c>
      <c r="AQ16">
        <v>0</v>
      </c>
      <c r="EA16" t="s">
        <v>622</v>
      </c>
      <c r="EB16">
        <v>0</v>
      </c>
      <c r="EC16">
        <v>0</v>
      </c>
      <c r="ED16">
        <v>1.307681608703349E-2</v>
      </c>
      <c r="EE16">
        <v>0.21780661058421508</v>
      </c>
      <c r="EF16">
        <v>0.41872059516019566</v>
      </c>
      <c r="EG16">
        <v>0.41651580453096843</v>
      </c>
      <c r="EH16">
        <v>0.25145226543673105</v>
      </c>
      <c r="EI16">
        <v>3.1296162203109046E-2</v>
      </c>
      <c r="EJ16">
        <v>0</v>
      </c>
      <c r="EK16">
        <v>0</v>
      </c>
      <c r="EL16">
        <v>0</v>
      </c>
      <c r="EM16">
        <v>3.4562023708427751E-3</v>
      </c>
      <c r="EN16">
        <v>0.12967602459717395</v>
      </c>
      <c r="EO16">
        <v>0.41059641251477741</v>
      </c>
      <c r="EP16">
        <v>0.58419569169430641</v>
      </c>
      <c r="EQ16">
        <v>0.5776745109452025</v>
      </c>
      <c r="ER16">
        <v>0.4106381428821882</v>
      </c>
      <c r="ES16">
        <v>0.14217972425133499</v>
      </c>
      <c r="ET16">
        <v>3.0443741183618146E-3</v>
      </c>
      <c r="EU16">
        <v>0</v>
      </c>
      <c r="EV16">
        <v>0</v>
      </c>
      <c r="EW16">
        <v>8.0193985550597001E-3</v>
      </c>
      <c r="EX16">
        <v>0.18222952965757044</v>
      </c>
      <c r="EY16">
        <v>0.48037122778293923</v>
      </c>
      <c r="EZ16">
        <v>0.63478555821630378</v>
      </c>
      <c r="FA16">
        <v>0.61437841072360799</v>
      </c>
      <c r="FB16">
        <v>0.44269341748493962</v>
      </c>
      <c r="FC16">
        <v>0.18229600948901808</v>
      </c>
      <c r="FD16">
        <v>1.0133761316036813E-2</v>
      </c>
      <c r="FE16">
        <v>0</v>
      </c>
      <c r="FF16">
        <v>0</v>
      </c>
      <c r="FG16">
        <v>0</v>
      </c>
      <c r="FH16">
        <v>7.3349205476374829E-2</v>
      </c>
      <c r="FI16">
        <v>0.32751465696232096</v>
      </c>
      <c r="FJ16">
        <v>0.49488788918416032</v>
      </c>
      <c r="FK16">
        <v>0.47744667751573311</v>
      </c>
      <c r="FL16">
        <v>0.2905998624287654</v>
      </c>
      <c r="FM16">
        <v>5.2386773588237505E-2</v>
      </c>
      <c r="FN16">
        <v>0</v>
      </c>
      <c r="FO16">
        <v>0</v>
      </c>
      <c r="FQ16" t="s">
        <v>622</v>
      </c>
      <c r="FR16" t="s">
        <v>127</v>
      </c>
      <c r="FS16" t="s">
        <v>128</v>
      </c>
      <c r="FT16">
        <v>0.48358670823072697</v>
      </c>
    </row>
    <row r="17" spans="2:176" x14ac:dyDescent="0.45">
      <c r="B17" t="s">
        <v>623</v>
      </c>
      <c r="C17" t="s">
        <v>123</v>
      </c>
      <c r="D17">
        <v>0</v>
      </c>
      <c r="E17">
        <v>0</v>
      </c>
      <c r="F17">
        <v>0.54576869297306174</v>
      </c>
      <c r="G17">
        <v>0.18566907246730668</v>
      </c>
      <c r="H17">
        <v>0.1296857022500976</v>
      </c>
      <c r="I17">
        <v>0.12703198550008368</v>
      </c>
      <c r="J17">
        <v>0.20990658198905876</v>
      </c>
      <c r="K17">
        <v>0.69183453446319776</v>
      </c>
      <c r="L17">
        <v>0</v>
      </c>
      <c r="M17">
        <v>0</v>
      </c>
      <c r="N17">
        <v>0</v>
      </c>
      <c r="O17">
        <v>0.73324680938661879</v>
      </c>
      <c r="P17">
        <v>0.27362148702992867</v>
      </c>
      <c r="Q17">
        <v>0.11368725513506575</v>
      </c>
      <c r="R17">
        <v>8.4680125258921851E-2</v>
      </c>
      <c r="S17">
        <v>8.755391030986677E-2</v>
      </c>
      <c r="T17">
        <v>0.11624770119097853</v>
      </c>
      <c r="U17">
        <v>0.29555753933611623</v>
      </c>
      <c r="V17">
        <v>0.78104021694665648</v>
      </c>
      <c r="W17">
        <v>0</v>
      </c>
      <c r="X17">
        <v>0</v>
      </c>
      <c r="Y17">
        <v>0.55165112819759288</v>
      </c>
      <c r="Z17">
        <v>0.19456199810533326</v>
      </c>
      <c r="AA17">
        <v>6.6739627653814595E-2</v>
      </c>
      <c r="AB17">
        <v>3.0021814767844525E-2</v>
      </c>
      <c r="AC17">
        <v>4.0655610085477328E-2</v>
      </c>
      <c r="AD17">
        <v>7.7187474081909485E-2</v>
      </c>
      <c r="AE17">
        <v>0.2101145022741529</v>
      </c>
      <c r="AF17">
        <v>0.58044599484772275</v>
      </c>
      <c r="AG17">
        <v>0</v>
      </c>
      <c r="AH17">
        <v>0</v>
      </c>
      <c r="AI17">
        <v>0.9560439560439562</v>
      </c>
      <c r="AJ17">
        <v>0.38263541566859227</v>
      </c>
      <c r="AK17">
        <v>0.16022740690422779</v>
      </c>
      <c r="AL17">
        <v>0.12385172730265361</v>
      </c>
      <c r="AM17">
        <v>0.13830156578983444</v>
      </c>
      <c r="AN17">
        <v>0.1997632522748844</v>
      </c>
      <c r="AO17">
        <v>0.53870881754527089</v>
      </c>
      <c r="AP17">
        <v>0</v>
      </c>
      <c r="AQ17">
        <v>0</v>
      </c>
      <c r="EA17" t="s">
        <v>623</v>
      </c>
      <c r="EB17">
        <v>0</v>
      </c>
      <c r="EC17">
        <v>0</v>
      </c>
      <c r="ED17">
        <v>2.8226173266255837E-2</v>
      </c>
      <c r="EE17">
        <v>0.25972249312041595</v>
      </c>
      <c r="EF17">
        <v>0.44703342408576957</v>
      </c>
      <c r="EG17">
        <v>0.43372824598539805</v>
      </c>
      <c r="EH17">
        <v>0.23596585890863239</v>
      </c>
      <c r="EI17">
        <v>2.137359656379114E-2</v>
      </c>
      <c r="EJ17">
        <v>0</v>
      </c>
      <c r="EK17">
        <v>0</v>
      </c>
      <c r="EL17">
        <v>0</v>
      </c>
      <c r="EM17">
        <v>4.9987228843915779E-3</v>
      </c>
      <c r="EN17">
        <v>0.16551907048988082</v>
      </c>
      <c r="EO17">
        <v>0.46341216117122325</v>
      </c>
      <c r="EP17">
        <v>0.62363218093918815</v>
      </c>
      <c r="EQ17">
        <v>0.6033326158536404</v>
      </c>
      <c r="ER17">
        <v>0.41873215358270166</v>
      </c>
      <c r="ES17">
        <v>0.13269373463866602</v>
      </c>
      <c r="ET17">
        <v>2.0370385639769451E-3</v>
      </c>
      <c r="EU17">
        <v>0</v>
      </c>
      <c r="EV17">
        <v>0</v>
      </c>
      <c r="EW17">
        <v>1.0194468858836273E-2</v>
      </c>
      <c r="EX17">
        <v>0.20992803008464325</v>
      </c>
      <c r="EY17">
        <v>0.50104933519567318</v>
      </c>
      <c r="EZ17">
        <v>0.64820359516760218</v>
      </c>
      <c r="FA17">
        <v>0.62281361106057287</v>
      </c>
      <c r="FB17">
        <v>0.44556463794076884</v>
      </c>
      <c r="FC17">
        <v>0.17003874853371681</v>
      </c>
      <c r="FD17">
        <v>7.5145330907785655E-3</v>
      </c>
      <c r="FE17">
        <v>0</v>
      </c>
      <c r="FF17">
        <v>0</v>
      </c>
      <c r="FG17">
        <v>2.9331160598406916E-5</v>
      </c>
      <c r="FH17">
        <v>9.9718348610852825E-2</v>
      </c>
      <c r="FI17">
        <v>0.37227380898696394</v>
      </c>
      <c r="FJ17">
        <v>0.52195052873919445</v>
      </c>
      <c r="FK17">
        <v>0.48253059776437862</v>
      </c>
      <c r="FL17">
        <v>0.28416649375870207</v>
      </c>
      <c r="FM17">
        <v>4.4094383704719811E-2</v>
      </c>
      <c r="FN17">
        <v>0</v>
      </c>
      <c r="FO17">
        <v>0</v>
      </c>
      <c r="FQ17" t="s">
        <v>623</v>
      </c>
      <c r="FR17" t="s">
        <v>127</v>
      </c>
      <c r="FS17" t="s">
        <v>128</v>
      </c>
      <c r="FT17">
        <v>0.49113715121110274</v>
      </c>
    </row>
    <row r="18" spans="2:176" x14ac:dyDescent="0.45">
      <c r="B18" t="s">
        <v>624</v>
      </c>
      <c r="C18" t="s">
        <v>123</v>
      </c>
      <c r="D18">
        <v>0</v>
      </c>
      <c r="E18">
        <v>0</v>
      </c>
      <c r="F18">
        <v>0.81462446830415103</v>
      </c>
      <c r="G18">
        <v>0.23734542893792041</v>
      </c>
      <c r="H18">
        <v>0.16610083018635444</v>
      </c>
      <c r="I18">
        <v>0.1705216048204955</v>
      </c>
      <c r="J18">
        <v>0.21996887463117615</v>
      </c>
      <c r="K18">
        <v>0.59434389716234592</v>
      </c>
      <c r="L18">
        <v>0</v>
      </c>
      <c r="M18">
        <v>0</v>
      </c>
      <c r="N18">
        <v>0</v>
      </c>
      <c r="O18">
        <v>0.78206505542035709</v>
      </c>
      <c r="P18">
        <v>0.32701679815509721</v>
      </c>
      <c r="Q18">
        <v>0.15100161831080161</v>
      </c>
      <c r="R18">
        <v>0.10465805686471642</v>
      </c>
      <c r="S18">
        <v>0.10743729330534334</v>
      </c>
      <c r="T18">
        <v>0.13439423466746761</v>
      </c>
      <c r="U18">
        <v>0.26326726001919937</v>
      </c>
      <c r="V18">
        <v>0.71057671892869689</v>
      </c>
      <c r="W18">
        <v>0</v>
      </c>
      <c r="X18">
        <v>0</v>
      </c>
      <c r="Y18">
        <v>0.6092637792047072</v>
      </c>
      <c r="Z18">
        <v>0.23712726463387396</v>
      </c>
      <c r="AA18">
        <v>7.9193049876663243E-2</v>
      </c>
      <c r="AB18">
        <v>3.6285320809751401E-2</v>
      </c>
      <c r="AC18">
        <v>4.3251156132104548E-2</v>
      </c>
      <c r="AD18">
        <v>7.8680139713816641E-2</v>
      </c>
      <c r="AE18">
        <v>0.17440289704858633</v>
      </c>
      <c r="AF18">
        <v>0.50427950140215427</v>
      </c>
      <c r="AG18">
        <v>0</v>
      </c>
      <c r="AH18">
        <v>0</v>
      </c>
      <c r="AI18">
        <v>0</v>
      </c>
      <c r="AJ18">
        <v>0.44445647133994121</v>
      </c>
      <c r="AK18">
        <v>0.17556330998358829</v>
      </c>
      <c r="AL18">
        <v>0.12947083411210442</v>
      </c>
      <c r="AM18">
        <v>0.13194450930778848</v>
      </c>
      <c r="AN18">
        <v>0.18497517295518709</v>
      </c>
      <c r="AO18">
        <v>0.46374118531073388</v>
      </c>
      <c r="AP18">
        <v>0.9777211395565204</v>
      </c>
      <c r="AQ18">
        <v>0</v>
      </c>
      <c r="EA18" t="s">
        <v>624</v>
      </c>
      <c r="EB18">
        <v>0</v>
      </c>
      <c r="EC18">
        <v>0</v>
      </c>
      <c r="ED18">
        <v>7.7228846096930991E-3</v>
      </c>
      <c r="EE18">
        <v>0.21971059301619558</v>
      </c>
      <c r="EF18">
        <v>0.43515950747027526</v>
      </c>
      <c r="EG18">
        <v>0.45221114281922625</v>
      </c>
      <c r="EH18">
        <v>0.28078748856819158</v>
      </c>
      <c r="EI18">
        <v>4.096046710806274E-2</v>
      </c>
      <c r="EJ18">
        <v>0</v>
      </c>
      <c r="EK18">
        <v>0</v>
      </c>
      <c r="EL18">
        <v>0</v>
      </c>
      <c r="EM18">
        <v>2.5574781725882902E-3</v>
      </c>
      <c r="EN18">
        <v>0.11360261916202009</v>
      </c>
      <c r="EO18">
        <v>0.38546721853198379</v>
      </c>
      <c r="EP18">
        <v>0.56261615421915445</v>
      </c>
      <c r="EQ18">
        <v>0.5669614962017494</v>
      </c>
      <c r="ER18">
        <v>0.41110506662439422</v>
      </c>
      <c r="ES18">
        <v>0.15481432064890308</v>
      </c>
      <c r="ET18">
        <v>4.4265820390715508E-3</v>
      </c>
      <c r="EU18">
        <v>0</v>
      </c>
      <c r="EV18">
        <v>0</v>
      </c>
      <c r="EW18">
        <v>6.5446377444625886E-3</v>
      </c>
      <c r="EX18">
        <v>0.16824022602486813</v>
      </c>
      <c r="EY18">
        <v>0.46864247166621548</v>
      </c>
      <c r="EZ18">
        <v>0.63460530837713691</v>
      </c>
      <c r="FA18">
        <v>0.62198906932834686</v>
      </c>
      <c r="FB18">
        <v>0.45978926653832158</v>
      </c>
      <c r="FC18">
        <v>0.2041348598143892</v>
      </c>
      <c r="FD18">
        <v>1.3607332117733923E-2</v>
      </c>
      <c r="FE18">
        <v>0</v>
      </c>
      <c r="FF18">
        <v>0</v>
      </c>
      <c r="FG18">
        <v>0</v>
      </c>
      <c r="FH18">
        <v>6.4740035671733961E-2</v>
      </c>
      <c r="FI18">
        <v>0.32651703096107237</v>
      </c>
      <c r="FJ18">
        <v>0.4985184541473483</v>
      </c>
      <c r="FK18">
        <v>0.48227481453479221</v>
      </c>
      <c r="FL18">
        <v>0.30238350327951363</v>
      </c>
      <c r="FM18">
        <v>6.2294206584511597E-2</v>
      </c>
      <c r="FN18">
        <v>2.3390913608634469E-5</v>
      </c>
      <c r="FO18">
        <v>0</v>
      </c>
      <c r="FQ18" t="s">
        <v>624</v>
      </c>
      <c r="FR18" t="s">
        <v>127</v>
      </c>
      <c r="FS18" t="s">
        <v>128</v>
      </c>
      <c r="FT18">
        <v>0.51115965899736104</v>
      </c>
    </row>
    <row r="19" spans="2:176" x14ac:dyDescent="0.45">
      <c r="B19" t="s">
        <v>625</v>
      </c>
      <c r="C19" t="s">
        <v>123</v>
      </c>
      <c r="D19">
        <v>0</v>
      </c>
      <c r="E19">
        <v>0</v>
      </c>
      <c r="F19">
        <v>0.85123444814616223</v>
      </c>
      <c r="G19">
        <v>0.26408900197043467</v>
      </c>
      <c r="H19">
        <v>0.1905885050175618</v>
      </c>
      <c r="I19">
        <v>0.18865225185186532</v>
      </c>
      <c r="J19">
        <v>0.2474730872433645</v>
      </c>
      <c r="K19">
        <v>0.67997255326172279</v>
      </c>
      <c r="L19">
        <v>0</v>
      </c>
      <c r="M19">
        <v>0</v>
      </c>
      <c r="N19">
        <v>0</v>
      </c>
      <c r="O19">
        <v>0.77508782180855107</v>
      </c>
      <c r="P19">
        <v>0.32456244725564021</v>
      </c>
      <c r="Q19">
        <v>0.15947709732078172</v>
      </c>
      <c r="R19">
        <v>0.12065144379299958</v>
      </c>
      <c r="S19">
        <v>0.11673489538910038</v>
      </c>
      <c r="T19">
        <v>0.1486714801913023</v>
      </c>
      <c r="U19">
        <v>0.26300848497850166</v>
      </c>
      <c r="V19">
        <v>0.71818026762140375</v>
      </c>
      <c r="W19">
        <v>0</v>
      </c>
      <c r="X19">
        <v>0</v>
      </c>
      <c r="Y19">
        <v>0.59378698692930965</v>
      </c>
      <c r="Z19">
        <v>0.22955890048413433</v>
      </c>
      <c r="AA19">
        <v>8.1382157147020504E-2</v>
      </c>
      <c r="AB19">
        <v>4.5324208024873559E-2</v>
      </c>
      <c r="AC19">
        <v>4.6978436161048777E-2</v>
      </c>
      <c r="AD19">
        <v>7.6805127357262568E-2</v>
      </c>
      <c r="AE19">
        <v>0.18437000681396942</v>
      </c>
      <c r="AF19">
        <v>0.4957044761808807</v>
      </c>
      <c r="AG19">
        <v>0</v>
      </c>
      <c r="AH19">
        <v>0</v>
      </c>
      <c r="AI19">
        <v>0</v>
      </c>
      <c r="AJ19">
        <v>0.46892180364543135</v>
      </c>
      <c r="AK19">
        <v>0.2122326091265824</v>
      </c>
      <c r="AL19">
        <v>0.15509242225027992</v>
      </c>
      <c r="AM19">
        <v>0.1605033460095795</v>
      </c>
      <c r="AN19">
        <v>0.22378894035700314</v>
      </c>
      <c r="AO19">
        <v>0.52090561682531511</v>
      </c>
      <c r="AP19">
        <v>0.98901098901098916</v>
      </c>
      <c r="AQ19">
        <v>0</v>
      </c>
      <c r="EA19" t="s">
        <v>625</v>
      </c>
      <c r="EB19">
        <v>0</v>
      </c>
      <c r="EC19">
        <v>0</v>
      </c>
      <c r="ED19">
        <v>5.4826526752915798E-3</v>
      </c>
      <c r="EE19">
        <v>0.18790077813431486</v>
      </c>
      <c r="EF19">
        <v>0.38287165999822775</v>
      </c>
      <c r="EG19">
        <v>0.40580144154569209</v>
      </c>
      <c r="EH19">
        <v>0.2349355563532213</v>
      </c>
      <c r="EI19">
        <v>2.6633422297413379E-2</v>
      </c>
      <c r="EJ19">
        <v>0</v>
      </c>
      <c r="EK19">
        <v>0</v>
      </c>
      <c r="EL19">
        <v>0</v>
      </c>
      <c r="EM19">
        <v>3.0911702707345774E-3</v>
      </c>
      <c r="EN19">
        <v>0.11961376289630854</v>
      </c>
      <c r="EO19">
        <v>0.39339762467197931</v>
      </c>
      <c r="EP19">
        <v>0.56175490339649281</v>
      </c>
      <c r="EQ19">
        <v>0.54981705281568694</v>
      </c>
      <c r="ER19">
        <v>0.38633773370821484</v>
      </c>
      <c r="ES19">
        <v>0.14240908603244123</v>
      </c>
      <c r="ET19">
        <v>4.3480700133943081E-3</v>
      </c>
      <c r="EU19">
        <v>0</v>
      </c>
      <c r="EV19">
        <v>0</v>
      </c>
      <c r="EW19">
        <v>7.6255390521531574E-3</v>
      </c>
      <c r="EX19">
        <v>0.17153199485780368</v>
      </c>
      <c r="EY19">
        <v>0.46276006966925864</v>
      </c>
      <c r="EZ19">
        <v>0.62874755772625068</v>
      </c>
      <c r="FA19">
        <v>0.63087220864454308</v>
      </c>
      <c r="FB19">
        <v>0.47282777658204428</v>
      </c>
      <c r="FC19">
        <v>0.20497624633358577</v>
      </c>
      <c r="FD19">
        <v>1.3678733527670345E-2</v>
      </c>
      <c r="FE19">
        <v>0</v>
      </c>
      <c r="FF19">
        <v>0</v>
      </c>
      <c r="FG19">
        <v>0</v>
      </c>
      <c r="FH19">
        <v>6.4116524400190597E-2</v>
      </c>
      <c r="FI19">
        <v>0.30985552222710594</v>
      </c>
      <c r="FJ19">
        <v>0.47831954268722471</v>
      </c>
      <c r="FK19">
        <v>0.45490701644033743</v>
      </c>
      <c r="FL19">
        <v>0.28355836948644852</v>
      </c>
      <c r="FM19">
        <v>5.6220695890061678E-2</v>
      </c>
      <c r="FN19">
        <v>1.3769872304118959E-5</v>
      </c>
      <c r="FO19">
        <v>0</v>
      </c>
      <c r="FQ19" t="s">
        <v>625</v>
      </c>
      <c r="FR19" t="s">
        <v>127</v>
      </c>
      <c r="FS19" t="s">
        <v>128</v>
      </c>
      <c r="FT19">
        <v>0.49034282086487346</v>
      </c>
    </row>
    <row r="20" spans="2:176" x14ac:dyDescent="0.45">
      <c r="B20" t="s">
        <v>626</v>
      </c>
      <c r="C20" t="s">
        <v>123</v>
      </c>
      <c r="D20">
        <v>0</v>
      </c>
      <c r="E20">
        <v>0</v>
      </c>
      <c r="F20">
        <v>0.72716515608654253</v>
      </c>
      <c r="G20">
        <v>0.22720795195810514</v>
      </c>
      <c r="H20">
        <v>0.15195362379463243</v>
      </c>
      <c r="I20">
        <v>0.15788052622091311</v>
      </c>
      <c r="J20">
        <v>0.21452855303087645</v>
      </c>
      <c r="K20">
        <v>0.65842824478957906</v>
      </c>
      <c r="L20">
        <v>0</v>
      </c>
      <c r="M20">
        <v>0</v>
      </c>
      <c r="N20">
        <v>0</v>
      </c>
      <c r="O20">
        <v>0.75633753467512121</v>
      </c>
      <c r="P20">
        <v>0.30329549799957684</v>
      </c>
      <c r="Q20">
        <v>0.13371384169380532</v>
      </c>
      <c r="R20">
        <v>9.3489988177700337E-2</v>
      </c>
      <c r="S20">
        <v>9.4490128511956734E-2</v>
      </c>
      <c r="T20">
        <v>0.1229549650004009</v>
      </c>
      <c r="U20">
        <v>0.2694441776224924</v>
      </c>
      <c r="V20">
        <v>0.7409960968085989</v>
      </c>
      <c r="W20">
        <v>0</v>
      </c>
      <c r="X20">
        <v>0</v>
      </c>
      <c r="Y20">
        <v>0.58012488300180542</v>
      </c>
      <c r="Z20">
        <v>0.21333943717806919</v>
      </c>
      <c r="AA20">
        <v>7.6439344624093644E-2</v>
      </c>
      <c r="AB20">
        <v>4.6468543705667456E-2</v>
      </c>
      <c r="AC20">
        <v>4.7294925778912832E-2</v>
      </c>
      <c r="AD20">
        <v>8.2669956834468719E-2</v>
      </c>
      <c r="AE20">
        <v>0.19171378141097586</v>
      </c>
      <c r="AF20">
        <v>0.54913152131018506</v>
      </c>
      <c r="AG20">
        <v>0</v>
      </c>
      <c r="AH20">
        <v>0</v>
      </c>
      <c r="AI20">
        <v>0</v>
      </c>
      <c r="AJ20">
        <v>0.42279990644389487</v>
      </c>
      <c r="AK20">
        <v>0.18310368265532967</v>
      </c>
      <c r="AL20">
        <v>0.13235795803911513</v>
      </c>
      <c r="AM20">
        <v>0.13777915883777758</v>
      </c>
      <c r="AN20">
        <v>0.20634953859174471</v>
      </c>
      <c r="AO20">
        <v>0.51984651636180013</v>
      </c>
      <c r="AP20">
        <v>0.99450549450549419</v>
      </c>
      <c r="AQ20">
        <v>0</v>
      </c>
      <c r="EA20" t="s">
        <v>626</v>
      </c>
      <c r="EB20">
        <v>0</v>
      </c>
      <c r="EC20">
        <v>0</v>
      </c>
      <c r="ED20">
        <v>1.190982199218295E-2</v>
      </c>
      <c r="EE20">
        <v>0.21738102368903178</v>
      </c>
      <c r="EF20">
        <v>0.42254726099857454</v>
      </c>
      <c r="EG20">
        <v>0.42441533360557709</v>
      </c>
      <c r="EH20">
        <v>0.24775094274444109</v>
      </c>
      <c r="EI20">
        <v>2.8066249797372655E-2</v>
      </c>
      <c r="EJ20">
        <v>0</v>
      </c>
      <c r="EK20">
        <v>0</v>
      </c>
      <c r="EL20">
        <v>0</v>
      </c>
      <c r="EM20">
        <v>3.8230946252344094E-3</v>
      </c>
      <c r="EN20">
        <v>0.13609988919866325</v>
      </c>
      <c r="EO20">
        <v>0.42785412666070355</v>
      </c>
      <c r="EP20">
        <v>0.60230636219608835</v>
      </c>
      <c r="EQ20">
        <v>0.58664773164885753</v>
      </c>
      <c r="ER20">
        <v>0.41391161614775895</v>
      </c>
      <c r="ES20">
        <v>0.14363666565557989</v>
      </c>
      <c r="ET20">
        <v>3.275910089666574E-3</v>
      </c>
      <c r="EU20">
        <v>0</v>
      </c>
      <c r="EV20">
        <v>0</v>
      </c>
      <c r="EW20">
        <v>8.5373739253785698E-3</v>
      </c>
      <c r="EX20">
        <v>0.18278251148595409</v>
      </c>
      <c r="EY20">
        <v>0.47386876403981476</v>
      </c>
      <c r="EZ20">
        <v>0.62474319016474666</v>
      </c>
      <c r="FA20">
        <v>0.61358227532636067</v>
      </c>
      <c r="FB20">
        <v>0.44555266691731765</v>
      </c>
      <c r="FC20">
        <v>0.18463779789182669</v>
      </c>
      <c r="FD20">
        <v>1.0736750833136044E-2</v>
      </c>
      <c r="FE20">
        <v>0</v>
      </c>
      <c r="FF20">
        <v>0</v>
      </c>
      <c r="FG20">
        <v>0</v>
      </c>
      <c r="FH20">
        <v>7.6888118703651892E-2</v>
      </c>
      <c r="FI20">
        <v>0.34134508811312003</v>
      </c>
      <c r="FJ20">
        <v>0.51206922959544066</v>
      </c>
      <c r="FK20">
        <v>0.48733810532857763</v>
      </c>
      <c r="FL20">
        <v>0.29228614305033429</v>
      </c>
      <c r="FM20">
        <v>5.1955390375986461E-2</v>
      </c>
      <c r="FN20">
        <v>5.8453057371047781E-7</v>
      </c>
      <c r="FO20">
        <v>0</v>
      </c>
      <c r="FQ20" t="s">
        <v>626</v>
      </c>
      <c r="FR20" t="s">
        <v>127</v>
      </c>
      <c r="FS20" t="s">
        <v>128</v>
      </c>
      <c r="FT20">
        <v>0.47705455216797404</v>
      </c>
    </row>
    <row r="21" spans="2:176" x14ac:dyDescent="0.45">
      <c r="B21" t="s">
        <v>627</v>
      </c>
      <c r="C21" t="s">
        <v>123</v>
      </c>
      <c r="D21">
        <v>0</v>
      </c>
      <c r="E21">
        <v>0</v>
      </c>
      <c r="F21">
        <v>0.9666666666666669</v>
      </c>
      <c r="G21">
        <v>0.28723060911479303</v>
      </c>
      <c r="H21">
        <v>0.15153105847974746</v>
      </c>
      <c r="I21">
        <v>0.13111394002376051</v>
      </c>
      <c r="J21">
        <v>0.17968079974408407</v>
      </c>
      <c r="K21">
        <v>0.44478766236471523</v>
      </c>
      <c r="L21">
        <v>0</v>
      </c>
      <c r="M21">
        <v>0</v>
      </c>
      <c r="N21">
        <v>0</v>
      </c>
      <c r="O21">
        <v>0.84630163813296821</v>
      </c>
      <c r="P21">
        <v>0.3845519827696815</v>
      </c>
      <c r="Q21">
        <v>0.18748094262991308</v>
      </c>
      <c r="R21">
        <v>0.14171537725519984</v>
      </c>
      <c r="S21">
        <v>0.13335465365351437</v>
      </c>
      <c r="T21">
        <v>0.13449549232986796</v>
      </c>
      <c r="U21">
        <v>0.20229916524601524</v>
      </c>
      <c r="V21">
        <v>0.55352790191591794</v>
      </c>
      <c r="W21">
        <v>0</v>
      </c>
      <c r="X21">
        <v>0</v>
      </c>
      <c r="Y21">
        <v>0.67322912465657847</v>
      </c>
      <c r="Z21">
        <v>0.28243748052685197</v>
      </c>
      <c r="AA21">
        <v>0.10767035721052476</v>
      </c>
      <c r="AB21">
        <v>7.3424587784680778E-2</v>
      </c>
      <c r="AC21">
        <v>7.4885179035447211E-2</v>
      </c>
      <c r="AD21">
        <v>9.5674913736807643E-2</v>
      </c>
      <c r="AE21">
        <v>0.14651693244733782</v>
      </c>
      <c r="AF21">
        <v>0.37643020915852321</v>
      </c>
      <c r="AG21">
        <v>0</v>
      </c>
      <c r="AH21">
        <v>0</v>
      </c>
      <c r="AI21">
        <v>0</v>
      </c>
      <c r="AJ21">
        <v>0.62760344975406201</v>
      </c>
      <c r="AK21">
        <v>0.23247243647754995</v>
      </c>
      <c r="AL21">
        <v>0.16700073272360569</v>
      </c>
      <c r="AM21">
        <v>0.1758152621786232</v>
      </c>
      <c r="AN21">
        <v>0.20868675097079267</v>
      </c>
      <c r="AO21">
        <v>0.41692985783448455</v>
      </c>
      <c r="AP21">
        <v>0.91499770980452766</v>
      </c>
      <c r="AQ21">
        <v>0</v>
      </c>
      <c r="EA21" t="s">
        <v>627</v>
      </c>
      <c r="EB21">
        <v>0</v>
      </c>
      <c r="EC21">
        <v>0</v>
      </c>
      <c r="ED21">
        <v>9.0235766269948286E-4</v>
      </c>
      <c r="EE21">
        <v>0.19216689023930039</v>
      </c>
      <c r="EF21">
        <v>0.49533285168342212</v>
      </c>
      <c r="EG21">
        <v>0.57365695047775289</v>
      </c>
      <c r="EH21">
        <v>0.3937163335879772</v>
      </c>
      <c r="EI21">
        <v>8.7108925758012518E-2</v>
      </c>
      <c r="EJ21">
        <v>0</v>
      </c>
      <c r="EK21">
        <v>0</v>
      </c>
      <c r="EL21">
        <v>0</v>
      </c>
      <c r="EM21">
        <v>1.4886136474562884E-3</v>
      </c>
      <c r="EN21">
        <v>8.4188313293094785E-2</v>
      </c>
      <c r="EO21">
        <v>0.36541317540741114</v>
      </c>
      <c r="EP21">
        <v>0.59665230902301802</v>
      </c>
      <c r="EQ21">
        <v>0.63415756913461385</v>
      </c>
      <c r="ER21">
        <v>0.50892217522210625</v>
      </c>
      <c r="ES21">
        <v>0.2352425925627486</v>
      </c>
      <c r="ET21">
        <v>1.803644766995045E-2</v>
      </c>
      <c r="EU21">
        <v>0</v>
      </c>
      <c r="EV21">
        <v>0</v>
      </c>
      <c r="EW21">
        <v>3.9166141212203616E-3</v>
      </c>
      <c r="EX21">
        <v>0.11747411645929402</v>
      </c>
      <c r="EY21">
        <v>0.4122012465922914</v>
      </c>
      <c r="EZ21">
        <v>0.59689593687464959</v>
      </c>
      <c r="FA21">
        <v>0.60612720686418986</v>
      </c>
      <c r="FB21">
        <v>0.46599617822713196</v>
      </c>
      <c r="FC21">
        <v>0.24783266172273677</v>
      </c>
      <c r="FD21">
        <v>3.7454041800114225E-2</v>
      </c>
      <c r="FE21">
        <v>0</v>
      </c>
      <c r="FF21">
        <v>0</v>
      </c>
      <c r="FG21">
        <v>0</v>
      </c>
      <c r="FH21">
        <v>2.8113879487884578E-2</v>
      </c>
      <c r="FI21">
        <v>0.25280496190021023</v>
      </c>
      <c r="FJ21">
        <v>0.46874935525037098</v>
      </c>
      <c r="FK21">
        <v>0.48542899306167153</v>
      </c>
      <c r="FL21">
        <v>0.33423044094789384</v>
      </c>
      <c r="FM21">
        <v>9.1837745821204048E-2</v>
      </c>
      <c r="FN21">
        <v>6.7349569578210367E-4</v>
      </c>
      <c r="FO21">
        <v>0</v>
      </c>
      <c r="FQ21" t="s">
        <v>627</v>
      </c>
      <c r="FR21" t="s">
        <v>127</v>
      </c>
      <c r="FS21" t="s">
        <v>128</v>
      </c>
      <c r="FT21">
        <v>0.5152021653284935</v>
      </c>
    </row>
    <row r="22" spans="2:176" x14ac:dyDescent="0.45">
      <c r="B22" t="s">
        <v>628</v>
      </c>
      <c r="C22" t="s">
        <v>123</v>
      </c>
      <c r="D22">
        <v>0</v>
      </c>
      <c r="E22">
        <v>0</v>
      </c>
      <c r="F22">
        <v>0.93945464115976063</v>
      </c>
      <c r="G22">
        <v>0.32057825899553338</v>
      </c>
      <c r="H22">
        <v>0.20496131507917167</v>
      </c>
      <c r="I22">
        <v>0.17878667223283928</v>
      </c>
      <c r="J22">
        <v>0.21812006955956406</v>
      </c>
      <c r="K22">
        <v>0.56160942884989939</v>
      </c>
      <c r="L22">
        <v>0</v>
      </c>
      <c r="M22">
        <v>0</v>
      </c>
      <c r="N22">
        <v>0</v>
      </c>
      <c r="O22">
        <v>0.84742946349711967</v>
      </c>
      <c r="P22">
        <v>0.41237108216705703</v>
      </c>
      <c r="Q22">
        <v>0.2375265205212522</v>
      </c>
      <c r="R22">
        <v>0.20506464071980324</v>
      </c>
      <c r="S22">
        <v>0.19734222181174452</v>
      </c>
      <c r="T22">
        <v>0.21265624214937975</v>
      </c>
      <c r="U22">
        <v>0.26607839614230316</v>
      </c>
      <c r="V22">
        <v>0.62018799999245777</v>
      </c>
      <c r="W22">
        <v>0</v>
      </c>
      <c r="X22">
        <v>0</v>
      </c>
      <c r="Y22">
        <v>0.64188260556955201</v>
      </c>
      <c r="Z22">
        <v>0.26439327267814566</v>
      </c>
      <c r="AA22">
        <v>0.11605098243716964</v>
      </c>
      <c r="AB22">
        <v>8.1218868044175566E-2</v>
      </c>
      <c r="AC22">
        <v>6.9202319250521713E-2</v>
      </c>
      <c r="AD22">
        <v>8.1939316347043323E-2</v>
      </c>
      <c r="AE22">
        <v>0.15988226003437325</v>
      </c>
      <c r="AF22">
        <v>0.39301605865305089</v>
      </c>
      <c r="AG22">
        <v>0</v>
      </c>
      <c r="AH22">
        <v>0</v>
      </c>
      <c r="AI22">
        <v>0</v>
      </c>
      <c r="AJ22">
        <v>0.61265953445932542</v>
      </c>
      <c r="AK22">
        <v>0.32434103748841631</v>
      </c>
      <c r="AL22">
        <v>0.26140725398944481</v>
      </c>
      <c r="AM22">
        <v>0.25601778180341039</v>
      </c>
      <c r="AN22">
        <v>0.28922757270309385</v>
      </c>
      <c r="AO22">
        <v>0.46707672213189999</v>
      </c>
      <c r="AP22">
        <v>0.92782800251813047</v>
      </c>
      <c r="AQ22">
        <v>0</v>
      </c>
      <c r="EA22" t="s">
        <v>628</v>
      </c>
      <c r="EB22">
        <v>0</v>
      </c>
      <c r="EC22">
        <v>0</v>
      </c>
      <c r="ED22">
        <v>1.4784317435628512E-3</v>
      </c>
      <c r="EE22">
        <v>0.15625013179029393</v>
      </c>
      <c r="EF22">
        <v>0.37931069802303291</v>
      </c>
      <c r="EG22">
        <v>0.44206628361396383</v>
      </c>
      <c r="EH22">
        <v>0.29824957612276709</v>
      </c>
      <c r="EI22">
        <v>5.2921999929713998E-2</v>
      </c>
      <c r="EJ22">
        <v>0</v>
      </c>
      <c r="EK22">
        <v>0</v>
      </c>
      <c r="EL22">
        <v>0</v>
      </c>
      <c r="EM22">
        <v>1.5811895460766999E-3</v>
      </c>
      <c r="EN22">
        <v>7.5512578512813011E-2</v>
      </c>
      <c r="EO22">
        <v>0.29920902019178885</v>
      </c>
      <c r="EP22">
        <v>0.46215413450458004</v>
      </c>
      <c r="EQ22">
        <v>0.47619667031246676</v>
      </c>
      <c r="ER22">
        <v>0.36012704476313157</v>
      </c>
      <c r="ES22">
        <v>0.15943979845609277</v>
      </c>
      <c r="ET22">
        <v>9.3978008256387444E-3</v>
      </c>
      <c r="EU22">
        <v>0</v>
      </c>
      <c r="EV22">
        <v>0</v>
      </c>
      <c r="EW22">
        <v>4.8940569228517914E-3</v>
      </c>
      <c r="EX22">
        <v>0.12237931063514612</v>
      </c>
      <c r="EY22">
        <v>0.3823082852006715</v>
      </c>
      <c r="EZ22">
        <v>0.55481975165749209</v>
      </c>
      <c r="FA22">
        <v>0.57871215301519086</v>
      </c>
      <c r="FB22">
        <v>0.45727297479993184</v>
      </c>
      <c r="FC22">
        <v>0.22271051374330131</v>
      </c>
      <c r="FD22">
        <v>2.800404331038607E-2</v>
      </c>
      <c r="FE22">
        <v>0</v>
      </c>
      <c r="FF22">
        <v>0</v>
      </c>
      <c r="FG22">
        <v>0</v>
      </c>
      <c r="FH22">
        <v>2.8905500862139305E-2</v>
      </c>
      <c r="FI22">
        <v>0.20737433384458448</v>
      </c>
      <c r="FJ22">
        <v>0.3746857061850335</v>
      </c>
      <c r="FK22">
        <v>0.3897162739856046</v>
      </c>
      <c r="FL22">
        <v>0.26310808072171538</v>
      </c>
      <c r="FM22">
        <v>6.9683345682043818E-2</v>
      </c>
      <c r="FN22">
        <v>3.053875913312515E-4</v>
      </c>
      <c r="FO22">
        <v>0</v>
      </c>
      <c r="FQ22" t="s">
        <v>628</v>
      </c>
      <c r="FR22" t="s">
        <v>127</v>
      </c>
      <c r="FS22" t="s">
        <v>128</v>
      </c>
      <c r="FT22">
        <v>0.50441232178277551</v>
      </c>
    </row>
    <row r="23" spans="2:176" x14ac:dyDescent="0.45">
      <c r="B23" t="s">
        <v>629</v>
      </c>
      <c r="C23" t="s">
        <v>123</v>
      </c>
      <c r="D23">
        <v>0</v>
      </c>
      <c r="E23">
        <v>0</v>
      </c>
      <c r="F23">
        <v>0.93766616620543497</v>
      </c>
      <c r="G23">
        <v>0.33785392758753285</v>
      </c>
      <c r="H23">
        <v>0.24072479871865898</v>
      </c>
      <c r="I23">
        <v>0.2267165946332679</v>
      </c>
      <c r="J23">
        <v>0.25205945889503978</v>
      </c>
      <c r="K23">
        <v>0.52820896639810555</v>
      </c>
      <c r="L23">
        <v>0</v>
      </c>
      <c r="M23">
        <v>0</v>
      </c>
      <c r="N23">
        <v>0</v>
      </c>
      <c r="O23">
        <v>0.83704963921153064</v>
      </c>
      <c r="P23">
        <v>0.41648480104603025</v>
      </c>
      <c r="Q23">
        <v>0.23779429703603058</v>
      </c>
      <c r="R23">
        <v>0.2074205085411002</v>
      </c>
      <c r="S23">
        <v>0.20957110639796517</v>
      </c>
      <c r="T23">
        <v>0.2123286113381268</v>
      </c>
      <c r="U23">
        <v>0.27145132118822662</v>
      </c>
      <c r="V23">
        <v>0.62515578450321618</v>
      </c>
      <c r="W23">
        <v>0</v>
      </c>
      <c r="X23">
        <v>0</v>
      </c>
      <c r="Y23">
        <v>0.64407844170976225</v>
      </c>
      <c r="Z23">
        <v>0.26967453525852603</v>
      </c>
      <c r="AA23">
        <v>9.7955447732557002E-2</v>
      </c>
      <c r="AB23">
        <v>6.6562814653697053E-2</v>
      </c>
      <c r="AC23">
        <v>5.7181788145335165E-2</v>
      </c>
      <c r="AD23">
        <v>7.2177449351634518E-2</v>
      </c>
      <c r="AE23">
        <v>0.15936606558864269</v>
      </c>
      <c r="AF23">
        <v>0.40019307088605205</v>
      </c>
      <c r="AG23">
        <v>0</v>
      </c>
      <c r="AH23">
        <v>0</v>
      </c>
      <c r="AI23">
        <v>0</v>
      </c>
      <c r="AJ23">
        <v>0.6052334830506213</v>
      </c>
      <c r="AK23">
        <v>0.31002893234332374</v>
      </c>
      <c r="AL23">
        <v>0.24669730538834758</v>
      </c>
      <c r="AM23">
        <v>0.24004067855256758</v>
      </c>
      <c r="AN23">
        <v>0.27784855306532386</v>
      </c>
      <c r="AO23">
        <v>0.46227298584075294</v>
      </c>
      <c r="AP23">
        <v>0.92777197056593597</v>
      </c>
      <c r="AQ23">
        <v>0</v>
      </c>
      <c r="EA23" t="s">
        <v>629</v>
      </c>
      <c r="EB23">
        <v>0</v>
      </c>
      <c r="EC23">
        <v>0</v>
      </c>
      <c r="ED23">
        <v>1.3278661568310853E-3</v>
      </c>
      <c r="EE23">
        <v>0.13788121533225631</v>
      </c>
      <c r="EF23">
        <v>0.33913908765850553</v>
      </c>
      <c r="EG23">
        <v>0.39560018955786108</v>
      </c>
      <c r="EH23">
        <v>0.26877585574339757</v>
      </c>
      <c r="EI23">
        <v>5.1226620415772813E-2</v>
      </c>
      <c r="EJ23">
        <v>0</v>
      </c>
      <c r="EK23">
        <v>0</v>
      </c>
      <c r="EL23">
        <v>0</v>
      </c>
      <c r="EM23">
        <v>1.4078336405112981E-3</v>
      </c>
      <c r="EN23">
        <v>7.4157157752585801E-2</v>
      </c>
      <c r="EO23">
        <v>0.29495933911899586</v>
      </c>
      <c r="EP23">
        <v>0.45125703737895473</v>
      </c>
      <c r="EQ23">
        <v>0.46052985916244038</v>
      </c>
      <c r="ER23">
        <v>0.35520090027746631</v>
      </c>
      <c r="ES23">
        <v>0.15527663586944787</v>
      </c>
      <c r="ET23">
        <v>8.9944154135454431E-3</v>
      </c>
      <c r="EU23">
        <v>0</v>
      </c>
      <c r="EV23">
        <v>0</v>
      </c>
      <c r="EW23">
        <v>4.5527121990069312E-3</v>
      </c>
      <c r="EX23">
        <v>0.12488882622583032</v>
      </c>
      <c r="EY23">
        <v>0.39475658029195337</v>
      </c>
      <c r="EZ23">
        <v>0.57129133216205552</v>
      </c>
      <c r="FA23">
        <v>0.60179751895098865</v>
      </c>
      <c r="FB23">
        <v>0.47792014205507138</v>
      </c>
      <c r="FC23">
        <v>0.23267092133587489</v>
      </c>
      <c r="FD23">
        <v>2.7233077024614256E-2</v>
      </c>
      <c r="FE23">
        <v>0</v>
      </c>
      <c r="FF23">
        <v>0</v>
      </c>
      <c r="FG23">
        <v>0</v>
      </c>
      <c r="FH23">
        <v>2.9863805578973966E-2</v>
      </c>
      <c r="FI23">
        <v>0.21148486916877485</v>
      </c>
      <c r="FJ23">
        <v>0.37158450146246041</v>
      </c>
      <c r="FK23">
        <v>0.38488665771020708</v>
      </c>
      <c r="FL23">
        <v>0.26068432891271143</v>
      </c>
      <c r="FM23">
        <v>7.138352143000383E-2</v>
      </c>
      <c r="FN23">
        <v>3.1050411852406515E-4</v>
      </c>
      <c r="FO23">
        <v>0</v>
      </c>
      <c r="FQ23" t="s">
        <v>629</v>
      </c>
      <c r="FR23" t="s">
        <v>127</v>
      </c>
      <c r="FS23" t="s">
        <v>128</v>
      </c>
      <c r="FT23">
        <v>0.43912161981412456</v>
      </c>
    </row>
    <row r="24" spans="2:176" x14ac:dyDescent="0.45">
      <c r="B24" t="s">
        <v>630</v>
      </c>
      <c r="C24" t="s">
        <v>123</v>
      </c>
      <c r="D24">
        <v>0</v>
      </c>
      <c r="E24">
        <v>0</v>
      </c>
      <c r="F24">
        <v>0.95472357081771397</v>
      </c>
      <c r="G24">
        <v>0.31372888078176464</v>
      </c>
      <c r="H24">
        <v>0.20613452397094567</v>
      </c>
      <c r="I24">
        <v>0.18500850889310874</v>
      </c>
      <c r="J24">
        <v>0.21979634641263263</v>
      </c>
      <c r="K24">
        <v>0.48483005668069756</v>
      </c>
      <c r="L24">
        <v>0</v>
      </c>
      <c r="M24">
        <v>0</v>
      </c>
      <c r="N24">
        <v>0</v>
      </c>
      <c r="O24">
        <v>0.85755095533093728</v>
      </c>
      <c r="P24">
        <v>0.44182118849626956</v>
      </c>
      <c r="Q24">
        <v>0.25485825878820967</v>
      </c>
      <c r="R24">
        <v>0.21308516149936607</v>
      </c>
      <c r="S24">
        <v>0.20364225305102496</v>
      </c>
      <c r="T24">
        <v>0.20863161363611754</v>
      </c>
      <c r="U24">
        <v>0.26546591734086844</v>
      </c>
      <c r="V24">
        <v>0.59334512239771731</v>
      </c>
      <c r="W24">
        <v>0</v>
      </c>
      <c r="X24">
        <v>0</v>
      </c>
      <c r="Y24">
        <v>0.66068247554010362</v>
      </c>
      <c r="Z24">
        <v>0.28779562451912016</v>
      </c>
      <c r="AA24">
        <v>0.11310504479618205</v>
      </c>
      <c r="AB24">
        <v>7.8693778599562239E-2</v>
      </c>
      <c r="AC24">
        <v>6.0694240502366263E-2</v>
      </c>
      <c r="AD24">
        <v>8.1416895510525555E-2</v>
      </c>
      <c r="AE24">
        <v>0.14933032869825438</v>
      </c>
      <c r="AF24">
        <v>0.3841715949277611</v>
      </c>
      <c r="AG24">
        <v>0</v>
      </c>
      <c r="AH24">
        <v>0</v>
      </c>
      <c r="AI24">
        <v>0</v>
      </c>
      <c r="AJ24">
        <v>0.64145343955598277</v>
      </c>
      <c r="AK24">
        <v>0.30295488284630373</v>
      </c>
      <c r="AL24">
        <v>0.25367882610634462</v>
      </c>
      <c r="AM24">
        <v>0.25125948110998786</v>
      </c>
      <c r="AN24">
        <v>0.28450449578635545</v>
      </c>
      <c r="AO24">
        <v>0.46115048648451112</v>
      </c>
      <c r="AP24">
        <v>0.92125439485838012</v>
      </c>
      <c r="AQ24">
        <v>0</v>
      </c>
      <c r="EA24" t="s">
        <v>630</v>
      </c>
      <c r="EB24">
        <v>0</v>
      </c>
      <c r="EC24">
        <v>0</v>
      </c>
      <c r="ED24">
        <v>7.3089435237151451E-4</v>
      </c>
      <c r="EE24">
        <v>0.15953412372349152</v>
      </c>
      <c r="EF24">
        <v>0.39155240475144715</v>
      </c>
      <c r="EG24">
        <v>0.45977955605850962</v>
      </c>
      <c r="EH24">
        <v>0.31801642975979605</v>
      </c>
      <c r="EI24">
        <v>6.8426041035552346E-2</v>
      </c>
      <c r="EJ24">
        <v>0</v>
      </c>
      <c r="EK24">
        <v>0</v>
      </c>
      <c r="EL24">
        <v>0</v>
      </c>
      <c r="EM24">
        <v>1.1048881554183907E-3</v>
      </c>
      <c r="EN24">
        <v>6.5681439907039244E-2</v>
      </c>
      <c r="EO24">
        <v>0.28429621806375288</v>
      </c>
      <c r="EP24">
        <v>0.45413838232644999</v>
      </c>
      <c r="EQ24">
        <v>0.47731401941313978</v>
      </c>
      <c r="ER24">
        <v>0.3820913503312599</v>
      </c>
      <c r="ES24">
        <v>0.17288701428860004</v>
      </c>
      <c r="ET24">
        <v>1.0665190406957898E-2</v>
      </c>
      <c r="EU24">
        <v>0</v>
      </c>
      <c r="EV24">
        <v>0</v>
      </c>
      <c r="EW24">
        <v>3.6041454064201042E-3</v>
      </c>
      <c r="EX24">
        <v>0.11326480567267608</v>
      </c>
      <c r="EY24">
        <v>0.37975980534812204</v>
      </c>
      <c r="EZ24">
        <v>0.5585491147813203</v>
      </c>
      <c r="FA24">
        <v>0.59055551401471984</v>
      </c>
      <c r="FB24">
        <v>0.4643724859215887</v>
      </c>
      <c r="FC24">
        <v>0.23716572657497129</v>
      </c>
      <c r="FD24">
        <v>3.145875761251965E-2</v>
      </c>
      <c r="FE24">
        <v>0</v>
      </c>
      <c r="FF24">
        <v>0</v>
      </c>
      <c r="FG24">
        <v>0</v>
      </c>
      <c r="FH24">
        <v>2.7751858808142776E-2</v>
      </c>
      <c r="FI24">
        <v>0.21225642804987191</v>
      </c>
      <c r="FJ24">
        <v>0.37152851033978818</v>
      </c>
      <c r="FK24">
        <v>0.38470144411325563</v>
      </c>
      <c r="FL24">
        <v>0.26645814744629792</v>
      </c>
      <c r="FM24">
        <v>7.6024637566277142E-2</v>
      </c>
      <c r="FN24">
        <v>4.9453621923212937E-4</v>
      </c>
      <c r="FO24">
        <v>0</v>
      </c>
      <c r="FQ24" t="s">
        <v>630</v>
      </c>
      <c r="FR24" t="s">
        <v>127</v>
      </c>
      <c r="FS24" t="s">
        <v>128</v>
      </c>
      <c r="FT24">
        <v>0.44683236280599403</v>
      </c>
    </row>
    <row r="25" spans="2:176" x14ac:dyDescent="0.45">
      <c r="B25" t="s">
        <v>631</v>
      </c>
      <c r="C25" t="s">
        <v>123</v>
      </c>
      <c r="D25">
        <v>0</v>
      </c>
      <c r="E25">
        <v>0</v>
      </c>
      <c r="F25">
        <v>0.94444444444444464</v>
      </c>
      <c r="G25">
        <v>0.28652845703907842</v>
      </c>
      <c r="H25">
        <v>0.16803417370646703</v>
      </c>
      <c r="I25">
        <v>0.15049626635184837</v>
      </c>
      <c r="J25">
        <v>0.18782420563044916</v>
      </c>
      <c r="K25">
        <v>0.45356247913211117</v>
      </c>
      <c r="L25">
        <v>0</v>
      </c>
      <c r="M25">
        <v>0</v>
      </c>
      <c r="N25">
        <v>0</v>
      </c>
      <c r="O25">
        <v>0.84714166127295187</v>
      </c>
      <c r="P25">
        <v>0.40737350997444238</v>
      </c>
      <c r="Q25">
        <v>0.1924071467419107</v>
      </c>
      <c r="R25">
        <v>0.15891626379837523</v>
      </c>
      <c r="S25">
        <v>0.14727457610809286</v>
      </c>
      <c r="T25">
        <v>0.14660400369391199</v>
      </c>
      <c r="U25">
        <v>0.21916309315120253</v>
      </c>
      <c r="V25">
        <v>0.57098745946612472</v>
      </c>
      <c r="W25">
        <v>0</v>
      </c>
      <c r="X25">
        <v>0</v>
      </c>
      <c r="Y25">
        <v>0.67434141414952753</v>
      </c>
      <c r="Z25">
        <v>0.29059722871704968</v>
      </c>
      <c r="AA25">
        <v>9.6013513855193092E-2</v>
      </c>
      <c r="AB25">
        <v>5.391000057200071E-2</v>
      </c>
      <c r="AC25">
        <v>5.1280340385188361E-2</v>
      </c>
      <c r="AD25">
        <v>7.4568665373569987E-2</v>
      </c>
      <c r="AE25">
        <v>0.14115864348674378</v>
      </c>
      <c r="AF25">
        <v>0.38469505665806575</v>
      </c>
      <c r="AG25">
        <v>0</v>
      </c>
      <c r="AH25">
        <v>0</v>
      </c>
      <c r="AI25">
        <v>0</v>
      </c>
      <c r="AJ25">
        <v>0.59437118264314648</v>
      </c>
      <c r="AK25">
        <v>0.21745475151536478</v>
      </c>
      <c r="AL25">
        <v>0.14999530120773885</v>
      </c>
      <c r="AM25">
        <v>0.14422310015594111</v>
      </c>
      <c r="AN25">
        <v>0.18384895695895612</v>
      </c>
      <c r="AO25">
        <v>0.39095735263357334</v>
      </c>
      <c r="AP25">
        <v>0.91262341541381153</v>
      </c>
      <c r="AQ25">
        <v>0</v>
      </c>
      <c r="EA25" t="s">
        <v>631</v>
      </c>
      <c r="EB25">
        <v>0</v>
      </c>
      <c r="EC25">
        <v>0</v>
      </c>
      <c r="ED25">
        <v>8.3600181254601751E-4</v>
      </c>
      <c r="EE25">
        <v>0.18313764734431154</v>
      </c>
      <c r="EF25">
        <v>0.44018499122140431</v>
      </c>
      <c r="EG25">
        <v>0.50710594468113257</v>
      </c>
      <c r="EH25">
        <v>0.35378942868285213</v>
      </c>
      <c r="EI25">
        <v>7.8512236672847513E-2</v>
      </c>
      <c r="EJ25">
        <v>0</v>
      </c>
      <c r="EK25">
        <v>0</v>
      </c>
      <c r="EL25">
        <v>0</v>
      </c>
      <c r="EM25">
        <v>1.1333996358020037E-3</v>
      </c>
      <c r="EN25">
        <v>7.8762036949870412E-2</v>
      </c>
      <c r="EO25">
        <v>0.33835043079976013</v>
      </c>
      <c r="EP25">
        <v>0.53141294788302307</v>
      </c>
      <c r="EQ25">
        <v>0.56260023301327966</v>
      </c>
      <c r="ER25">
        <v>0.45079390725017243</v>
      </c>
      <c r="ES25">
        <v>0.20632586112398196</v>
      </c>
      <c r="ET25">
        <v>1.2988614082884278E-2</v>
      </c>
      <c r="EU25">
        <v>0</v>
      </c>
      <c r="EV25">
        <v>0</v>
      </c>
      <c r="EW25">
        <v>3.3373026148193316E-3</v>
      </c>
      <c r="EX25">
        <v>0.11774195892704942</v>
      </c>
      <c r="EY25">
        <v>0.40863380356449636</v>
      </c>
      <c r="EZ25">
        <v>0.59671864281369058</v>
      </c>
      <c r="FA25">
        <v>0.61460524890747958</v>
      </c>
      <c r="FB25">
        <v>0.47934012272239634</v>
      </c>
      <c r="FC25">
        <v>0.24641358789667309</v>
      </c>
      <c r="FD25">
        <v>3.3954898097521322E-2</v>
      </c>
      <c r="FE25">
        <v>0</v>
      </c>
      <c r="FF25">
        <v>0</v>
      </c>
      <c r="FG25">
        <v>0</v>
      </c>
      <c r="FH25">
        <v>3.2563974085595311E-2</v>
      </c>
      <c r="FI25">
        <v>0.25912268212614686</v>
      </c>
      <c r="FJ25">
        <v>0.45806206151224316</v>
      </c>
      <c r="FK25">
        <v>0.47574735330390949</v>
      </c>
      <c r="FL25">
        <v>0.32813199970386192</v>
      </c>
      <c r="FM25">
        <v>9.1276499048243157E-2</v>
      </c>
      <c r="FN25">
        <v>5.8781265148286359E-4</v>
      </c>
      <c r="FO25">
        <v>0</v>
      </c>
      <c r="FQ25" t="s">
        <v>631</v>
      </c>
      <c r="FR25" t="s">
        <v>127</v>
      </c>
      <c r="FS25" t="s">
        <v>128</v>
      </c>
      <c r="FT25">
        <v>0.46102757713653397</v>
      </c>
    </row>
    <row r="26" spans="2:176" x14ac:dyDescent="0.45">
      <c r="B26" t="s">
        <v>632</v>
      </c>
      <c r="C26" t="s">
        <v>123</v>
      </c>
      <c r="D26">
        <v>0</v>
      </c>
      <c r="E26">
        <v>0</v>
      </c>
      <c r="F26">
        <v>0.92968483622406561</v>
      </c>
      <c r="G26">
        <v>0.31597882773271974</v>
      </c>
      <c r="H26">
        <v>0.21401110886293451</v>
      </c>
      <c r="I26">
        <v>0.19378368921020347</v>
      </c>
      <c r="J26">
        <v>0.24100047999991769</v>
      </c>
      <c r="K26">
        <v>0.60804784976529413</v>
      </c>
      <c r="L26">
        <v>0</v>
      </c>
      <c r="M26">
        <v>0</v>
      </c>
      <c r="N26">
        <v>0</v>
      </c>
      <c r="O26">
        <v>0.81675035465050971</v>
      </c>
      <c r="P26">
        <v>0.38934398351288529</v>
      </c>
      <c r="Q26">
        <v>0.22154037603641655</v>
      </c>
      <c r="R26">
        <v>0.18674452170803577</v>
      </c>
      <c r="S26">
        <v>0.1821224307094596</v>
      </c>
      <c r="T26">
        <v>0.19794479369913209</v>
      </c>
      <c r="U26">
        <v>0.25676890205767683</v>
      </c>
      <c r="V26">
        <v>0.65076260651647355</v>
      </c>
      <c r="W26">
        <v>0</v>
      </c>
      <c r="X26">
        <v>0</v>
      </c>
      <c r="Y26">
        <v>0.6280573929075296</v>
      </c>
      <c r="Z26">
        <v>0.25502330847897653</v>
      </c>
      <c r="AA26">
        <v>0.10039382486631337</v>
      </c>
      <c r="AB26">
        <v>7.1553710717284849E-2</v>
      </c>
      <c r="AC26">
        <v>7.4071166895964324E-2</v>
      </c>
      <c r="AD26">
        <v>9.0049268338992863E-2</v>
      </c>
      <c r="AE26">
        <v>0.16258526002726656</v>
      </c>
      <c r="AF26">
        <v>0.41009929258453975</v>
      </c>
      <c r="AG26">
        <v>0</v>
      </c>
      <c r="AH26">
        <v>0</v>
      </c>
      <c r="AI26">
        <v>0</v>
      </c>
      <c r="AJ26">
        <v>0.59174376846847521</v>
      </c>
      <c r="AK26">
        <v>0.30766112025358844</v>
      </c>
      <c r="AL26">
        <v>0.2440626871183556</v>
      </c>
      <c r="AM26">
        <v>0.24146270369282477</v>
      </c>
      <c r="AN26">
        <v>0.26897792435831402</v>
      </c>
      <c r="AO26">
        <v>0.49670393585242367</v>
      </c>
      <c r="AP26">
        <v>0.93956043956043933</v>
      </c>
      <c r="AQ26">
        <v>0</v>
      </c>
      <c r="EA26" t="s">
        <v>632</v>
      </c>
      <c r="EB26">
        <v>0</v>
      </c>
      <c r="EC26">
        <v>0</v>
      </c>
      <c r="ED26">
        <v>2.5493890821652941E-3</v>
      </c>
      <c r="EE26">
        <v>0.17913307633825382</v>
      </c>
      <c r="EF26">
        <v>0.39987640516956618</v>
      </c>
      <c r="EG26">
        <v>0.44271240565233061</v>
      </c>
      <c r="EH26">
        <v>0.28235764107347183</v>
      </c>
      <c r="EI26">
        <v>4.1297037826480115E-2</v>
      </c>
      <c r="EJ26">
        <v>0</v>
      </c>
      <c r="EK26">
        <v>0</v>
      </c>
      <c r="EL26">
        <v>0</v>
      </c>
      <c r="EM26">
        <v>1.96947462354914E-3</v>
      </c>
      <c r="EN26">
        <v>8.6535639015759114E-2</v>
      </c>
      <c r="EO26">
        <v>0.3239520611125396</v>
      </c>
      <c r="EP26">
        <v>0.47573671208957552</v>
      </c>
      <c r="EQ26">
        <v>0.46272031445350731</v>
      </c>
      <c r="ER26">
        <v>0.33239250865292902</v>
      </c>
      <c r="ES26">
        <v>0.13891187967019211</v>
      </c>
      <c r="ET26">
        <v>7.6695680478018266E-3</v>
      </c>
      <c r="EU26">
        <v>0</v>
      </c>
      <c r="EV26">
        <v>0</v>
      </c>
      <c r="EW26">
        <v>6.0093327401059054E-3</v>
      </c>
      <c r="EX26">
        <v>0.1379797865016045</v>
      </c>
      <c r="EY26">
        <v>0.40407467819625997</v>
      </c>
      <c r="EZ26">
        <v>0.55426799625320267</v>
      </c>
      <c r="FA26">
        <v>0.54777106008444698</v>
      </c>
      <c r="FB26">
        <v>0.41867899538203046</v>
      </c>
      <c r="FC26">
        <v>0.20022944039623014</v>
      </c>
      <c r="FD26">
        <v>2.3933488032149737E-2</v>
      </c>
      <c r="FE26">
        <v>0</v>
      </c>
      <c r="FF26">
        <v>0</v>
      </c>
      <c r="FG26">
        <v>0</v>
      </c>
      <c r="FH26">
        <v>3.6782609682842582E-2</v>
      </c>
      <c r="FI26">
        <v>0.23885660794003252</v>
      </c>
      <c r="FJ26">
        <v>0.40517154128254929</v>
      </c>
      <c r="FK26">
        <v>0.39869844447284503</v>
      </c>
      <c r="FL26">
        <v>0.25861477788587373</v>
      </c>
      <c r="FM26">
        <v>6.1075036601084688E-2</v>
      </c>
      <c r="FN26">
        <v>1.789764283869048E-4</v>
      </c>
      <c r="FO26">
        <v>0</v>
      </c>
      <c r="FQ26" t="s">
        <v>632</v>
      </c>
      <c r="FR26" t="s">
        <v>127</v>
      </c>
      <c r="FS26" t="s">
        <v>128</v>
      </c>
      <c r="FT26">
        <v>0.43236313351975125</v>
      </c>
    </row>
    <row r="27" spans="2:176" x14ac:dyDescent="0.45">
      <c r="B27" t="s">
        <v>633</v>
      </c>
      <c r="C27" t="s">
        <v>123</v>
      </c>
      <c r="D27">
        <v>0</v>
      </c>
      <c r="E27">
        <v>0</v>
      </c>
      <c r="F27">
        <v>0.91006368647238711</v>
      </c>
      <c r="G27">
        <v>0.27924489659523238</v>
      </c>
      <c r="H27">
        <v>0.17184121503321365</v>
      </c>
      <c r="I27">
        <v>0.15895322550963062</v>
      </c>
      <c r="J27">
        <v>0.21368322894244077</v>
      </c>
      <c r="K27">
        <v>0.63807379351450455</v>
      </c>
      <c r="L27">
        <v>0</v>
      </c>
      <c r="M27">
        <v>0</v>
      </c>
      <c r="N27">
        <v>0</v>
      </c>
      <c r="O27">
        <v>0.78488775396596178</v>
      </c>
      <c r="P27">
        <v>0.32369865320972957</v>
      </c>
      <c r="Q27">
        <v>0.17222481955958982</v>
      </c>
      <c r="R27">
        <v>0.13896960914580359</v>
      </c>
      <c r="S27">
        <v>0.1366677973883573</v>
      </c>
      <c r="T27">
        <v>0.14853778866470066</v>
      </c>
      <c r="U27">
        <v>0.23419522180256447</v>
      </c>
      <c r="V27">
        <v>0.64599859781650748</v>
      </c>
      <c r="W27">
        <v>0</v>
      </c>
      <c r="X27">
        <v>0</v>
      </c>
      <c r="Y27">
        <v>0.60945278955515003</v>
      </c>
      <c r="Z27">
        <v>0.24477373693701501</v>
      </c>
      <c r="AA27">
        <v>9.8545538282593576E-2</v>
      </c>
      <c r="AB27">
        <v>7.219519819424966E-2</v>
      </c>
      <c r="AC27">
        <v>7.1780302882315725E-2</v>
      </c>
      <c r="AD27">
        <v>0.10880990988676709</v>
      </c>
      <c r="AE27">
        <v>0.16721374253644203</v>
      </c>
      <c r="AF27">
        <v>0.41145150546693787</v>
      </c>
      <c r="AG27">
        <v>0</v>
      </c>
      <c r="AH27">
        <v>0</v>
      </c>
      <c r="AI27">
        <v>0</v>
      </c>
      <c r="AJ27">
        <v>0.55013108755142348</v>
      </c>
      <c r="AK27">
        <v>0.25251004247198949</v>
      </c>
      <c r="AL27">
        <v>0.19071191080705654</v>
      </c>
      <c r="AM27">
        <v>0.18251900008641228</v>
      </c>
      <c r="AN27">
        <v>0.23328373976693068</v>
      </c>
      <c r="AO27">
        <v>0.49980699141373447</v>
      </c>
      <c r="AP27">
        <v>0.93908271837511992</v>
      </c>
      <c r="AQ27">
        <v>0</v>
      </c>
      <c r="EA27" t="s">
        <v>633</v>
      </c>
      <c r="EB27">
        <v>0</v>
      </c>
      <c r="EC27">
        <v>0</v>
      </c>
      <c r="ED27">
        <v>3.245320541681754E-3</v>
      </c>
      <c r="EE27">
        <v>0.19706830744898043</v>
      </c>
      <c r="EF27">
        <v>0.44951061814040827</v>
      </c>
      <c r="EG27">
        <v>0.49131538294716975</v>
      </c>
      <c r="EH27">
        <v>0.29672130774979927</v>
      </c>
      <c r="EI27">
        <v>3.7207558553365577E-2</v>
      </c>
      <c r="EJ27">
        <v>0</v>
      </c>
      <c r="EK27">
        <v>0</v>
      </c>
      <c r="EL27">
        <v>0</v>
      </c>
      <c r="EM27">
        <v>3.1647737961926371E-3</v>
      </c>
      <c r="EN27">
        <v>0.10150194206382625</v>
      </c>
      <c r="EO27">
        <v>0.37537055153735421</v>
      </c>
      <c r="EP27">
        <v>0.56375809847582148</v>
      </c>
      <c r="EQ27">
        <v>0.55889668741265441</v>
      </c>
      <c r="ER27">
        <v>0.40410543474117511</v>
      </c>
      <c r="ES27">
        <v>0.16164590432859036</v>
      </c>
      <c r="ET27">
        <v>8.3855982689206715E-3</v>
      </c>
      <c r="EU27">
        <v>0</v>
      </c>
      <c r="EV27">
        <v>0</v>
      </c>
      <c r="EW27">
        <v>8.148303553957922E-3</v>
      </c>
      <c r="EX27">
        <v>0.15097320257448624</v>
      </c>
      <c r="EY27">
        <v>0.43430808014120792</v>
      </c>
      <c r="EZ27">
        <v>0.58558679738255481</v>
      </c>
      <c r="FA27">
        <v>0.56755075511864594</v>
      </c>
      <c r="FB27">
        <v>0.41260569824491083</v>
      </c>
      <c r="FC27">
        <v>0.19365974240909975</v>
      </c>
      <c r="FD27">
        <v>2.2394055300546178E-2</v>
      </c>
      <c r="FE27">
        <v>0</v>
      </c>
      <c r="FF27">
        <v>0</v>
      </c>
      <c r="FG27">
        <v>0</v>
      </c>
      <c r="FH27">
        <v>3.772573485097979E-2</v>
      </c>
      <c r="FI27">
        <v>0.25318392665436873</v>
      </c>
      <c r="FJ27">
        <v>0.44211227374316264</v>
      </c>
      <c r="FK27">
        <v>0.44894822098390602</v>
      </c>
      <c r="FL27">
        <v>0.28388382324879569</v>
      </c>
      <c r="FM27">
        <v>5.9432149729772753E-2</v>
      </c>
      <c r="FN27">
        <v>1.2459339389654401E-4</v>
      </c>
      <c r="FO27">
        <v>0</v>
      </c>
      <c r="FQ27" t="s">
        <v>633</v>
      </c>
      <c r="FR27" t="s">
        <v>127</v>
      </c>
      <c r="FS27" t="s">
        <v>128</v>
      </c>
      <c r="FT27">
        <v>0.42652150768568459</v>
      </c>
    </row>
    <row r="28" spans="2:176" x14ac:dyDescent="0.45">
      <c r="B28" t="s">
        <v>634</v>
      </c>
      <c r="C28" t="s">
        <v>123</v>
      </c>
      <c r="D28">
        <v>0</v>
      </c>
      <c r="E28">
        <v>0</v>
      </c>
      <c r="F28">
        <v>0.88318948563426181</v>
      </c>
      <c r="G28">
        <v>0.31030742711770315</v>
      </c>
      <c r="H28">
        <v>0.24702762740379919</v>
      </c>
      <c r="I28">
        <v>0.24146163517659402</v>
      </c>
      <c r="J28">
        <v>0.27452005005362257</v>
      </c>
      <c r="K28">
        <v>0.72720184929462039</v>
      </c>
      <c r="L28">
        <v>0</v>
      </c>
      <c r="M28">
        <v>0</v>
      </c>
      <c r="N28">
        <v>0</v>
      </c>
      <c r="O28">
        <v>0.76149011750834872</v>
      </c>
      <c r="P28">
        <v>0.33845267129103601</v>
      </c>
      <c r="Q28">
        <v>0.21213625490773003</v>
      </c>
      <c r="R28">
        <v>0.18783705206715565</v>
      </c>
      <c r="S28">
        <v>0.18580463941900738</v>
      </c>
      <c r="T28">
        <v>0.18902285210577391</v>
      </c>
      <c r="U28">
        <v>0.28741699284672823</v>
      </c>
      <c r="V28">
        <v>0.71595656489109438</v>
      </c>
      <c r="W28">
        <v>0</v>
      </c>
      <c r="X28">
        <v>0</v>
      </c>
      <c r="Y28">
        <v>0.57639482924373409</v>
      </c>
      <c r="Z28">
        <v>0.23200751788840568</v>
      </c>
      <c r="AA28">
        <v>9.2042567320135285E-2</v>
      </c>
      <c r="AB28">
        <v>5.9732010122489007E-2</v>
      </c>
      <c r="AC28">
        <v>5.8779618235935686E-2</v>
      </c>
      <c r="AD28">
        <v>8.1017180826181159E-2</v>
      </c>
      <c r="AE28">
        <v>0.17245331538776329</v>
      </c>
      <c r="AF28">
        <v>0.454905179673747</v>
      </c>
      <c r="AG28">
        <v>0</v>
      </c>
      <c r="AH28">
        <v>0</v>
      </c>
      <c r="AI28">
        <v>0</v>
      </c>
      <c r="AJ28">
        <v>0.53053387873014191</v>
      </c>
      <c r="AK28">
        <v>0.29029011941162047</v>
      </c>
      <c r="AL28">
        <v>0.22622141787162661</v>
      </c>
      <c r="AM28">
        <v>0.22192828646441629</v>
      </c>
      <c r="AN28">
        <v>0.26231146115211718</v>
      </c>
      <c r="AO28">
        <v>0.55149334225892943</v>
      </c>
      <c r="AP28">
        <v>0.97802197802197799</v>
      </c>
      <c r="AQ28">
        <v>0</v>
      </c>
      <c r="EA28" t="s">
        <v>634</v>
      </c>
      <c r="EB28">
        <v>0</v>
      </c>
      <c r="EC28">
        <v>0</v>
      </c>
      <c r="ED28">
        <v>4.6923997793158513E-3</v>
      </c>
      <c r="EE28">
        <v>0.16826416953096218</v>
      </c>
      <c r="EF28">
        <v>0.34144649983750386</v>
      </c>
      <c r="EG28">
        <v>0.36161396440070381</v>
      </c>
      <c r="EH28">
        <v>0.21470655698614316</v>
      </c>
      <c r="EI28">
        <v>2.2275066878802749E-2</v>
      </c>
      <c r="EJ28">
        <v>0</v>
      </c>
      <c r="EK28">
        <v>0</v>
      </c>
      <c r="EL28">
        <v>0</v>
      </c>
      <c r="EM28">
        <v>3.3568645009188765E-3</v>
      </c>
      <c r="EN28">
        <v>9.6622632205979345E-2</v>
      </c>
      <c r="EO28">
        <v>0.31943919927181968</v>
      </c>
      <c r="EP28">
        <v>0.46464355980438155</v>
      </c>
      <c r="EQ28">
        <v>0.46261575886177814</v>
      </c>
      <c r="ER28">
        <v>0.34075226211104165</v>
      </c>
      <c r="ES28">
        <v>0.1247686492761392</v>
      </c>
      <c r="ET28">
        <v>4.6469391328577796E-3</v>
      </c>
      <c r="EU28">
        <v>0</v>
      </c>
      <c r="EV28">
        <v>0</v>
      </c>
      <c r="EW28">
        <v>9.099471999580333E-3</v>
      </c>
      <c r="EX28">
        <v>0.1660076740608718</v>
      </c>
      <c r="EY28">
        <v>0.44099054020134787</v>
      </c>
      <c r="EZ28">
        <v>0.59435218374988452</v>
      </c>
      <c r="FA28">
        <v>0.58720589622804031</v>
      </c>
      <c r="FB28">
        <v>0.43362582491999863</v>
      </c>
      <c r="FC28">
        <v>0.19461793305004491</v>
      </c>
      <c r="FD28">
        <v>1.5821924011455164E-2</v>
      </c>
      <c r="FE28">
        <v>0</v>
      </c>
      <c r="FF28">
        <v>0</v>
      </c>
      <c r="FG28">
        <v>0</v>
      </c>
      <c r="FH28">
        <v>4.2295441940068325E-2</v>
      </c>
      <c r="FI28">
        <v>0.23001594694730801</v>
      </c>
      <c r="FJ28">
        <v>0.386159285512502</v>
      </c>
      <c r="FK28">
        <v>0.3804320904255632</v>
      </c>
      <c r="FL28">
        <v>0.23007770161385088</v>
      </c>
      <c r="FM28">
        <v>4.4180039815085344E-2</v>
      </c>
      <c r="FN28">
        <v>3.0276880566172773E-5</v>
      </c>
      <c r="FO28">
        <v>0</v>
      </c>
      <c r="FQ28" t="s">
        <v>634</v>
      </c>
      <c r="FR28" t="s">
        <v>127</v>
      </c>
      <c r="FS28" t="s">
        <v>128</v>
      </c>
      <c r="FT28">
        <v>0.51847153476027841</v>
      </c>
    </row>
    <row r="29" spans="2:176" x14ac:dyDescent="0.45">
      <c r="B29" t="s">
        <v>635</v>
      </c>
      <c r="C29" t="s">
        <v>123</v>
      </c>
      <c r="D29">
        <v>0</v>
      </c>
      <c r="E29">
        <v>0</v>
      </c>
      <c r="F29">
        <v>0.9026687513744589</v>
      </c>
      <c r="G29">
        <v>0.30510229203514994</v>
      </c>
      <c r="H29">
        <v>0.22447873300202073</v>
      </c>
      <c r="I29">
        <v>0.21352340769380704</v>
      </c>
      <c r="J29">
        <v>0.25508862113284086</v>
      </c>
      <c r="K29">
        <v>0.65397620407299006</v>
      </c>
      <c r="L29">
        <v>0</v>
      </c>
      <c r="M29">
        <v>0</v>
      </c>
      <c r="N29">
        <v>0</v>
      </c>
      <c r="O29">
        <v>0.78463597006528552</v>
      </c>
      <c r="P29">
        <v>0.35526100034724117</v>
      </c>
      <c r="Q29">
        <v>0.21078956572286509</v>
      </c>
      <c r="R29">
        <v>0.17086959661840118</v>
      </c>
      <c r="S29">
        <v>0.17190076724704068</v>
      </c>
      <c r="T29">
        <v>0.19447751614362593</v>
      </c>
      <c r="U29">
        <v>0.27186057529719282</v>
      </c>
      <c r="V29">
        <v>0.69024435585342714</v>
      </c>
      <c r="W29">
        <v>0</v>
      </c>
      <c r="X29">
        <v>0</v>
      </c>
      <c r="Y29">
        <v>0.60602596936505937</v>
      </c>
      <c r="Z29">
        <v>0.24247633184586609</v>
      </c>
      <c r="AA29">
        <v>9.0001048294375496E-2</v>
      </c>
      <c r="AB29">
        <v>5.7788842143989522E-2</v>
      </c>
      <c r="AC29">
        <v>5.1225914815672347E-2</v>
      </c>
      <c r="AD29">
        <v>7.777765566511291E-2</v>
      </c>
      <c r="AE29">
        <v>0.16827854526798555</v>
      </c>
      <c r="AF29">
        <v>0.43203589604766662</v>
      </c>
      <c r="AG29">
        <v>0</v>
      </c>
      <c r="AH29">
        <v>0</v>
      </c>
      <c r="AI29">
        <v>0</v>
      </c>
      <c r="AJ29">
        <v>0.52621822569870536</v>
      </c>
      <c r="AK29">
        <v>0.25695053083323571</v>
      </c>
      <c r="AL29">
        <v>0.2036261352127903</v>
      </c>
      <c r="AM29">
        <v>0.19658921890370823</v>
      </c>
      <c r="AN29">
        <v>0.25294024995917885</v>
      </c>
      <c r="AO29">
        <v>0.51115221824844792</v>
      </c>
      <c r="AP29">
        <v>0.95323096706293298</v>
      </c>
      <c r="AQ29">
        <v>0</v>
      </c>
      <c r="EA29" t="s">
        <v>635</v>
      </c>
      <c r="EB29">
        <v>0</v>
      </c>
      <c r="EC29">
        <v>0</v>
      </c>
      <c r="ED29">
        <v>3.8771300765704344E-3</v>
      </c>
      <c r="EE29">
        <v>0.16675281331413278</v>
      </c>
      <c r="EF29">
        <v>0.36072468418891107</v>
      </c>
      <c r="EG29">
        <v>0.39752343219872233</v>
      </c>
      <c r="EH29">
        <v>0.24107819737627539</v>
      </c>
      <c r="EI29">
        <v>2.8215231887754454E-2</v>
      </c>
      <c r="EJ29">
        <v>0</v>
      </c>
      <c r="EK29">
        <v>0</v>
      </c>
      <c r="EL29">
        <v>0</v>
      </c>
      <c r="EM29">
        <v>2.7848747715015993E-3</v>
      </c>
      <c r="EN29">
        <v>9.1083680962325927E-2</v>
      </c>
      <c r="EO29">
        <v>0.31447120601954964</v>
      </c>
      <c r="EP29">
        <v>0.4616027841520669</v>
      </c>
      <c r="EQ29">
        <v>0.45452515570063667</v>
      </c>
      <c r="ER29">
        <v>0.3284021874606845</v>
      </c>
      <c r="ES29">
        <v>0.13045564728113912</v>
      </c>
      <c r="ET29">
        <v>5.7267381036226498E-3</v>
      </c>
      <c r="EU29">
        <v>0</v>
      </c>
      <c r="EV29">
        <v>0</v>
      </c>
      <c r="EW29">
        <v>7.264483507772747E-3</v>
      </c>
      <c r="EX29">
        <v>0.15290938850469599</v>
      </c>
      <c r="EY29">
        <v>0.42818335018506742</v>
      </c>
      <c r="EZ29">
        <v>0.58488091463409797</v>
      </c>
      <c r="FA29">
        <v>0.58425014765140848</v>
      </c>
      <c r="FB29">
        <v>0.44414578616606709</v>
      </c>
      <c r="FC29">
        <v>0.20524173453687614</v>
      </c>
      <c r="FD29">
        <v>1.8662487256545696E-2</v>
      </c>
      <c r="FE29">
        <v>0</v>
      </c>
      <c r="FF29">
        <v>0</v>
      </c>
      <c r="FG29">
        <v>0</v>
      </c>
      <c r="FH29">
        <v>4.0599437315580224E-2</v>
      </c>
      <c r="FI29">
        <v>0.24008289356889612</v>
      </c>
      <c r="FJ29">
        <v>0.39385121054167321</v>
      </c>
      <c r="FK29">
        <v>0.38770412465457538</v>
      </c>
      <c r="FL29">
        <v>0.24143897324750152</v>
      </c>
      <c r="FM29">
        <v>5.125588367741428E-2</v>
      </c>
      <c r="FN29">
        <v>8.4992790454833806E-5</v>
      </c>
      <c r="FO29">
        <v>0</v>
      </c>
      <c r="FQ29" t="s">
        <v>635</v>
      </c>
      <c r="FR29" t="s">
        <v>127</v>
      </c>
      <c r="FS29" t="s">
        <v>128</v>
      </c>
      <c r="FT29">
        <v>0.5130403543669495</v>
      </c>
    </row>
    <row r="30" spans="2:176" x14ac:dyDescent="0.45">
      <c r="B30" t="s">
        <v>636</v>
      </c>
      <c r="C30" t="s">
        <v>123</v>
      </c>
      <c r="D30">
        <v>0</v>
      </c>
      <c r="E30">
        <v>0</v>
      </c>
      <c r="F30">
        <v>0.89812588514429859</v>
      </c>
      <c r="G30">
        <v>0.3045800517451388</v>
      </c>
      <c r="H30">
        <v>0.21819650205799743</v>
      </c>
      <c r="I30">
        <v>0.20157627068272188</v>
      </c>
      <c r="J30">
        <v>0.25723409417990567</v>
      </c>
      <c r="K30">
        <v>0.68285682265568826</v>
      </c>
      <c r="L30">
        <v>0</v>
      </c>
      <c r="M30">
        <v>0</v>
      </c>
      <c r="N30">
        <v>0</v>
      </c>
      <c r="O30">
        <v>0.78228959685333233</v>
      </c>
      <c r="P30">
        <v>0.35135783301489448</v>
      </c>
      <c r="Q30">
        <v>0.18780609958739819</v>
      </c>
      <c r="R30">
        <v>0.15057875252382916</v>
      </c>
      <c r="S30">
        <v>0.15604917293596193</v>
      </c>
      <c r="T30">
        <v>0.17390713320195841</v>
      </c>
      <c r="U30">
        <v>0.27083036372823327</v>
      </c>
      <c r="V30">
        <v>0.69346507576549277</v>
      </c>
      <c r="W30">
        <v>0</v>
      </c>
      <c r="X30">
        <v>0</v>
      </c>
      <c r="Y30">
        <v>0.60651634177247749</v>
      </c>
      <c r="Z30">
        <v>0.24022325651522794</v>
      </c>
      <c r="AA30">
        <v>9.2194872299589017E-2</v>
      </c>
      <c r="AB30">
        <v>5.9603223040538611E-2</v>
      </c>
      <c r="AC30">
        <v>4.4694472847120484E-2</v>
      </c>
      <c r="AD30">
        <v>6.9245207937465567E-2</v>
      </c>
      <c r="AE30">
        <v>0.1716857332383917</v>
      </c>
      <c r="AF30">
        <v>0.4447958082404983</v>
      </c>
      <c r="AG30">
        <v>0</v>
      </c>
      <c r="AH30">
        <v>0</v>
      </c>
      <c r="AI30">
        <v>0</v>
      </c>
      <c r="AJ30">
        <v>0.50948948679711381</v>
      </c>
      <c r="AK30">
        <v>0.24054798038763803</v>
      </c>
      <c r="AL30">
        <v>0.18769413004153301</v>
      </c>
      <c r="AM30">
        <v>0.18332834087976271</v>
      </c>
      <c r="AN30">
        <v>0.24653638938754327</v>
      </c>
      <c r="AO30">
        <v>0.50979582391885769</v>
      </c>
      <c r="AP30">
        <v>0.97189749808239101</v>
      </c>
      <c r="AQ30">
        <v>0</v>
      </c>
      <c r="EA30" t="s">
        <v>636</v>
      </c>
      <c r="EB30">
        <v>0</v>
      </c>
      <c r="EC30">
        <v>0</v>
      </c>
      <c r="ED30">
        <v>4.3657610037830877E-3</v>
      </c>
      <c r="EE30">
        <v>0.15562218674087414</v>
      </c>
      <c r="EF30">
        <v>0.34343475574639748</v>
      </c>
      <c r="EG30">
        <v>0.38591173370818055</v>
      </c>
      <c r="EH30">
        <v>0.2425471175954225</v>
      </c>
      <c r="EI30">
        <v>3.0006804570751396E-2</v>
      </c>
      <c r="EJ30">
        <v>0</v>
      </c>
      <c r="EK30">
        <v>0</v>
      </c>
      <c r="EL30">
        <v>0</v>
      </c>
      <c r="EM30">
        <v>2.9816601386443604E-3</v>
      </c>
      <c r="EN30">
        <v>9.7236554917706247E-2</v>
      </c>
      <c r="EO30">
        <v>0.33330517111248154</v>
      </c>
      <c r="EP30">
        <v>0.49998141900082788</v>
      </c>
      <c r="EQ30">
        <v>0.50359609049536669</v>
      </c>
      <c r="ER30">
        <v>0.37056251779075627</v>
      </c>
      <c r="ES30">
        <v>0.14327827960430625</v>
      </c>
      <c r="ET30">
        <v>5.7414017445893608E-3</v>
      </c>
      <c r="EU30">
        <v>0</v>
      </c>
      <c r="EV30">
        <v>0</v>
      </c>
      <c r="EW30">
        <v>7.2502743080428882E-3</v>
      </c>
      <c r="EX30">
        <v>0.15550952363667334</v>
      </c>
      <c r="EY30">
        <v>0.43050793669373416</v>
      </c>
      <c r="EZ30">
        <v>0.5958260615984452</v>
      </c>
      <c r="FA30">
        <v>0.61848105154677324</v>
      </c>
      <c r="FB30">
        <v>0.48005724687047624</v>
      </c>
      <c r="FC30">
        <v>0.21642894323275727</v>
      </c>
      <c r="FD30">
        <v>1.7611811078828681E-2</v>
      </c>
      <c r="FE30">
        <v>0</v>
      </c>
      <c r="FF30">
        <v>0</v>
      </c>
      <c r="FG30">
        <v>0</v>
      </c>
      <c r="FH30">
        <v>4.5201374237310701E-2</v>
      </c>
      <c r="FI30">
        <v>0.2565869742460764</v>
      </c>
      <c r="FJ30">
        <v>0.4150380195240943</v>
      </c>
      <c r="FK30">
        <v>0.41039473829395867</v>
      </c>
      <c r="FL30">
        <v>0.26080458978674281</v>
      </c>
      <c r="FM30">
        <v>5.5019385320573475E-2</v>
      </c>
      <c r="FN30">
        <v>7.3475114484499216E-5</v>
      </c>
      <c r="FO30">
        <v>0</v>
      </c>
      <c r="FQ30" t="s">
        <v>636</v>
      </c>
      <c r="FR30" t="s">
        <v>127</v>
      </c>
      <c r="FS30" t="s">
        <v>128</v>
      </c>
      <c r="FT30">
        <v>0.49569241263515351</v>
      </c>
    </row>
    <row r="31" spans="2:176" x14ac:dyDescent="0.45">
      <c r="B31" t="s">
        <v>637</v>
      </c>
      <c r="C31" t="s">
        <v>123</v>
      </c>
      <c r="D31">
        <v>0</v>
      </c>
      <c r="E31">
        <v>0</v>
      </c>
      <c r="F31">
        <v>0.90597039997724926</v>
      </c>
      <c r="G31">
        <v>0.3063139082388715</v>
      </c>
      <c r="H31">
        <v>0.21930881851993772</v>
      </c>
      <c r="I31">
        <v>0.22057542126962135</v>
      </c>
      <c r="J31">
        <v>0.26918113541680544</v>
      </c>
      <c r="K31">
        <v>0.63084501861280906</v>
      </c>
      <c r="L31">
        <v>0</v>
      </c>
      <c r="M31">
        <v>0</v>
      </c>
      <c r="N31">
        <v>0</v>
      </c>
      <c r="O31">
        <v>0.8041053895346354</v>
      </c>
      <c r="P31">
        <v>0.38834603577560961</v>
      </c>
      <c r="Q31">
        <v>0.21980058439770636</v>
      </c>
      <c r="R31">
        <v>0.18365933122162656</v>
      </c>
      <c r="S31">
        <v>0.18648831526891499</v>
      </c>
      <c r="T31">
        <v>0.19613783983301691</v>
      </c>
      <c r="U31">
        <v>0.2664654768329966</v>
      </c>
      <c r="V31">
        <v>0.65728195781348719</v>
      </c>
      <c r="W31">
        <v>0</v>
      </c>
      <c r="X31">
        <v>0</v>
      </c>
      <c r="Y31">
        <v>0.6241389059755108</v>
      </c>
      <c r="Z31">
        <v>0.25965222610393457</v>
      </c>
      <c r="AA31">
        <v>9.3444517549312905E-2</v>
      </c>
      <c r="AB31">
        <v>4.9502561839621109E-2</v>
      </c>
      <c r="AC31">
        <v>4.586403741837531E-2</v>
      </c>
      <c r="AD31">
        <v>6.9634788386874605E-2</v>
      </c>
      <c r="AE31">
        <v>0.16388494498839667</v>
      </c>
      <c r="AF31">
        <v>0.42521696063188658</v>
      </c>
      <c r="AG31">
        <v>0</v>
      </c>
      <c r="AH31">
        <v>0</v>
      </c>
      <c r="AI31">
        <v>0</v>
      </c>
      <c r="AJ31">
        <v>0.5445262890639373</v>
      </c>
      <c r="AK31">
        <v>0.26726339854174841</v>
      </c>
      <c r="AL31">
        <v>0.21555607038543251</v>
      </c>
      <c r="AM31">
        <v>0.21988777567789955</v>
      </c>
      <c r="AN31">
        <v>0.25818610778024192</v>
      </c>
      <c r="AO31">
        <v>0.47698719541659401</v>
      </c>
      <c r="AP31">
        <v>0.93956043956043966</v>
      </c>
      <c r="AQ31">
        <v>0</v>
      </c>
      <c r="EA31" t="s">
        <v>637</v>
      </c>
      <c r="EB31">
        <v>0</v>
      </c>
      <c r="EC31">
        <v>0</v>
      </c>
      <c r="ED31">
        <v>2.8106773159675374E-3</v>
      </c>
      <c r="EE31">
        <v>0.15480115486937387</v>
      </c>
      <c r="EF31">
        <v>0.35312755164283621</v>
      </c>
      <c r="EG31">
        <v>0.39114024750742932</v>
      </c>
      <c r="EH31">
        <v>0.24467705513668755</v>
      </c>
      <c r="EI31">
        <v>3.5835192821943987E-2</v>
      </c>
      <c r="EJ31">
        <v>0</v>
      </c>
      <c r="EK31">
        <v>0</v>
      </c>
      <c r="EL31">
        <v>0</v>
      </c>
      <c r="EM31">
        <v>2.1267342347105235E-3</v>
      </c>
      <c r="EN31">
        <v>8.8063785037037351E-2</v>
      </c>
      <c r="EO31">
        <v>0.31999877899349716</v>
      </c>
      <c r="EP31">
        <v>0.47161026725450916</v>
      </c>
      <c r="EQ31">
        <v>0.46706366822344653</v>
      </c>
      <c r="ER31">
        <v>0.34667378532186927</v>
      </c>
      <c r="ES31">
        <v>0.14440660703394689</v>
      </c>
      <c r="ET31">
        <v>6.819111354093685E-3</v>
      </c>
      <c r="EU31">
        <v>0</v>
      </c>
      <c r="EV31">
        <v>0</v>
      </c>
      <c r="EW31">
        <v>5.7715870770849503E-3</v>
      </c>
      <c r="EX31">
        <v>0.14238678959545331</v>
      </c>
      <c r="EY31">
        <v>0.42138252795097797</v>
      </c>
      <c r="EZ31">
        <v>0.59334621454388292</v>
      </c>
      <c r="FA31">
        <v>0.60712407809010105</v>
      </c>
      <c r="FB31">
        <v>0.47129772510579054</v>
      </c>
      <c r="FC31">
        <v>0.22002857393790026</v>
      </c>
      <c r="FD31">
        <v>2.1308955826153914E-2</v>
      </c>
      <c r="FE31">
        <v>0</v>
      </c>
      <c r="FF31">
        <v>0</v>
      </c>
      <c r="FG31">
        <v>0</v>
      </c>
      <c r="FH31">
        <v>3.8637988883825025E-2</v>
      </c>
      <c r="FI31">
        <v>0.23602192907074787</v>
      </c>
      <c r="FJ31">
        <v>0.39237179497641406</v>
      </c>
      <c r="FK31">
        <v>0.39250444443087196</v>
      </c>
      <c r="FL31">
        <v>0.25449416364625621</v>
      </c>
      <c r="FM31">
        <v>6.069696459648987E-2</v>
      </c>
      <c r="FN31">
        <v>1.5229263712217395E-4</v>
      </c>
      <c r="FO31">
        <v>0</v>
      </c>
      <c r="FQ31" t="s">
        <v>637</v>
      </c>
      <c r="FR31" t="s">
        <v>127</v>
      </c>
      <c r="FS31" t="s">
        <v>128</v>
      </c>
      <c r="FT31">
        <v>0.45857578221619927</v>
      </c>
    </row>
    <row r="32" spans="2:176" x14ac:dyDescent="0.45">
      <c r="B32" t="s">
        <v>638</v>
      </c>
      <c r="C32" t="s">
        <v>123</v>
      </c>
      <c r="D32">
        <v>0</v>
      </c>
      <c r="E32">
        <v>0</v>
      </c>
      <c r="F32">
        <v>0.87980587856885017</v>
      </c>
      <c r="G32">
        <v>0.28247223381960762</v>
      </c>
      <c r="H32">
        <v>0.19316074849007289</v>
      </c>
      <c r="I32">
        <v>0.19556257060484061</v>
      </c>
      <c r="J32">
        <v>0.23813717386940425</v>
      </c>
      <c r="K32">
        <v>0.62191201057081258</v>
      </c>
      <c r="L32">
        <v>0</v>
      </c>
      <c r="M32">
        <v>0</v>
      </c>
      <c r="N32">
        <v>0</v>
      </c>
      <c r="O32">
        <v>0.78371552586325177</v>
      </c>
      <c r="P32">
        <v>0.33892281509751904</v>
      </c>
      <c r="Q32">
        <v>0.16354983480747434</v>
      </c>
      <c r="R32">
        <v>0.12641012628686762</v>
      </c>
      <c r="S32">
        <v>0.1220385678065779</v>
      </c>
      <c r="T32">
        <v>0.14734507009911388</v>
      </c>
      <c r="U32">
        <v>0.24864975568197983</v>
      </c>
      <c r="V32">
        <v>0.69495314263306407</v>
      </c>
      <c r="W32">
        <v>0</v>
      </c>
      <c r="X32">
        <v>0</v>
      </c>
      <c r="Y32">
        <v>0.61327302936850847</v>
      </c>
      <c r="Z32">
        <v>0.24147963619845669</v>
      </c>
      <c r="AA32">
        <v>8.1419203996201783E-2</v>
      </c>
      <c r="AB32">
        <v>3.9286402214148849E-2</v>
      </c>
      <c r="AC32">
        <v>4.5860376176597786E-2</v>
      </c>
      <c r="AD32">
        <v>7.6180651115830764E-2</v>
      </c>
      <c r="AE32">
        <v>0.16838375255767282</v>
      </c>
      <c r="AF32">
        <v>0.46926230324880719</v>
      </c>
      <c r="AG32">
        <v>0</v>
      </c>
      <c r="AH32">
        <v>0</v>
      </c>
      <c r="AI32">
        <v>0</v>
      </c>
      <c r="AJ32">
        <v>0.4874563119966468</v>
      </c>
      <c r="AK32">
        <v>0.20845560016756415</v>
      </c>
      <c r="AL32">
        <v>0.15052383552260856</v>
      </c>
      <c r="AM32">
        <v>0.15683118734444274</v>
      </c>
      <c r="AN32">
        <v>0.21363769319439316</v>
      </c>
      <c r="AO32">
        <v>0.48043453053841378</v>
      </c>
      <c r="AP32">
        <v>0.96327076422581503</v>
      </c>
      <c r="AQ32">
        <v>0</v>
      </c>
      <c r="EA32" t="s">
        <v>638</v>
      </c>
      <c r="EB32">
        <v>0</v>
      </c>
      <c r="EC32">
        <v>0</v>
      </c>
      <c r="ED32">
        <v>4.8530382464617421E-3</v>
      </c>
      <c r="EE32">
        <v>0.17007615114233687</v>
      </c>
      <c r="EF32">
        <v>0.3762893504318896</v>
      </c>
      <c r="EG32">
        <v>0.40488934791969611</v>
      </c>
      <c r="EH32">
        <v>0.25229131049447207</v>
      </c>
      <c r="EI32">
        <v>3.4814618107003779E-2</v>
      </c>
      <c r="EJ32">
        <v>0</v>
      </c>
      <c r="EK32">
        <v>0</v>
      </c>
      <c r="EL32">
        <v>0</v>
      </c>
      <c r="EM32">
        <v>2.3611107361817237E-3</v>
      </c>
      <c r="EN32">
        <v>0.10192733895738104</v>
      </c>
      <c r="EO32">
        <v>0.35761826869788704</v>
      </c>
      <c r="EP32">
        <v>0.52245647908309645</v>
      </c>
      <c r="EQ32">
        <v>0.52706432129555991</v>
      </c>
      <c r="ER32">
        <v>0.38484986369716823</v>
      </c>
      <c r="ES32">
        <v>0.15115275341973722</v>
      </c>
      <c r="ET32">
        <v>5.2559975257395501E-3</v>
      </c>
      <c r="EU32">
        <v>0</v>
      </c>
      <c r="EV32">
        <v>0</v>
      </c>
      <c r="EW32">
        <v>6.6047260881600565E-3</v>
      </c>
      <c r="EX32">
        <v>0.16227096626494944</v>
      </c>
      <c r="EY32">
        <v>0.46036166820661639</v>
      </c>
      <c r="EZ32">
        <v>0.63063427098880553</v>
      </c>
      <c r="FA32">
        <v>0.62810639977201144</v>
      </c>
      <c r="FB32">
        <v>0.46758150913187274</v>
      </c>
      <c r="FC32">
        <v>0.21081686280819389</v>
      </c>
      <c r="FD32">
        <v>1.5982542625331699E-2</v>
      </c>
      <c r="FE32">
        <v>0</v>
      </c>
      <c r="FF32">
        <v>0</v>
      </c>
      <c r="FG32">
        <v>0</v>
      </c>
      <c r="FH32">
        <v>5.0067506534567492E-2</v>
      </c>
      <c r="FI32">
        <v>0.27794073142501335</v>
      </c>
      <c r="FJ32">
        <v>0.45086215135714142</v>
      </c>
      <c r="FK32">
        <v>0.44246709195731404</v>
      </c>
      <c r="FL32">
        <v>0.28456999950439088</v>
      </c>
      <c r="FM32">
        <v>6.0613871181559136E-2</v>
      </c>
      <c r="FN32">
        <v>5.8953472939416338E-5</v>
      </c>
      <c r="FO32">
        <v>0</v>
      </c>
      <c r="FQ32" t="s">
        <v>638</v>
      </c>
      <c r="FR32" t="s">
        <v>127</v>
      </c>
      <c r="FS32" t="s">
        <v>128</v>
      </c>
      <c r="FT32">
        <v>0.43883423212652117</v>
      </c>
    </row>
    <row r="33" spans="2:176" x14ac:dyDescent="0.45">
      <c r="B33" t="s">
        <v>639</v>
      </c>
      <c r="C33" t="s">
        <v>123</v>
      </c>
      <c r="D33">
        <v>0</v>
      </c>
      <c r="E33">
        <v>0</v>
      </c>
      <c r="F33">
        <v>0.90555555555555545</v>
      </c>
      <c r="G33">
        <v>0.29746901567249739</v>
      </c>
      <c r="H33">
        <v>0.20996252625440043</v>
      </c>
      <c r="I33">
        <v>0.20124552954659641</v>
      </c>
      <c r="J33">
        <v>0.23391614779833625</v>
      </c>
      <c r="K33">
        <v>0.5458144914172901</v>
      </c>
      <c r="L33">
        <v>0</v>
      </c>
      <c r="M33">
        <v>0</v>
      </c>
      <c r="N33">
        <v>0</v>
      </c>
      <c r="O33">
        <v>0.80923973245352776</v>
      </c>
      <c r="P33">
        <v>0.36833254149544048</v>
      </c>
      <c r="Q33">
        <v>0.19417844325654215</v>
      </c>
      <c r="R33">
        <v>0.15237960345834131</v>
      </c>
      <c r="S33">
        <v>0.14242649433587476</v>
      </c>
      <c r="T33">
        <v>0.15408140323893696</v>
      </c>
      <c r="U33">
        <v>0.2442975225399131</v>
      </c>
      <c r="V33">
        <v>0.66709518879084895</v>
      </c>
      <c r="W33">
        <v>0</v>
      </c>
      <c r="X33">
        <v>0</v>
      </c>
      <c r="Y33">
        <v>0.6308118844151025</v>
      </c>
      <c r="Z33">
        <v>0.25331198214410328</v>
      </c>
      <c r="AA33">
        <v>8.5233829102665692E-2</v>
      </c>
      <c r="AB33">
        <v>3.3850738430183089E-2</v>
      </c>
      <c r="AC33">
        <v>4.2508859390786892E-2</v>
      </c>
      <c r="AD33">
        <v>6.9705345498472307E-2</v>
      </c>
      <c r="AE33">
        <v>0.15861386592818372</v>
      </c>
      <c r="AF33">
        <v>0.44350925019546117</v>
      </c>
      <c r="AG33">
        <v>0</v>
      </c>
      <c r="AH33">
        <v>0</v>
      </c>
      <c r="AI33">
        <v>0</v>
      </c>
      <c r="AJ33">
        <v>0.53383541847021454</v>
      </c>
      <c r="AK33">
        <v>0.24146010614773203</v>
      </c>
      <c r="AL33">
        <v>0.18289167786567095</v>
      </c>
      <c r="AM33">
        <v>0.17539325540855916</v>
      </c>
      <c r="AN33">
        <v>0.21318817446378258</v>
      </c>
      <c r="AO33">
        <v>0.44547789370354524</v>
      </c>
      <c r="AP33">
        <v>0.94917502862824976</v>
      </c>
      <c r="AQ33">
        <v>0</v>
      </c>
      <c r="EA33" t="s">
        <v>639</v>
      </c>
      <c r="EB33">
        <v>0</v>
      </c>
      <c r="EC33">
        <v>0</v>
      </c>
      <c r="ED33">
        <v>3.8164037806828009E-3</v>
      </c>
      <c r="EE33">
        <v>0.168866737764577</v>
      </c>
      <c r="EF33">
        <v>0.3805899847028052</v>
      </c>
      <c r="EG33">
        <v>0.4170070148885201</v>
      </c>
      <c r="EH33">
        <v>0.27024080725055616</v>
      </c>
      <c r="EI33">
        <v>4.4267527781758499E-2</v>
      </c>
      <c r="EJ33">
        <v>0</v>
      </c>
      <c r="EK33">
        <v>0</v>
      </c>
      <c r="EL33">
        <v>0</v>
      </c>
      <c r="EM33">
        <v>1.7362084502397376E-3</v>
      </c>
      <c r="EN33">
        <v>8.9655567101613404E-2</v>
      </c>
      <c r="EO33">
        <v>0.328290767478223</v>
      </c>
      <c r="EP33">
        <v>0.49591080647355623</v>
      </c>
      <c r="EQ33">
        <v>0.51269466262033703</v>
      </c>
      <c r="ER33">
        <v>0.39701148505363582</v>
      </c>
      <c r="ES33">
        <v>0.16503822693999143</v>
      </c>
      <c r="ET33">
        <v>6.9196008871094681E-3</v>
      </c>
      <c r="EU33">
        <v>0</v>
      </c>
      <c r="EV33">
        <v>0</v>
      </c>
      <c r="EW33">
        <v>5.37375083289225E-3</v>
      </c>
      <c r="EX33">
        <v>0.14532667140798558</v>
      </c>
      <c r="EY33">
        <v>0.44508651851857495</v>
      </c>
      <c r="EZ33">
        <v>0.63061937832444392</v>
      </c>
      <c r="FA33">
        <v>0.63770932447554873</v>
      </c>
      <c r="FB33">
        <v>0.48633673678694578</v>
      </c>
      <c r="FC33">
        <v>0.22993333605413618</v>
      </c>
      <c r="FD33">
        <v>2.0624424251354783E-2</v>
      </c>
      <c r="FE33">
        <v>0</v>
      </c>
      <c r="FF33">
        <v>0</v>
      </c>
      <c r="FG33">
        <v>0</v>
      </c>
      <c r="FH33">
        <v>4.0436388687001994E-2</v>
      </c>
      <c r="FI33">
        <v>0.24994136332893607</v>
      </c>
      <c r="FJ33">
        <v>0.42221646026789672</v>
      </c>
      <c r="FK33">
        <v>0.43368066465821781</v>
      </c>
      <c r="FL33">
        <v>0.28674425222751265</v>
      </c>
      <c r="FM33">
        <v>6.9724351992242153E-2</v>
      </c>
      <c r="FN33">
        <v>1.3255051516746031E-4</v>
      </c>
      <c r="FO33">
        <v>0</v>
      </c>
      <c r="FQ33" t="s">
        <v>639</v>
      </c>
      <c r="FR33" t="s">
        <v>127</v>
      </c>
      <c r="FS33" t="s">
        <v>128</v>
      </c>
      <c r="FT33">
        <v>0.46846019222880286</v>
      </c>
    </row>
    <row r="34" spans="2:176" x14ac:dyDescent="0.45">
      <c r="B34" t="s">
        <v>640</v>
      </c>
      <c r="C34" t="s">
        <v>123</v>
      </c>
      <c r="D34">
        <v>0</v>
      </c>
      <c r="E34">
        <v>0</v>
      </c>
      <c r="F34">
        <v>0.8944444444444446</v>
      </c>
      <c r="G34">
        <v>0.26725420212424478</v>
      </c>
      <c r="H34">
        <v>0.18051058136487838</v>
      </c>
      <c r="I34">
        <v>0.17379993900123525</v>
      </c>
      <c r="J34">
        <v>0.21616407897381365</v>
      </c>
      <c r="K34">
        <v>0.50706630959472176</v>
      </c>
      <c r="L34">
        <v>0</v>
      </c>
      <c r="M34">
        <v>0</v>
      </c>
      <c r="N34">
        <v>0</v>
      </c>
      <c r="O34">
        <v>0.80104831631159612</v>
      </c>
      <c r="P34">
        <v>0.33970185400044328</v>
      </c>
      <c r="Q34">
        <v>0.15926160354555624</v>
      </c>
      <c r="R34">
        <v>0.12971559309284586</v>
      </c>
      <c r="S34">
        <v>0.11663288282057195</v>
      </c>
      <c r="T34">
        <v>0.12948241826834095</v>
      </c>
      <c r="U34">
        <v>0.23522589313819262</v>
      </c>
      <c r="V34">
        <v>0.67799915522782495</v>
      </c>
      <c r="W34">
        <v>0</v>
      </c>
      <c r="X34">
        <v>0</v>
      </c>
      <c r="Y34">
        <v>0.63168536684576881</v>
      </c>
      <c r="Z34">
        <v>0.25091458980525372</v>
      </c>
      <c r="AA34">
        <v>8.0601091087483548E-2</v>
      </c>
      <c r="AB34">
        <v>3.1354645419878507E-2</v>
      </c>
      <c r="AC34">
        <v>3.6181316113403014E-2</v>
      </c>
      <c r="AD34">
        <v>6.2754987975436868E-2</v>
      </c>
      <c r="AE34">
        <v>0.16066854264364461</v>
      </c>
      <c r="AF34">
        <v>0.45880753421283882</v>
      </c>
      <c r="AG34">
        <v>0</v>
      </c>
      <c r="AH34">
        <v>0</v>
      </c>
      <c r="AI34">
        <v>0</v>
      </c>
      <c r="AJ34">
        <v>0.49131927061494041</v>
      </c>
      <c r="AK34">
        <v>0.19726385080590433</v>
      </c>
      <c r="AL34">
        <v>0.13669845107673489</v>
      </c>
      <c r="AM34">
        <v>0.13693032745276254</v>
      </c>
      <c r="AN34">
        <v>0.19490605522106177</v>
      </c>
      <c r="AO34">
        <v>0.43546583611710321</v>
      </c>
      <c r="AP34">
        <v>0.95179140423931241</v>
      </c>
      <c r="AQ34">
        <v>0</v>
      </c>
      <c r="EA34" t="s">
        <v>640</v>
      </c>
      <c r="EB34">
        <v>0</v>
      </c>
      <c r="EC34">
        <v>0</v>
      </c>
      <c r="ED34">
        <v>5.0221108815647758E-3</v>
      </c>
      <c r="EE34">
        <v>0.18533398273041632</v>
      </c>
      <c r="EF34">
        <v>0.4089270149591826</v>
      </c>
      <c r="EG34">
        <v>0.44384794835871871</v>
      </c>
      <c r="EH34">
        <v>0.28948467272012085</v>
      </c>
      <c r="EI34">
        <v>5.1801833680585878E-2</v>
      </c>
      <c r="EJ34">
        <v>0</v>
      </c>
      <c r="EK34">
        <v>0</v>
      </c>
      <c r="EL34">
        <v>0</v>
      </c>
      <c r="EM34">
        <v>1.8930518369317847E-3</v>
      </c>
      <c r="EN34">
        <v>0.10068109278316485</v>
      </c>
      <c r="EO34">
        <v>0.3645064347834891</v>
      </c>
      <c r="EP34">
        <v>0.54243581700833021</v>
      </c>
      <c r="EQ34">
        <v>0.56707129089863917</v>
      </c>
      <c r="ER34">
        <v>0.43467157973559883</v>
      </c>
      <c r="ES34">
        <v>0.17850064270162933</v>
      </c>
      <c r="ET34">
        <v>6.2412336743705114E-3</v>
      </c>
      <c r="EU34">
        <v>0</v>
      </c>
      <c r="EV34">
        <v>0</v>
      </c>
      <c r="EW34">
        <v>5.4717715042667233E-3</v>
      </c>
      <c r="EX34">
        <v>0.15183854123977381</v>
      </c>
      <c r="EY34">
        <v>0.45541198743744638</v>
      </c>
      <c r="EZ34">
        <v>0.63993089391166658</v>
      </c>
      <c r="FA34">
        <v>0.64798835174027114</v>
      </c>
      <c r="FB34">
        <v>0.49902182983851018</v>
      </c>
      <c r="FC34">
        <v>0.23442624743055557</v>
      </c>
      <c r="FD34">
        <v>1.8776442629076108E-2</v>
      </c>
      <c r="FE34">
        <v>0</v>
      </c>
      <c r="FF34">
        <v>0</v>
      </c>
      <c r="FG34">
        <v>0</v>
      </c>
      <c r="FH34">
        <v>4.8449823169547684E-2</v>
      </c>
      <c r="FI34">
        <v>0.28859290395139814</v>
      </c>
      <c r="FJ34">
        <v>0.46956752180872113</v>
      </c>
      <c r="FK34">
        <v>0.47522380669699443</v>
      </c>
      <c r="FL34">
        <v>0.31249974498376754</v>
      </c>
      <c r="FM34">
        <v>7.4042247533205929E-2</v>
      </c>
      <c r="FN34">
        <v>1.0650026666821962E-4</v>
      </c>
      <c r="FO34">
        <v>0</v>
      </c>
      <c r="FQ34" t="s">
        <v>640</v>
      </c>
      <c r="FR34" t="s">
        <v>127</v>
      </c>
      <c r="FS34" t="s">
        <v>128</v>
      </c>
      <c r="FT34">
        <v>0.51941660816803203</v>
      </c>
    </row>
    <row r="35" spans="2:176" x14ac:dyDescent="0.45">
      <c r="B35" t="s">
        <v>641</v>
      </c>
      <c r="C35" t="s">
        <v>123</v>
      </c>
      <c r="D35">
        <v>0.38844390208795287</v>
      </c>
      <c r="E35">
        <v>0.38958522828949838</v>
      </c>
      <c r="F35">
        <v>0.40059815702628676</v>
      </c>
      <c r="G35">
        <v>0.39524242487979394</v>
      </c>
      <c r="H35">
        <v>0.37266580924483439</v>
      </c>
      <c r="I35">
        <v>0.36368956251271045</v>
      </c>
      <c r="J35">
        <v>0.36418361113851055</v>
      </c>
      <c r="K35">
        <v>0.36352541488412932</v>
      </c>
      <c r="L35">
        <v>0.37085421278222502</v>
      </c>
      <c r="M35">
        <v>0.38586868586866885</v>
      </c>
      <c r="N35">
        <v>0.35110191799472323</v>
      </c>
      <c r="O35">
        <v>0.35107039855028166</v>
      </c>
      <c r="P35">
        <v>0.35088382594299411</v>
      </c>
      <c r="Q35">
        <v>0.35781532555898926</v>
      </c>
      <c r="R35">
        <v>0.34865192465419742</v>
      </c>
      <c r="S35">
        <v>0.33523086453783607</v>
      </c>
      <c r="T35">
        <v>0.31400551059871151</v>
      </c>
      <c r="U35">
        <v>0.31090944585000935</v>
      </c>
      <c r="V35">
        <v>0.31137430560138496</v>
      </c>
      <c r="W35">
        <v>0.32223476300931969</v>
      </c>
      <c r="X35">
        <v>0.29488466872688895</v>
      </c>
      <c r="Y35">
        <v>0.29710330300777688</v>
      </c>
      <c r="Z35">
        <v>0.32913235398225182</v>
      </c>
      <c r="AA35">
        <v>0.40523168930176601</v>
      </c>
      <c r="AB35">
        <v>0.43134377947632402</v>
      </c>
      <c r="AC35">
        <v>0.43268232664498441</v>
      </c>
      <c r="AD35">
        <v>0.44911334071074577</v>
      </c>
      <c r="AE35">
        <v>0.42057077135108262</v>
      </c>
      <c r="AF35">
        <v>0.34893448939572946</v>
      </c>
      <c r="AG35">
        <v>0.30350534478430979</v>
      </c>
      <c r="AH35">
        <v>0.40910253215702497</v>
      </c>
      <c r="AI35">
        <v>0.43793428496908232</v>
      </c>
      <c r="AJ35">
        <v>0.4607110465324934</v>
      </c>
      <c r="AK35">
        <v>0.45736174404087654</v>
      </c>
      <c r="AL35">
        <v>0.45458904435593861</v>
      </c>
      <c r="AM35">
        <v>0.43064138148178893</v>
      </c>
      <c r="AN35">
        <v>0.39470869330701064</v>
      </c>
      <c r="AO35">
        <v>0.38583415440652896</v>
      </c>
      <c r="AP35">
        <v>0.39000397316301239</v>
      </c>
      <c r="AQ35">
        <v>0.39362103157386186</v>
      </c>
      <c r="EA35" t="s">
        <v>641</v>
      </c>
      <c r="EB35">
        <v>0.30216382977243844</v>
      </c>
      <c r="EC35">
        <v>0.30954004940755298</v>
      </c>
      <c r="ED35">
        <v>0.30008421384572903</v>
      </c>
      <c r="EE35">
        <v>0.28625247054049058</v>
      </c>
      <c r="EF35">
        <v>0.30896317328399536</v>
      </c>
      <c r="EG35">
        <v>0.33081585476832304</v>
      </c>
      <c r="EH35">
        <v>0.3428981353450074</v>
      </c>
      <c r="EI35">
        <v>0.33601250205939615</v>
      </c>
      <c r="EJ35">
        <v>0.32742675788203263</v>
      </c>
      <c r="EK35">
        <v>0.30682624868923164</v>
      </c>
      <c r="EL35">
        <v>0.29345796578510774</v>
      </c>
      <c r="EM35">
        <v>0.26881222947566857</v>
      </c>
      <c r="EN35">
        <v>0.26267212712513333</v>
      </c>
      <c r="EO35">
        <v>0.27112205713442961</v>
      </c>
      <c r="EP35">
        <v>0.28434330949543257</v>
      </c>
      <c r="EQ35">
        <v>0.32141322316018295</v>
      </c>
      <c r="ER35">
        <v>0.32470202895202877</v>
      </c>
      <c r="ES35">
        <v>0.3153333977176363</v>
      </c>
      <c r="ET35">
        <v>0.30893374664867435</v>
      </c>
      <c r="EU35">
        <v>0.30730453144108955</v>
      </c>
      <c r="EV35">
        <v>0.19078785903548698</v>
      </c>
      <c r="EW35">
        <v>0.18547335131089671</v>
      </c>
      <c r="EX35">
        <v>0.15799662449143484</v>
      </c>
      <c r="EY35">
        <v>0.13553404490704948</v>
      </c>
      <c r="EZ35">
        <v>0.13149437927191152</v>
      </c>
      <c r="FA35">
        <v>0.12801561877696654</v>
      </c>
      <c r="FB35">
        <v>0.12195808257686878</v>
      </c>
      <c r="FC35">
        <v>0.12577623381070555</v>
      </c>
      <c r="FD35">
        <v>0.15126350608086933</v>
      </c>
      <c r="FE35">
        <v>0.17183456009231857</v>
      </c>
      <c r="FF35">
        <v>0.18477260375617263</v>
      </c>
      <c r="FG35">
        <v>0.16995298709641962</v>
      </c>
      <c r="FH35">
        <v>0.16708686831188588</v>
      </c>
      <c r="FI35">
        <v>0.17863748985354616</v>
      </c>
      <c r="FJ35">
        <v>0.19066645512977523</v>
      </c>
      <c r="FK35">
        <v>0.19378233409843051</v>
      </c>
      <c r="FL35">
        <v>0.20173241588837384</v>
      </c>
      <c r="FM35">
        <v>0.1982720228471106</v>
      </c>
      <c r="FN35">
        <v>0.18688245429288297</v>
      </c>
      <c r="FO35">
        <v>0.19525040970078755</v>
      </c>
      <c r="FQ35" t="s">
        <v>642</v>
      </c>
      <c r="FR35" t="s">
        <v>127</v>
      </c>
      <c r="FS35" t="s">
        <v>128</v>
      </c>
      <c r="FT35">
        <v>0.1400409297488521</v>
      </c>
    </row>
    <row r="36" spans="2:176" x14ac:dyDescent="0.45">
      <c r="B36" t="s">
        <v>643</v>
      </c>
      <c r="C36" t="s">
        <v>123</v>
      </c>
      <c r="D36">
        <v>0.36674066822155821</v>
      </c>
      <c r="E36">
        <v>0.38002134637142898</v>
      </c>
      <c r="F36">
        <v>0.40710538755774683</v>
      </c>
      <c r="G36">
        <v>0.41725968577228473</v>
      </c>
      <c r="H36">
        <v>0.3910568960372095</v>
      </c>
      <c r="I36">
        <v>0.37122173164974043</v>
      </c>
      <c r="J36">
        <v>0.37548590703166695</v>
      </c>
      <c r="K36">
        <v>0.38418510136823214</v>
      </c>
      <c r="L36">
        <v>0.3812424233408887</v>
      </c>
      <c r="M36">
        <v>0.37151844154901448</v>
      </c>
      <c r="N36">
        <v>0.34465362045866549</v>
      </c>
      <c r="O36">
        <v>0.36722672102460568</v>
      </c>
      <c r="P36">
        <v>0.37341070905055657</v>
      </c>
      <c r="Q36">
        <v>0.38694188656211947</v>
      </c>
      <c r="R36">
        <v>0.38070075265745401</v>
      </c>
      <c r="S36">
        <v>0.36363260070789799</v>
      </c>
      <c r="T36">
        <v>0.35759636475438078</v>
      </c>
      <c r="U36">
        <v>0.35381058383057512</v>
      </c>
      <c r="V36">
        <v>0.33767601986626483</v>
      </c>
      <c r="W36">
        <v>0.34064766448413353</v>
      </c>
      <c r="X36">
        <v>0.34110715007265924</v>
      </c>
      <c r="Y36">
        <v>0.30566301829939468</v>
      </c>
      <c r="Z36">
        <v>0.3274611128468537</v>
      </c>
      <c r="AA36">
        <v>0.34996623572171998</v>
      </c>
      <c r="AB36">
        <v>0.35184006617893437</v>
      </c>
      <c r="AC36">
        <v>0.33261820804490622</v>
      </c>
      <c r="AD36">
        <v>0.31187544083883273</v>
      </c>
      <c r="AE36">
        <v>0.32616357361729947</v>
      </c>
      <c r="AF36">
        <v>0.34261849115869208</v>
      </c>
      <c r="AG36">
        <v>0.36448772942644619</v>
      </c>
      <c r="AH36">
        <v>0.42884761270621441</v>
      </c>
      <c r="AI36">
        <v>0.42690213212021472</v>
      </c>
      <c r="AJ36">
        <v>0.42430579233406934</v>
      </c>
      <c r="AK36">
        <v>0.43679777678066856</v>
      </c>
      <c r="AL36">
        <v>0.43781636233720439</v>
      </c>
      <c r="AM36">
        <v>0.43447886178755829</v>
      </c>
      <c r="AN36">
        <v>0.42089011721268987</v>
      </c>
      <c r="AO36">
        <v>0.4196988489981609</v>
      </c>
      <c r="AP36">
        <v>0.43918108653704041</v>
      </c>
      <c r="AQ36">
        <v>0.44935676703451805</v>
      </c>
      <c r="EA36" t="s">
        <v>643</v>
      </c>
      <c r="EB36">
        <v>0.38177394999720743</v>
      </c>
      <c r="EC36">
        <v>0.36744293715432119</v>
      </c>
      <c r="ED36">
        <v>0.35044565761758179</v>
      </c>
      <c r="EE36">
        <v>0.34394502047443576</v>
      </c>
      <c r="EF36">
        <v>0.36493476737296038</v>
      </c>
      <c r="EG36">
        <v>0.37062686403485084</v>
      </c>
      <c r="EH36">
        <v>0.37546477049536359</v>
      </c>
      <c r="EI36">
        <v>0.38691131526187678</v>
      </c>
      <c r="EJ36">
        <v>0.39527995099398139</v>
      </c>
      <c r="EK36">
        <v>0.39279141522223582</v>
      </c>
      <c r="EL36">
        <v>0.37916397491147097</v>
      </c>
      <c r="EM36">
        <v>0.34985855110480307</v>
      </c>
      <c r="EN36">
        <v>0.32754231031258046</v>
      </c>
      <c r="EO36">
        <v>0.31359977450439486</v>
      </c>
      <c r="EP36">
        <v>0.31027654100162005</v>
      </c>
      <c r="EQ36">
        <v>0.32558080082222146</v>
      </c>
      <c r="ER36">
        <v>0.33871345794602364</v>
      </c>
      <c r="ES36">
        <v>0.35260166951162225</v>
      </c>
      <c r="ET36">
        <v>0.37286958026511741</v>
      </c>
      <c r="EU36">
        <v>0.38226483555887047</v>
      </c>
      <c r="EV36">
        <v>0.26100556317080609</v>
      </c>
      <c r="EW36">
        <v>0.28281016374422974</v>
      </c>
      <c r="EX36">
        <v>0.25606823346991858</v>
      </c>
      <c r="EY36">
        <v>0.2185040941769546</v>
      </c>
      <c r="EZ36">
        <v>0.20596783628978502</v>
      </c>
      <c r="FA36">
        <v>0.19533531542871638</v>
      </c>
      <c r="FB36">
        <v>0.20215192639244445</v>
      </c>
      <c r="FC36">
        <v>0.21186632549818282</v>
      </c>
      <c r="FD36">
        <v>0.22735287801206441</v>
      </c>
      <c r="FE36">
        <v>0.22791584409835389</v>
      </c>
      <c r="FF36">
        <v>0.26744585175444402</v>
      </c>
      <c r="FG36">
        <v>0.25081691180098953</v>
      </c>
      <c r="FH36">
        <v>0.25429033819508623</v>
      </c>
      <c r="FI36">
        <v>0.2522676445082041</v>
      </c>
      <c r="FJ36">
        <v>0.23764033166170556</v>
      </c>
      <c r="FK36">
        <v>0.24075020770293998</v>
      </c>
      <c r="FL36">
        <v>0.25300255639374636</v>
      </c>
      <c r="FM36">
        <v>0.27082496715571691</v>
      </c>
      <c r="FN36">
        <v>0.28097604469844129</v>
      </c>
      <c r="FO36">
        <v>0.28435100918241646</v>
      </c>
      <c r="FQ36" t="s">
        <v>644</v>
      </c>
      <c r="FR36" t="s">
        <v>127</v>
      </c>
      <c r="FS36" t="s">
        <v>128</v>
      </c>
      <c r="FT36">
        <v>0.16212790800396895</v>
      </c>
    </row>
    <row r="37" spans="2:176" x14ac:dyDescent="0.45">
      <c r="B37" t="s">
        <v>645</v>
      </c>
      <c r="C37" t="s">
        <v>123</v>
      </c>
      <c r="D37">
        <v>0.41336868014606315</v>
      </c>
      <c r="E37">
        <v>0.41502235650751679</v>
      </c>
      <c r="F37">
        <v>0.39796219098052238</v>
      </c>
      <c r="G37">
        <v>0.39108759142559796</v>
      </c>
      <c r="H37">
        <v>0.39527312198082692</v>
      </c>
      <c r="I37">
        <v>0.41099296206523256</v>
      </c>
      <c r="J37">
        <v>0.44289430887045089</v>
      </c>
      <c r="K37">
        <v>0.43848858976595867</v>
      </c>
      <c r="L37">
        <v>0.43726855699954298</v>
      </c>
      <c r="M37">
        <v>0.42577403838984129</v>
      </c>
      <c r="N37">
        <v>0.39640447821171199</v>
      </c>
      <c r="O37">
        <v>0.41581262144740821</v>
      </c>
      <c r="P37">
        <v>0.41833890868935475</v>
      </c>
      <c r="Q37">
        <v>0.42638575461788397</v>
      </c>
      <c r="R37">
        <v>0.43355081174992749</v>
      </c>
      <c r="S37">
        <v>0.42152747299458088</v>
      </c>
      <c r="T37">
        <v>0.3959303139872104</v>
      </c>
      <c r="U37">
        <v>0.38005091890097775</v>
      </c>
      <c r="V37">
        <v>0.38828673401196945</v>
      </c>
      <c r="W37">
        <v>0.38517872736959946</v>
      </c>
      <c r="X37">
        <v>0.40892912341412974</v>
      </c>
      <c r="Y37">
        <v>0.37701285480274344</v>
      </c>
      <c r="Z37">
        <v>0.39238324434611282</v>
      </c>
      <c r="AA37">
        <v>0.41513367022568998</v>
      </c>
      <c r="AB37">
        <v>0.38501314862937902</v>
      </c>
      <c r="AC37">
        <v>0.36215539439720845</v>
      </c>
      <c r="AD37">
        <v>0.37947343109228726</v>
      </c>
      <c r="AE37">
        <v>0.4048337642760198</v>
      </c>
      <c r="AF37">
        <v>0.42559467863641504</v>
      </c>
      <c r="AG37">
        <v>0.44218237906912894</v>
      </c>
      <c r="AH37">
        <v>0.40918714597971778</v>
      </c>
      <c r="AI37">
        <v>0.39488448507667112</v>
      </c>
      <c r="AJ37">
        <v>0.41018411940955612</v>
      </c>
      <c r="AK37">
        <v>0.4201845785189558</v>
      </c>
      <c r="AL37">
        <v>0.41399344202414529</v>
      </c>
      <c r="AM37">
        <v>0.40288696333016877</v>
      </c>
      <c r="AN37">
        <v>0.4143889383267923</v>
      </c>
      <c r="AO37">
        <v>0.4146631575842305</v>
      </c>
      <c r="AP37">
        <v>0.39583390295776977</v>
      </c>
      <c r="AQ37">
        <v>0.39547715981926501</v>
      </c>
      <c r="EA37" t="s">
        <v>645</v>
      </c>
      <c r="EB37">
        <v>0.29315788130342513</v>
      </c>
      <c r="EC37">
        <v>0.29150756284069357</v>
      </c>
      <c r="ED37">
        <v>0.294354590454385</v>
      </c>
      <c r="EE37">
        <v>0.29453406118676845</v>
      </c>
      <c r="EF37">
        <v>0.28668304152489754</v>
      </c>
      <c r="EG37">
        <v>0.2897983387123042</v>
      </c>
      <c r="EH37">
        <v>0.29271246869981515</v>
      </c>
      <c r="EI37">
        <v>0.29784152747688253</v>
      </c>
      <c r="EJ37">
        <v>0.29632161745312752</v>
      </c>
      <c r="EK37">
        <v>0.28761528775736872</v>
      </c>
      <c r="EL37">
        <v>0.29752382368253322</v>
      </c>
      <c r="EM37">
        <v>0.27937296147040558</v>
      </c>
      <c r="EN37">
        <v>0.26169957155218276</v>
      </c>
      <c r="EO37">
        <v>0.23595540898772271</v>
      </c>
      <c r="EP37">
        <v>0.22053075101279182</v>
      </c>
      <c r="EQ37">
        <v>0.26681472861857519</v>
      </c>
      <c r="ER37">
        <v>0.32244148759362679</v>
      </c>
      <c r="ES37">
        <v>0.34959766777218115</v>
      </c>
      <c r="ET37">
        <v>0.35185264644920977</v>
      </c>
      <c r="EU37">
        <v>0.31476223539583043</v>
      </c>
      <c r="EV37">
        <v>0.17519077882043793</v>
      </c>
      <c r="EW37">
        <v>0.17885211370393203</v>
      </c>
      <c r="EX37">
        <v>0.16350784803657073</v>
      </c>
      <c r="EY37">
        <v>0.15184353119579985</v>
      </c>
      <c r="EZ37">
        <v>0.14909239459017878</v>
      </c>
      <c r="FA37">
        <v>0.17346058796145625</v>
      </c>
      <c r="FB37">
        <v>0.20708474990441772</v>
      </c>
      <c r="FC37">
        <v>0.22269323434429164</v>
      </c>
      <c r="FD37">
        <v>0.22497520044868666</v>
      </c>
      <c r="FE37">
        <v>0.21620124621263115</v>
      </c>
      <c r="FF37">
        <v>0.23241444770244654</v>
      </c>
      <c r="FG37">
        <v>0.22240132081359973</v>
      </c>
      <c r="FH37">
        <v>0.22776159963504444</v>
      </c>
      <c r="FI37">
        <v>0.21872869891174815</v>
      </c>
      <c r="FJ37">
        <v>0.20930535070751746</v>
      </c>
      <c r="FK37">
        <v>0.23105631422372197</v>
      </c>
      <c r="FL37">
        <v>0.26480492063605787</v>
      </c>
      <c r="FM37">
        <v>0.28504059404014248</v>
      </c>
      <c r="FN37">
        <v>0.2918343636841414</v>
      </c>
      <c r="FO37">
        <v>0.26902744819518132</v>
      </c>
      <c r="FQ37" t="s">
        <v>646</v>
      </c>
      <c r="FR37" t="s">
        <v>127</v>
      </c>
      <c r="FS37" t="s">
        <v>128</v>
      </c>
      <c r="FT37">
        <v>0.19119478330705372</v>
      </c>
    </row>
    <row r="38" spans="2:176" x14ac:dyDescent="0.45">
      <c r="B38" t="s">
        <v>647</v>
      </c>
      <c r="C38" t="s">
        <v>123</v>
      </c>
      <c r="D38">
        <v>0.37415208275527412</v>
      </c>
      <c r="E38">
        <v>0.38182421802980543</v>
      </c>
      <c r="F38">
        <v>0.38492527513489078</v>
      </c>
      <c r="G38">
        <v>0.39846004270596291</v>
      </c>
      <c r="H38">
        <v>0.4010910991239891</v>
      </c>
      <c r="I38">
        <v>0.39222551859589599</v>
      </c>
      <c r="J38">
        <v>0.39395918098018617</v>
      </c>
      <c r="K38">
        <v>0.38208282605600985</v>
      </c>
      <c r="L38">
        <v>0.37665612872466731</v>
      </c>
      <c r="M38">
        <v>0.38463449101444414</v>
      </c>
      <c r="N38">
        <v>0.33543491090213962</v>
      </c>
      <c r="O38">
        <v>0.34173904539344152</v>
      </c>
      <c r="P38">
        <v>0.33767077437801779</v>
      </c>
      <c r="Q38">
        <v>0.34282398454353752</v>
      </c>
      <c r="R38">
        <v>0.3649829042515238</v>
      </c>
      <c r="S38">
        <v>0.35063574351802834</v>
      </c>
      <c r="T38">
        <v>0.34029279474935648</v>
      </c>
      <c r="U38">
        <v>0.3404551187781743</v>
      </c>
      <c r="V38">
        <v>0.32444112062539693</v>
      </c>
      <c r="W38">
        <v>0.32929292992435355</v>
      </c>
      <c r="X38">
        <v>0.32635437314160892</v>
      </c>
      <c r="Y38">
        <v>0.30180225242862624</v>
      </c>
      <c r="Z38">
        <v>0.32059559277495014</v>
      </c>
      <c r="AA38">
        <v>0.33723964488877484</v>
      </c>
      <c r="AB38">
        <v>0.31169589839109851</v>
      </c>
      <c r="AC38">
        <v>0.31555986614462606</v>
      </c>
      <c r="AD38">
        <v>0.33474431081077777</v>
      </c>
      <c r="AE38">
        <v>0.34995742212590064</v>
      </c>
      <c r="AF38">
        <v>0.3640421362627651</v>
      </c>
      <c r="AG38">
        <v>0.38309722431025184</v>
      </c>
      <c r="AH38">
        <v>0.36879156265608215</v>
      </c>
      <c r="AI38">
        <v>0.36494074376377916</v>
      </c>
      <c r="AJ38">
        <v>0.37146545345199256</v>
      </c>
      <c r="AK38">
        <v>0.38713255426807969</v>
      </c>
      <c r="AL38">
        <v>0.41205637333890649</v>
      </c>
      <c r="AM38">
        <v>0.42593282602367949</v>
      </c>
      <c r="AN38">
        <v>0.40707764805307589</v>
      </c>
      <c r="AO38">
        <v>0.40314245312539371</v>
      </c>
      <c r="AP38">
        <v>0.39618751901494581</v>
      </c>
      <c r="AQ38">
        <v>0.39558276461437425</v>
      </c>
      <c r="EA38" t="s">
        <v>647</v>
      </c>
      <c r="EB38">
        <v>0.34873778520558441</v>
      </c>
      <c r="EC38">
        <v>0.33237872861361606</v>
      </c>
      <c r="ED38">
        <v>0.32273619353953126</v>
      </c>
      <c r="EE38">
        <v>0.32101748330233632</v>
      </c>
      <c r="EF38">
        <v>0.31988702929002788</v>
      </c>
      <c r="EG38">
        <v>0.31789733633285616</v>
      </c>
      <c r="EH38">
        <v>0.3275231355697944</v>
      </c>
      <c r="EI38">
        <v>0.3360086278375769</v>
      </c>
      <c r="EJ38">
        <v>0.34318854257059545</v>
      </c>
      <c r="EK38">
        <v>0.34518013476710657</v>
      </c>
      <c r="EL38">
        <v>0.38446869802812772</v>
      </c>
      <c r="EM38">
        <v>0.35512407277878599</v>
      </c>
      <c r="EN38">
        <v>0.33148195122201646</v>
      </c>
      <c r="EO38">
        <v>0.31519761291521908</v>
      </c>
      <c r="EP38">
        <v>0.28869372985673719</v>
      </c>
      <c r="EQ38">
        <v>0.30558658906308656</v>
      </c>
      <c r="ER38">
        <v>0.33691905454233828</v>
      </c>
      <c r="ES38">
        <v>0.36755156385374138</v>
      </c>
      <c r="ET38">
        <v>0.38842322126682766</v>
      </c>
      <c r="EU38">
        <v>0.38916663465536883</v>
      </c>
      <c r="EV38">
        <v>0.26273444139246266</v>
      </c>
      <c r="EW38">
        <v>0.25554970378974162</v>
      </c>
      <c r="EX38">
        <v>0.22570522768122636</v>
      </c>
      <c r="EY38">
        <v>0.1969218232440039</v>
      </c>
      <c r="EZ38">
        <v>0.19431063168450227</v>
      </c>
      <c r="FA38">
        <v>0.22769911319663963</v>
      </c>
      <c r="FB38">
        <v>0.26893739444457138</v>
      </c>
      <c r="FC38">
        <v>0.27871611905566485</v>
      </c>
      <c r="FD38">
        <v>0.26726982698686802</v>
      </c>
      <c r="FE38">
        <v>0.24849607189370007</v>
      </c>
      <c r="FF38">
        <v>0.27438338124287515</v>
      </c>
      <c r="FG38">
        <v>0.27038938313680805</v>
      </c>
      <c r="FH38">
        <v>0.27082369617713203</v>
      </c>
      <c r="FI38">
        <v>0.26321771086552936</v>
      </c>
      <c r="FJ38">
        <v>0.24493103889428561</v>
      </c>
      <c r="FK38">
        <v>0.25419946733028514</v>
      </c>
      <c r="FL38">
        <v>0.2802747358906908</v>
      </c>
      <c r="FM38">
        <v>0.29892364441309593</v>
      </c>
      <c r="FN38">
        <v>0.29785154610489473</v>
      </c>
      <c r="FO38">
        <v>0.29432855975811706</v>
      </c>
      <c r="FQ38" t="s">
        <v>648</v>
      </c>
      <c r="FR38" t="s">
        <v>127</v>
      </c>
      <c r="FS38" t="s">
        <v>128</v>
      </c>
      <c r="FT38">
        <v>0.25183825503391755</v>
      </c>
    </row>
    <row r="39" spans="2:176" x14ac:dyDescent="0.45">
      <c r="B39" t="s">
        <v>649</v>
      </c>
      <c r="C39" t="s">
        <v>123</v>
      </c>
      <c r="D39">
        <v>0.39406465041506045</v>
      </c>
      <c r="E39">
        <v>0.38994586143435056</v>
      </c>
      <c r="F39">
        <v>0.39389914811674953</v>
      </c>
      <c r="G39">
        <v>0.39283070158404421</v>
      </c>
      <c r="H39">
        <v>0.40911442092545935</v>
      </c>
      <c r="I39">
        <v>0.40590855228576284</v>
      </c>
      <c r="J39">
        <v>0.40299389180730605</v>
      </c>
      <c r="K39">
        <v>0.40279382857506801</v>
      </c>
      <c r="L39">
        <v>0.40052579602382005</v>
      </c>
      <c r="M39">
        <v>0.41018379143298389</v>
      </c>
      <c r="N39">
        <v>0.41578306210683763</v>
      </c>
      <c r="O39">
        <v>0.43136769015394594</v>
      </c>
      <c r="P39">
        <v>0.43806806794206593</v>
      </c>
      <c r="Q39">
        <v>0.44716841429973642</v>
      </c>
      <c r="R39">
        <v>0.46035900240889072</v>
      </c>
      <c r="S39">
        <v>0.46246205237745369</v>
      </c>
      <c r="T39">
        <v>0.41940545889563841</v>
      </c>
      <c r="U39">
        <v>0.38730468015165781</v>
      </c>
      <c r="V39">
        <v>0.40465457822468265</v>
      </c>
      <c r="W39">
        <v>0.41258063220981073</v>
      </c>
      <c r="X39">
        <v>0.3743153397836872</v>
      </c>
      <c r="Y39">
        <v>0.38287907958341055</v>
      </c>
      <c r="Z39">
        <v>0.40912366476230183</v>
      </c>
      <c r="AA39">
        <v>0.4080637241121694</v>
      </c>
      <c r="AB39">
        <v>0.38658738597798908</v>
      </c>
      <c r="AC39">
        <v>0.38776259577846489</v>
      </c>
      <c r="AD39">
        <v>0.40631292716405515</v>
      </c>
      <c r="AE39">
        <v>0.4282816290725095</v>
      </c>
      <c r="AF39">
        <v>0.42580586018591216</v>
      </c>
      <c r="AG39">
        <v>0.41179804937873093</v>
      </c>
      <c r="AH39">
        <v>0.43022958383284354</v>
      </c>
      <c r="AI39">
        <v>0.41858759107987237</v>
      </c>
      <c r="AJ39">
        <v>0.42388451474739675</v>
      </c>
      <c r="AK39">
        <v>0.43580187298604173</v>
      </c>
      <c r="AL39">
        <v>0.4548332731406608</v>
      </c>
      <c r="AM39">
        <v>0.45212471898811069</v>
      </c>
      <c r="AN39">
        <v>0.43554961765332423</v>
      </c>
      <c r="AO39">
        <v>0.41118901340197422</v>
      </c>
      <c r="AP39">
        <v>0.40140949969477541</v>
      </c>
      <c r="AQ39">
        <v>0.42690304300089393</v>
      </c>
      <c r="EA39" t="s">
        <v>649</v>
      </c>
      <c r="EB39">
        <v>0.25628895370936206</v>
      </c>
      <c r="EC39">
        <v>0.25541182244318933</v>
      </c>
      <c r="ED39">
        <v>0.25827718024525792</v>
      </c>
      <c r="EE39">
        <v>0.25969037228507608</v>
      </c>
      <c r="EF39">
        <v>0.23661310489663456</v>
      </c>
      <c r="EG39">
        <v>0.23219496335599846</v>
      </c>
      <c r="EH39">
        <v>0.24139595129945496</v>
      </c>
      <c r="EI39">
        <v>0.25703681287109581</v>
      </c>
      <c r="EJ39">
        <v>0.25778279819111266</v>
      </c>
      <c r="EK39">
        <v>0.24717512968544098</v>
      </c>
      <c r="EL39">
        <v>0.25684577715297502</v>
      </c>
      <c r="EM39">
        <v>0.2495456340378216</v>
      </c>
      <c r="EN39">
        <v>0.24347276424418574</v>
      </c>
      <c r="EO39">
        <v>0.22912102936907766</v>
      </c>
      <c r="EP39">
        <v>0.20662856759549195</v>
      </c>
      <c r="EQ39">
        <v>0.23291999345720873</v>
      </c>
      <c r="ER39">
        <v>0.2571383117571856</v>
      </c>
      <c r="ES39">
        <v>0.28037201895713265</v>
      </c>
      <c r="ET39">
        <v>0.276411933204052</v>
      </c>
      <c r="EU39">
        <v>0.26047280376870208</v>
      </c>
      <c r="EV39">
        <v>0.14499073860959288</v>
      </c>
      <c r="EW39">
        <v>0.14914035569175735</v>
      </c>
      <c r="EX39">
        <v>0.14600596010439665</v>
      </c>
      <c r="EY39">
        <v>0.13513590088000724</v>
      </c>
      <c r="EZ39">
        <v>0.1043730550294831</v>
      </c>
      <c r="FA39">
        <v>0.11733575063907793</v>
      </c>
      <c r="FB39">
        <v>0.14537000365040084</v>
      </c>
      <c r="FC39">
        <v>0.1644551982241769</v>
      </c>
      <c r="FD39">
        <v>0.16780314452627196</v>
      </c>
      <c r="FE39">
        <v>0.15828611161285067</v>
      </c>
      <c r="FF39">
        <v>0.22291307199208343</v>
      </c>
      <c r="FG39">
        <v>0.22237665101893161</v>
      </c>
      <c r="FH39">
        <v>0.22609987321451813</v>
      </c>
      <c r="FI39">
        <v>0.23070835205674628</v>
      </c>
      <c r="FJ39">
        <v>0.2135933180556564</v>
      </c>
      <c r="FK39">
        <v>0.21536403672556595</v>
      </c>
      <c r="FL39">
        <v>0.21732624015636751</v>
      </c>
      <c r="FM39">
        <v>0.23143109189577019</v>
      </c>
      <c r="FN39">
        <v>0.24035115177482214</v>
      </c>
      <c r="FO39">
        <v>0.23891820595043073</v>
      </c>
      <c r="FQ39" t="s">
        <v>650</v>
      </c>
      <c r="FR39" t="s">
        <v>127</v>
      </c>
      <c r="FS39" t="s">
        <v>128</v>
      </c>
      <c r="FT39">
        <v>0.16013250069709065</v>
      </c>
    </row>
    <row r="40" spans="2:176" x14ac:dyDescent="0.45">
      <c r="B40" t="s">
        <v>651</v>
      </c>
      <c r="C40" t="s">
        <v>123</v>
      </c>
      <c r="D40">
        <v>0.45990188918899599</v>
      </c>
      <c r="E40">
        <v>0.44366488755256261</v>
      </c>
      <c r="F40">
        <v>0.44044595824862565</v>
      </c>
      <c r="G40">
        <v>0.44607906121452917</v>
      </c>
      <c r="H40">
        <v>0.47059970031160631</v>
      </c>
      <c r="I40">
        <v>0.47055287945834284</v>
      </c>
      <c r="J40">
        <v>0.44294395670347847</v>
      </c>
      <c r="K40">
        <v>0.43104954389003969</v>
      </c>
      <c r="L40">
        <v>0.44206020829722931</v>
      </c>
      <c r="M40">
        <v>0.45063641193744075</v>
      </c>
      <c r="N40">
        <v>0.37848490332402962</v>
      </c>
      <c r="O40">
        <v>0.39843452938514484</v>
      </c>
      <c r="P40">
        <v>0.40165949476218532</v>
      </c>
      <c r="Q40">
        <v>0.40727838211709105</v>
      </c>
      <c r="R40">
        <v>0.40741761364519485</v>
      </c>
      <c r="S40">
        <v>0.38515471297761678</v>
      </c>
      <c r="T40">
        <v>0.36126656852216982</v>
      </c>
      <c r="U40">
        <v>0.34325621067991341</v>
      </c>
      <c r="V40">
        <v>0.35126956501954909</v>
      </c>
      <c r="W40">
        <v>0.37336582551558889</v>
      </c>
      <c r="X40">
        <v>0.44563173754955232</v>
      </c>
      <c r="Y40">
        <v>0.44959590720353648</v>
      </c>
      <c r="Z40">
        <v>0.46867050348027023</v>
      </c>
      <c r="AA40">
        <v>0.46697375932305918</v>
      </c>
      <c r="AB40">
        <v>0.45621500566270384</v>
      </c>
      <c r="AC40">
        <v>0.38740106262140617</v>
      </c>
      <c r="AD40">
        <v>0.37465895139295785</v>
      </c>
      <c r="AE40">
        <v>0.40524370570074636</v>
      </c>
      <c r="AF40">
        <v>0.42510060638055491</v>
      </c>
      <c r="AG40">
        <v>0.4353071125293389</v>
      </c>
      <c r="AH40">
        <v>0.43482030378392361</v>
      </c>
      <c r="AI40">
        <v>0.43865968692664709</v>
      </c>
      <c r="AJ40">
        <v>0.4475807162182272</v>
      </c>
      <c r="AK40">
        <v>0.45436603825063565</v>
      </c>
      <c r="AL40">
        <v>0.47896520631588202</v>
      </c>
      <c r="AM40">
        <v>0.47102631987803845</v>
      </c>
      <c r="AN40">
        <v>0.4444158386105761</v>
      </c>
      <c r="AO40">
        <v>0.42088990142893251</v>
      </c>
      <c r="AP40">
        <v>0.41899973294680831</v>
      </c>
      <c r="AQ40">
        <v>0.41543735713804253</v>
      </c>
      <c r="EA40" t="s">
        <v>651</v>
      </c>
      <c r="EB40">
        <v>0.2853225189863805</v>
      </c>
      <c r="EC40">
        <v>0.28842019194672885</v>
      </c>
      <c r="ED40">
        <v>0.29174134831321769</v>
      </c>
      <c r="EE40">
        <v>0.2903816058965431</v>
      </c>
      <c r="EF40">
        <v>0.27322558778344419</v>
      </c>
      <c r="EG40">
        <v>0.26006584853707088</v>
      </c>
      <c r="EH40">
        <v>0.26365791444975994</v>
      </c>
      <c r="EI40">
        <v>0.27410466020752394</v>
      </c>
      <c r="EJ40">
        <v>0.27736330639840157</v>
      </c>
      <c r="EK40">
        <v>0.27674699701847738</v>
      </c>
      <c r="EL40">
        <v>0.2449813488820464</v>
      </c>
      <c r="EM40">
        <v>0.26885476239841444</v>
      </c>
      <c r="EN40">
        <v>0.28342137320797894</v>
      </c>
      <c r="EO40">
        <v>0.2949964389072951</v>
      </c>
      <c r="EP40">
        <v>0.29131725590598284</v>
      </c>
      <c r="EQ40">
        <v>0.30464497187178891</v>
      </c>
      <c r="ER40">
        <v>0.31430952626037689</v>
      </c>
      <c r="ES40">
        <v>0.31374782344204533</v>
      </c>
      <c r="ET40">
        <v>0.2996780149383021</v>
      </c>
      <c r="EU40">
        <v>0.26982762442926422</v>
      </c>
      <c r="EV40">
        <v>0.10495373097936693</v>
      </c>
      <c r="EW40">
        <v>0.102793499485654</v>
      </c>
      <c r="EX40">
        <v>9.708306994784785E-2</v>
      </c>
      <c r="EY40">
        <v>8.0373090936227798E-2</v>
      </c>
      <c r="EZ40">
        <v>6.5026489258139211E-2</v>
      </c>
      <c r="FA40">
        <v>9.3884371676160011E-2</v>
      </c>
      <c r="FB40">
        <v>0.13479025154872049</v>
      </c>
      <c r="FC40">
        <v>0.15175094803809525</v>
      </c>
      <c r="FD40">
        <v>0.14374252399287499</v>
      </c>
      <c r="FE40">
        <v>0.12277384190024267</v>
      </c>
      <c r="FF40">
        <v>0.26064944968351045</v>
      </c>
      <c r="FG40">
        <v>0.25443505848973919</v>
      </c>
      <c r="FH40">
        <v>0.25333144070675417</v>
      </c>
      <c r="FI40">
        <v>0.25436876248924023</v>
      </c>
      <c r="FJ40">
        <v>0.25289794788670866</v>
      </c>
      <c r="FK40">
        <v>0.26854049294404247</v>
      </c>
      <c r="FL40">
        <v>0.27656004282532543</v>
      </c>
      <c r="FM40">
        <v>0.28393808319032809</v>
      </c>
      <c r="FN40">
        <v>0.28214274512048626</v>
      </c>
      <c r="FO40">
        <v>0.27594689527048105</v>
      </c>
      <c r="FQ40" t="s">
        <v>652</v>
      </c>
      <c r="FR40" t="s">
        <v>127</v>
      </c>
      <c r="FS40" t="s">
        <v>128</v>
      </c>
      <c r="FT40">
        <v>0.1636871677693959</v>
      </c>
    </row>
    <row r="41" spans="2:176" x14ac:dyDescent="0.45">
      <c r="B41" t="s">
        <v>653</v>
      </c>
      <c r="C41" t="s">
        <v>123</v>
      </c>
      <c r="D41">
        <v>0.40805406155594781</v>
      </c>
      <c r="E41">
        <v>0.4123117714542891</v>
      </c>
      <c r="F41">
        <v>0.41209657329085486</v>
      </c>
      <c r="G41">
        <v>0.43942986626408281</v>
      </c>
      <c r="H41">
        <v>0.44830451357444201</v>
      </c>
      <c r="I41">
        <v>0.43967297397571237</v>
      </c>
      <c r="J41">
        <v>0.41972833517701241</v>
      </c>
      <c r="K41">
        <v>0.40419864863899163</v>
      </c>
      <c r="L41">
        <v>0.39664175406691426</v>
      </c>
      <c r="M41">
        <v>0.39610010279863334</v>
      </c>
      <c r="N41">
        <v>0.32808670199243339</v>
      </c>
      <c r="O41">
        <v>0.33885741923687157</v>
      </c>
      <c r="P41">
        <v>0.34207097248135904</v>
      </c>
      <c r="Q41">
        <v>0.35093497989328487</v>
      </c>
      <c r="R41">
        <v>0.36473986977342754</v>
      </c>
      <c r="S41">
        <v>0.35478692189439481</v>
      </c>
      <c r="T41">
        <v>0.33293593676658473</v>
      </c>
      <c r="U41">
        <v>0.31932331720630036</v>
      </c>
      <c r="V41">
        <v>0.31100727942235157</v>
      </c>
      <c r="W41">
        <v>0.31725467382853989</v>
      </c>
      <c r="X41">
        <v>0.45433216976733687</v>
      </c>
      <c r="Y41">
        <v>0.47304288751083146</v>
      </c>
      <c r="Z41">
        <v>0.46853283421500364</v>
      </c>
      <c r="AA41">
        <v>0.46235532842792249</v>
      </c>
      <c r="AB41">
        <v>0.44678622675181801</v>
      </c>
      <c r="AC41">
        <v>0.38724211929067359</v>
      </c>
      <c r="AD41">
        <v>0.35432431958504906</v>
      </c>
      <c r="AE41">
        <v>0.39434795841462028</v>
      </c>
      <c r="AF41">
        <v>0.42687943635023196</v>
      </c>
      <c r="AG41">
        <v>0.43253167925226049</v>
      </c>
      <c r="AH41">
        <v>0.41754524493430428</v>
      </c>
      <c r="AI41">
        <v>0.40833165777782621</v>
      </c>
      <c r="AJ41">
        <v>0.42153962118544308</v>
      </c>
      <c r="AK41">
        <v>0.44214885326277847</v>
      </c>
      <c r="AL41">
        <v>0.45336079370913163</v>
      </c>
      <c r="AM41">
        <v>0.42967357480067381</v>
      </c>
      <c r="AN41">
        <v>0.41786687982093096</v>
      </c>
      <c r="AO41">
        <v>0.41297086952886269</v>
      </c>
      <c r="AP41">
        <v>0.40271206462853387</v>
      </c>
      <c r="AQ41">
        <v>0.40838348034005928</v>
      </c>
      <c r="EA41" t="s">
        <v>653</v>
      </c>
      <c r="EB41">
        <v>0.32323367969011096</v>
      </c>
      <c r="EC41">
        <v>0.31410888024865208</v>
      </c>
      <c r="ED41">
        <v>0.31638639448355182</v>
      </c>
      <c r="EE41">
        <v>0.31438246463752678</v>
      </c>
      <c r="EF41">
        <v>0.30660621540750105</v>
      </c>
      <c r="EG41">
        <v>0.30403658942480632</v>
      </c>
      <c r="EH41">
        <v>0.31409160431366434</v>
      </c>
      <c r="EI41">
        <v>0.32603525280095252</v>
      </c>
      <c r="EJ41">
        <v>0.33561895305898959</v>
      </c>
      <c r="EK41">
        <v>0.34142386608889652</v>
      </c>
      <c r="EL41">
        <v>0.34680302910271038</v>
      </c>
      <c r="EM41">
        <v>0.35243867262506412</v>
      </c>
      <c r="EN41">
        <v>0.36343579801926884</v>
      </c>
      <c r="EO41">
        <v>0.37100344210215991</v>
      </c>
      <c r="EP41">
        <v>0.35806465976751173</v>
      </c>
      <c r="EQ41">
        <v>0.36885397601521908</v>
      </c>
      <c r="ER41">
        <v>0.38923747775369871</v>
      </c>
      <c r="ES41">
        <v>0.40117977533096577</v>
      </c>
      <c r="ET41">
        <v>0.40358487651367875</v>
      </c>
      <c r="EU41">
        <v>0.37700024344237643</v>
      </c>
      <c r="EV41">
        <v>0.1303069612193565</v>
      </c>
      <c r="EW41">
        <v>0.11830442208392598</v>
      </c>
      <c r="EX41">
        <v>0.10670213228877193</v>
      </c>
      <c r="EY41">
        <v>9.1220530651265411E-2</v>
      </c>
      <c r="EZ41">
        <v>8.483155503088953E-2</v>
      </c>
      <c r="FA41">
        <v>0.11465416757518924</v>
      </c>
      <c r="FB41">
        <v>0.14964092414974065</v>
      </c>
      <c r="FC41">
        <v>0.16353654909409721</v>
      </c>
      <c r="FD41">
        <v>0.15787276290648236</v>
      </c>
      <c r="FE41">
        <v>0.14064278446259429</v>
      </c>
      <c r="FF41">
        <v>0.29895401932664672</v>
      </c>
      <c r="FG41">
        <v>0.2909749464759338</v>
      </c>
      <c r="FH41">
        <v>0.28322008268541721</v>
      </c>
      <c r="FI41">
        <v>0.28367963839386184</v>
      </c>
      <c r="FJ41">
        <v>0.28298192490944496</v>
      </c>
      <c r="FK41">
        <v>0.29946086554225215</v>
      </c>
      <c r="FL41">
        <v>0.3115325393978175</v>
      </c>
      <c r="FM41">
        <v>0.3167763120320764</v>
      </c>
      <c r="FN41">
        <v>0.32079332167493768</v>
      </c>
      <c r="FO41">
        <v>0.3179900093762561</v>
      </c>
      <c r="FQ41" t="s">
        <v>654</v>
      </c>
      <c r="FR41" t="s">
        <v>127</v>
      </c>
      <c r="FS41" t="s">
        <v>128</v>
      </c>
      <c r="FT41">
        <v>0.17296957778310557</v>
      </c>
    </row>
    <row r="42" spans="2:176" x14ac:dyDescent="0.45">
      <c r="B42" t="s">
        <v>655</v>
      </c>
      <c r="C42" t="s">
        <v>123</v>
      </c>
      <c r="D42">
        <v>0.43656721250679292</v>
      </c>
      <c r="E42">
        <v>0.43654771291992078</v>
      </c>
      <c r="F42">
        <v>0.4566798226750815</v>
      </c>
      <c r="G42">
        <v>0.45299088092612866</v>
      </c>
      <c r="H42">
        <v>0.46508172041323115</v>
      </c>
      <c r="I42">
        <v>0.46926195786687042</v>
      </c>
      <c r="J42">
        <v>0.47681884613743108</v>
      </c>
      <c r="K42">
        <v>0.47800100115659749</v>
      </c>
      <c r="L42">
        <v>0.47011736484343253</v>
      </c>
      <c r="M42">
        <v>0.45671700348833888</v>
      </c>
      <c r="N42">
        <v>0.47898920322325705</v>
      </c>
      <c r="O42">
        <v>0.47558124824082743</v>
      </c>
      <c r="P42">
        <v>0.4548222950349336</v>
      </c>
      <c r="Q42">
        <v>0.43387262051650033</v>
      </c>
      <c r="R42">
        <v>0.42729315007115831</v>
      </c>
      <c r="S42">
        <v>0.42032279139380352</v>
      </c>
      <c r="T42">
        <v>0.43879868441518288</v>
      </c>
      <c r="U42">
        <v>0.46510470788054659</v>
      </c>
      <c r="V42">
        <v>0.48718798568787597</v>
      </c>
      <c r="W42">
        <v>0.49824630576548279</v>
      </c>
      <c r="X42">
        <v>0.53317500540884821</v>
      </c>
      <c r="Y42">
        <v>0.54520177999963548</v>
      </c>
      <c r="Z42">
        <v>0.54584007631498732</v>
      </c>
      <c r="AA42">
        <v>0.54010403800798923</v>
      </c>
      <c r="AB42">
        <v>0.52621423304395365</v>
      </c>
      <c r="AC42">
        <v>0.47722388142905847</v>
      </c>
      <c r="AD42">
        <v>0.41235424498039619</v>
      </c>
      <c r="AE42">
        <v>0.37992935385221854</v>
      </c>
      <c r="AF42">
        <v>0.39755691070936017</v>
      </c>
      <c r="AG42">
        <v>0.47659110336045979</v>
      </c>
      <c r="AH42">
        <v>0.4363439029523597</v>
      </c>
      <c r="AI42">
        <v>0.42700171392114589</v>
      </c>
      <c r="AJ42">
        <v>0.41688990285565131</v>
      </c>
      <c r="AK42">
        <v>0.43234714838463695</v>
      </c>
      <c r="AL42">
        <v>0.43258380830611143</v>
      </c>
      <c r="AM42">
        <v>0.43569394599369549</v>
      </c>
      <c r="AN42">
        <v>0.42862055877344962</v>
      </c>
      <c r="AO42">
        <v>0.42666517951583394</v>
      </c>
      <c r="AP42">
        <v>0.43032827585797345</v>
      </c>
      <c r="AQ42">
        <v>0.42851659907560541</v>
      </c>
      <c r="EA42" t="s">
        <v>655</v>
      </c>
      <c r="EB42">
        <v>0.28877854955128229</v>
      </c>
      <c r="EC42">
        <v>0.30167418587835787</v>
      </c>
      <c r="ED42">
        <v>0.29931352046419968</v>
      </c>
      <c r="EE42">
        <v>0.30670731684562064</v>
      </c>
      <c r="EF42">
        <v>0.29276271282135946</v>
      </c>
      <c r="EG42">
        <v>0.28008129812716426</v>
      </c>
      <c r="EH42">
        <v>0.27984166800540305</v>
      </c>
      <c r="EI42">
        <v>0.28352887389617304</v>
      </c>
      <c r="EJ42">
        <v>0.29630896538749935</v>
      </c>
      <c r="EK42">
        <v>0.29899062059677628</v>
      </c>
      <c r="EL42">
        <v>0.27109428269984642</v>
      </c>
      <c r="EM42">
        <v>0.26060360489592616</v>
      </c>
      <c r="EN42">
        <v>0.27059812982481701</v>
      </c>
      <c r="EO42">
        <v>0.28030608405307705</v>
      </c>
      <c r="EP42">
        <v>0.28792221052796935</v>
      </c>
      <c r="EQ42">
        <v>0.29346948988593324</v>
      </c>
      <c r="ER42">
        <v>0.29645523387731648</v>
      </c>
      <c r="ES42">
        <v>0.29682100315713561</v>
      </c>
      <c r="ET42">
        <v>0.28250784290768882</v>
      </c>
      <c r="EU42">
        <v>0.25971070735774537</v>
      </c>
      <c r="EV42">
        <v>8.7433533005893294E-2</v>
      </c>
      <c r="EW42">
        <v>0.1036453838634743</v>
      </c>
      <c r="EX42">
        <v>0.11705047698604525</v>
      </c>
      <c r="EY42">
        <v>0.11192907321852444</v>
      </c>
      <c r="EZ42">
        <v>0.10154610046854032</v>
      </c>
      <c r="FA42">
        <v>9.5090086336076393E-2</v>
      </c>
      <c r="FB42">
        <v>8.2175038409452533E-2</v>
      </c>
      <c r="FC42">
        <v>6.7659312984712588E-2</v>
      </c>
      <c r="FD42">
        <v>6.3736156461895302E-2</v>
      </c>
      <c r="FE42">
        <v>6.8550464592850816E-2</v>
      </c>
      <c r="FF42">
        <v>0.30357766885921045</v>
      </c>
      <c r="FG42">
        <v>0.29212764609781927</v>
      </c>
      <c r="FH42">
        <v>0.28513446995349812</v>
      </c>
      <c r="FI42">
        <v>0.29624544791583768</v>
      </c>
      <c r="FJ42">
        <v>0.29302872052985929</v>
      </c>
      <c r="FK42">
        <v>0.30768456261360866</v>
      </c>
      <c r="FL42">
        <v>0.31722851255007201</v>
      </c>
      <c r="FM42">
        <v>0.31890465671954943</v>
      </c>
      <c r="FN42">
        <v>0.31613935570361273</v>
      </c>
      <c r="FO42">
        <v>0.30772135019579638</v>
      </c>
      <c r="FQ42" t="s">
        <v>656</v>
      </c>
      <c r="FR42" t="s">
        <v>127</v>
      </c>
      <c r="FS42" t="s">
        <v>128</v>
      </c>
      <c r="FT42">
        <v>0.12862731033601396</v>
      </c>
    </row>
    <row r="43" spans="2:176" x14ac:dyDescent="0.45">
      <c r="B43" t="s">
        <v>657</v>
      </c>
      <c r="C43" t="s">
        <v>123</v>
      </c>
      <c r="D43">
        <v>0.47557038067110091</v>
      </c>
      <c r="E43">
        <v>0.44985577859980658</v>
      </c>
      <c r="F43">
        <v>0.43620278506142041</v>
      </c>
      <c r="G43">
        <v>0.42535969643889598</v>
      </c>
      <c r="H43">
        <v>0.4512936956589827</v>
      </c>
      <c r="I43">
        <v>0.47391108754939176</v>
      </c>
      <c r="J43">
        <v>0.47741184746372006</v>
      </c>
      <c r="K43">
        <v>0.47963684239121723</v>
      </c>
      <c r="L43">
        <v>0.47639634911275675</v>
      </c>
      <c r="M43">
        <v>0.46325983567873741</v>
      </c>
      <c r="N43">
        <v>0.40265001530497641</v>
      </c>
      <c r="O43">
        <v>0.40079248385659472</v>
      </c>
      <c r="P43">
        <v>0.39437245137140026</v>
      </c>
      <c r="Q43">
        <v>0.39635372623071446</v>
      </c>
      <c r="R43">
        <v>0.40599792832382114</v>
      </c>
      <c r="S43">
        <v>0.40067617351654344</v>
      </c>
      <c r="T43">
        <v>0.38495654263616075</v>
      </c>
      <c r="U43">
        <v>0.37912713318550173</v>
      </c>
      <c r="V43">
        <v>0.39153918445398428</v>
      </c>
      <c r="W43">
        <v>0.40682362964105623</v>
      </c>
      <c r="X43">
        <v>0.45041347033997742</v>
      </c>
      <c r="Y43">
        <v>0.46285161945441156</v>
      </c>
      <c r="Z43">
        <v>0.47592212295097996</v>
      </c>
      <c r="AA43">
        <v>0.49098148908196765</v>
      </c>
      <c r="AB43">
        <v>0.49919578849369695</v>
      </c>
      <c r="AC43">
        <v>0.45832517177411464</v>
      </c>
      <c r="AD43">
        <v>0.42106583150408972</v>
      </c>
      <c r="AE43">
        <v>0.41448991097711246</v>
      </c>
      <c r="AF43">
        <v>0.42208686006332685</v>
      </c>
      <c r="AG43">
        <v>0.44824145795164555</v>
      </c>
      <c r="AH43">
        <v>0.43137422837564826</v>
      </c>
      <c r="AI43">
        <v>0.42818578026486065</v>
      </c>
      <c r="AJ43">
        <v>0.41322794162316306</v>
      </c>
      <c r="AK43">
        <v>0.41756474577153185</v>
      </c>
      <c r="AL43">
        <v>0.43266769934525889</v>
      </c>
      <c r="AM43">
        <v>0.44461551718422609</v>
      </c>
      <c r="AN43">
        <v>0.44199723768874455</v>
      </c>
      <c r="AO43">
        <v>0.41707358109271586</v>
      </c>
      <c r="AP43">
        <v>0.41995646411437831</v>
      </c>
      <c r="AQ43">
        <v>0.41709961007923874</v>
      </c>
      <c r="EA43" t="s">
        <v>657</v>
      </c>
      <c r="EB43">
        <v>0.23179014377994034</v>
      </c>
      <c r="EC43">
        <v>0.24455871105959537</v>
      </c>
      <c r="ED43">
        <v>0.243949453180833</v>
      </c>
      <c r="EE43">
        <v>0.24251188400548843</v>
      </c>
      <c r="EF43">
        <v>0.23517820860038133</v>
      </c>
      <c r="EG43">
        <v>0.23465767659924416</v>
      </c>
      <c r="EH43">
        <v>0.23793845868898605</v>
      </c>
      <c r="EI43">
        <v>0.24049846524595428</v>
      </c>
      <c r="EJ43">
        <v>0.23866095829417983</v>
      </c>
      <c r="EK43">
        <v>0.23123536521891325</v>
      </c>
      <c r="EL43">
        <v>0.28437807682942512</v>
      </c>
      <c r="EM43">
        <v>0.30333994589583763</v>
      </c>
      <c r="EN43">
        <v>0.31303933320476351</v>
      </c>
      <c r="EO43">
        <v>0.30959267674922658</v>
      </c>
      <c r="EP43">
        <v>0.29851584315298457</v>
      </c>
      <c r="EQ43">
        <v>0.29637173249793791</v>
      </c>
      <c r="ER43">
        <v>0.28870641743798159</v>
      </c>
      <c r="ES43">
        <v>0.29538163752627988</v>
      </c>
      <c r="ET43">
        <v>0.29435804344990474</v>
      </c>
      <c r="EU43">
        <v>0.28197627402974285</v>
      </c>
      <c r="EV43">
        <v>9.6269725961232205E-2</v>
      </c>
      <c r="EW43">
        <v>9.4773469378997499E-2</v>
      </c>
      <c r="EX43">
        <v>9.0853008670500501E-2</v>
      </c>
      <c r="EY43">
        <v>7.8505181739794289E-2</v>
      </c>
      <c r="EZ43">
        <v>6.9471690900939367E-2</v>
      </c>
      <c r="FA43">
        <v>8.9232021354986438E-2</v>
      </c>
      <c r="FB43">
        <v>0.12046179487767944</v>
      </c>
      <c r="FC43">
        <v>0.13009334337222053</v>
      </c>
      <c r="FD43">
        <v>0.12267085773349483</v>
      </c>
      <c r="FE43">
        <v>0.10916085207098017</v>
      </c>
      <c r="FF43">
        <v>0.30289440006207441</v>
      </c>
      <c r="FG43">
        <v>0.29155062017878963</v>
      </c>
      <c r="FH43">
        <v>0.28166888955042507</v>
      </c>
      <c r="FI43">
        <v>0.27792286179163039</v>
      </c>
      <c r="FJ43">
        <v>0.2643197320251679</v>
      </c>
      <c r="FK43">
        <v>0.26782263704542852</v>
      </c>
      <c r="FL43">
        <v>0.27830093952982765</v>
      </c>
      <c r="FM43">
        <v>0.30114030813340237</v>
      </c>
      <c r="FN43">
        <v>0.30692123292036594</v>
      </c>
      <c r="FO43">
        <v>0.30335111555976235</v>
      </c>
      <c r="FQ43" t="s">
        <v>658</v>
      </c>
      <c r="FR43" t="s">
        <v>127</v>
      </c>
      <c r="FS43" t="s">
        <v>128</v>
      </c>
      <c r="FT43">
        <v>0.16141805281396907</v>
      </c>
    </row>
    <row r="44" spans="2:176" x14ac:dyDescent="0.45">
      <c r="B44" t="s">
        <v>659</v>
      </c>
      <c r="C44" t="s">
        <v>123</v>
      </c>
      <c r="D44">
        <v>0.41833149989296392</v>
      </c>
      <c r="E44">
        <v>0.4002887199948702</v>
      </c>
      <c r="F44">
        <v>0.40561782909417177</v>
      </c>
      <c r="G44">
        <v>0.41971586907220004</v>
      </c>
      <c r="H44">
        <v>0.42538584756509867</v>
      </c>
      <c r="I44">
        <v>0.40724249560417797</v>
      </c>
      <c r="J44">
        <v>0.38495100550644312</v>
      </c>
      <c r="K44">
        <v>0.39735880661155121</v>
      </c>
      <c r="L44">
        <v>0.42176544456730991</v>
      </c>
      <c r="M44">
        <v>0.43830382068943613</v>
      </c>
      <c r="N44">
        <v>0.35366236734077772</v>
      </c>
      <c r="O44">
        <v>0.30001937426360031</v>
      </c>
      <c r="P44">
        <v>0.30548324527782211</v>
      </c>
      <c r="Q44">
        <v>0.33337525139946877</v>
      </c>
      <c r="R44">
        <v>0.37303102686884615</v>
      </c>
      <c r="S44">
        <v>0.35959030403287279</v>
      </c>
      <c r="T44">
        <v>0.35683554925297928</v>
      </c>
      <c r="U44">
        <v>0.34289817634084718</v>
      </c>
      <c r="V44">
        <v>0.3557619428978836</v>
      </c>
      <c r="W44">
        <v>0.36620820212839245</v>
      </c>
      <c r="X44">
        <v>0.49322131160417737</v>
      </c>
      <c r="Y44">
        <v>0.49911595221676391</v>
      </c>
      <c r="Z44">
        <v>0.48727000344520915</v>
      </c>
      <c r="AA44">
        <v>0.50795693749340154</v>
      </c>
      <c r="AB44">
        <v>0.49274245503712538</v>
      </c>
      <c r="AC44">
        <v>0.44500449791702112</v>
      </c>
      <c r="AD44">
        <v>0.41053647553223344</v>
      </c>
      <c r="AE44">
        <v>0.39794123678619209</v>
      </c>
      <c r="AF44">
        <v>0.41240769911488484</v>
      </c>
      <c r="AG44">
        <v>0.43328885710517528</v>
      </c>
      <c r="AH44">
        <v>0.46517369497486477</v>
      </c>
      <c r="AI44">
        <v>0.4565424845970586</v>
      </c>
      <c r="AJ44">
        <v>0.4471134033510572</v>
      </c>
      <c r="AK44">
        <v>0.45760100379101259</v>
      </c>
      <c r="AL44">
        <v>0.45747840860098454</v>
      </c>
      <c r="AM44">
        <v>0.43343647572430988</v>
      </c>
      <c r="AN44">
        <v>0.43342545898062701</v>
      </c>
      <c r="AO44">
        <v>0.46300562796052386</v>
      </c>
      <c r="AP44">
        <v>0.49357295008966828</v>
      </c>
      <c r="AQ44">
        <v>0.50048191096841432</v>
      </c>
      <c r="EA44" t="s">
        <v>659</v>
      </c>
      <c r="EB44">
        <v>0.35210446361465353</v>
      </c>
      <c r="EC44">
        <v>0.37134380711038328</v>
      </c>
      <c r="ED44">
        <v>0.38323311148595468</v>
      </c>
      <c r="EE44">
        <v>0.39665920073090144</v>
      </c>
      <c r="EF44">
        <v>0.405850703735463</v>
      </c>
      <c r="EG44">
        <v>0.40659057033224111</v>
      </c>
      <c r="EH44">
        <v>0.39097248431959569</v>
      </c>
      <c r="EI44">
        <v>0.37026448168732901</v>
      </c>
      <c r="EJ44">
        <v>0.34145399881226879</v>
      </c>
      <c r="EK44">
        <v>0.32651032897877491</v>
      </c>
      <c r="EL44">
        <v>0.4320320865673053</v>
      </c>
      <c r="EM44">
        <v>0.42772327792844833</v>
      </c>
      <c r="EN44">
        <v>0.41015750167434978</v>
      </c>
      <c r="EO44">
        <v>0.38947771809363596</v>
      </c>
      <c r="EP44">
        <v>0.38994048737864712</v>
      </c>
      <c r="EQ44">
        <v>0.42630943757236006</v>
      </c>
      <c r="ER44">
        <v>0.44650506161667464</v>
      </c>
      <c r="ES44">
        <v>0.44980697291779492</v>
      </c>
      <c r="ET44">
        <v>0.43510947254113064</v>
      </c>
      <c r="EU44">
        <v>0.42673510834468237</v>
      </c>
      <c r="EV44">
        <v>9.8952547027297139E-2</v>
      </c>
      <c r="EW44">
        <v>0.10828742983884782</v>
      </c>
      <c r="EX44">
        <v>0.10561003958623205</v>
      </c>
      <c r="EY44">
        <v>0.10612907708482373</v>
      </c>
      <c r="EZ44">
        <v>0.10576675136139649</v>
      </c>
      <c r="FA44">
        <v>0.1316279197156735</v>
      </c>
      <c r="FB44">
        <v>0.14143299054264211</v>
      </c>
      <c r="FC44">
        <v>0.13432345816551786</v>
      </c>
      <c r="FD44">
        <v>0.11896097425498986</v>
      </c>
      <c r="FE44">
        <v>0.10197309977794428</v>
      </c>
      <c r="FF44">
        <v>0.23411017853077554</v>
      </c>
      <c r="FG44">
        <v>0.24612281898769706</v>
      </c>
      <c r="FH44">
        <v>0.24118826670237942</v>
      </c>
      <c r="FI44">
        <v>0.23742476459108244</v>
      </c>
      <c r="FJ44">
        <v>0.23774605820605643</v>
      </c>
      <c r="FK44">
        <v>0.25247650903261998</v>
      </c>
      <c r="FL44">
        <v>0.25860139186028497</v>
      </c>
      <c r="FM44">
        <v>0.24326605814978033</v>
      </c>
      <c r="FN44">
        <v>0.23131540624018251</v>
      </c>
      <c r="FO44">
        <v>0.22580134234408916</v>
      </c>
      <c r="FQ44" t="s">
        <v>660</v>
      </c>
      <c r="FR44" t="s">
        <v>127</v>
      </c>
      <c r="FS44" t="s">
        <v>128</v>
      </c>
      <c r="FT44">
        <v>0.25633851240253253</v>
      </c>
    </row>
    <row r="45" spans="2:176" x14ac:dyDescent="0.45">
      <c r="B45" t="s">
        <v>661</v>
      </c>
      <c r="C45" t="s">
        <v>123</v>
      </c>
      <c r="D45">
        <v>0.42016626214726166</v>
      </c>
      <c r="E45">
        <v>0.41133851793404774</v>
      </c>
      <c r="F45">
        <v>0.42039417855767669</v>
      </c>
      <c r="G45">
        <v>0.43417385570815714</v>
      </c>
      <c r="H45">
        <v>0.43380076265211431</v>
      </c>
      <c r="I45">
        <v>0.4399887256617066</v>
      </c>
      <c r="J45">
        <v>0.43511360216104417</v>
      </c>
      <c r="K45">
        <v>0.42624508403537464</v>
      </c>
      <c r="L45">
        <v>0.42662224423585687</v>
      </c>
      <c r="M45">
        <v>0.41785853959635433</v>
      </c>
      <c r="N45">
        <v>0.38079428118861419</v>
      </c>
      <c r="O45">
        <v>0.37804090335403601</v>
      </c>
      <c r="P45">
        <v>0.37933992466784855</v>
      </c>
      <c r="Q45">
        <v>0.39386371649752117</v>
      </c>
      <c r="R45">
        <v>0.40554055407451894</v>
      </c>
      <c r="S45">
        <v>0.40293996538883592</v>
      </c>
      <c r="T45">
        <v>0.38721670020072768</v>
      </c>
      <c r="U45">
        <v>0.37777113624574238</v>
      </c>
      <c r="V45">
        <v>0.38220760507986373</v>
      </c>
      <c r="W45">
        <v>0.38750050880838227</v>
      </c>
      <c r="X45">
        <v>0.5209550388733688</v>
      </c>
      <c r="Y45">
        <v>0.51763406106631671</v>
      </c>
      <c r="Z45">
        <v>0.51854317006146466</v>
      </c>
      <c r="AA45">
        <v>0.53583052054253699</v>
      </c>
      <c r="AB45">
        <v>0.52750820756334216</v>
      </c>
      <c r="AC45">
        <v>0.45065405965608191</v>
      </c>
      <c r="AD45">
        <v>0.43568349970044329</v>
      </c>
      <c r="AE45">
        <v>0.43107741836153712</v>
      </c>
      <c r="AF45">
        <v>0.45221742766777745</v>
      </c>
      <c r="AG45">
        <v>0.51004831126945316</v>
      </c>
      <c r="AH45">
        <v>0.52200470489826378</v>
      </c>
      <c r="AI45">
        <v>0.54545687301898693</v>
      </c>
      <c r="AJ45">
        <v>0.54184569011708583</v>
      </c>
      <c r="AK45">
        <v>0.53698310922909331</v>
      </c>
      <c r="AL45">
        <v>0.54779786172201428</v>
      </c>
      <c r="AM45">
        <v>0.54109812222445175</v>
      </c>
      <c r="AN45">
        <v>0.51093253944936035</v>
      </c>
      <c r="AO45">
        <v>0.48546778707113847</v>
      </c>
      <c r="AP45">
        <v>0.48772312842010007</v>
      </c>
      <c r="AQ45">
        <v>0.49638137452754616</v>
      </c>
      <c r="EA45" t="s">
        <v>661</v>
      </c>
      <c r="EB45">
        <v>0.2957869419728848</v>
      </c>
      <c r="EC45">
        <v>0.28470422294630565</v>
      </c>
      <c r="ED45">
        <v>0.26863577893380108</v>
      </c>
      <c r="EE45">
        <v>0.26792812440247726</v>
      </c>
      <c r="EF45">
        <v>0.29058830179698331</v>
      </c>
      <c r="EG45">
        <v>0.3059853621654251</v>
      </c>
      <c r="EH45">
        <v>0.31384360143521484</v>
      </c>
      <c r="EI45">
        <v>0.31460661257013173</v>
      </c>
      <c r="EJ45">
        <v>0.30247977977881196</v>
      </c>
      <c r="EK45">
        <v>0.29788145496984342</v>
      </c>
      <c r="EL45">
        <v>0.3748825706575552</v>
      </c>
      <c r="EM45">
        <v>0.36920638197188677</v>
      </c>
      <c r="EN45">
        <v>0.36540172258777009</v>
      </c>
      <c r="EO45">
        <v>0.35555001906015404</v>
      </c>
      <c r="EP45">
        <v>0.33481252324101674</v>
      </c>
      <c r="EQ45">
        <v>0.34232808331647196</v>
      </c>
      <c r="ER45">
        <v>0.36256091895069825</v>
      </c>
      <c r="ES45">
        <v>0.38044236252894359</v>
      </c>
      <c r="ET45">
        <v>0.38560109381912605</v>
      </c>
      <c r="EU45">
        <v>0.37829421554307641</v>
      </c>
      <c r="EV45">
        <v>6.542176580303681E-2</v>
      </c>
      <c r="EW45">
        <v>6.6922187125243823E-2</v>
      </c>
      <c r="EX45">
        <v>6.5720374110523075E-2</v>
      </c>
      <c r="EY45">
        <v>6.5682630532359024E-2</v>
      </c>
      <c r="EZ45">
        <v>6.1386988476483668E-2</v>
      </c>
      <c r="FA45">
        <v>8.3738208981795931E-2</v>
      </c>
      <c r="FB45">
        <v>0.10702584684690757</v>
      </c>
      <c r="FC45">
        <v>0.11281102512719586</v>
      </c>
      <c r="FD45">
        <v>0.10073845209438362</v>
      </c>
      <c r="FE45">
        <v>7.4199198027865287E-2</v>
      </c>
      <c r="FF45">
        <v>0.1654936740299775</v>
      </c>
      <c r="FG45">
        <v>0.17772927871319785</v>
      </c>
      <c r="FH45">
        <v>0.17564133031294851</v>
      </c>
      <c r="FI45">
        <v>0.1728080617213599</v>
      </c>
      <c r="FJ45">
        <v>0.1765462076812189</v>
      </c>
      <c r="FK45">
        <v>0.18475125757675231</v>
      </c>
      <c r="FL45">
        <v>0.19442587792000901</v>
      </c>
      <c r="FM45">
        <v>0.19341594626693157</v>
      </c>
      <c r="FN45">
        <v>0.18264378979457885</v>
      </c>
      <c r="FO45">
        <v>0.16975906374609762</v>
      </c>
      <c r="FQ45" t="s">
        <v>662</v>
      </c>
      <c r="FR45" t="s">
        <v>127</v>
      </c>
      <c r="FS45" t="s">
        <v>128</v>
      </c>
      <c r="FT45">
        <v>0.2178608545695741</v>
      </c>
    </row>
    <row r="46" spans="2:176" x14ac:dyDescent="0.45">
      <c r="B46" t="s">
        <v>663</v>
      </c>
      <c r="C46" t="s">
        <v>123</v>
      </c>
      <c r="D46">
        <v>0.45302388261326088</v>
      </c>
      <c r="E46">
        <v>0.46318302803123118</v>
      </c>
      <c r="F46">
        <v>0.48321414792139589</v>
      </c>
      <c r="G46">
        <v>0.51135783095263787</v>
      </c>
      <c r="H46">
        <v>0.51702202897628835</v>
      </c>
      <c r="I46">
        <v>0.49810210319838794</v>
      </c>
      <c r="J46">
        <v>0.47905944352678353</v>
      </c>
      <c r="K46">
        <v>0.44964714832595848</v>
      </c>
      <c r="L46">
        <v>0.43329857887154216</v>
      </c>
      <c r="M46">
        <v>0.44594334170052491</v>
      </c>
      <c r="N46">
        <v>0.39444019453520884</v>
      </c>
      <c r="O46">
        <v>0.39272278178649367</v>
      </c>
      <c r="P46">
        <v>0.40111425373589582</v>
      </c>
      <c r="Q46">
        <v>0.40930565144910042</v>
      </c>
      <c r="R46">
        <v>0.40727616891450152</v>
      </c>
      <c r="S46">
        <v>0.38195980077069708</v>
      </c>
      <c r="T46">
        <v>0.37809056893869747</v>
      </c>
      <c r="U46">
        <v>0.3821085762979482</v>
      </c>
      <c r="V46">
        <v>0.39123849021669616</v>
      </c>
      <c r="W46">
        <v>0.39813738704569879</v>
      </c>
      <c r="X46">
        <v>0.43338526507094116</v>
      </c>
      <c r="Y46">
        <v>0.43580931124859262</v>
      </c>
      <c r="Z46">
        <v>0.48242710441986925</v>
      </c>
      <c r="AA46">
        <v>0.50461946592300189</v>
      </c>
      <c r="AB46">
        <v>0.48404536971964224</v>
      </c>
      <c r="AC46">
        <v>0.40976545874687587</v>
      </c>
      <c r="AD46">
        <v>0.38880715541182981</v>
      </c>
      <c r="AE46">
        <v>0.40946964328964808</v>
      </c>
      <c r="AF46">
        <v>0.4388386734453803</v>
      </c>
      <c r="AG46">
        <v>0.43576246996639056</v>
      </c>
      <c r="AH46">
        <v>0.45944563282498413</v>
      </c>
      <c r="AI46">
        <v>0.45257396814596629</v>
      </c>
      <c r="AJ46">
        <v>0.44218405610162348</v>
      </c>
      <c r="AK46">
        <v>0.43215884571844626</v>
      </c>
      <c r="AL46">
        <v>0.45222119017790763</v>
      </c>
      <c r="AM46">
        <v>0.44169034519031397</v>
      </c>
      <c r="AN46">
        <v>0.44850480304363471</v>
      </c>
      <c r="AO46">
        <v>0.4654026102549953</v>
      </c>
      <c r="AP46">
        <v>0.47256235699424576</v>
      </c>
      <c r="AQ46">
        <v>0.46580254303435364</v>
      </c>
      <c r="EA46" t="s">
        <v>663</v>
      </c>
      <c r="EB46">
        <v>0.22231275462607905</v>
      </c>
      <c r="EC46">
        <v>0.20337950192971985</v>
      </c>
      <c r="ED46">
        <v>0.20506460723544662</v>
      </c>
      <c r="EE46">
        <v>0.22382686018472786</v>
      </c>
      <c r="EF46">
        <v>0.24260870839245596</v>
      </c>
      <c r="EG46">
        <v>0.26223770336723368</v>
      </c>
      <c r="EH46">
        <v>0.26625789328562427</v>
      </c>
      <c r="EI46">
        <v>0.26910105452841848</v>
      </c>
      <c r="EJ46">
        <v>0.25639382875295669</v>
      </c>
      <c r="EK46">
        <v>0.23728642274653033</v>
      </c>
      <c r="EL46">
        <v>0.30912936365217009</v>
      </c>
      <c r="EM46">
        <v>0.29943077752939234</v>
      </c>
      <c r="EN46">
        <v>0.31812530302076242</v>
      </c>
      <c r="EO46">
        <v>0.33612695519610253</v>
      </c>
      <c r="EP46">
        <v>0.32168683501761802</v>
      </c>
      <c r="EQ46">
        <v>0.33273926520349006</v>
      </c>
      <c r="ER46">
        <v>0.34789355657133003</v>
      </c>
      <c r="ES46">
        <v>0.35771969107574852</v>
      </c>
      <c r="ET46">
        <v>0.35551561882611127</v>
      </c>
      <c r="EU46">
        <v>0.34559420845870259</v>
      </c>
      <c r="EV46">
        <v>7.4109508618891706E-2</v>
      </c>
      <c r="EW46">
        <v>5.7175600392619701E-2</v>
      </c>
      <c r="EX46">
        <v>5.5024598321949308E-2</v>
      </c>
      <c r="EY46">
        <v>5.8538741434731908E-2</v>
      </c>
      <c r="EZ46">
        <v>7.2396326848404163E-2</v>
      </c>
      <c r="FA46">
        <v>0.11410053255662067</v>
      </c>
      <c r="FB46">
        <v>0.14569136418585249</v>
      </c>
      <c r="FC46">
        <v>0.14950217157489487</v>
      </c>
      <c r="FD46">
        <v>0.13044147846937204</v>
      </c>
      <c r="FE46">
        <v>9.7908559610647358E-2</v>
      </c>
      <c r="FF46">
        <v>0.18820842995569359</v>
      </c>
      <c r="FG46">
        <v>0.19016214161534575</v>
      </c>
      <c r="FH46">
        <v>0.19126930595982139</v>
      </c>
      <c r="FI46">
        <v>0.19958251638778007</v>
      </c>
      <c r="FJ46">
        <v>0.20257013504432297</v>
      </c>
      <c r="FK46">
        <v>0.20902149289613406</v>
      </c>
      <c r="FL46">
        <v>0.21762420443388564</v>
      </c>
      <c r="FM46">
        <v>0.21876090162027248</v>
      </c>
      <c r="FN46">
        <v>0.21748847755347087</v>
      </c>
      <c r="FO46">
        <v>0.21566846313537316</v>
      </c>
      <c r="FQ46" t="s">
        <v>664</v>
      </c>
      <c r="FR46" t="s">
        <v>127</v>
      </c>
      <c r="FS46" t="s">
        <v>128</v>
      </c>
      <c r="FT46">
        <v>0.21855043273689836</v>
      </c>
    </row>
    <row r="47" spans="2:176" x14ac:dyDescent="0.45">
      <c r="B47" t="s">
        <v>665</v>
      </c>
      <c r="C47" t="s">
        <v>123</v>
      </c>
      <c r="D47">
        <v>0.45080129655306339</v>
      </c>
      <c r="E47">
        <v>0.45668726698680401</v>
      </c>
      <c r="F47">
        <v>0.49213932171501895</v>
      </c>
      <c r="G47">
        <v>0.48884080117675971</v>
      </c>
      <c r="H47">
        <v>0.4941615242099992</v>
      </c>
      <c r="I47">
        <v>0.48586577466317926</v>
      </c>
      <c r="J47">
        <v>0.47606196536460327</v>
      </c>
      <c r="K47">
        <v>0.46893038384930041</v>
      </c>
      <c r="L47">
        <v>0.45834475340622244</v>
      </c>
      <c r="M47">
        <v>0.43527806829135979</v>
      </c>
      <c r="N47">
        <v>0.40345207049783027</v>
      </c>
      <c r="O47">
        <v>0.41845167966391078</v>
      </c>
      <c r="P47">
        <v>0.41011339232973737</v>
      </c>
      <c r="Q47">
        <v>0.41431279867303339</v>
      </c>
      <c r="R47">
        <v>0.44177670647452633</v>
      </c>
      <c r="S47">
        <v>0.40622710241031446</v>
      </c>
      <c r="T47">
        <v>0.39765889962910522</v>
      </c>
      <c r="U47">
        <v>0.39035887278598608</v>
      </c>
      <c r="V47">
        <v>0.38410797033059368</v>
      </c>
      <c r="W47">
        <v>0.40396259094643755</v>
      </c>
      <c r="X47">
        <v>0.42201813298224861</v>
      </c>
      <c r="Y47">
        <v>0.4281523966396078</v>
      </c>
      <c r="Z47">
        <v>0.47697437026217965</v>
      </c>
      <c r="AA47">
        <v>0.51042728056043152</v>
      </c>
      <c r="AB47">
        <v>0.47035192310245461</v>
      </c>
      <c r="AC47">
        <v>0.38465671279406161</v>
      </c>
      <c r="AD47">
        <v>0.35448640890641503</v>
      </c>
      <c r="AE47">
        <v>0.37342168746162258</v>
      </c>
      <c r="AF47">
        <v>0.40134473310281427</v>
      </c>
      <c r="AG47">
        <v>0.43879996521131015</v>
      </c>
      <c r="AH47">
        <v>0.50515774088652576</v>
      </c>
      <c r="AI47">
        <v>0.50209253609212257</v>
      </c>
      <c r="AJ47">
        <v>0.48152172138516797</v>
      </c>
      <c r="AK47">
        <v>0.46853387143243835</v>
      </c>
      <c r="AL47">
        <v>0.50332658922143536</v>
      </c>
      <c r="AM47">
        <v>0.49829998217146787</v>
      </c>
      <c r="AN47">
        <v>0.48888495394744363</v>
      </c>
      <c r="AO47">
        <v>0.48438188926879527</v>
      </c>
      <c r="AP47">
        <v>0.48983403256293345</v>
      </c>
      <c r="AQ47">
        <v>0.50783895435637472</v>
      </c>
      <c r="EA47" t="s">
        <v>665</v>
      </c>
      <c r="EB47">
        <v>0.26246924256390047</v>
      </c>
      <c r="EC47">
        <v>0.23542265058445042</v>
      </c>
      <c r="ED47">
        <v>0.22341096884857617</v>
      </c>
      <c r="EE47">
        <v>0.23678590535926117</v>
      </c>
      <c r="EF47">
        <v>0.25245225966237478</v>
      </c>
      <c r="EG47">
        <v>0.27935310602060148</v>
      </c>
      <c r="EH47">
        <v>0.28069423796536075</v>
      </c>
      <c r="EI47">
        <v>0.26870671117097406</v>
      </c>
      <c r="EJ47">
        <v>0.26637952174077062</v>
      </c>
      <c r="EK47">
        <v>0.26177678903135382</v>
      </c>
      <c r="EL47">
        <v>0.32699827353041133</v>
      </c>
      <c r="EM47">
        <v>0.31047429858862635</v>
      </c>
      <c r="EN47">
        <v>0.30610774547717662</v>
      </c>
      <c r="EO47">
        <v>0.31100193667429216</v>
      </c>
      <c r="EP47">
        <v>0.29211850139367895</v>
      </c>
      <c r="EQ47">
        <v>0.31482837477440134</v>
      </c>
      <c r="ER47">
        <v>0.34032708448509708</v>
      </c>
      <c r="ES47">
        <v>0.36119268996091763</v>
      </c>
      <c r="ET47">
        <v>0.36964355892815626</v>
      </c>
      <c r="EU47">
        <v>0.35446782735587001</v>
      </c>
      <c r="EV47">
        <v>5.6039926859231183E-2</v>
      </c>
      <c r="EW47">
        <v>5.3201625566902992E-2</v>
      </c>
      <c r="EX47">
        <v>5.096163966927221E-2</v>
      </c>
      <c r="EY47">
        <v>4.9641486275592082E-2</v>
      </c>
      <c r="EZ47">
        <v>4.5281385243574189E-2</v>
      </c>
      <c r="FA47">
        <v>7.8401842278562089E-2</v>
      </c>
      <c r="FB47">
        <v>0.1269547997181896</v>
      </c>
      <c r="FC47">
        <v>0.14833980857134754</v>
      </c>
      <c r="FD47">
        <v>0.13828878625710048</v>
      </c>
      <c r="FE47">
        <v>9.0912218464937508E-2</v>
      </c>
      <c r="FF47">
        <v>0.19674615992273281</v>
      </c>
      <c r="FG47">
        <v>0.17833060259394085</v>
      </c>
      <c r="FH47">
        <v>0.17823358125372327</v>
      </c>
      <c r="FI47">
        <v>0.16616868428766021</v>
      </c>
      <c r="FJ47">
        <v>0.15710056404687739</v>
      </c>
      <c r="FK47">
        <v>0.16969759487208003</v>
      </c>
      <c r="FL47">
        <v>0.19001214272002512</v>
      </c>
      <c r="FM47">
        <v>0.20243897700597721</v>
      </c>
      <c r="FN47">
        <v>0.21060849590137529</v>
      </c>
      <c r="FO47">
        <v>0.21719003112651505</v>
      </c>
      <c r="FQ47" t="s">
        <v>666</v>
      </c>
      <c r="FR47" t="s">
        <v>127</v>
      </c>
      <c r="FS47" t="s">
        <v>128</v>
      </c>
      <c r="FT47">
        <v>0.20674621694462489</v>
      </c>
    </row>
    <row r="48" spans="2:176" x14ac:dyDescent="0.45">
      <c r="B48" t="s">
        <v>667</v>
      </c>
      <c r="C48" t="s">
        <v>123</v>
      </c>
      <c r="D48">
        <v>0.34614546452176087</v>
      </c>
      <c r="E48">
        <v>0.32962620953962818</v>
      </c>
      <c r="F48">
        <v>0.32896249298957664</v>
      </c>
      <c r="G48">
        <v>0.33004135879023616</v>
      </c>
      <c r="H48">
        <v>0.33033843326146717</v>
      </c>
      <c r="I48">
        <v>0.3136459729552642</v>
      </c>
      <c r="J48">
        <v>0.30145310534087971</v>
      </c>
      <c r="K48">
        <v>0.28864623582224747</v>
      </c>
      <c r="L48">
        <v>0.29094574315659344</v>
      </c>
      <c r="M48">
        <v>0.32358371319171353</v>
      </c>
      <c r="N48">
        <v>0.32690553631495367</v>
      </c>
      <c r="O48">
        <v>0.30088968033158625</v>
      </c>
      <c r="P48">
        <v>0.30135967968129457</v>
      </c>
      <c r="Q48">
        <v>0.30039556182554494</v>
      </c>
      <c r="R48">
        <v>0.29506514243372278</v>
      </c>
      <c r="S48">
        <v>0.27759839208956583</v>
      </c>
      <c r="T48">
        <v>0.27496630753318713</v>
      </c>
      <c r="U48">
        <v>0.26734962235295462</v>
      </c>
      <c r="V48">
        <v>0.28005874467619402</v>
      </c>
      <c r="W48">
        <v>0.32205234397394161</v>
      </c>
      <c r="X48">
        <v>0.52086137240365626</v>
      </c>
      <c r="Y48">
        <v>0.51071766406059593</v>
      </c>
      <c r="Z48">
        <v>0.51551422491535637</v>
      </c>
      <c r="AA48">
        <v>0.4967710678899423</v>
      </c>
      <c r="AB48">
        <v>0.48657445991515275</v>
      </c>
      <c r="AC48">
        <v>0.45893567575854655</v>
      </c>
      <c r="AD48">
        <v>0.44169398893995299</v>
      </c>
      <c r="AE48">
        <v>0.45332616725475439</v>
      </c>
      <c r="AF48">
        <v>0.47497253447004822</v>
      </c>
      <c r="AG48">
        <v>0.5136467894505018</v>
      </c>
      <c r="AH48">
        <v>0.46368557828987489</v>
      </c>
      <c r="AI48">
        <v>0.47804427103944835</v>
      </c>
      <c r="AJ48">
        <v>0.4745685798457237</v>
      </c>
      <c r="AK48">
        <v>0.45939459175442249</v>
      </c>
      <c r="AL48">
        <v>0.46774055896052202</v>
      </c>
      <c r="AM48">
        <v>0.47357658569959304</v>
      </c>
      <c r="AN48">
        <v>0.47335007945156415</v>
      </c>
      <c r="AO48">
        <v>0.47017434199416658</v>
      </c>
      <c r="AP48">
        <v>0.46168450156032653</v>
      </c>
      <c r="AQ48">
        <v>0.45420425589865848</v>
      </c>
      <c r="EA48" t="s">
        <v>667</v>
      </c>
      <c r="EB48">
        <v>0.43958913553401163</v>
      </c>
      <c r="EC48">
        <v>0.42904354441088949</v>
      </c>
      <c r="ED48">
        <v>0.42622613750974458</v>
      </c>
      <c r="EE48">
        <v>0.42806060617499647</v>
      </c>
      <c r="EF48">
        <v>0.43212098688971445</v>
      </c>
      <c r="EG48">
        <v>0.46251803956197729</v>
      </c>
      <c r="EH48">
        <v>0.48117935831749653</v>
      </c>
      <c r="EI48">
        <v>0.49696055906227404</v>
      </c>
      <c r="EJ48">
        <v>0.49008528004457586</v>
      </c>
      <c r="EK48">
        <v>0.46333166640876489</v>
      </c>
      <c r="EL48">
        <v>0.44476184150449188</v>
      </c>
      <c r="EM48">
        <v>0.47001895682386718</v>
      </c>
      <c r="EN48">
        <v>0.476714327159525</v>
      </c>
      <c r="EO48">
        <v>0.47802629528793655</v>
      </c>
      <c r="EP48">
        <v>0.48315064160294835</v>
      </c>
      <c r="EQ48">
        <v>0.50779558108420886</v>
      </c>
      <c r="ER48">
        <v>0.52027602775877535</v>
      </c>
      <c r="ES48">
        <v>0.52146638668389278</v>
      </c>
      <c r="ET48">
        <v>0.49982523946094126</v>
      </c>
      <c r="EU48">
        <v>0.45081131955792586</v>
      </c>
      <c r="EV48">
        <v>0.14761929125572479</v>
      </c>
      <c r="EW48">
        <v>0.13599718934397736</v>
      </c>
      <c r="EX48">
        <v>0.12832896639534974</v>
      </c>
      <c r="EY48">
        <v>0.12565121984427458</v>
      </c>
      <c r="EZ48">
        <v>0.13340622592761833</v>
      </c>
      <c r="FA48">
        <v>0.17209986752891543</v>
      </c>
      <c r="FB48">
        <v>0.20812480794615457</v>
      </c>
      <c r="FC48">
        <v>0.21864364530449806</v>
      </c>
      <c r="FD48">
        <v>0.20379142069743988</v>
      </c>
      <c r="FE48">
        <v>0.16564504728906754</v>
      </c>
      <c r="FF48">
        <v>0.21831336443934865</v>
      </c>
      <c r="FG48">
        <v>0.21716932836857264</v>
      </c>
      <c r="FH48">
        <v>0.22360119715618545</v>
      </c>
      <c r="FI48">
        <v>0.23951903240070671</v>
      </c>
      <c r="FJ48">
        <v>0.24623377109948269</v>
      </c>
      <c r="FK48">
        <v>0.26022558009834695</v>
      </c>
      <c r="FL48">
        <v>0.2694398365834671</v>
      </c>
      <c r="FM48">
        <v>0.27231046653790492</v>
      </c>
      <c r="FN48">
        <v>0.26347871181215704</v>
      </c>
      <c r="FO48">
        <v>0.24360049725415003</v>
      </c>
      <c r="FQ48" t="s">
        <v>668</v>
      </c>
      <c r="FR48" t="s">
        <v>127</v>
      </c>
      <c r="FS48" t="s">
        <v>128</v>
      </c>
      <c r="FT48">
        <v>0.37682956483911395</v>
      </c>
    </row>
    <row r="49" spans="2:176" x14ac:dyDescent="0.45">
      <c r="B49" t="s">
        <v>669</v>
      </c>
      <c r="C49" t="s">
        <v>123</v>
      </c>
      <c r="D49">
        <v>0.31085600160467514</v>
      </c>
      <c r="E49">
        <v>0.28667496062341796</v>
      </c>
      <c r="F49">
        <v>0.28210763920246834</v>
      </c>
      <c r="G49">
        <v>0.27881507819348339</v>
      </c>
      <c r="H49">
        <v>0.27799984305352754</v>
      </c>
      <c r="I49">
        <v>0.27904210339983848</v>
      </c>
      <c r="J49">
        <v>0.28394638756520091</v>
      </c>
      <c r="K49">
        <v>0.28497258288805455</v>
      </c>
      <c r="L49">
        <v>0.29700325677222233</v>
      </c>
      <c r="M49">
        <v>0.30859368119740521</v>
      </c>
      <c r="N49">
        <v>0.2980263342971507</v>
      </c>
      <c r="O49">
        <v>0.29375344340318321</v>
      </c>
      <c r="P49">
        <v>0.29961501255352124</v>
      </c>
      <c r="Q49">
        <v>0.30766832833026453</v>
      </c>
      <c r="R49">
        <v>0.3233265276886319</v>
      </c>
      <c r="S49">
        <v>0.34056458602303202</v>
      </c>
      <c r="T49">
        <v>0.34811902809941042</v>
      </c>
      <c r="U49">
        <v>0.3285254878114951</v>
      </c>
      <c r="V49">
        <v>0.31968971522526668</v>
      </c>
      <c r="W49">
        <v>0.3230944676519068</v>
      </c>
      <c r="X49">
        <v>0.47648098466052102</v>
      </c>
      <c r="Y49">
        <v>0.47188267384027704</v>
      </c>
      <c r="Z49">
        <v>0.46904874214045544</v>
      </c>
      <c r="AA49">
        <v>0.46701278004453339</v>
      </c>
      <c r="AB49">
        <v>0.47348180644268506</v>
      </c>
      <c r="AC49">
        <v>0.48344726577726699</v>
      </c>
      <c r="AD49">
        <v>0.47723929669857607</v>
      </c>
      <c r="AE49">
        <v>0.45828296999285528</v>
      </c>
      <c r="AF49">
        <v>0.44565267479575921</v>
      </c>
      <c r="AG49">
        <v>0.44183965065267805</v>
      </c>
      <c r="AH49">
        <v>0.39816376476680831</v>
      </c>
      <c r="AI49">
        <v>0.42210601223187416</v>
      </c>
      <c r="AJ49">
        <v>0.42408215979005431</v>
      </c>
      <c r="AK49">
        <v>0.42393954919865745</v>
      </c>
      <c r="AL49">
        <v>0.42280750790169064</v>
      </c>
      <c r="AM49">
        <v>0.43763714767364209</v>
      </c>
      <c r="AN49">
        <v>0.44217788135033675</v>
      </c>
      <c r="AO49">
        <v>0.42369750231833064</v>
      </c>
      <c r="AP49">
        <v>0.40863048391766421</v>
      </c>
      <c r="AQ49">
        <v>0.39915690156916889</v>
      </c>
      <c r="EA49" t="s">
        <v>669</v>
      </c>
      <c r="EB49">
        <v>0.49783350780424718</v>
      </c>
      <c r="EC49">
        <v>0.5087041433627506</v>
      </c>
      <c r="ED49">
        <v>0.51564427262281076</v>
      </c>
      <c r="EE49">
        <v>0.52410192352917651</v>
      </c>
      <c r="EF49">
        <v>0.53193092653243035</v>
      </c>
      <c r="EG49">
        <v>0.54144499116381339</v>
      </c>
      <c r="EH49">
        <v>0.54765787292639656</v>
      </c>
      <c r="EI49">
        <v>0.54874423060428223</v>
      </c>
      <c r="EJ49">
        <v>0.54193461414979094</v>
      </c>
      <c r="EK49">
        <v>0.52165210981631471</v>
      </c>
      <c r="EL49">
        <v>0.51302254072334963</v>
      </c>
      <c r="EM49">
        <v>0.50859970960668854</v>
      </c>
      <c r="EN49">
        <v>0.48884566771246818</v>
      </c>
      <c r="EO49">
        <v>0.4792442504430332</v>
      </c>
      <c r="EP49">
        <v>0.47509550831066627</v>
      </c>
      <c r="EQ49">
        <v>0.46677403994331967</v>
      </c>
      <c r="ER49">
        <v>0.45958327902243784</v>
      </c>
      <c r="ES49">
        <v>0.47426408249227409</v>
      </c>
      <c r="ET49">
        <v>0.48714227447686748</v>
      </c>
      <c r="EU49">
        <v>0.49066202090784911</v>
      </c>
      <c r="EV49">
        <v>0.24776246624819509</v>
      </c>
      <c r="EW49">
        <v>0.24028132979489275</v>
      </c>
      <c r="EX49">
        <v>0.23021437234830835</v>
      </c>
      <c r="EY49">
        <v>0.21357831844153011</v>
      </c>
      <c r="EZ49">
        <v>0.21122296430632873</v>
      </c>
      <c r="FA49">
        <v>0.22258057760642636</v>
      </c>
      <c r="FB49">
        <v>0.2477825969564901</v>
      </c>
      <c r="FC49">
        <v>0.27043726498345316</v>
      </c>
      <c r="FD49">
        <v>0.27107215013185754</v>
      </c>
      <c r="FE49">
        <v>0.25715930542507986</v>
      </c>
      <c r="FF49">
        <v>0.30931519226252879</v>
      </c>
      <c r="FG49">
        <v>0.30176497732519109</v>
      </c>
      <c r="FH49">
        <v>0.29568119644090585</v>
      </c>
      <c r="FI49">
        <v>0.29562374333596603</v>
      </c>
      <c r="FJ49">
        <v>0.28496677312898649</v>
      </c>
      <c r="FK49">
        <v>0.2697259569132664</v>
      </c>
      <c r="FL49">
        <v>0.26855323671886572</v>
      </c>
      <c r="FM49">
        <v>0.28771643064120378</v>
      </c>
      <c r="FN49">
        <v>0.31154686004069992</v>
      </c>
      <c r="FO49">
        <v>0.32306484755742687</v>
      </c>
      <c r="FQ49" t="s">
        <v>670</v>
      </c>
      <c r="FR49" t="s">
        <v>127</v>
      </c>
      <c r="FS49" t="s">
        <v>128</v>
      </c>
      <c r="FT49">
        <v>0.32698059743601549</v>
      </c>
    </row>
    <row r="50" spans="2:176" x14ac:dyDescent="0.45">
      <c r="B50" t="s">
        <v>671</v>
      </c>
      <c r="C50" t="s">
        <v>123</v>
      </c>
      <c r="D50">
        <v>0.37252873541420989</v>
      </c>
      <c r="E50">
        <v>0.34914665929468691</v>
      </c>
      <c r="F50">
        <v>0.33802201142851929</v>
      </c>
      <c r="G50">
        <v>0.33074256207340802</v>
      </c>
      <c r="H50">
        <v>0.3449199018411136</v>
      </c>
      <c r="I50">
        <v>0.33052302247525822</v>
      </c>
      <c r="J50">
        <v>0.30002272784469025</v>
      </c>
      <c r="K50">
        <v>0.29475962367253428</v>
      </c>
      <c r="L50">
        <v>0.30957259964900075</v>
      </c>
      <c r="M50">
        <v>0.3647582628026998</v>
      </c>
      <c r="N50">
        <v>0.33583014005289702</v>
      </c>
      <c r="O50">
        <v>0.34779779750541384</v>
      </c>
      <c r="P50">
        <v>0.35104224937564216</v>
      </c>
      <c r="Q50">
        <v>0.35614508999568606</v>
      </c>
      <c r="R50">
        <v>0.34576482740434716</v>
      </c>
      <c r="S50">
        <v>0.33467452514734308</v>
      </c>
      <c r="T50">
        <v>0.3186436581307095</v>
      </c>
      <c r="U50">
        <v>0.326195887869003</v>
      </c>
      <c r="V50">
        <v>0.34090921057611989</v>
      </c>
      <c r="W50">
        <v>0.34590143260432354</v>
      </c>
      <c r="X50">
        <v>0.41999277268968976</v>
      </c>
      <c r="Y50">
        <v>0.42237669171847153</v>
      </c>
      <c r="Z50">
        <v>0.46545124660268594</v>
      </c>
      <c r="AA50">
        <v>0.50551378335100705</v>
      </c>
      <c r="AB50">
        <v>0.48852395517532321</v>
      </c>
      <c r="AC50">
        <v>0.41881242233736049</v>
      </c>
      <c r="AD50">
        <v>0.3864601238577059</v>
      </c>
      <c r="AE50">
        <v>0.39097857128816538</v>
      </c>
      <c r="AF50">
        <v>0.40076600438470755</v>
      </c>
      <c r="AG50">
        <v>0.41746343068156255</v>
      </c>
      <c r="AH50">
        <v>0.43610786018990388</v>
      </c>
      <c r="AI50">
        <v>0.44397110689290353</v>
      </c>
      <c r="AJ50">
        <v>0.43731180951446691</v>
      </c>
      <c r="AK50">
        <v>0.43038410072519445</v>
      </c>
      <c r="AL50">
        <v>0.42667165416882297</v>
      </c>
      <c r="AM50">
        <v>0.43200159111404757</v>
      </c>
      <c r="AN50">
        <v>0.42067533781131689</v>
      </c>
      <c r="AO50">
        <v>0.42272660242395349</v>
      </c>
      <c r="AP50">
        <v>0.42414640589733837</v>
      </c>
      <c r="AQ50">
        <v>0.43493313763811642</v>
      </c>
      <c r="EA50" t="s">
        <v>671</v>
      </c>
      <c r="EB50">
        <v>0.38305610333613344</v>
      </c>
      <c r="EC50">
        <v>0.39412018239107305</v>
      </c>
      <c r="ED50">
        <v>0.40281552764862438</v>
      </c>
      <c r="EE50">
        <v>0.41820599930571212</v>
      </c>
      <c r="EF50">
        <v>0.43077259162131409</v>
      </c>
      <c r="EG50">
        <v>0.45114436354417736</v>
      </c>
      <c r="EH50">
        <v>0.46106701454200383</v>
      </c>
      <c r="EI50">
        <v>0.45986024421923366</v>
      </c>
      <c r="EJ50">
        <v>0.43995086118574628</v>
      </c>
      <c r="EK50">
        <v>0.40017648562327707</v>
      </c>
      <c r="EL50">
        <v>0.44995168861592694</v>
      </c>
      <c r="EM50">
        <v>0.4415852405846985</v>
      </c>
      <c r="EN50">
        <v>0.43588460110118171</v>
      </c>
      <c r="EO50">
        <v>0.43279460802272696</v>
      </c>
      <c r="EP50">
        <v>0.44185416994744048</v>
      </c>
      <c r="EQ50">
        <v>0.46075536350359841</v>
      </c>
      <c r="ER50">
        <v>0.46949072292864402</v>
      </c>
      <c r="ES50">
        <v>0.46121075961431501</v>
      </c>
      <c r="ET50">
        <v>0.44263124274425536</v>
      </c>
      <c r="EU50">
        <v>0.43086991330943131</v>
      </c>
      <c r="EV50">
        <v>0.17658909099605008</v>
      </c>
      <c r="EW50">
        <v>0.15413741710185075</v>
      </c>
      <c r="EX50">
        <v>0.14550512856061604</v>
      </c>
      <c r="EY50">
        <v>0.14650046202288985</v>
      </c>
      <c r="EZ50">
        <v>0.18149291452557167</v>
      </c>
      <c r="FA50">
        <v>0.24626146760895376</v>
      </c>
      <c r="FB50">
        <v>0.30482999251384396</v>
      </c>
      <c r="FC50">
        <v>0.30985966936037829</v>
      </c>
      <c r="FD50">
        <v>0.27610534477592569</v>
      </c>
      <c r="FE50">
        <v>0.22070853022164896</v>
      </c>
      <c r="FF50">
        <v>0.25342804252782958</v>
      </c>
      <c r="FG50">
        <v>0.25549190410867978</v>
      </c>
      <c r="FH50">
        <v>0.25580997051326421</v>
      </c>
      <c r="FI50">
        <v>0.26162959458437807</v>
      </c>
      <c r="FJ50">
        <v>0.27195994165019383</v>
      </c>
      <c r="FK50">
        <v>0.27524118735404335</v>
      </c>
      <c r="FL50">
        <v>0.27953647521910474</v>
      </c>
      <c r="FM50">
        <v>0.27228326550551002</v>
      </c>
      <c r="FN50">
        <v>0.26072895435899013</v>
      </c>
      <c r="FO50">
        <v>0.2604892615194927</v>
      </c>
      <c r="FQ50" t="s">
        <v>672</v>
      </c>
      <c r="FR50" t="s">
        <v>127</v>
      </c>
      <c r="FS50" t="s">
        <v>128</v>
      </c>
      <c r="FT50">
        <v>0.3767679118968752</v>
      </c>
    </row>
    <row r="51" spans="2:176" x14ac:dyDescent="0.45">
      <c r="B51" t="s">
        <v>673</v>
      </c>
      <c r="C51" t="s">
        <v>123</v>
      </c>
      <c r="D51">
        <v>0.32426660527700207</v>
      </c>
      <c r="E51">
        <v>0.31746965146529937</v>
      </c>
      <c r="F51">
        <v>0.3139451342917049</v>
      </c>
      <c r="G51">
        <v>0.32023613694756031</v>
      </c>
      <c r="H51">
        <v>0.32607612716859147</v>
      </c>
      <c r="I51">
        <v>0.31958102603343597</v>
      </c>
      <c r="J51">
        <v>0.31796651486091587</v>
      </c>
      <c r="K51">
        <v>0.33249078823151768</v>
      </c>
      <c r="L51">
        <v>0.33751046141069374</v>
      </c>
      <c r="M51">
        <v>0.34430605561241018</v>
      </c>
      <c r="N51">
        <v>0.26421887077376671</v>
      </c>
      <c r="O51">
        <v>0.27059472624862646</v>
      </c>
      <c r="P51">
        <v>0.28406515061455745</v>
      </c>
      <c r="Q51">
        <v>0.30973177662721618</v>
      </c>
      <c r="R51">
        <v>0.32633555375569961</v>
      </c>
      <c r="S51">
        <v>0.3267769465127015</v>
      </c>
      <c r="T51">
        <v>0.31403988059495824</v>
      </c>
      <c r="U51">
        <v>0.30808189135801689</v>
      </c>
      <c r="V51">
        <v>0.29732115081763644</v>
      </c>
      <c r="W51">
        <v>0.28782732367493213</v>
      </c>
      <c r="X51">
        <v>0.41370401420607206</v>
      </c>
      <c r="Y51">
        <v>0.41359762128070893</v>
      </c>
      <c r="Z51">
        <v>0.42740916631929493</v>
      </c>
      <c r="AA51">
        <v>0.42855884926039395</v>
      </c>
      <c r="AB51">
        <v>0.42901795993440806</v>
      </c>
      <c r="AC51">
        <v>0.42646967179190631</v>
      </c>
      <c r="AD51">
        <v>0.39530950362296124</v>
      </c>
      <c r="AE51">
        <v>0.37778713682039761</v>
      </c>
      <c r="AF51">
        <v>0.38350501147282412</v>
      </c>
      <c r="AG51">
        <v>0.39392472153349084</v>
      </c>
      <c r="AH51">
        <v>0.36957617198962311</v>
      </c>
      <c r="AI51">
        <v>0.36749808602962797</v>
      </c>
      <c r="AJ51">
        <v>0.37332915532906613</v>
      </c>
      <c r="AK51">
        <v>0.37786452497523776</v>
      </c>
      <c r="AL51">
        <v>0.36953863214825122</v>
      </c>
      <c r="AM51">
        <v>0.36898282291033208</v>
      </c>
      <c r="AN51">
        <v>0.38276232124084597</v>
      </c>
      <c r="AO51">
        <v>0.38596628622884022</v>
      </c>
      <c r="AP51">
        <v>0.38120290380838984</v>
      </c>
      <c r="AQ51">
        <v>0.37556707356767693</v>
      </c>
      <c r="EA51" t="s">
        <v>673</v>
      </c>
      <c r="EB51">
        <v>0.47671699134469564</v>
      </c>
      <c r="EC51">
        <v>0.49287669416657409</v>
      </c>
      <c r="ED51">
        <v>0.49895321057392056</v>
      </c>
      <c r="EE51">
        <v>0.49952545591048758</v>
      </c>
      <c r="EF51">
        <v>0.49901591970287218</v>
      </c>
      <c r="EG51">
        <v>0.50097588799843418</v>
      </c>
      <c r="EH51">
        <v>0.48544023407266262</v>
      </c>
      <c r="EI51">
        <v>0.47498606740080018</v>
      </c>
      <c r="EJ51">
        <v>0.46106889403357898</v>
      </c>
      <c r="EK51">
        <v>0.44805019867685536</v>
      </c>
      <c r="EL51">
        <v>0.54124568968103226</v>
      </c>
      <c r="EM51">
        <v>0.51505136241660199</v>
      </c>
      <c r="EN51">
        <v>0.49474655565340198</v>
      </c>
      <c r="EO51">
        <v>0.48109335002870857</v>
      </c>
      <c r="EP51">
        <v>0.47870139030884112</v>
      </c>
      <c r="EQ51">
        <v>0.48061403456782126</v>
      </c>
      <c r="ER51">
        <v>0.49003982959305564</v>
      </c>
      <c r="ES51">
        <v>0.50470896041839008</v>
      </c>
      <c r="ET51">
        <v>0.51540803170861016</v>
      </c>
      <c r="EU51">
        <v>0.52146096501916483</v>
      </c>
      <c r="EV51">
        <v>0.20643549474898087</v>
      </c>
      <c r="EW51">
        <v>0.19808155389749627</v>
      </c>
      <c r="EX51">
        <v>0.19149631546812798</v>
      </c>
      <c r="EY51">
        <v>0.19377881735993341</v>
      </c>
      <c r="EZ51">
        <v>0.19054650152444028</v>
      </c>
      <c r="FA51">
        <v>0.20614411848666492</v>
      </c>
      <c r="FB51">
        <v>0.22705414869076418</v>
      </c>
      <c r="FC51">
        <v>0.24143095082701302</v>
      </c>
      <c r="FD51">
        <v>0.24325498518239758</v>
      </c>
      <c r="FE51">
        <v>0.23265674527704389</v>
      </c>
      <c r="FF51">
        <v>0.36672126363472879</v>
      </c>
      <c r="FG51">
        <v>0.36161404260952634</v>
      </c>
      <c r="FH51">
        <v>0.35133563046892174</v>
      </c>
      <c r="FI51">
        <v>0.33274277550021625</v>
      </c>
      <c r="FJ51">
        <v>0.33125478356569682</v>
      </c>
      <c r="FK51">
        <v>0.33981290296118483</v>
      </c>
      <c r="FL51">
        <v>0.34188059735056808</v>
      </c>
      <c r="FM51">
        <v>0.34531402900164104</v>
      </c>
      <c r="FN51">
        <v>0.35842957365083139</v>
      </c>
      <c r="FO51">
        <v>0.36975594126162381</v>
      </c>
      <c r="FQ51" t="s">
        <v>674</v>
      </c>
      <c r="FR51" t="s">
        <v>127</v>
      </c>
      <c r="FS51" t="s">
        <v>128</v>
      </c>
      <c r="FT51">
        <v>0.27809416640213197</v>
      </c>
    </row>
    <row r="52" spans="2:176" x14ac:dyDescent="0.45">
      <c r="B52" t="s">
        <v>675</v>
      </c>
      <c r="C52" t="s">
        <v>123</v>
      </c>
      <c r="D52">
        <v>0.32350901991302539</v>
      </c>
      <c r="E52">
        <v>0.32328021067334967</v>
      </c>
      <c r="F52">
        <v>0.33170094258441302</v>
      </c>
      <c r="G52">
        <v>0.3404614350706564</v>
      </c>
      <c r="H52">
        <v>0.33629405918901878</v>
      </c>
      <c r="I52">
        <v>0.33826794080899986</v>
      </c>
      <c r="J52">
        <v>0.33484936299599372</v>
      </c>
      <c r="K52">
        <v>0.33451906351965233</v>
      </c>
      <c r="L52">
        <v>0.3352417327334038</v>
      </c>
      <c r="M52">
        <v>0.33288203153686846</v>
      </c>
      <c r="N52">
        <v>0.28729722584680584</v>
      </c>
      <c r="O52">
        <v>0.30743910710576705</v>
      </c>
      <c r="P52">
        <v>0.32767533469256965</v>
      </c>
      <c r="Q52">
        <v>0.32832089329967706</v>
      </c>
      <c r="R52">
        <v>0.31638298984605057</v>
      </c>
      <c r="S52">
        <v>0.27991476622441569</v>
      </c>
      <c r="T52">
        <v>0.26046212721578088</v>
      </c>
      <c r="U52">
        <v>0.26050151200604998</v>
      </c>
      <c r="V52">
        <v>0.26696518503428035</v>
      </c>
      <c r="W52">
        <v>0.27598695694394226</v>
      </c>
      <c r="X52">
        <v>0.43874263249463513</v>
      </c>
      <c r="Y52">
        <v>0.45021276527405812</v>
      </c>
      <c r="Z52">
        <v>0.44962344443552593</v>
      </c>
      <c r="AA52">
        <v>0.45654665733479516</v>
      </c>
      <c r="AB52">
        <v>0.44750867926514576</v>
      </c>
      <c r="AC52">
        <v>0.4235602117121367</v>
      </c>
      <c r="AD52">
        <v>0.39387263771161324</v>
      </c>
      <c r="AE52">
        <v>0.38415794233523731</v>
      </c>
      <c r="AF52">
        <v>0.38538696323911037</v>
      </c>
      <c r="AG52">
        <v>0.39983836841986753</v>
      </c>
      <c r="AH52">
        <v>0.36608388756007049</v>
      </c>
      <c r="AI52">
        <v>0.36738907162319145</v>
      </c>
      <c r="AJ52">
        <v>0.37475120433830494</v>
      </c>
      <c r="AK52">
        <v>0.38887473514779974</v>
      </c>
      <c r="AL52">
        <v>0.39769464368846325</v>
      </c>
      <c r="AM52">
        <v>0.38630555337689981</v>
      </c>
      <c r="AN52">
        <v>0.37475409891794514</v>
      </c>
      <c r="AO52">
        <v>0.37277060773934151</v>
      </c>
      <c r="AP52">
        <v>0.3753303271916193</v>
      </c>
      <c r="AQ52">
        <v>0.37022980302589242</v>
      </c>
      <c r="EA52" t="s">
        <v>675</v>
      </c>
      <c r="EB52">
        <v>0.4657518751219748</v>
      </c>
      <c r="EC52">
        <v>0.46838724696877493</v>
      </c>
      <c r="ED52">
        <v>0.46286553946281267</v>
      </c>
      <c r="EE52">
        <v>0.44945106351858499</v>
      </c>
      <c r="EF52">
        <v>0.45164017064666351</v>
      </c>
      <c r="EG52">
        <v>0.45935239818923379</v>
      </c>
      <c r="EH52">
        <v>0.45822985028836372</v>
      </c>
      <c r="EI52">
        <v>0.4506593369579176</v>
      </c>
      <c r="EJ52">
        <v>0.44417201011669805</v>
      </c>
      <c r="EK52">
        <v>0.45081554605356916</v>
      </c>
      <c r="EL52">
        <v>0.47323362493340487</v>
      </c>
      <c r="EM52">
        <v>0.45407197571149427</v>
      </c>
      <c r="EN52">
        <v>0.43309778273371691</v>
      </c>
      <c r="EO52">
        <v>0.43106181300048813</v>
      </c>
      <c r="EP52">
        <v>0.44093222678265948</v>
      </c>
      <c r="EQ52">
        <v>0.47774684187454669</v>
      </c>
      <c r="ER52">
        <v>0.51036044610263154</v>
      </c>
      <c r="ES52">
        <v>0.51535726296221496</v>
      </c>
      <c r="ET52">
        <v>0.49711831695276409</v>
      </c>
      <c r="EU52">
        <v>0.47329947377681658</v>
      </c>
      <c r="EV52">
        <v>0.2198945092793419</v>
      </c>
      <c r="EW52">
        <v>0.22126493261417579</v>
      </c>
      <c r="EX52">
        <v>0.21246984668861596</v>
      </c>
      <c r="EY52">
        <v>0.20567761889283762</v>
      </c>
      <c r="EZ52">
        <v>0.20194056162013582</v>
      </c>
      <c r="FA52">
        <v>0.23479723148345893</v>
      </c>
      <c r="FB52">
        <v>0.27179942171603921</v>
      </c>
      <c r="FC52">
        <v>0.28866044368390276</v>
      </c>
      <c r="FD52">
        <v>0.27916501811779842</v>
      </c>
      <c r="FE52">
        <v>0.24447478818590976</v>
      </c>
      <c r="FF52">
        <v>0.34506530071054164</v>
      </c>
      <c r="FG52">
        <v>0.32967268116962445</v>
      </c>
      <c r="FH52">
        <v>0.31566605015518545</v>
      </c>
      <c r="FI52">
        <v>0.31010930889070387</v>
      </c>
      <c r="FJ52">
        <v>0.31229618018358835</v>
      </c>
      <c r="FK52">
        <v>0.32238799803554752</v>
      </c>
      <c r="FL52">
        <v>0.33591083423082674</v>
      </c>
      <c r="FM52">
        <v>0.34677566449231489</v>
      </c>
      <c r="FN52">
        <v>0.34780154923759948</v>
      </c>
      <c r="FO52">
        <v>0.34351556509417785</v>
      </c>
      <c r="FQ52" t="s">
        <v>676</v>
      </c>
      <c r="FR52" t="s">
        <v>127</v>
      </c>
      <c r="FS52" t="s">
        <v>128</v>
      </c>
      <c r="FT52">
        <v>0.23073431946827233</v>
      </c>
    </row>
    <row r="53" spans="2:176" x14ac:dyDescent="0.45">
      <c r="B53" t="s">
        <v>677</v>
      </c>
      <c r="C53" t="s">
        <v>123</v>
      </c>
      <c r="D53">
        <v>0.40011346380747265</v>
      </c>
      <c r="E53">
        <v>0.4010532646329843</v>
      </c>
      <c r="F53">
        <v>0.39595920730253181</v>
      </c>
      <c r="G53">
        <v>0.41697046274088923</v>
      </c>
      <c r="H53">
        <v>0.43014941531085882</v>
      </c>
      <c r="I53">
        <v>0.42459968218054117</v>
      </c>
      <c r="J53">
        <v>0.42912939811544654</v>
      </c>
      <c r="K53">
        <v>0.43287873466924109</v>
      </c>
      <c r="L53">
        <v>0.42517810583765314</v>
      </c>
      <c r="M53">
        <v>0.4137226447369442</v>
      </c>
      <c r="N53">
        <v>0.31915633612921368</v>
      </c>
      <c r="O53">
        <v>0.30455253827923973</v>
      </c>
      <c r="P53">
        <v>0.31273381403021533</v>
      </c>
      <c r="Q53">
        <v>0.32415861698923198</v>
      </c>
      <c r="R53">
        <v>0.34474694080115958</v>
      </c>
      <c r="S53">
        <v>0.33759745979767525</v>
      </c>
      <c r="T53">
        <v>0.32966381277928997</v>
      </c>
      <c r="U53">
        <v>0.32750218692542593</v>
      </c>
      <c r="V53">
        <v>0.33679949538468124</v>
      </c>
      <c r="W53">
        <v>0.3456769573960724</v>
      </c>
      <c r="X53">
        <v>0.46321009846480771</v>
      </c>
      <c r="Y53">
        <v>0.46180049413526775</v>
      </c>
      <c r="Z53">
        <v>0.47306540525948992</v>
      </c>
      <c r="AA53">
        <v>0.474603880490854</v>
      </c>
      <c r="AB53">
        <v>0.47242573628223072</v>
      </c>
      <c r="AC53">
        <v>0.45494576699539518</v>
      </c>
      <c r="AD53">
        <v>0.45442113134494816</v>
      </c>
      <c r="AE53">
        <v>0.4621824090460136</v>
      </c>
      <c r="AF53">
        <v>0.47106188102694296</v>
      </c>
      <c r="AG53">
        <v>0.46294198121484975</v>
      </c>
      <c r="AH53">
        <v>0.39076043411467998</v>
      </c>
      <c r="AI53">
        <v>0.41031642706070626</v>
      </c>
      <c r="AJ53">
        <v>0.41044434395107887</v>
      </c>
      <c r="AK53">
        <v>0.41407806870595021</v>
      </c>
      <c r="AL53">
        <v>0.40938068007996287</v>
      </c>
      <c r="AM53">
        <v>0.40034815974200116</v>
      </c>
      <c r="AN53">
        <v>0.39823785378795645</v>
      </c>
      <c r="AO53">
        <v>0.39318898470366598</v>
      </c>
      <c r="AP53">
        <v>0.39542348251276982</v>
      </c>
      <c r="AQ53">
        <v>0.38411258761341865</v>
      </c>
      <c r="EA53" t="s">
        <v>677</v>
      </c>
      <c r="EB53">
        <v>0.35005071547654121</v>
      </c>
      <c r="EC53">
        <v>0.34753236351390993</v>
      </c>
      <c r="ED53">
        <v>0.34898223579099363</v>
      </c>
      <c r="EE53">
        <v>0.34455196680512173</v>
      </c>
      <c r="EF53">
        <v>0.33538659860362297</v>
      </c>
      <c r="EG53">
        <v>0.34675912484953381</v>
      </c>
      <c r="EH53">
        <v>0.34522649487077928</v>
      </c>
      <c r="EI53">
        <v>0.348692682681151</v>
      </c>
      <c r="EJ53">
        <v>0.35452327233807651</v>
      </c>
      <c r="EK53">
        <v>0.35103913399933345</v>
      </c>
      <c r="EL53">
        <v>0.40663012628491024</v>
      </c>
      <c r="EM53">
        <v>0.40552214814011539</v>
      </c>
      <c r="EN53">
        <v>0.39045363100848363</v>
      </c>
      <c r="EO53">
        <v>0.38483268591785708</v>
      </c>
      <c r="EP53">
        <v>0.37157336237423427</v>
      </c>
      <c r="EQ53">
        <v>0.38801310472452749</v>
      </c>
      <c r="ER53">
        <v>0.41106660287274943</v>
      </c>
      <c r="ES53">
        <v>0.42552633698601044</v>
      </c>
      <c r="ET53">
        <v>0.42339182995956465</v>
      </c>
      <c r="EU53">
        <v>0.40599678068264816</v>
      </c>
      <c r="EV53">
        <v>0.17209645202913254</v>
      </c>
      <c r="EW53">
        <v>0.15692389751473385</v>
      </c>
      <c r="EX53">
        <v>0.141420382106524</v>
      </c>
      <c r="EY53">
        <v>0.13519413176179046</v>
      </c>
      <c r="EZ53">
        <v>0.12356633216335963</v>
      </c>
      <c r="FA53">
        <v>0.14209295719492537</v>
      </c>
      <c r="FB53">
        <v>0.16204782396973283</v>
      </c>
      <c r="FC53">
        <v>0.16681180265190987</v>
      </c>
      <c r="FD53">
        <v>0.16690819715619529</v>
      </c>
      <c r="FE53">
        <v>0.16650958220426279</v>
      </c>
      <c r="FF53">
        <v>0.34607459236367494</v>
      </c>
      <c r="FG53">
        <v>0.33978666198156543</v>
      </c>
      <c r="FH53">
        <v>0.3336810194707342</v>
      </c>
      <c r="FI53">
        <v>0.33755405933053928</v>
      </c>
      <c r="FJ53">
        <v>0.34553713977459799</v>
      </c>
      <c r="FK53">
        <v>0.35885913987428486</v>
      </c>
      <c r="FL53">
        <v>0.36481491378365904</v>
      </c>
      <c r="FM53">
        <v>0.36418056192558773</v>
      </c>
      <c r="FN53">
        <v>0.35996386363968386</v>
      </c>
      <c r="FO53">
        <v>0.35493536353275118</v>
      </c>
      <c r="FQ53" t="s">
        <v>678</v>
      </c>
      <c r="FR53" t="s">
        <v>127</v>
      </c>
      <c r="FS53" t="s">
        <v>128</v>
      </c>
      <c r="FT53">
        <v>0.22470178366527147</v>
      </c>
    </row>
    <row r="54" spans="2:176" x14ac:dyDescent="0.45">
      <c r="B54" t="s">
        <v>679</v>
      </c>
      <c r="C54" t="s">
        <v>123</v>
      </c>
      <c r="D54">
        <v>0.37578756456801449</v>
      </c>
      <c r="E54">
        <v>0.37506429343341913</v>
      </c>
      <c r="F54">
        <v>0.38210366178697813</v>
      </c>
      <c r="G54">
        <v>0.38615956896938841</v>
      </c>
      <c r="H54">
        <v>0.37573727879228797</v>
      </c>
      <c r="I54">
        <v>0.38334263311512368</v>
      </c>
      <c r="J54">
        <v>0.39658812563638818</v>
      </c>
      <c r="K54">
        <v>0.39823297122361984</v>
      </c>
      <c r="L54">
        <v>0.40115300432973749</v>
      </c>
      <c r="M54">
        <v>0.38616754218044325</v>
      </c>
      <c r="N54">
        <v>0.36297659226079287</v>
      </c>
      <c r="O54">
        <v>0.37140924694537791</v>
      </c>
      <c r="P54">
        <v>0.36568042045527416</v>
      </c>
      <c r="Q54">
        <v>0.35058101747019688</v>
      </c>
      <c r="R54">
        <v>0.34399596843613428</v>
      </c>
      <c r="S54">
        <v>0.33764120133226527</v>
      </c>
      <c r="T54">
        <v>0.32456420635518934</v>
      </c>
      <c r="U54">
        <v>0.3203581566954376</v>
      </c>
      <c r="V54">
        <v>0.32556844253248024</v>
      </c>
      <c r="W54">
        <v>0.33935831788551535</v>
      </c>
      <c r="X54">
        <v>0.47880461731451585</v>
      </c>
      <c r="Y54">
        <v>0.49122933636411098</v>
      </c>
      <c r="Z54">
        <v>0.50524162388411109</v>
      </c>
      <c r="AA54">
        <v>0.5187641001188138</v>
      </c>
      <c r="AB54">
        <v>0.47762048068063295</v>
      </c>
      <c r="AC54">
        <v>0.37110438893682907</v>
      </c>
      <c r="AD54">
        <v>0.310063338948594</v>
      </c>
      <c r="AE54">
        <v>0.32416565283345977</v>
      </c>
      <c r="AF54">
        <v>0.35654749651655127</v>
      </c>
      <c r="AG54">
        <v>0.39899683328913604</v>
      </c>
      <c r="AH54">
        <v>0.42040981961713536</v>
      </c>
      <c r="AI54">
        <v>0.44222584310914559</v>
      </c>
      <c r="AJ54">
        <v>0.44434431581048645</v>
      </c>
      <c r="AK54">
        <v>0.4370504390559089</v>
      </c>
      <c r="AL54">
        <v>0.43405065776183571</v>
      </c>
      <c r="AM54">
        <v>0.41234596980573029</v>
      </c>
      <c r="AN54">
        <v>0.37918171625061725</v>
      </c>
      <c r="AO54">
        <v>0.35750777483498958</v>
      </c>
      <c r="AP54">
        <v>0.37253482113942055</v>
      </c>
      <c r="AQ54">
        <v>0.3970248763887842</v>
      </c>
      <c r="EA54" t="s">
        <v>679</v>
      </c>
      <c r="EB54">
        <v>0.36565891958917851</v>
      </c>
      <c r="EC54">
        <v>0.36061180500256135</v>
      </c>
      <c r="ED54">
        <v>0.36217734629905851</v>
      </c>
      <c r="EE54">
        <v>0.37239924074878511</v>
      </c>
      <c r="EF54">
        <v>0.37342583730487872</v>
      </c>
      <c r="EG54">
        <v>0.37882897233426449</v>
      </c>
      <c r="EH54">
        <v>0.37836493204361277</v>
      </c>
      <c r="EI54">
        <v>0.37998366359480645</v>
      </c>
      <c r="EJ54">
        <v>0.37749606864090601</v>
      </c>
      <c r="EK54">
        <v>0.37732925423607577</v>
      </c>
      <c r="EL54">
        <v>0.37033701983117145</v>
      </c>
      <c r="EM54">
        <v>0.37317294698236436</v>
      </c>
      <c r="EN54">
        <v>0.37136089535206612</v>
      </c>
      <c r="EO54">
        <v>0.37791630554666844</v>
      </c>
      <c r="EP54">
        <v>0.38036068180458943</v>
      </c>
      <c r="EQ54">
        <v>0.40295723418562823</v>
      </c>
      <c r="ER54">
        <v>0.41104969116305645</v>
      </c>
      <c r="ES54">
        <v>0.41082254420410946</v>
      </c>
      <c r="ET54">
        <v>0.3908170944465284</v>
      </c>
      <c r="EU54">
        <v>0.36743087742464264</v>
      </c>
      <c r="EV54">
        <v>0.13377092531492779</v>
      </c>
      <c r="EW54">
        <v>0.12698751173693285</v>
      </c>
      <c r="EX54">
        <v>0.11654008999871927</v>
      </c>
      <c r="EY54">
        <v>0.11284597685671365</v>
      </c>
      <c r="EZ54">
        <v>0.11394386690065476</v>
      </c>
      <c r="FA54">
        <v>0.15518140148650716</v>
      </c>
      <c r="FB54">
        <v>0.19715280565862367</v>
      </c>
      <c r="FC54">
        <v>0.19306386613536267</v>
      </c>
      <c r="FD54">
        <v>0.17236336967286703</v>
      </c>
      <c r="FE54">
        <v>0.13529600905500952</v>
      </c>
      <c r="FF54">
        <v>0.29943175898174357</v>
      </c>
      <c r="FG54">
        <v>0.29508701451437552</v>
      </c>
      <c r="FH54">
        <v>0.29152581609467298</v>
      </c>
      <c r="FI54">
        <v>0.28894304407108534</v>
      </c>
      <c r="FJ54">
        <v>0.28208808125332019</v>
      </c>
      <c r="FK54">
        <v>0.29357587167404797</v>
      </c>
      <c r="FL54">
        <v>0.3005208623398663</v>
      </c>
      <c r="FM54">
        <v>0.29384844580255537</v>
      </c>
      <c r="FN54">
        <v>0.288099862843611</v>
      </c>
      <c r="FO54">
        <v>0.28469163802045111</v>
      </c>
      <c r="FQ54" t="s">
        <v>641</v>
      </c>
      <c r="FR54" t="s">
        <v>127</v>
      </c>
      <c r="FS54" t="s">
        <v>128</v>
      </c>
      <c r="FT54">
        <v>0.34061803278007469</v>
      </c>
    </row>
    <row r="55" spans="2:176" x14ac:dyDescent="0.45">
      <c r="B55" t="s">
        <v>642</v>
      </c>
      <c r="C55" t="s">
        <v>123</v>
      </c>
      <c r="D55">
        <v>0.4895694996744368</v>
      </c>
      <c r="E55">
        <v>0.49084866160010643</v>
      </c>
      <c r="F55">
        <v>0.49115247631451475</v>
      </c>
      <c r="G55">
        <v>0.49943863919833492</v>
      </c>
      <c r="H55">
        <v>0.51687522545967979</v>
      </c>
      <c r="I55">
        <v>0.52307543168171589</v>
      </c>
      <c r="J55">
        <v>0.53639708729728597</v>
      </c>
      <c r="K55">
        <v>0.5436738130243447</v>
      </c>
      <c r="L55">
        <v>0.53615150684037616</v>
      </c>
      <c r="M55">
        <v>0.52385630716492559</v>
      </c>
      <c r="N55">
        <v>0.41009080019312849</v>
      </c>
      <c r="O55">
        <v>0.44310154056491113</v>
      </c>
      <c r="P55">
        <v>0.48832089588526723</v>
      </c>
      <c r="Q55">
        <v>0.53033945548658123</v>
      </c>
      <c r="R55">
        <v>0.50124603385352051</v>
      </c>
      <c r="S55">
        <v>0.44019058889869389</v>
      </c>
      <c r="T55">
        <v>0.41512883603426592</v>
      </c>
      <c r="U55">
        <v>0.44007858611414802</v>
      </c>
      <c r="V55">
        <v>0.44588469501203809</v>
      </c>
      <c r="W55">
        <v>0.42787715341157873</v>
      </c>
      <c r="X55">
        <v>0.43304106340177617</v>
      </c>
      <c r="Y55">
        <v>0.43704779308444619</v>
      </c>
      <c r="Z55">
        <v>0.48063678793485654</v>
      </c>
      <c r="AA55">
        <v>0.51900608896797173</v>
      </c>
      <c r="AB55">
        <v>0.47557079507461203</v>
      </c>
      <c r="AC55">
        <v>0.35743054647494121</v>
      </c>
      <c r="AD55">
        <v>0.33675572740451121</v>
      </c>
      <c r="AE55">
        <v>0.36441811242041344</v>
      </c>
      <c r="AF55">
        <v>0.40494679965065355</v>
      </c>
      <c r="AG55">
        <v>0.43680089261108046</v>
      </c>
      <c r="AH55">
        <v>0.44951242052866475</v>
      </c>
      <c r="AI55">
        <v>0.43677630825261149</v>
      </c>
      <c r="AJ55">
        <v>0.44184716394239176</v>
      </c>
      <c r="AK55">
        <v>0.47366426764097963</v>
      </c>
      <c r="AL55">
        <v>0.47776934694291051</v>
      </c>
      <c r="AM55">
        <v>0.47598025002655109</v>
      </c>
      <c r="AN55">
        <v>0.47706027338992441</v>
      </c>
      <c r="AO55">
        <v>0.48347664147530189</v>
      </c>
      <c r="AP55">
        <v>0.4847495947980045</v>
      </c>
      <c r="AQ55">
        <v>0.46989617272213297</v>
      </c>
      <c r="EA55" t="s">
        <v>642</v>
      </c>
      <c r="EB55">
        <v>0.13703186407461973</v>
      </c>
      <c r="EC55">
        <v>0.12918843866029103</v>
      </c>
      <c r="ED55">
        <v>0.12702612844702146</v>
      </c>
      <c r="EE55">
        <v>0.11448572384386016</v>
      </c>
      <c r="EF55">
        <v>0.10436308231870664</v>
      </c>
      <c r="EG55">
        <v>0.10989496160780213</v>
      </c>
      <c r="EH55">
        <v>0.11236353262736619</v>
      </c>
      <c r="EI55">
        <v>0.11615476780716251</v>
      </c>
      <c r="EJ55">
        <v>0.1250406780630415</v>
      </c>
      <c r="EK55">
        <v>0.12907223677954174</v>
      </c>
      <c r="EL55">
        <v>0.11334892097789699</v>
      </c>
      <c r="EM55">
        <v>0.11899023300796804</v>
      </c>
      <c r="EN55">
        <v>0.11497379782849719</v>
      </c>
      <c r="EO55">
        <v>0.10410299694963004</v>
      </c>
      <c r="EP55">
        <v>9.1279847203766071E-2</v>
      </c>
      <c r="EQ55">
        <v>0.10406790893157675</v>
      </c>
      <c r="ER55">
        <v>0.10979936282081323</v>
      </c>
      <c r="ES55">
        <v>0.10261319592315976</v>
      </c>
      <c r="ET55">
        <v>0.10566668016965484</v>
      </c>
      <c r="EU55">
        <v>0.10990954246952316</v>
      </c>
      <c r="EV55">
        <v>7.9799500279615368E-2</v>
      </c>
      <c r="EW55">
        <v>8.2748658795146909E-2</v>
      </c>
      <c r="EX55">
        <v>6.707409576902211E-2</v>
      </c>
      <c r="EY55">
        <v>5.7376366501585542E-2</v>
      </c>
      <c r="EZ55">
        <v>4.5223944575629858E-2</v>
      </c>
      <c r="FA55">
        <v>5.8618959704534172E-2</v>
      </c>
      <c r="FB55">
        <v>6.5252654079844791E-2</v>
      </c>
      <c r="FC55">
        <v>5.0366871712510378E-2</v>
      </c>
      <c r="FD55">
        <v>4.3743924022584875E-2</v>
      </c>
      <c r="FE55">
        <v>5.2938445351025813E-2</v>
      </c>
      <c r="FF55">
        <v>0.14401268930595773</v>
      </c>
      <c r="FG55">
        <v>0.13881542978122477</v>
      </c>
      <c r="FH55">
        <v>0.13503273447246092</v>
      </c>
      <c r="FI55">
        <v>0.12276711728795853</v>
      </c>
      <c r="FJ55">
        <v>0.11706916108812054</v>
      </c>
      <c r="FK55">
        <v>0.12229797571944426</v>
      </c>
      <c r="FL55">
        <v>0.12160133051103525</v>
      </c>
      <c r="FM55">
        <v>0.12229898195546129</v>
      </c>
      <c r="FN55">
        <v>0.12511944711182477</v>
      </c>
      <c r="FO55">
        <v>0.13516745191395677</v>
      </c>
      <c r="FQ55" t="s">
        <v>643</v>
      </c>
      <c r="FR55" t="s">
        <v>127</v>
      </c>
      <c r="FS55" t="s">
        <v>128</v>
      </c>
      <c r="FT55">
        <v>0.39099463826423869</v>
      </c>
    </row>
    <row r="56" spans="2:176" x14ac:dyDescent="0.45">
      <c r="B56" t="s">
        <v>644</v>
      </c>
      <c r="C56" t="s">
        <v>123</v>
      </c>
      <c r="D56">
        <v>0.38061079213270904</v>
      </c>
      <c r="E56">
        <v>0.43406632826930847</v>
      </c>
      <c r="F56">
        <v>0.44116012233088303</v>
      </c>
      <c r="G56">
        <v>0.48912089406860138</v>
      </c>
      <c r="H56">
        <v>0.53744539072195241</v>
      </c>
      <c r="I56">
        <v>0.54609605721341647</v>
      </c>
      <c r="J56">
        <v>0.53635683275434443</v>
      </c>
      <c r="K56">
        <v>0.49203704544116428</v>
      </c>
      <c r="L56">
        <v>0.47475114719794786</v>
      </c>
      <c r="M56">
        <v>0.41345377758586233</v>
      </c>
      <c r="N56">
        <v>0.40232195662575404</v>
      </c>
      <c r="O56">
        <v>0.43411545719744044</v>
      </c>
      <c r="P56">
        <v>0.4975038754848814</v>
      </c>
      <c r="Q56">
        <v>0.53547914813147979</v>
      </c>
      <c r="R56">
        <v>0.48945273301938214</v>
      </c>
      <c r="S56">
        <v>0.42992563171130638</v>
      </c>
      <c r="T56">
        <v>0.41554317634433885</v>
      </c>
      <c r="U56">
        <v>0.37171208949039969</v>
      </c>
      <c r="V56">
        <v>0.34212977769146258</v>
      </c>
      <c r="W56">
        <v>0.37241923918838238</v>
      </c>
      <c r="X56">
        <v>0.39221144393062557</v>
      </c>
      <c r="Y56">
        <v>0.36640065847316722</v>
      </c>
      <c r="Z56">
        <v>0.44711603706719216</v>
      </c>
      <c r="AA56">
        <v>0.50659490985940803</v>
      </c>
      <c r="AB56">
        <v>0.47050058786073967</v>
      </c>
      <c r="AC56">
        <v>0.44573064679373237</v>
      </c>
      <c r="AD56">
        <v>0.42565476180012823</v>
      </c>
      <c r="AE56">
        <v>0.37782974431370742</v>
      </c>
      <c r="AF56">
        <v>0.32400457207999855</v>
      </c>
      <c r="AG56">
        <v>0.31852117312937861</v>
      </c>
      <c r="AH56">
        <v>0.38607668301476089</v>
      </c>
      <c r="AI56">
        <v>0.37440827650437852</v>
      </c>
      <c r="AJ56">
        <v>0.40043175245126805</v>
      </c>
      <c r="AK56">
        <v>0.45686024876850345</v>
      </c>
      <c r="AL56">
        <v>0.46858121687973858</v>
      </c>
      <c r="AM56">
        <v>0.47306884982941938</v>
      </c>
      <c r="AN56">
        <v>0.4586876930153817</v>
      </c>
      <c r="AO56">
        <v>0.37161200343547346</v>
      </c>
      <c r="AP56">
        <v>0.33721148730232831</v>
      </c>
      <c r="AQ56">
        <v>0.36859016350131124</v>
      </c>
      <c r="EA56" t="s">
        <v>644</v>
      </c>
      <c r="EB56">
        <v>0.12830026314754425</v>
      </c>
      <c r="EC56">
        <v>0.12253981186768996</v>
      </c>
      <c r="ED56">
        <v>0.12463760141915614</v>
      </c>
      <c r="EE56">
        <v>0.11175016221922504</v>
      </c>
      <c r="EF56">
        <v>9.1514178361639983E-2</v>
      </c>
      <c r="EG56">
        <v>0.10016817871127398</v>
      </c>
      <c r="EH56">
        <v>0.10505522505316379</v>
      </c>
      <c r="EI56">
        <v>0.12284427602691826</v>
      </c>
      <c r="EJ56">
        <v>0.12996661639586277</v>
      </c>
      <c r="EK56">
        <v>0.12650663248511965</v>
      </c>
      <c r="EL56">
        <v>0.15808968233617096</v>
      </c>
      <c r="EM56">
        <v>0.14958945546866262</v>
      </c>
      <c r="EN56">
        <v>0.11761128828000143</v>
      </c>
      <c r="EO56">
        <v>0.10260205812907473</v>
      </c>
      <c r="EP56">
        <v>9.6148349517778703E-2</v>
      </c>
      <c r="EQ56">
        <v>0.11324600406197445</v>
      </c>
      <c r="ER56">
        <v>0.13669065370169411</v>
      </c>
      <c r="ES56">
        <v>0.14988409736378738</v>
      </c>
      <c r="ET56">
        <v>0.16901877934582396</v>
      </c>
      <c r="EU56">
        <v>0.15964602998572905</v>
      </c>
      <c r="EV56">
        <v>9.4396980367773498E-2</v>
      </c>
      <c r="EW56">
        <v>8.1741987479773459E-2</v>
      </c>
      <c r="EX56">
        <v>5.227458145070564E-2</v>
      </c>
      <c r="EY56">
        <v>5.1674194007456868E-2</v>
      </c>
      <c r="EZ56">
        <v>4.6806705859060875E-2</v>
      </c>
      <c r="FA56">
        <v>5.4749518864614773E-2</v>
      </c>
      <c r="FB56">
        <v>5.7327224065614878E-2</v>
      </c>
      <c r="FC56">
        <v>6.2102687677991396E-2</v>
      </c>
      <c r="FD56">
        <v>8.0566339933488648E-2</v>
      </c>
      <c r="FE56">
        <v>9.4737526783353773E-2</v>
      </c>
      <c r="FF56">
        <v>0.14115084722558999</v>
      </c>
      <c r="FG56">
        <v>0.14012903368170843</v>
      </c>
      <c r="FH56">
        <v>0.12649560711178306</v>
      </c>
      <c r="FI56">
        <v>0.10371436417410745</v>
      </c>
      <c r="FJ56">
        <v>8.8510572170350882E-2</v>
      </c>
      <c r="FK56">
        <v>9.543484486274556E-2</v>
      </c>
      <c r="FL56">
        <v>0.11151568562014254</v>
      </c>
      <c r="FM56">
        <v>0.13805694688200365</v>
      </c>
      <c r="FN56">
        <v>0.16129331742883318</v>
      </c>
      <c r="FO56">
        <v>0.15167357085971525</v>
      </c>
      <c r="FQ56" t="s">
        <v>645</v>
      </c>
      <c r="FR56" t="s">
        <v>127</v>
      </c>
      <c r="FS56" t="s">
        <v>128</v>
      </c>
      <c r="FT56">
        <v>0.34905151369259318</v>
      </c>
    </row>
    <row r="57" spans="2:176" x14ac:dyDescent="0.45">
      <c r="B57" t="s">
        <v>646</v>
      </c>
      <c r="C57" t="s">
        <v>123</v>
      </c>
      <c r="D57">
        <v>0.45095815605262068</v>
      </c>
      <c r="E57">
        <v>0.46515210385377859</v>
      </c>
      <c r="F57">
        <v>0.47723875658500731</v>
      </c>
      <c r="G57">
        <v>0.50451476743400692</v>
      </c>
      <c r="H57">
        <v>0.53530002323996051</v>
      </c>
      <c r="I57">
        <v>0.52650294747495685</v>
      </c>
      <c r="J57">
        <v>0.50259210872759386</v>
      </c>
      <c r="K57">
        <v>0.47194029955552785</v>
      </c>
      <c r="L57">
        <v>0.47753613537195772</v>
      </c>
      <c r="M57">
        <v>0.45840018606147698</v>
      </c>
      <c r="N57">
        <v>0.388482056152264</v>
      </c>
      <c r="O57">
        <v>0.40244753758869639</v>
      </c>
      <c r="P57">
        <v>0.41556860118650785</v>
      </c>
      <c r="Q57">
        <v>0.43208792143274244</v>
      </c>
      <c r="R57">
        <v>0.42089630124098276</v>
      </c>
      <c r="S57">
        <v>0.38749854039540205</v>
      </c>
      <c r="T57">
        <v>0.36947824948925007</v>
      </c>
      <c r="U57">
        <v>0.37830958658356301</v>
      </c>
      <c r="V57">
        <v>0.40553354198904501</v>
      </c>
      <c r="W57">
        <v>0.40753036321307851</v>
      </c>
      <c r="X57">
        <v>0.46501281453422644</v>
      </c>
      <c r="Y57">
        <v>0.47078643439198126</v>
      </c>
      <c r="Z57">
        <v>0.47725790524379169</v>
      </c>
      <c r="AA57">
        <v>0.50633072028391501</v>
      </c>
      <c r="AB57">
        <v>0.40803218564082866</v>
      </c>
      <c r="AC57">
        <v>0.29588879397152851</v>
      </c>
      <c r="AD57">
        <v>0.24438426873649893</v>
      </c>
      <c r="AE57">
        <v>0.29609168911620221</v>
      </c>
      <c r="AF57">
        <v>0.38887827747071885</v>
      </c>
      <c r="AG57">
        <v>0.46745955116579946</v>
      </c>
      <c r="AH57">
        <v>0.43490045054454601</v>
      </c>
      <c r="AI57">
        <v>0.42060027156303853</v>
      </c>
      <c r="AJ57">
        <v>0.43933691111617845</v>
      </c>
      <c r="AK57">
        <v>0.48122592286475557</v>
      </c>
      <c r="AL57">
        <v>0.50351363463043819</v>
      </c>
      <c r="AM57">
        <v>0.44348050514052539</v>
      </c>
      <c r="AN57">
        <v>0.39739390664057594</v>
      </c>
      <c r="AO57">
        <v>0.38352941733775658</v>
      </c>
      <c r="AP57">
        <v>0.43493497389545116</v>
      </c>
      <c r="AQ57">
        <v>0.46187574795728431</v>
      </c>
      <c r="EA57" t="s">
        <v>646</v>
      </c>
      <c r="EB57">
        <v>0.13242789141783334</v>
      </c>
      <c r="EC57">
        <v>0.13185933946669945</v>
      </c>
      <c r="ED57">
        <v>0.1384730278545539</v>
      </c>
      <c r="EE57">
        <v>0.13550847217367962</v>
      </c>
      <c r="EF57">
        <v>0.14143993871497848</v>
      </c>
      <c r="EG57">
        <v>0.15145715381208183</v>
      </c>
      <c r="EH57">
        <v>0.15135051266261665</v>
      </c>
      <c r="EI57">
        <v>0.15327868413181114</v>
      </c>
      <c r="EJ57">
        <v>0.14583889868471486</v>
      </c>
      <c r="EK57">
        <v>0.13750443849166927</v>
      </c>
      <c r="EL57">
        <v>0.12524566888383776</v>
      </c>
      <c r="EM57">
        <v>0.12375376617517325</v>
      </c>
      <c r="EN57">
        <v>0.12941090151337412</v>
      </c>
      <c r="EO57">
        <v>0.15085275185133343</v>
      </c>
      <c r="EP57">
        <v>0.16831367655013821</v>
      </c>
      <c r="EQ57">
        <v>0.19445556402821859</v>
      </c>
      <c r="ER57">
        <v>0.19883670516685556</v>
      </c>
      <c r="ES57">
        <v>0.18467442485277857</v>
      </c>
      <c r="ET57">
        <v>0.16404450829862191</v>
      </c>
      <c r="EU57">
        <v>0.14258080609055579</v>
      </c>
      <c r="EV57">
        <v>3.7678366520854677E-2</v>
      </c>
      <c r="EW57">
        <v>3.5558399705748756E-2</v>
      </c>
      <c r="EX57">
        <v>2.6722813611577023E-2</v>
      </c>
      <c r="EY57">
        <v>2.7960243892695847E-2</v>
      </c>
      <c r="EZ57">
        <v>4.1887209774230508E-2</v>
      </c>
      <c r="FA57">
        <v>7.8442075162743374E-2</v>
      </c>
      <c r="FB57">
        <v>0.10016648277191138</v>
      </c>
      <c r="FC57">
        <v>9.0195843969572143E-2</v>
      </c>
      <c r="FD57">
        <v>5.8260305712985377E-2</v>
      </c>
      <c r="FE57">
        <v>3.91910297984095E-2</v>
      </c>
      <c r="FF57">
        <v>9.477401343886617E-2</v>
      </c>
      <c r="FG57">
        <v>9.4600101092933125E-2</v>
      </c>
      <c r="FH57">
        <v>9.4266185119279866E-2</v>
      </c>
      <c r="FI57">
        <v>9.5084864103942471E-2</v>
      </c>
      <c r="FJ57">
        <v>0.10856728453225449</v>
      </c>
      <c r="FK57">
        <v>0.13013749819040699</v>
      </c>
      <c r="FL57">
        <v>0.13796773251587363</v>
      </c>
      <c r="FM57">
        <v>0.1347973164749125</v>
      </c>
      <c r="FN57">
        <v>0.12373336734147754</v>
      </c>
      <c r="FO57">
        <v>0.11480087499909991</v>
      </c>
      <c r="FQ57" t="s">
        <v>647</v>
      </c>
      <c r="FR57" t="s">
        <v>127</v>
      </c>
      <c r="FS57" t="s">
        <v>128</v>
      </c>
      <c r="FT57">
        <v>0.38228784169877539</v>
      </c>
    </row>
    <row r="58" spans="2:176" x14ac:dyDescent="0.45">
      <c r="B58" t="s">
        <v>648</v>
      </c>
      <c r="C58" t="s">
        <v>123</v>
      </c>
      <c r="D58">
        <v>0.44438621057842903</v>
      </c>
      <c r="E58">
        <v>0.43094589603687355</v>
      </c>
      <c r="F58">
        <v>0.41897737447741767</v>
      </c>
      <c r="G58">
        <v>0.4327664393734908</v>
      </c>
      <c r="H58">
        <v>0.47218149604712606</v>
      </c>
      <c r="I58">
        <v>0.47564211847877824</v>
      </c>
      <c r="J58">
        <v>0.46122381921593164</v>
      </c>
      <c r="K58">
        <v>0.45794588005010028</v>
      </c>
      <c r="L58">
        <v>0.45290749776459222</v>
      </c>
      <c r="M58">
        <v>0.44288499072519033</v>
      </c>
      <c r="N58">
        <v>0.40169850816918623</v>
      </c>
      <c r="O58">
        <v>0.41961657826702525</v>
      </c>
      <c r="P58">
        <v>0.42694966717061156</v>
      </c>
      <c r="Q58">
        <v>0.44087270514196952</v>
      </c>
      <c r="R58">
        <v>0.43223464041907467</v>
      </c>
      <c r="S58">
        <v>0.3800756432982868</v>
      </c>
      <c r="T58">
        <v>0.34617601718442642</v>
      </c>
      <c r="U58">
        <v>0.36257625300682739</v>
      </c>
      <c r="V58">
        <v>0.3879967388016492</v>
      </c>
      <c r="W58">
        <v>0.40671547967725297</v>
      </c>
      <c r="X58">
        <v>0.50053357319365988</v>
      </c>
      <c r="Y58">
        <v>0.5061974796771741</v>
      </c>
      <c r="Z58">
        <v>0.5141647178733505</v>
      </c>
      <c r="AA58">
        <v>0.51144678503380336</v>
      </c>
      <c r="AB58">
        <v>0.38946293206472604</v>
      </c>
      <c r="AC58">
        <v>0.24341834606784271</v>
      </c>
      <c r="AD58">
        <v>0.22939066433833102</v>
      </c>
      <c r="AE58">
        <v>0.28163171785183788</v>
      </c>
      <c r="AF58">
        <v>0.3520548633442705</v>
      </c>
      <c r="AG58">
        <v>0.42972583668402076</v>
      </c>
      <c r="AH58">
        <v>0.43211826874707154</v>
      </c>
      <c r="AI58">
        <v>0.42953031201793029</v>
      </c>
      <c r="AJ58">
        <v>0.42831099034087772</v>
      </c>
      <c r="AK58">
        <v>0.43970999620150142</v>
      </c>
      <c r="AL58">
        <v>0.46514502304459415</v>
      </c>
      <c r="AM58">
        <v>0.44509527726802806</v>
      </c>
      <c r="AN58">
        <v>0.41605359631286082</v>
      </c>
      <c r="AO58">
        <v>0.40754845061354222</v>
      </c>
      <c r="AP58">
        <v>0.42208221837913401</v>
      </c>
      <c r="AQ58">
        <v>0.43528679404288073</v>
      </c>
      <c r="EA58" t="s">
        <v>648</v>
      </c>
      <c r="EB58">
        <v>0.23748960657094276</v>
      </c>
      <c r="EC58">
        <v>0.24837690255465183</v>
      </c>
      <c r="ED58">
        <v>0.25469199645694479</v>
      </c>
      <c r="EE58">
        <v>0.24770859551041338</v>
      </c>
      <c r="EF58">
        <v>0.23082393417685482</v>
      </c>
      <c r="EG58">
        <v>0.22504743208594494</v>
      </c>
      <c r="EH58">
        <v>0.22137780843978511</v>
      </c>
      <c r="EI58">
        <v>0.22460326903429764</v>
      </c>
      <c r="EJ58">
        <v>0.2180621345343845</v>
      </c>
      <c r="EK58">
        <v>0.22408239784278136</v>
      </c>
      <c r="EL58">
        <v>0.17837872887377712</v>
      </c>
      <c r="EM58">
        <v>0.20297861142320017</v>
      </c>
      <c r="EN58">
        <v>0.21939536710218385</v>
      </c>
      <c r="EO58">
        <v>0.22882705587192409</v>
      </c>
      <c r="EP58">
        <v>0.22208348818583956</v>
      </c>
      <c r="EQ58">
        <v>0.2342103592794656</v>
      </c>
      <c r="ER58">
        <v>0.23500323356532365</v>
      </c>
      <c r="ES58">
        <v>0.22766871686790074</v>
      </c>
      <c r="ET58">
        <v>0.20763864717492214</v>
      </c>
      <c r="EU58">
        <v>0.1917901054573779</v>
      </c>
      <c r="EV58">
        <v>8.1140661187948021E-2</v>
      </c>
      <c r="EW58">
        <v>8.9925112064838095E-2</v>
      </c>
      <c r="EX58">
        <v>7.4106306717709736E-2</v>
      </c>
      <c r="EY58">
        <v>6.2565627175516531E-2</v>
      </c>
      <c r="EZ58">
        <v>5.7405828939455575E-2</v>
      </c>
      <c r="FA58">
        <v>8.9940530980323521E-2</v>
      </c>
      <c r="FB58">
        <v>0.12376581757619178</v>
      </c>
      <c r="FC58">
        <v>0.12244703098633092</v>
      </c>
      <c r="FD58">
        <v>0.10418711314802279</v>
      </c>
      <c r="FE58">
        <v>8.2896756700582677E-2</v>
      </c>
      <c r="FF58">
        <v>0.19865902580148376</v>
      </c>
      <c r="FG58">
        <v>0.21010350886176613</v>
      </c>
      <c r="FH58">
        <v>0.20717661910279159</v>
      </c>
      <c r="FI58">
        <v>0.20525236279133172</v>
      </c>
      <c r="FJ58">
        <v>0.20152527323797026</v>
      </c>
      <c r="FK58">
        <v>0.22127195565531632</v>
      </c>
      <c r="FL58">
        <v>0.22600854395312153</v>
      </c>
      <c r="FM58">
        <v>0.22742984364068472</v>
      </c>
      <c r="FN58">
        <v>0.2247524649252404</v>
      </c>
      <c r="FO58">
        <v>0.20896881916425591</v>
      </c>
      <c r="FQ58" t="s">
        <v>649</v>
      </c>
      <c r="FR58" t="s">
        <v>127</v>
      </c>
      <c r="FS58" t="s">
        <v>128</v>
      </c>
      <c r="FT58">
        <v>0.27553158841766834</v>
      </c>
    </row>
    <row r="59" spans="2:176" x14ac:dyDescent="0.45">
      <c r="B59" t="s">
        <v>650</v>
      </c>
      <c r="C59" t="s">
        <v>123</v>
      </c>
      <c r="D59">
        <v>0.45028475994884404</v>
      </c>
      <c r="E59">
        <v>0.44132275599809778</v>
      </c>
      <c r="F59">
        <v>0.4405230804749718</v>
      </c>
      <c r="G59">
        <v>0.45958506307846009</v>
      </c>
      <c r="H59">
        <v>0.47515911307903486</v>
      </c>
      <c r="I59">
        <v>0.48151404940982201</v>
      </c>
      <c r="J59">
        <v>0.48878313258523787</v>
      </c>
      <c r="K59">
        <v>0.49136030483983822</v>
      </c>
      <c r="L59">
        <v>0.4710692634233008</v>
      </c>
      <c r="M59">
        <v>0.45664381205281979</v>
      </c>
      <c r="N59">
        <v>0.47309459571547641</v>
      </c>
      <c r="O59">
        <v>0.45393181698916502</v>
      </c>
      <c r="P59">
        <v>0.43604887405847892</v>
      </c>
      <c r="Q59">
        <v>0.43767359263989175</v>
      </c>
      <c r="R59">
        <v>0.41175654482928198</v>
      </c>
      <c r="S59">
        <v>0.41368413786275443</v>
      </c>
      <c r="T59">
        <v>0.42507560194059402</v>
      </c>
      <c r="U59">
        <v>0.45062824567468612</v>
      </c>
      <c r="V59">
        <v>0.45411640054178831</v>
      </c>
      <c r="W59">
        <v>0.48559658378985648</v>
      </c>
      <c r="X59">
        <v>0.43385937375328021</v>
      </c>
      <c r="Y59">
        <v>0.45594242481982866</v>
      </c>
      <c r="Z59">
        <v>0.48181510489477003</v>
      </c>
      <c r="AA59">
        <v>0.51123734263416987</v>
      </c>
      <c r="AB59">
        <v>0.51164621297102364</v>
      </c>
      <c r="AC59">
        <v>0.44199763644526385</v>
      </c>
      <c r="AD59">
        <v>0.37622638645595541</v>
      </c>
      <c r="AE59">
        <v>0.35627438590755733</v>
      </c>
      <c r="AF59">
        <v>0.35747555168736295</v>
      </c>
      <c r="AG59">
        <v>0.40038337181765132</v>
      </c>
      <c r="AH59">
        <v>0.44132951344165783</v>
      </c>
      <c r="AI59">
        <v>0.43775077662041795</v>
      </c>
      <c r="AJ59">
        <v>0.42658465649179445</v>
      </c>
      <c r="AK59">
        <v>0.43417576676310932</v>
      </c>
      <c r="AL59">
        <v>0.41913969434543413</v>
      </c>
      <c r="AM59">
        <v>0.42063103408861746</v>
      </c>
      <c r="AN59">
        <v>0.40364747481005908</v>
      </c>
      <c r="AO59">
        <v>0.42013650440917705</v>
      </c>
      <c r="AP59">
        <v>0.4485640094727823</v>
      </c>
      <c r="AQ59">
        <v>0.46156062160149658</v>
      </c>
      <c r="EA59" t="s">
        <v>650</v>
      </c>
      <c r="EB59">
        <v>0.15847596982554579</v>
      </c>
      <c r="EC59">
        <v>0.16197541407313854</v>
      </c>
      <c r="ED59">
        <v>0.15881646538877281</v>
      </c>
      <c r="EE59">
        <v>0.15176982186671381</v>
      </c>
      <c r="EF59">
        <v>0.13884338169104904</v>
      </c>
      <c r="EG59">
        <v>0.14615326167145068</v>
      </c>
      <c r="EH59">
        <v>0.15306161812867072</v>
      </c>
      <c r="EI59">
        <v>0.16024960130632807</v>
      </c>
      <c r="EJ59">
        <v>0.162453008532184</v>
      </c>
      <c r="EK59">
        <v>0.15943049321752292</v>
      </c>
      <c r="EL59">
        <v>0.13182213092911066</v>
      </c>
      <c r="EM59">
        <v>0.13219664033411638</v>
      </c>
      <c r="EN59">
        <v>0.13375369873515042</v>
      </c>
      <c r="EO59">
        <v>0.13253460475843259</v>
      </c>
      <c r="EP59">
        <v>0.13428949767929202</v>
      </c>
      <c r="EQ59">
        <v>0.14844107950907137</v>
      </c>
      <c r="ER59">
        <v>0.15377327942166275</v>
      </c>
      <c r="ES59">
        <v>0.14233051621580078</v>
      </c>
      <c r="ET59">
        <v>0.13393690333537531</v>
      </c>
      <c r="EU59">
        <v>0.12554224405057801</v>
      </c>
      <c r="EV59">
        <v>4.8226564736617211E-2</v>
      </c>
      <c r="EW59">
        <v>5.4564618805621683E-2</v>
      </c>
      <c r="EX59">
        <v>5.2822326473859718E-2</v>
      </c>
      <c r="EY59">
        <v>5.3871635990786627E-2</v>
      </c>
      <c r="EZ59">
        <v>5.6616634324531123E-2</v>
      </c>
      <c r="FA59">
        <v>6.4125176857931468E-2</v>
      </c>
      <c r="FB59">
        <v>6.0090216208628283E-2</v>
      </c>
      <c r="FC59">
        <v>4.5653290857755421E-2</v>
      </c>
      <c r="FD59">
        <v>3.8486150647751384E-2</v>
      </c>
      <c r="FE59">
        <v>3.992842404441397E-2</v>
      </c>
      <c r="FF59">
        <v>0.14384503880353269</v>
      </c>
      <c r="FG59">
        <v>0.14036186666959513</v>
      </c>
      <c r="FH59">
        <v>0.13860054328195576</v>
      </c>
      <c r="FI59">
        <v>0.14002537218678107</v>
      </c>
      <c r="FJ59">
        <v>0.1352812554708677</v>
      </c>
      <c r="FK59">
        <v>0.14855889238984915</v>
      </c>
      <c r="FL59">
        <v>0.15198431388503122</v>
      </c>
      <c r="FM59">
        <v>0.14974956323902724</v>
      </c>
      <c r="FN59">
        <v>0.14615956124840587</v>
      </c>
      <c r="FO59">
        <v>0.15135311034399576</v>
      </c>
      <c r="FQ59" t="s">
        <v>651</v>
      </c>
      <c r="FR59" t="s">
        <v>127</v>
      </c>
      <c r="FS59" t="s">
        <v>128</v>
      </c>
      <c r="FT59">
        <v>0.30611517554612716</v>
      </c>
    </row>
    <row r="60" spans="2:176" x14ac:dyDescent="0.45">
      <c r="B60" t="s">
        <v>652</v>
      </c>
      <c r="C60" t="s">
        <v>123</v>
      </c>
      <c r="D60">
        <v>0.53250773918553262</v>
      </c>
      <c r="E60">
        <v>0.50714466347322429</v>
      </c>
      <c r="F60">
        <v>0.48984420294813463</v>
      </c>
      <c r="G60">
        <v>0.49033697392851799</v>
      </c>
      <c r="H60">
        <v>0.50985220382398977</v>
      </c>
      <c r="I60">
        <v>0.51120378355042539</v>
      </c>
      <c r="J60">
        <v>0.51770945493305243</v>
      </c>
      <c r="K60">
        <v>0.51310379134467954</v>
      </c>
      <c r="L60">
        <v>0.52234262368045126</v>
      </c>
      <c r="M60">
        <v>0.52765616736761045</v>
      </c>
      <c r="N60">
        <v>0.4699180126528642</v>
      </c>
      <c r="O60">
        <v>0.46610508350093088</v>
      </c>
      <c r="P60">
        <v>0.48085234670042337</v>
      </c>
      <c r="Q60">
        <v>0.46563918254103476</v>
      </c>
      <c r="R60">
        <v>0.46361722607863959</v>
      </c>
      <c r="S60">
        <v>0.44615694850914295</v>
      </c>
      <c r="T60">
        <v>0.41134467754692927</v>
      </c>
      <c r="U60">
        <v>0.40533335933668019</v>
      </c>
      <c r="V60">
        <v>0.4405321754281662</v>
      </c>
      <c r="W60">
        <v>0.49533384885017295</v>
      </c>
      <c r="X60">
        <v>0.48094022551251042</v>
      </c>
      <c r="Y60">
        <v>0.5029258878742825</v>
      </c>
      <c r="Z60">
        <v>0.52206828727584176</v>
      </c>
      <c r="AA60">
        <v>0.50439913716880802</v>
      </c>
      <c r="AB60">
        <v>0.46646897261552922</v>
      </c>
      <c r="AC60">
        <v>0.33674471088231972</v>
      </c>
      <c r="AD60">
        <v>0.27543500685113015</v>
      </c>
      <c r="AE60">
        <v>0.26833546849011264</v>
      </c>
      <c r="AF60">
        <v>0.29990823404800193</v>
      </c>
      <c r="AG60">
        <v>0.40843667685446916</v>
      </c>
      <c r="AH60">
        <v>0.47244234312589872</v>
      </c>
      <c r="AI60">
        <v>0.48106284450854914</v>
      </c>
      <c r="AJ60">
        <v>0.46324195152321573</v>
      </c>
      <c r="AK60">
        <v>0.48123769962659968</v>
      </c>
      <c r="AL60">
        <v>0.46806738413805049</v>
      </c>
      <c r="AM60">
        <v>0.47734607572200299</v>
      </c>
      <c r="AN60">
        <v>0.47332553794448118</v>
      </c>
      <c r="AO60">
        <v>0.43185645374999637</v>
      </c>
      <c r="AP60">
        <v>0.43088387840550579</v>
      </c>
      <c r="AQ60">
        <v>0.46047635631435863</v>
      </c>
      <c r="EA60" t="s">
        <v>652</v>
      </c>
      <c r="EB60">
        <v>0.13358893709458497</v>
      </c>
      <c r="EC60">
        <v>0.14725102772557033</v>
      </c>
      <c r="ED60">
        <v>0.14646008939432392</v>
      </c>
      <c r="EE60">
        <v>0.12682582772467108</v>
      </c>
      <c r="EF60">
        <v>0.12319841398677878</v>
      </c>
      <c r="EG60">
        <v>0.13496521466013264</v>
      </c>
      <c r="EH60">
        <v>0.13378933565279516</v>
      </c>
      <c r="EI60">
        <v>0.12442691246064896</v>
      </c>
      <c r="EJ60">
        <v>0.11640484212984192</v>
      </c>
      <c r="EK60">
        <v>0.11586214411501999</v>
      </c>
      <c r="EL60">
        <v>0.11683339608124076</v>
      </c>
      <c r="EM60">
        <v>0.13093020288800436</v>
      </c>
      <c r="EN60">
        <v>0.13852201039936979</v>
      </c>
      <c r="EO60">
        <v>0.15585016874418858</v>
      </c>
      <c r="EP60">
        <v>0.16273444607547052</v>
      </c>
      <c r="EQ60">
        <v>0.16514977023433031</v>
      </c>
      <c r="ER60">
        <v>0.15476739257176855</v>
      </c>
      <c r="ES60">
        <v>0.13469495330258555</v>
      </c>
      <c r="ET60">
        <v>0.11845531253118037</v>
      </c>
      <c r="EU60">
        <v>0.10921630807024066</v>
      </c>
      <c r="EV60">
        <v>3.812837772862139E-2</v>
      </c>
      <c r="EW60">
        <v>3.467685595407901E-2</v>
      </c>
      <c r="EX60">
        <v>3.3529203756387432E-2</v>
      </c>
      <c r="EY60">
        <v>4.3067243743272331E-2</v>
      </c>
      <c r="EZ60">
        <v>4.9692660600402526E-2</v>
      </c>
      <c r="FA60">
        <v>6.2493557372036976E-2</v>
      </c>
      <c r="FB60">
        <v>8.7982800180405427E-2</v>
      </c>
      <c r="FC60">
        <v>8.8887760642379479E-2</v>
      </c>
      <c r="FD60">
        <v>7.5237641256555271E-2</v>
      </c>
      <c r="FE60">
        <v>5.0685662355333651E-2</v>
      </c>
      <c r="FF60">
        <v>0.13126945165735832</v>
      </c>
      <c r="FG60">
        <v>0.14116574537289953</v>
      </c>
      <c r="FH60">
        <v>0.13176372783524298</v>
      </c>
      <c r="FI60">
        <v>0.12702427273546815</v>
      </c>
      <c r="FJ60">
        <v>0.13415024735263242</v>
      </c>
      <c r="FK60">
        <v>0.1515920051476605</v>
      </c>
      <c r="FL60">
        <v>0.15546958650533632</v>
      </c>
      <c r="FM60">
        <v>0.15685996860408455</v>
      </c>
      <c r="FN60">
        <v>0.1502290905537926</v>
      </c>
      <c r="FO60">
        <v>0.1380173763725667</v>
      </c>
      <c r="FQ60" t="s">
        <v>653</v>
      </c>
      <c r="FR60" t="s">
        <v>127</v>
      </c>
      <c r="FS60" t="s">
        <v>128</v>
      </c>
      <c r="FT60">
        <v>0.38794006646144275</v>
      </c>
    </row>
    <row r="61" spans="2:176" x14ac:dyDescent="0.45">
      <c r="B61" t="s">
        <v>654</v>
      </c>
      <c r="C61" t="s">
        <v>123</v>
      </c>
      <c r="D61">
        <v>0.38518954512222936</v>
      </c>
      <c r="E61">
        <v>0.3974318991958477</v>
      </c>
      <c r="F61">
        <v>0.4096135849382691</v>
      </c>
      <c r="G61">
        <v>0.43175011118595902</v>
      </c>
      <c r="H61">
        <v>0.4749521558832292</v>
      </c>
      <c r="I61">
        <v>0.46764760174694803</v>
      </c>
      <c r="J61">
        <v>0.45026916564723685</v>
      </c>
      <c r="K61">
        <v>0.42475792263589834</v>
      </c>
      <c r="L61">
        <v>0.41112121940617435</v>
      </c>
      <c r="M61">
        <v>0.40327340631311176</v>
      </c>
      <c r="N61">
        <v>0.39637483273484964</v>
      </c>
      <c r="O61">
        <v>0.40156451948410865</v>
      </c>
      <c r="P61">
        <v>0.43858512069449906</v>
      </c>
      <c r="Q61">
        <v>0.4505092818689293</v>
      </c>
      <c r="R61">
        <v>0.40669730007715738</v>
      </c>
      <c r="S61">
        <v>0.37045602121351717</v>
      </c>
      <c r="T61">
        <v>0.36618698306997194</v>
      </c>
      <c r="U61">
        <v>0.38514689745389469</v>
      </c>
      <c r="V61">
        <v>0.4007732372784647</v>
      </c>
      <c r="W61">
        <v>0.40182189114117933</v>
      </c>
      <c r="X61">
        <v>0.38782059031913185</v>
      </c>
      <c r="Y61">
        <v>0.35957416341915349</v>
      </c>
      <c r="Z61">
        <v>0.3680001469212944</v>
      </c>
      <c r="AA61">
        <v>0.38848798168325754</v>
      </c>
      <c r="AB61">
        <v>0.34896173505898204</v>
      </c>
      <c r="AC61">
        <v>0.30120314619573563</v>
      </c>
      <c r="AD61">
        <v>0.30323781790093945</v>
      </c>
      <c r="AE61">
        <v>0.33893271887892173</v>
      </c>
      <c r="AF61">
        <v>0.37594166175066479</v>
      </c>
      <c r="AG61">
        <v>0.38613230476843202</v>
      </c>
      <c r="AH61">
        <v>0.447365400505706</v>
      </c>
      <c r="AI61">
        <v>0.43076946361321056</v>
      </c>
      <c r="AJ61">
        <v>0.42902698900062547</v>
      </c>
      <c r="AK61">
        <v>0.4604577112658661</v>
      </c>
      <c r="AL61">
        <v>0.46578476239807248</v>
      </c>
      <c r="AM61">
        <v>0.43808058506060277</v>
      </c>
      <c r="AN61">
        <v>0.40475302652206635</v>
      </c>
      <c r="AO61">
        <v>0.39895252691109762</v>
      </c>
      <c r="AP61">
        <v>0.41861105743970145</v>
      </c>
      <c r="AQ61">
        <v>0.43142765389162269</v>
      </c>
      <c r="EA61" t="s">
        <v>654</v>
      </c>
      <c r="EB61">
        <v>0.15984377432456562</v>
      </c>
      <c r="EC61">
        <v>0.1717589200844421</v>
      </c>
      <c r="ED61">
        <v>0.16924493726471665</v>
      </c>
      <c r="EE61">
        <v>0.15982394147086829</v>
      </c>
      <c r="EF61">
        <v>0.14808770278579819</v>
      </c>
      <c r="EG61">
        <v>0.15326381037914108</v>
      </c>
      <c r="EH61">
        <v>0.14912531564533602</v>
      </c>
      <c r="EI61">
        <v>0.13820447612300851</v>
      </c>
      <c r="EJ61">
        <v>0.13238710553022542</v>
      </c>
      <c r="EK61">
        <v>0.13529870186829143</v>
      </c>
      <c r="EL61">
        <v>0.15457234827599281</v>
      </c>
      <c r="EM61">
        <v>0.15683343811050771</v>
      </c>
      <c r="EN61">
        <v>0.15205877055845521</v>
      </c>
      <c r="EO61">
        <v>0.14982628108644516</v>
      </c>
      <c r="EP61">
        <v>0.14054158698754257</v>
      </c>
      <c r="EQ61">
        <v>0.16972998664725764</v>
      </c>
      <c r="ER61">
        <v>0.18042678571533344</v>
      </c>
      <c r="ES61">
        <v>0.1662002014253515</v>
      </c>
      <c r="ET61">
        <v>0.15310675721665609</v>
      </c>
      <c r="EU61">
        <v>0.14617464132018765</v>
      </c>
      <c r="EV61">
        <v>8.2666755961068275E-2</v>
      </c>
      <c r="EW61">
        <v>8.2147027825822061E-2</v>
      </c>
      <c r="EX61">
        <v>6.9431670418802521E-2</v>
      </c>
      <c r="EY61">
        <v>6.6975477538898917E-2</v>
      </c>
      <c r="EZ61">
        <v>5.7774395631665518E-2</v>
      </c>
      <c r="FA61">
        <v>6.9793035962696912E-2</v>
      </c>
      <c r="FB61">
        <v>7.1158768364145614E-2</v>
      </c>
      <c r="FC61">
        <v>6.1064940993472809E-2</v>
      </c>
      <c r="FD61">
        <v>5.861040868741383E-2</v>
      </c>
      <c r="FE61">
        <v>6.7319991459657252E-2</v>
      </c>
      <c r="FF61">
        <v>0.12933781485168272</v>
      </c>
      <c r="FG61">
        <v>0.13115677797418557</v>
      </c>
      <c r="FH61">
        <v>0.12458499289270079</v>
      </c>
      <c r="FI61">
        <v>0.11925060965470564</v>
      </c>
      <c r="FJ61">
        <v>0.12585285270545818</v>
      </c>
      <c r="FK61">
        <v>0.13589695473217092</v>
      </c>
      <c r="FL61">
        <v>0.1377043718434296</v>
      </c>
      <c r="FM61">
        <v>0.13569904356185872</v>
      </c>
      <c r="FN61">
        <v>0.12870150655001075</v>
      </c>
      <c r="FO61">
        <v>0.12730443199100638</v>
      </c>
      <c r="FQ61" t="s">
        <v>655</v>
      </c>
      <c r="FR61" t="s">
        <v>127</v>
      </c>
      <c r="FS61" t="s">
        <v>128</v>
      </c>
      <c r="FT61">
        <v>0.31438274901035923</v>
      </c>
    </row>
    <row r="62" spans="2:176" x14ac:dyDescent="0.45">
      <c r="B62" t="s">
        <v>656</v>
      </c>
      <c r="C62" t="s">
        <v>123</v>
      </c>
      <c r="D62">
        <v>0.53200859051240723</v>
      </c>
      <c r="E62">
        <v>0.53122967524873177</v>
      </c>
      <c r="F62">
        <v>0.51338640303546534</v>
      </c>
      <c r="G62">
        <v>0.51867608887274352</v>
      </c>
      <c r="H62">
        <v>0.55092649237442626</v>
      </c>
      <c r="I62">
        <v>0.54653814344939133</v>
      </c>
      <c r="J62">
        <v>0.52385292953429352</v>
      </c>
      <c r="K62">
        <v>0.48910975090462516</v>
      </c>
      <c r="L62">
        <v>0.49361332669900376</v>
      </c>
      <c r="M62">
        <v>0.55322663249111204</v>
      </c>
      <c r="N62">
        <v>0.47196015015123544</v>
      </c>
      <c r="O62">
        <v>0.46630448918012457</v>
      </c>
      <c r="P62">
        <v>0.49638696042747754</v>
      </c>
      <c r="Q62">
        <v>0.53060759106768696</v>
      </c>
      <c r="R62">
        <v>0.49625093931726244</v>
      </c>
      <c r="S62">
        <v>0.47379909311814694</v>
      </c>
      <c r="T62">
        <v>0.46451831814318967</v>
      </c>
      <c r="U62">
        <v>0.47591046558849331</v>
      </c>
      <c r="V62">
        <v>0.49359057843836557</v>
      </c>
      <c r="W62">
        <v>0.51125025453999151</v>
      </c>
      <c r="X62">
        <v>0.42359579417886395</v>
      </c>
      <c r="Y62">
        <v>0.41000774458509165</v>
      </c>
      <c r="Z62">
        <v>0.40330263163457136</v>
      </c>
      <c r="AA62">
        <v>0.4559302423242233</v>
      </c>
      <c r="AB62">
        <v>0.41221699809077517</v>
      </c>
      <c r="AC62">
        <v>0.36564093266445646</v>
      </c>
      <c r="AD62">
        <v>0.36143834677134695</v>
      </c>
      <c r="AE62">
        <v>0.37905140328352871</v>
      </c>
      <c r="AF62">
        <v>0.40798499271807892</v>
      </c>
      <c r="AG62">
        <v>0.45324721592486739</v>
      </c>
      <c r="AH62">
        <v>0.53707498637636764</v>
      </c>
      <c r="AI62">
        <v>0.52458255852859026</v>
      </c>
      <c r="AJ62">
        <v>0.5393011808191146</v>
      </c>
      <c r="AK62">
        <v>0.56041726466454878</v>
      </c>
      <c r="AL62">
        <v>0.55044905313687087</v>
      </c>
      <c r="AM62">
        <v>0.51178791044315497</v>
      </c>
      <c r="AN62">
        <v>0.48326204788606486</v>
      </c>
      <c r="AO62">
        <v>0.48925976094266471</v>
      </c>
      <c r="AP62">
        <v>0.51189522861066072</v>
      </c>
      <c r="AQ62">
        <v>0.5224466652040799</v>
      </c>
      <c r="EA62" t="s">
        <v>656</v>
      </c>
      <c r="EB62">
        <v>9.6005299149198711E-2</v>
      </c>
      <c r="EC62">
        <v>9.7050454669147732E-2</v>
      </c>
      <c r="ED62">
        <v>9.2858580607641711E-2</v>
      </c>
      <c r="EE62">
        <v>8.3168297075854922E-2</v>
      </c>
      <c r="EF62">
        <v>8.1993312237076288E-2</v>
      </c>
      <c r="EG62">
        <v>0.10234515717096977</v>
      </c>
      <c r="EH62">
        <v>9.1992237463710033E-2</v>
      </c>
      <c r="EI62">
        <v>8.0210363897518469E-2</v>
      </c>
      <c r="EJ62">
        <v>8.0171911898050993E-2</v>
      </c>
      <c r="EK62">
        <v>9.0015258753568639E-2</v>
      </c>
      <c r="EL62">
        <v>8.2505668338895569E-2</v>
      </c>
      <c r="EM62">
        <v>8.1065405536970628E-2</v>
      </c>
      <c r="EN62">
        <v>8.5235617333983743E-2</v>
      </c>
      <c r="EO62">
        <v>0.11344008017052942</v>
      </c>
      <c r="EP62">
        <v>0.11149574544881444</v>
      </c>
      <c r="EQ62">
        <v>0.13265699686480231</v>
      </c>
      <c r="ER62">
        <v>0.12918831478932963</v>
      </c>
      <c r="ES62">
        <v>0.10847640593162591</v>
      </c>
      <c r="ET62">
        <v>8.9271667461493051E-2</v>
      </c>
      <c r="EU62">
        <v>8.394204043415969E-2</v>
      </c>
      <c r="EV62">
        <v>4.1485715340092072E-2</v>
      </c>
      <c r="EW62">
        <v>3.5527866306517247E-2</v>
      </c>
      <c r="EX62">
        <v>2.6486195818522008E-2</v>
      </c>
      <c r="EY62">
        <v>4.0690759612434915E-2</v>
      </c>
      <c r="EZ62">
        <v>4.7100043961943505E-2</v>
      </c>
      <c r="FA62">
        <v>5.9680602194532542E-2</v>
      </c>
      <c r="FB62">
        <v>6.4197978372082215E-2</v>
      </c>
      <c r="FC62">
        <v>6.1216011361071285E-2</v>
      </c>
      <c r="FD62">
        <v>4.6583743988583864E-2</v>
      </c>
      <c r="FE62">
        <v>3.9564997519518925E-2</v>
      </c>
      <c r="FF62">
        <v>0.10352910655809522</v>
      </c>
      <c r="FG62">
        <v>9.6368937152839215E-2</v>
      </c>
      <c r="FH62">
        <v>9.0903229789352724E-2</v>
      </c>
      <c r="FI62">
        <v>9.1911855121248692E-2</v>
      </c>
      <c r="FJ62">
        <v>0.10844797981887094</v>
      </c>
      <c r="FK62">
        <v>0.13114097876546962</v>
      </c>
      <c r="FL62">
        <v>0.12711782703124189</v>
      </c>
      <c r="FM62">
        <v>0.11239311466731831</v>
      </c>
      <c r="FN62">
        <v>0.10223519775687631</v>
      </c>
      <c r="FO62">
        <v>0.10327317728132158</v>
      </c>
      <c r="FQ62" t="s">
        <v>657</v>
      </c>
      <c r="FR62" t="s">
        <v>127</v>
      </c>
      <c r="FS62" t="s">
        <v>128</v>
      </c>
      <c r="FT62">
        <v>0.31018484325386886</v>
      </c>
    </row>
    <row r="63" spans="2:176" x14ac:dyDescent="0.45">
      <c r="B63" t="s">
        <v>658</v>
      </c>
      <c r="C63" t="s">
        <v>123</v>
      </c>
      <c r="D63">
        <v>0.47107190324020914</v>
      </c>
      <c r="E63">
        <v>0.49563843374133071</v>
      </c>
      <c r="F63">
        <v>0.49739254366860547</v>
      </c>
      <c r="G63">
        <v>0.52138441177436878</v>
      </c>
      <c r="H63">
        <v>0.53816733333193445</v>
      </c>
      <c r="I63">
        <v>0.5283254676003124</v>
      </c>
      <c r="J63">
        <v>0.51102484624757849</v>
      </c>
      <c r="K63">
        <v>0.47911746415334477</v>
      </c>
      <c r="L63">
        <v>0.45745515545957266</v>
      </c>
      <c r="M63">
        <v>0.45347463271780303</v>
      </c>
      <c r="N63">
        <v>0.43118473682419528</v>
      </c>
      <c r="O63">
        <v>0.42775406109633962</v>
      </c>
      <c r="P63">
        <v>0.46360835083308444</v>
      </c>
      <c r="Q63">
        <v>0.47805589410267513</v>
      </c>
      <c r="R63">
        <v>0.46401271733345351</v>
      </c>
      <c r="S63">
        <v>0.45464275867987414</v>
      </c>
      <c r="T63">
        <v>0.43148073288721528</v>
      </c>
      <c r="U63">
        <v>0.41761415165665439</v>
      </c>
      <c r="V63">
        <v>0.42394149498660766</v>
      </c>
      <c r="W63">
        <v>0.44228405306370205</v>
      </c>
      <c r="X63">
        <v>0.44365558337965283</v>
      </c>
      <c r="Y63">
        <v>0.47109191860498267</v>
      </c>
      <c r="Z63">
        <v>0.50773339580831289</v>
      </c>
      <c r="AA63">
        <v>0.49358160451001964</v>
      </c>
      <c r="AB63">
        <v>0.4272480174240279</v>
      </c>
      <c r="AC63">
        <v>0.3733118842673353</v>
      </c>
      <c r="AD63">
        <v>0.3376788968850099</v>
      </c>
      <c r="AE63">
        <v>0.33300691220841472</v>
      </c>
      <c r="AF63">
        <v>0.33152169093469042</v>
      </c>
      <c r="AG63">
        <v>0.37596281391760678</v>
      </c>
      <c r="AH63">
        <v>0.47098120735967353</v>
      </c>
      <c r="AI63">
        <v>0.48374531745491767</v>
      </c>
      <c r="AJ63">
        <v>0.4936932647384254</v>
      </c>
      <c r="AK63">
        <v>0.50357792965536174</v>
      </c>
      <c r="AL63">
        <v>0.50465671483839847</v>
      </c>
      <c r="AM63">
        <v>0.4850303523850249</v>
      </c>
      <c r="AN63">
        <v>0.46722054487337616</v>
      </c>
      <c r="AO63">
        <v>0.45065894843686755</v>
      </c>
      <c r="AP63">
        <v>0.44230115888816757</v>
      </c>
      <c r="AQ63">
        <v>0.46479651532863181</v>
      </c>
      <c r="EA63" t="s">
        <v>658</v>
      </c>
      <c r="EB63">
        <v>0.14076412319566431</v>
      </c>
      <c r="EC63">
        <v>0.15069573778670187</v>
      </c>
      <c r="ED63">
        <v>0.14829970449342239</v>
      </c>
      <c r="EE63">
        <v>0.14082651646739125</v>
      </c>
      <c r="EF63">
        <v>0.1392685716480267</v>
      </c>
      <c r="EG63">
        <v>0.15117327080145418</v>
      </c>
      <c r="EH63">
        <v>0.14994769267014021</v>
      </c>
      <c r="EI63">
        <v>0.13864882752020757</v>
      </c>
      <c r="EJ63">
        <v>0.13049562274230597</v>
      </c>
      <c r="EK63">
        <v>0.12853586052787397</v>
      </c>
      <c r="EL63">
        <v>0.10185763375200137</v>
      </c>
      <c r="EM63">
        <v>0.10771092530317473</v>
      </c>
      <c r="EN63">
        <v>0.11817570652157168</v>
      </c>
      <c r="EO63">
        <v>0.14964513802159432</v>
      </c>
      <c r="EP63">
        <v>0.15183408824908487</v>
      </c>
      <c r="EQ63">
        <v>0.16670461597278799</v>
      </c>
      <c r="ER63">
        <v>0.1615107815657128</v>
      </c>
      <c r="ES63">
        <v>0.13918629003467342</v>
      </c>
      <c r="ET63">
        <v>0.11799517148903599</v>
      </c>
      <c r="EU63">
        <v>0.10784693043931358</v>
      </c>
      <c r="EV63">
        <v>4.355334407677109E-2</v>
      </c>
      <c r="EW63">
        <v>4.4009752758323487E-2</v>
      </c>
      <c r="EX63">
        <v>3.7530691148867673E-2</v>
      </c>
      <c r="EY63">
        <v>5.4480300527856414E-2</v>
      </c>
      <c r="EZ63">
        <v>5.424985805113202E-2</v>
      </c>
      <c r="FA63">
        <v>6.4294746306537975E-2</v>
      </c>
      <c r="FB63">
        <v>7.1709691295889527E-2</v>
      </c>
      <c r="FC63">
        <v>6.7666301729597131E-2</v>
      </c>
      <c r="FD63">
        <v>6.1808832752637974E-2</v>
      </c>
      <c r="FE63">
        <v>4.7700943429437807E-2</v>
      </c>
      <c r="FF63">
        <v>0.10586245006629399</v>
      </c>
      <c r="FG63">
        <v>0.11533246184201702</v>
      </c>
      <c r="FH63">
        <v>0.11206769198850362</v>
      </c>
      <c r="FI63">
        <v>0.12048460687043042</v>
      </c>
      <c r="FJ63">
        <v>0.13543307308348695</v>
      </c>
      <c r="FK63">
        <v>0.15110773389268714</v>
      </c>
      <c r="FL63">
        <v>0.14840388699639892</v>
      </c>
      <c r="FM63">
        <v>0.14651228023087284</v>
      </c>
      <c r="FN63">
        <v>0.13551215113024676</v>
      </c>
      <c r="FO63">
        <v>0.11412520160848019</v>
      </c>
      <c r="FQ63" t="s">
        <v>659</v>
      </c>
      <c r="FR63" t="s">
        <v>127</v>
      </c>
      <c r="FS63" t="s">
        <v>128</v>
      </c>
      <c r="FT63">
        <v>0.44490858088218493</v>
      </c>
    </row>
    <row r="64" spans="2:176" x14ac:dyDescent="0.45">
      <c r="B64" t="s">
        <v>660</v>
      </c>
      <c r="C64" t="s">
        <v>123</v>
      </c>
      <c r="D64">
        <v>0.35837757118533936</v>
      </c>
      <c r="E64">
        <v>0.36734280343497683</v>
      </c>
      <c r="F64">
        <v>0.36873169197064787</v>
      </c>
      <c r="G64">
        <v>0.39110196821105542</v>
      </c>
      <c r="H64">
        <v>0.38238543063054142</v>
      </c>
      <c r="I64">
        <v>0.36960110004084257</v>
      </c>
      <c r="J64">
        <v>0.37119058156457585</v>
      </c>
      <c r="K64">
        <v>0.36268909522204912</v>
      </c>
      <c r="L64">
        <v>0.36341947155610704</v>
      </c>
      <c r="M64">
        <v>0.37462900659257109</v>
      </c>
      <c r="N64">
        <v>0.34156372379958766</v>
      </c>
      <c r="O64">
        <v>0.34751124560140417</v>
      </c>
      <c r="P64">
        <v>0.36794798467017331</v>
      </c>
      <c r="Q64">
        <v>0.37193112214658575</v>
      </c>
      <c r="R64">
        <v>0.34866826230902481</v>
      </c>
      <c r="S64">
        <v>0.31402066837842524</v>
      </c>
      <c r="T64">
        <v>0.314922426906103</v>
      </c>
      <c r="U64">
        <v>0.33142312361272186</v>
      </c>
      <c r="V64">
        <v>0.33446164039076676</v>
      </c>
      <c r="W64">
        <v>0.33760740418836144</v>
      </c>
      <c r="X64">
        <v>0.3731755522717991</v>
      </c>
      <c r="Y64">
        <v>0.34290843265348953</v>
      </c>
      <c r="Z64">
        <v>0.38401891160632512</v>
      </c>
      <c r="AA64">
        <v>0.40191462898793023</v>
      </c>
      <c r="AB64">
        <v>0.36651990835237724</v>
      </c>
      <c r="AC64">
        <v>0.32280059257168908</v>
      </c>
      <c r="AD64">
        <v>0.31216303055280703</v>
      </c>
      <c r="AE64">
        <v>0.34211445383010153</v>
      </c>
      <c r="AF64">
        <v>0.3881032657345741</v>
      </c>
      <c r="AG64">
        <v>0.41244533664513788</v>
      </c>
      <c r="AH64">
        <v>0.38653259677192697</v>
      </c>
      <c r="AI64">
        <v>0.38910642123437733</v>
      </c>
      <c r="AJ64">
        <v>0.41093345736885689</v>
      </c>
      <c r="AK64">
        <v>0.4266749162738831</v>
      </c>
      <c r="AL64">
        <v>0.42244834517812213</v>
      </c>
      <c r="AM64">
        <v>0.39763237423657138</v>
      </c>
      <c r="AN64">
        <v>0.36182009795027126</v>
      </c>
      <c r="AO64">
        <v>0.34705274610485665</v>
      </c>
      <c r="AP64">
        <v>0.37697115446816448</v>
      </c>
      <c r="AQ64">
        <v>0.40380373777770118</v>
      </c>
      <c r="EA64" t="s">
        <v>660</v>
      </c>
      <c r="EB64">
        <v>0.25778374412455435</v>
      </c>
      <c r="EC64">
        <v>0.25562278516771025</v>
      </c>
      <c r="ED64">
        <v>0.2456162835741805</v>
      </c>
      <c r="EE64">
        <v>0.2312982655361257</v>
      </c>
      <c r="EF64">
        <v>0.2505778134955583</v>
      </c>
      <c r="EG64">
        <v>0.26026917640278896</v>
      </c>
      <c r="EH64">
        <v>0.25642722714585064</v>
      </c>
      <c r="EI64">
        <v>0.26056974015594248</v>
      </c>
      <c r="EJ64">
        <v>0.26097224704754568</v>
      </c>
      <c r="EK64">
        <v>0.25640698943766249</v>
      </c>
      <c r="EL64">
        <v>0.25477536580290011</v>
      </c>
      <c r="EM64">
        <v>0.23778874810061573</v>
      </c>
      <c r="EN64">
        <v>0.21788203710912518</v>
      </c>
      <c r="EO64">
        <v>0.22947704843697436</v>
      </c>
      <c r="EP64">
        <v>0.24400716994827104</v>
      </c>
      <c r="EQ64">
        <v>0.26899803841383102</v>
      </c>
      <c r="ER64">
        <v>0.28124095520222631</v>
      </c>
      <c r="ES64">
        <v>0.27183009687999854</v>
      </c>
      <c r="ET64">
        <v>0.26348262216584428</v>
      </c>
      <c r="EU64">
        <v>0.25856228045790153</v>
      </c>
      <c r="EV64">
        <v>0.17762369575874035</v>
      </c>
      <c r="EW64">
        <v>0.18761383077750657</v>
      </c>
      <c r="EX64">
        <v>0.16239061433802951</v>
      </c>
      <c r="EY64">
        <v>0.15107424173308151</v>
      </c>
      <c r="EZ64">
        <v>0.14493165291733992</v>
      </c>
      <c r="FA64">
        <v>0.14942705903324513</v>
      </c>
      <c r="FB64">
        <v>0.15637019014080131</v>
      </c>
      <c r="FC64">
        <v>0.14894472676041937</v>
      </c>
      <c r="FD64">
        <v>0.13688611345277688</v>
      </c>
      <c r="FE64">
        <v>0.14256614338414803</v>
      </c>
      <c r="FF64">
        <v>0.17263425937047694</v>
      </c>
      <c r="FG64">
        <v>0.16804834794472504</v>
      </c>
      <c r="FH64">
        <v>0.16728480509268376</v>
      </c>
      <c r="FI64">
        <v>0.17122936104490247</v>
      </c>
      <c r="FJ64">
        <v>0.16532447291998931</v>
      </c>
      <c r="FK64">
        <v>0.1760687200221536</v>
      </c>
      <c r="FL64">
        <v>0.18541672622674538</v>
      </c>
      <c r="FM64">
        <v>0.18923793081838539</v>
      </c>
      <c r="FN64">
        <v>0.18260095168778953</v>
      </c>
      <c r="FO64">
        <v>0.18088777570330969</v>
      </c>
      <c r="FQ64" t="s">
        <v>661</v>
      </c>
      <c r="FR64" t="s">
        <v>127</v>
      </c>
      <c r="FS64" t="s">
        <v>128</v>
      </c>
      <c r="FT64">
        <v>0.38092852792834464</v>
      </c>
    </row>
    <row r="65" spans="2:176" x14ac:dyDescent="0.45">
      <c r="B65" t="s">
        <v>662</v>
      </c>
      <c r="C65" t="s">
        <v>123</v>
      </c>
      <c r="D65">
        <v>0.4470088429364818</v>
      </c>
      <c r="E65">
        <v>0.45335266411607045</v>
      </c>
      <c r="F65">
        <v>0.46513261747171958</v>
      </c>
      <c r="G65">
        <v>0.47807199141983736</v>
      </c>
      <c r="H65">
        <v>0.4996912003836495</v>
      </c>
      <c r="I65">
        <v>0.48536678978149622</v>
      </c>
      <c r="J65">
        <v>0.46493665819608126</v>
      </c>
      <c r="K65">
        <v>0.44954573491047939</v>
      </c>
      <c r="L65">
        <v>0.4521085551996874</v>
      </c>
      <c r="M65">
        <v>0.44462626309847575</v>
      </c>
      <c r="N65">
        <v>0.40455455335946766</v>
      </c>
      <c r="O65">
        <v>0.40201113956066237</v>
      </c>
      <c r="P65">
        <v>0.39951977261315197</v>
      </c>
      <c r="Q65">
        <v>0.41037229211353737</v>
      </c>
      <c r="R65">
        <v>0.40233492319623354</v>
      </c>
      <c r="S65">
        <v>0.36358061970144445</v>
      </c>
      <c r="T65">
        <v>0.35407938790812521</v>
      </c>
      <c r="U65">
        <v>0.35700159643625196</v>
      </c>
      <c r="V65">
        <v>0.3602408749830685</v>
      </c>
      <c r="W65">
        <v>0.38646648970669462</v>
      </c>
      <c r="X65">
        <v>0.37936214746556696</v>
      </c>
      <c r="Y65">
        <v>0.39431448194558716</v>
      </c>
      <c r="Z65">
        <v>0.42365994555081499</v>
      </c>
      <c r="AA65">
        <v>0.43585657979439518</v>
      </c>
      <c r="AB65">
        <v>0.34705249755924211</v>
      </c>
      <c r="AC65">
        <v>0.25632057782916168</v>
      </c>
      <c r="AD65">
        <v>0.2547125121294066</v>
      </c>
      <c r="AE65">
        <v>0.31237177595075333</v>
      </c>
      <c r="AF65">
        <v>0.35113247280937093</v>
      </c>
      <c r="AG65">
        <v>0.37592276574955075</v>
      </c>
      <c r="AH65">
        <v>0.47073819722988486</v>
      </c>
      <c r="AI65">
        <v>0.47553323093878602</v>
      </c>
      <c r="AJ65">
        <v>0.4468477990383744</v>
      </c>
      <c r="AK65">
        <v>0.43261879849187534</v>
      </c>
      <c r="AL65">
        <v>0.43909993515665924</v>
      </c>
      <c r="AM65">
        <v>0.4177748640192222</v>
      </c>
      <c r="AN65">
        <v>0.39021267046627039</v>
      </c>
      <c r="AO65">
        <v>0.41447162531950238</v>
      </c>
      <c r="AP65">
        <v>0.44413210338928111</v>
      </c>
      <c r="AQ65">
        <v>0.4663041133120398</v>
      </c>
      <c r="EA65" t="s">
        <v>662</v>
      </c>
      <c r="EB65">
        <v>0.14823072533742318</v>
      </c>
      <c r="EC65">
        <v>0.14058092081228846</v>
      </c>
      <c r="ED65">
        <v>0.13516128786667919</v>
      </c>
      <c r="EE65">
        <v>0.13781901146860881</v>
      </c>
      <c r="EF65">
        <v>0.15532941825954094</v>
      </c>
      <c r="EG65">
        <v>0.17742680966648455</v>
      </c>
      <c r="EH65">
        <v>0.17883756636410403</v>
      </c>
      <c r="EI65">
        <v>0.16879386958581322</v>
      </c>
      <c r="EJ65">
        <v>0.16008107259818793</v>
      </c>
      <c r="EK65">
        <v>0.1491996915099679</v>
      </c>
      <c r="EL65">
        <v>0.18418970902165588</v>
      </c>
      <c r="EM65">
        <v>0.17579246264405204</v>
      </c>
      <c r="EN65">
        <v>0.17833668373088526</v>
      </c>
      <c r="EO65">
        <v>0.18916728610060229</v>
      </c>
      <c r="EP65">
        <v>0.1952908921238449</v>
      </c>
      <c r="EQ65">
        <v>0.22323592923448929</v>
      </c>
      <c r="ER65">
        <v>0.22854677713266608</v>
      </c>
      <c r="ES65">
        <v>0.21479862936994434</v>
      </c>
      <c r="ET65">
        <v>0.20198196361290657</v>
      </c>
      <c r="EU65">
        <v>0.1913821074296867</v>
      </c>
      <c r="EV65">
        <v>3.2009031234198133E-2</v>
      </c>
      <c r="EW65">
        <v>2.8529966430116106E-2</v>
      </c>
      <c r="EX65">
        <v>2.6451964889229237E-2</v>
      </c>
      <c r="EY65">
        <v>3.0257377724510072E-2</v>
      </c>
      <c r="EZ65">
        <v>4.1298283519214926E-2</v>
      </c>
      <c r="FA65">
        <v>8.2799748642924623E-2</v>
      </c>
      <c r="FB65">
        <v>0.10651351864154397</v>
      </c>
      <c r="FC65">
        <v>9.7494244599512628E-2</v>
      </c>
      <c r="FD65">
        <v>7.1570010368408751E-2</v>
      </c>
      <c r="FE65">
        <v>4.3357179518671581E-2</v>
      </c>
      <c r="FF65">
        <v>0.11130455684373286</v>
      </c>
      <c r="FG65">
        <v>0.10850565186853721</v>
      </c>
      <c r="FH65">
        <v>0.10189043195702512</v>
      </c>
      <c r="FI65">
        <v>9.8749035095572507E-2</v>
      </c>
      <c r="FJ65">
        <v>9.926013483641466E-2</v>
      </c>
      <c r="FK65">
        <v>0.1174222961651324</v>
      </c>
      <c r="FL65">
        <v>0.12652900813068049</v>
      </c>
      <c r="FM65">
        <v>0.12043528601989084</v>
      </c>
      <c r="FN65">
        <v>0.11732641532636859</v>
      </c>
      <c r="FO65">
        <v>0.12063103876470078</v>
      </c>
      <c r="FQ65" t="s">
        <v>663</v>
      </c>
      <c r="FR65" t="s">
        <v>127</v>
      </c>
      <c r="FS65" t="s">
        <v>128</v>
      </c>
      <c r="FT65">
        <v>0.35310918104312683</v>
      </c>
    </row>
    <row r="66" spans="2:176" x14ac:dyDescent="0.45">
      <c r="B66" t="s">
        <v>664</v>
      </c>
      <c r="C66" t="s">
        <v>123</v>
      </c>
      <c r="D66">
        <v>0.39838180806197732</v>
      </c>
      <c r="E66">
        <v>0.39761372897902991</v>
      </c>
      <c r="F66">
        <v>0.40661958670952419</v>
      </c>
      <c r="G66">
        <v>0.43260546425775803</v>
      </c>
      <c r="H66">
        <v>0.42663225012057859</v>
      </c>
      <c r="I66">
        <v>0.40995376983977627</v>
      </c>
      <c r="J66">
        <v>0.43929416688668316</v>
      </c>
      <c r="K66">
        <v>0.4525753368232569</v>
      </c>
      <c r="L66">
        <v>0.45372844504730242</v>
      </c>
      <c r="M66">
        <v>0.42283709337687386</v>
      </c>
      <c r="N66">
        <v>0.41622967053234478</v>
      </c>
      <c r="O66">
        <v>0.4163971188085297</v>
      </c>
      <c r="P66">
        <v>0.45755464279845631</v>
      </c>
      <c r="Q66">
        <v>0.46195134360580259</v>
      </c>
      <c r="R66">
        <v>0.39927604701321728</v>
      </c>
      <c r="S66">
        <v>0.34827699585787547</v>
      </c>
      <c r="T66">
        <v>0.35427686225859695</v>
      </c>
      <c r="U66">
        <v>0.38408520206378555</v>
      </c>
      <c r="V66">
        <v>0.42030214947697858</v>
      </c>
      <c r="W66">
        <v>0.43735788630620476</v>
      </c>
      <c r="X66">
        <v>0.48993135093069634</v>
      </c>
      <c r="Y66">
        <v>0.4717009024823744</v>
      </c>
      <c r="Z66">
        <v>0.49710769161215163</v>
      </c>
      <c r="AA66">
        <v>0.49092228178349234</v>
      </c>
      <c r="AB66">
        <v>0.40075591560603196</v>
      </c>
      <c r="AC66">
        <v>0.32259245868644626</v>
      </c>
      <c r="AD66">
        <v>0.34367444634292815</v>
      </c>
      <c r="AE66">
        <v>0.4196514254052553</v>
      </c>
      <c r="AF66">
        <v>0.49852023454678235</v>
      </c>
      <c r="AG66">
        <v>0.53743702489792389</v>
      </c>
      <c r="AH66">
        <v>0.47684711197665175</v>
      </c>
      <c r="AI66">
        <v>0.46797559874529393</v>
      </c>
      <c r="AJ66">
        <v>0.46641135697839209</v>
      </c>
      <c r="AK66">
        <v>0.48072038845340875</v>
      </c>
      <c r="AL66">
        <v>0.45458387161099062</v>
      </c>
      <c r="AM66">
        <v>0.38267047306423829</v>
      </c>
      <c r="AN66">
        <v>0.36376571964783788</v>
      </c>
      <c r="AO66">
        <v>0.40323991311452856</v>
      </c>
      <c r="AP66">
        <v>0.44908192275628583</v>
      </c>
      <c r="AQ66">
        <v>0.45929775061303579</v>
      </c>
      <c r="EA66" t="s">
        <v>664</v>
      </c>
      <c r="EB66">
        <v>0.18882824941038615</v>
      </c>
      <c r="EC66">
        <v>0.18665007463004119</v>
      </c>
      <c r="ED66">
        <v>0.18261981627507951</v>
      </c>
      <c r="EE66">
        <v>0.17576557209960517</v>
      </c>
      <c r="EF66">
        <v>0.19535350862556819</v>
      </c>
      <c r="EG66">
        <v>0.21118009822069511</v>
      </c>
      <c r="EH66">
        <v>0.19548186427448963</v>
      </c>
      <c r="EI66">
        <v>0.19093119187414501</v>
      </c>
      <c r="EJ66">
        <v>0.18195767787822728</v>
      </c>
      <c r="EK66">
        <v>0.18454015319748504</v>
      </c>
      <c r="EL66">
        <v>0.16098320426809845</v>
      </c>
      <c r="EM66">
        <v>0.15609461215481396</v>
      </c>
      <c r="EN66">
        <v>0.15467891568481876</v>
      </c>
      <c r="EO66">
        <v>0.16636425946620259</v>
      </c>
      <c r="EP66">
        <v>0.18027671984347912</v>
      </c>
      <c r="EQ66">
        <v>0.22103162172214752</v>
      </c>
      <c r="ER66">
        <v>0.23316082451871012</v>
      </c>
      <c r="ES66">
        <v>0.21661755137281308</v>
      </c>
      <c r="ET66">
        <v>0.18757089472204699</v>
      </c>
      <c r="EU66">
        <v>0.16752086927091789</v>
      </c>
      <c r="EV66">
        <v>9.3754763798680169E-2</v>
      </c>
      <c r="EW66">
        <v>9.5994207041277063E-2</v>
      </c>
      <c r="EX66">
        <v>9.5650963856349011E-2</v>
      </c>
      <c r="EY66">
        <v>0.10822528669738032</v>
      </c>
      <c r="EZ66">
        <v>0.11020206745929582</v>
      </c>
      <c r="FA66">
        <v>0.12969931762986137</v>
      </c>
      <c r="FB66">
        <v>0.13059729189211677</v>
      </c>
      <c r="FC66">
        <v>0.10956282262892621</v>
      </c>
      <c r="FD66">
        <v>8.7480606597977295E-2</v>
      </c>
      <c r="FE66">
        <v>8.4669836057713527E-2</v>
      </c>
      <c r="FF66">
        <v>0.12893051454235285</v>
      </c>
      <c r="FG66">
        <v>0.12014635590799745</v>
      </c>
      <c r="FH66">
        <v>0.11658882802818828</v>
      </c>
      <c r="FI66">
        <v>0.11879826585374978</v>
      </c>
      <c r="FJ66">
        <v>0.13600759783483929</v>
      </c>
      <c r="FK66">
        <v>0.16583240270150948</v>
      </c>
      <c r="FL66">
        <v>0.17255754195001496</v>
      </c>
      <c r="FM66">
        <v>0.15988452683688387</v>
      </c>
      <c r="FN66">
        <v>0.14027271322868948</v>
      </c>
      <c r="FO66">
        <v>0.13080879596666919</v>
      </c>
      <c r="FQ66" t="s">
        <v>665</v>
      </c>
      <c r="FR66" t="s">
        <v>127</v>
      </c>
      <c r="FS66" t="s">
        <v>128</v>
      </c>
      <c r="FT66">
        <v>0.36561428324965511</v>
      </c>
    </row>
    <row r="67" spans="2:176" x14ac:dyDescent="0.45">
      <c r="B67" t="s">
        <v>666</v>
      </c>
      <c r="C67" t="s">
        <v>123</v>
      </c>
      <c r="D67">
        <v>0.41129280870249546</v>
      </c>
      <c r="E67">
        <v>0.41553709404888778</v>
      </c>
      <c r="F67">
        <v>0.40751766136003648</v>
      </c>
      <c r="G67">
        <v>0.44442155951090206</v>
      </c>
      <c r="H67">
        <v>0.44040850101903184</v>
      </c>
      <c r="I67">
        <v>0.43247461327376258</v>
      </c>
      <c r="J67">
        <v>0.45873623652376533</v>
      </c>
      <c r="K67">
        <v>0.47282580926656947</v>
      </c>
      <c r="L67">
        <v>0.4649174297459423</v>
      </c>
      <c r="M67">
        <v>0.43527032165597462</v>
      </c>
      <c r="N67">
        <v>0.38587725706692916</v>
      </c>
      <c r="O67">
        <v>0.39679892224638563</v>
      </c>
      <c r="P67">
        <v>0.45092772585258067</v>
      </c>
      <c r="Q67">
        <v>0.47868689957463051</v>
      </c>
      <c r="R67">
        <v>0.44825226919773459</v>
      </c>
      <c r="S67">
        <v>0.41618164776929761</v>
      </c>
      <c r="T67">
        <v>0.3887369848266769</v>
      </c>
      <c r="U67">
        <v>0.37340537344067543</v>
      </c>
      <c r="V67">
        <v>0.38828474964138243</v>
      </c>
      <c r="W67">
        <v>0.41121805007716294</v>
      </c>
      <c r="X67">
        <v>0.40403047309908224</v>
      </c>
      <c r="Y67">
        <v>0.36568759175639903</v>
      </c>
      <c r="Z67">
        <v>0.4675032788429539</v>
      </c>
      <c r="AA67">
        <v>0.51132486181083436</v>
      </c>
      <c r="AB67">
        <v>0.49394758866016586</v>
      </c>
      <c r="AC67">
        <v>0.41481268417562611</v>
      </c>
      <c r="AD67">
        <v>0.35625104125363527</v>
      </c>
      <c r="AE67">
        <v>0.34865261782555235</v>
      </c>
      <c r="AF67">
        <v>0.38516081059171736</v>
      </c>
      <c r="AG67">
        <v>0.43987011858759578</v>
      </c>
      <c r="AH67">
        <v>0.45664851697550496</v>
      </c>
      <c r="AI67">
        <v>0.44927551079047862</v>
      </c>
      <c r="AJ67">
        <v>0.45004669365690275</v>
      </c>
      <c r="AK67">
        <v>0.47892783492030461</v>
      </c>
      <c r="AL67">
        <v>0.46837901578405444</v>
      </c>
      <c r="AM67">
        <v>0.42740342616097016</v>
      </c>
      <c r="AN67">
        <v>0.4009991425608998</v>
      </c>
      <c r="AO67">
        <v>0.36688615035641758</v>
      </c>
      <c r="AP67">
        <v>0.40446735223328123</v>
      </c>
      <c r="AQ67">
        <v>0.44376566723260014</v>
      </c>
      <c r="EA67" t="s">
        <v>666</v>
      </c>
      <c r="EB67">
        <v>0.12627860147927</v>
      </c>
      <c r="EC67">
        <v>0.127678278427242</v>
      </c>
      <c r="ED67">
        <v>0.12039937962778666</v>
      </c>
      <c r="EE67">
        <v>0.11093006352021466</v>
      </c>
      <c r="EF67">
        <v>0.1363093836466539</v>
      </c>
      <c r="EG67">
        <v>0.16021140857226854</v>
      </c>
      <c r="EH67">
        <v>0.14198807930208435</v>
      </c>
      <c r="EI67">
        <v>0.13122172963579296</v>
      </c>
      <c r="EJ67">
        <v>0.12467290809556404</v>
      </c>
      <c r="EK67">
        <v>0.12097673605329656</v>
      </c>
      <c r="EL67">
        <v>0.11372875376371441</v>
      </c>
      <c r="EM67">
        <v>0.11411848088299373</v>
      </c>
      <c r="EN67">
        <v>0.12079483237409834</v>
      </c>
      <c r="EO67">
        <v>0.16341897523586529</v>
      </c>
      <c r="EP67">
        <v>0.1865202226819074</v>
      </c>
      <c r="EQ67">
        <v>0.21464914775571362</v>
      </c>
      <c r="ER67">
        <v>0.20795256017902808</v>
      </c>
      <c r="ES67">
        <v>0.1719032359675863</v>
      </c>
      <c r="ET67">
        <v>0.13999323020588653</v>
      </c>
      <c r="EU67">
        <v>0.12239104003335273</v>
      </c>
      <c r="EV67">
        <v>4.871941544030424E-2</v>
      </c>
      <c r="EW67">
        <v>4.86623982647027E-2</v>
      </c>
      <c r="EX67">
        <v>4.8395728793247758E-2</v>
      </c>
      <c r="EY67">
        <v>6.4549227796300915E-2</v>
      </c>
      <c r="EZ67">
        <v>6.5772001570384445E-2</v>
      </c>
      <c r="FA67">
        <v>7.6503228177360147E-2</v>
      </c>
      <c r="FB67">
        <v>8.5045128030874176E-2</v>
      </c>
      <c r="FC67">
        <v>7.972124143490919E-2</v>
      </c>
      <c r="FD67">
        <v>6.0331219695946611E-2</v>
      </c>
      <c r="FE67">
        <v>4.6189886317604081E-2</v>
      </c>
      <c r="FF67">
        <v>8.9201745194307416E-2</v>
      </c>
      <c r="FG67">
        <v>8.5423753009624834E-2</v>
      </c>
      <c r="FH67">
        <v>8.1033741399767129E-2</v>
      </c>
      <c r="FI67">
        <v>9.3987339260533154E-2</v>
      </c>
      <c r="FJ67">
        <v>0.10829312472544619</v>
      </c>
      <c r="FK67">
        <v>0.12419381602718821</v>
      </c>
      <c r="FL67">
        <v>0.12399506347595282</v>
      </c>
      <c r="FM67">
        <v>0.1120951478265598</v>
      </c>
      <c r="FN67">
        <v>9.2869528781375416E-2</v>
      </c>
      <c r="FO67">
        <v>8.9763000953368685E-2</v>
      </c>
      <c r="FQ67" t="s">
        <v>667</v>
      </c>
      <c r="FR67" t="s">
        <v>127</v>
      </c>
      <c r="FS67" t="s">
        <v>128</v>
      </c>
      <c r="FT67">
        <v>0.49460024623330812</v>
      </c>
    </row>
    <row r="68" spans="2:176" x14ac:dyDescent="0.45">
      <c r="B68" t="s">
        <v>668</v>
      </c>
      <c r="C68" t="s">
        <v>123</v>
      </c>
      <c r="D68">
        <v>0.40454453538587498</v>
      </c>
      <c r="E68">
        <v>0.41808978955247761</v>
      </c>
      <c r="F68">
        <v>0.42404859561789315</v>
      </c>
      <c r="G68">
        <v>0.43764815421552256</v>
      </c>
      <c r="H68">
        <v>0.42559074438973976</v>
      </c>
      <c r="I68">
        <v>0.41793135513884927</v>
      </c>
      <c r="J68">
        <v>0.4243776118038512</v>
      </c>
      <c r="K68">
        <v>0.43074041345378433</v>
      </c>
      <c r="L68">
        <v>0.4342662357586764</v>
      </c>
      <c r="M68">
        <v>0.42009785456550786</v>
      </c>
      <c r="N68">
        <v>0.35829622919667198</v>
      </c>
      <c r="O68">
        <v>0.35824029874241575</v>
      </c>
      <c r="P68">
        <v>0.36717448462738733</v>
      </c>
      <c r="Q68">
        <v>0.37597914868229448</v>
      </c>
      <c r="R68">
        <v>0.35946823589544014</v>
      </c>
      <c r="S68">
        <v>0.34059810944052887</v>
      </c>
      <c r="T68">
        <v>0.32593421495275698</v>
      </c>
      <c r="U68">
        <v>0.33871822978359972</v>
      </c>
      <c r="V68">
        <v>0.34881106930883704</v>
      </c>
      <c r="W68">
        <v>0.35568804842610052</v>
      </c>
      <c r="X68">
        <v>0.4782579281104038</v>
      </c>
      <c r="Y68">
        <v>0.48804627525905159</v>
      </c>
      <c r="Z68">
        <v>0.51687435616173882</v>
      </c>
      <c r="AA68">
        <v>0.51701817271918549</v>
      </c>
      <c r="AB68">
        <v>0.46042208993223072</v>
      </c>
      <c r="AC68">
        <v>0.34554719246577381</v>
      </c>
      <c r="AD68">
        <v>0.29664585472595267</v>
      </c>
      <c r="AE68">
        <v>0.34032820367138322</v>
      </c>
      <c r="AF68">
        <v>0.40364581074271466</v>
      </c>
      <c r="AG68">
        <v>0.43757992166958082</v>
      </c>
      <c r="AH68">
        <v>0.42598700332589046</v>
      </c>
      <c r="AI68">
        <v>0.45460639471768799</v>
      </c>
      <c r="AJ68">
        <v>0.45506565345056693</v>
      </c>
      <c r="AK68">
        <v>0.45276158555307222</v>
      </c>
      <c r="AL68">
        <v>0.43469778612288584</v>
      </c>
      <c r="AM68">
        <v>0.40121427953973926</v>
      </c>
      <c r="AN68">
        <v>0.37876067409786496</v>
      </c>
      <c r="AO68">
        <v>0.37684465989695393</v>
      </c>
      <c r="AP68">
        <v>0.39426533887469178</v>
      </c>
      <c r="AQ68">
        <v>0.41093807739077109</v>
      </c>
      <c r="EA68" t="s">
        <v>668</v>
      </c>
      <c r="EB68">
        <v>0.29235422367957059</v>
      </c>
      <c r="EC68">
        <v>0.28303231330556244</v>
      </c>
      <c r="ED68">
        <v>0.28707702922112655</v>
      </c>
      <c r="EE68">
        <v>0.29839746751416441</v>
      </c>
      <c r="EF68">
        <v>0.3127862525521482</v>
      </c>
      <c r="EG68">
        <v>0.33233150381995202</v>
      </c>
      <c r="EH68">
        <v>0.32913262354021117</v>
      </c>
      <c r="EI68">
        <v>0.31567466536589295</v>
      </c>
      <c r="EJ68">
        <v>0.30600385448528622</v>
      </c>
      <c r="EK68">
        <v>0.30290146413659469</v>
      </c>
      <c r="EL68">
        <v>0.33038083983991767</v>
      </c>
      <c r="EM68">
        <v>0.32357239428211682</v>
      </c>
      <c r="EN68">
        <v>0.32520545236548998</v>
      </c>
      <c r="EO68">
        <v>0.34564252208879287</v>
      </c>
      <c r="EP68">
        <v>0.34775615006247301</v>
      </c>
      <c r="EQ68">
        <v>0.37620589295599133</v>
      </c>
      <c r="ER68">
        <v>0.38911260630932082</v>
      </c>
      <c r="ES68">
        <v>0.37890608685860194</v>
      </c>
      <c r="ET68">
        <v>0.35374992538751904</v>
      </c>
      <c r="EU68">
        <v>0.33705404702818847</v>
      </c>
      <c r="EV68">
        <v>0.10377343100415798</v>
      </c>
      <c r="EW68">
        <v>9.5740010659035396E-2</v>
      </c>
      <c r="EX68">
        <v>9.0751338142600516E-2</v>
      </c>
      <c r="EY68">
        <v>9.9552508539113752E-2</v>
      </c>
      <c r="EZ68">
        <v>0.10974010030616223</v>
      </c>
      <c r="FA68">
        <v>0.15240128817677992</v>
      </c>
      <c r="FB68">
        <v>0.18381954178992652</v>
      </c>
      <c r="FC68">
        <v>0.16481718068351228</v>
      </c>
      <c r="FD68">
        <v>0.12791745618702247</v>
      </c>
      <c r="FE68">
        <v>9.8746042105022885E-2</v>
      </c>
      <c r="FF68">
        <v>0.25280188757538519</v>
      </c>
      <c r="FG68">
        <v>0.25216839729863105</v>
      </c>
      <c r="FH68">
        <v>0.25202957092131995</v>
      </c>
      <c r="FI68">
        <v>0.26424527838706374</v>
      </c>
      <c r="FJ68">
        <v>0.27164672212178087</v>
      </c>
      <c r="FK68">
        <v>0.29111936376001407</v>
      </c>
      <c r="FL68">
        <v>0.29162207647163724</v>
      </c>
      <c r="FM68">
        <v>0.26941416139306151</v>
      </c>
      <c r="FN68">
        <v>0.25111997767709249</v>
      </c>
      <c r="FO68">
        <v>0.24528064568829874</v>
      </c>
      <c r="FQ68" t="s">
        <v>669</v>
      </c>
      <c r="FR68" t="s">
        <v>127</v>
      </c>
      <c r="FS68" t="s">
        <v>128</v>
      </c>
      <c r="FT68">
        <v>0.53088855522142508</v>
      </c>
    </row>
    <row r="69" spans="2:176" x14ac:dyDescent="0.45">
      <c r="B69" t="s">
        <v>670</v>
      </c>
      <c r="C69" t="s">
        <v>123</v>
      </c>
      <c r="D69">
        <v>0.4069469443372104</v>
      </c>
      <c r="E69">
        <v>0.41659360386489225</v>
      </c>
      <c r="F69">
        <v>0.43185956866933428</v>
      </c>
      <c r="G69">
        <v>0.46003337975622466</v>
      </c>
      <c r="H69">
        <v>0.43472444363840895</v>
      </c>
      <c r="I69">
        <v>0.3954545088266283</v>
      </c>
      <c r="J69">
        <v>0.38874309972562748</v>
      </c>
      <c r="K69">
        <v>0.41601820377846671</v>
      </c>
      <c r="L69">
        <v>0.42693949224338473</v>
      </c>
      <c r="M69">
        <v>0.42725509541989537</v>
      </c>
      <c r="N69">
        <v>0.39667935841501356</v>
      </c>
      <c r="O69">
        <v>0.40181485688302854</v>
      </c>
      <c r="P69">
        <v>0.42684950000640259</v>
      </c>
      <c r="Q69">
        <v>0.41800779389035797</v>
      </c>
      <c r="R69">
        <v>0.37901087392714095</v>
      </c>
      <c r="S69">
        <v>0.33716282226394595</v>
      </c>
      <c r="T69">
        <v>0.3131694055205993</v>
      </c>
      <c r="U69">
        <v>0.32669026266096413</v>
      </c>
      <c r="V69">
        <v>0.35236027550682669</v>
      </c>
      <c r="W69">
        <v>0.37799689043321655</v>
      </c>
      <c r="X69">
        <v>0.48745640557939057</v>
      </c>
      <c r="Y69">
        <v>0.47354924942197424</v>
      </c>
      <c r="Z69">
        <v>0.50683062456800065</v>
      </c>
      <c r="AA69">
        <v>0.51510579304759452</v>
      </c>
      <c r="AB69">
        <v>0.45323708725786177</v>
      </c>
      <c r="AC69">
        <v>0.3589554799525112</v>
      </c>
      <c r="AD69">
        <v>0.30470930974309279</v>
      </c>
      <c r="AE69">
        <v>0.3210676839981717</v>
      </c>
      <c r="AF69">
        <v>0.38826089724186175</v>
      </c>
      <c r="AG69">
        <v>0.44224631623627886</v>
      </c>
      <c r="AH69">
        <v>0.44671380901894636</v>
      </c>
      <c r="AI69">
        <v>0.45995322962277663</v>
      </c>
      <c r="AJ69">
        <v>0.47044616559634755</v>
      </c>
      <c r="AK69">
        <v>0.48418443450618032</v>
      </c>
      <c r="AL69">
        <v>0.46763978298859643</v>
      </c>
      <c r="AM69">
        <v>0.42808238378046914</v>
      </c>
      <c r="AN69">
        <v>0.40047164986401201</v>
      </c>
      <c r="AO69">
        <v>0.40685859259540569</v>
      </c>
      <c r="AP69">
        <v>0.43538630095753106</v>
      </c>
      <c r="AQ69">
        <v>0.44543226211370363</v>
      </c>
      <c r="EA69" t="s">
        <v>670</v>
      </c>
      <c r="EB69">
        <v>0.23948431755985169</v>
      </c>
      <c r="EC69">
        <v>0.24280591564370005</v>
      </c>
      <c r="ED69">
        <v>0.23562460150289677</v>
      </c>
      <c r="EE69">
        <v>0.23206309244802309</v>
      </c>
      <c r="EF69">
        <v>0.25783445916919329</v>
      </c>
      <c r="EG69">
        <v>0.29319340482657991</v>
      </c>
      <c r="EH69">
        <v>0.2844910025885275</v>
      </c>
      <c r="EI69">
        <v>0.24817525145963149</v>
      </c>
      <c r="EJ69">
        <v>0.23528315949176237</v>
      </c>
      <c r="EK69">
        <v>0.23766719787165622</v>
      </c>
      <c r="EL69">
        <v>0.24371804091753221</v>
      </c>
      <c r="EM69">
        <v>0.23414863657434448</v>
      </c>
      <c r="EN69">
        <v>0.23251850660122417</v>
      </c>
      <c r="EO69">
        <v>0.26688049612834069</v>
      </c>
      <c r="EP69">
        <v>0.2955541504341469</v>
      </c>
      <c r="EQ69">
        <v>0.33692482636942261</v>
      </c>
      <c r="ER69">
        <v>0.34546397100461285</v>
      </c>
      <c r="ES69">
        <v>0.31917362198506533</v>
      </c>
      <c r="ET69">
        <v>0.27781905282217545</v>
      </c>
      <c r="EU69">
        <v>0.25406429246597434</v>
      </c>
      <c r="EV69">
        <v>8.4715710703465077E-2</v>
      </c>
      <c r="EW69">
        <v>8.5532699743705892E-2</v>
      </c>
      <c r="EX69">
        <v>8.0706543703707848E-2</v>
      </c>
      <c r="EY69">
        <v>9.248609872414093E-2</v>
      </c>
      <c r="EZ69">
        <v>0.10519800854631291</v>
      </c>
      <c r="FA69">
        <v>0.14044370873853734</v>
      </c>
      <c r="FB69">
        <v>0.16345843688258507</v>
      </c>
      <c r="FC69">
        <v>0.15263853944818193</v>
      </c>
      <c r="FD69">
        <v>0.1121548097699971</v>
      </c>
      <c r="FE69">
        <v>8.1744717173595396E-2</v>
      </c>
      <c r="FF69">
        <v>0.17272531885855685</v>
      </c>
      <c r="FG69">
        <v>0.16677015422573549</v>
      </c>
      <c r="FH69">
        <v>0.16477950831444216</v>
      </c>
      <c r="FI69">
        <v>0.18684466998178181</v>
      </c>
      <c r="FJ69">
        <v>0.21427784805948863</v>
      </c>
      <c r="FK69">
        <v>0.23515960267088862</v>
      </c>
      <c r="FL69">
        <v>0.23337008811696011</v>
      </c>
      <c r="FM69">
        <v>0.21042817833500585</v>
      </c>
      <c r="FN69">
        <v>0.18577956500294668</v>
      </c>
      <c r="FO69">
        <v>0.17587716213338597</v>
      </c>
      <c r="FQ69" t="s">
        <v>671</v>
      </c>
      <c r="FR69" t="s">
        <v>127</v>
      </c>
      <c r="FS69" t="s">
        <v>128</v>
      </c>
      <c r="FT69">
        <v>0.45332136811089241</v>
      </c>
    </row>
    <row r="70" spans="2:176" x14ac:dyDescent="0.45">
      <c r="B70" t="s">
        <v>672</v>
      </c>
      <c r="C70" t="s">
        <v>123</v>
      </c>
      <c r="D70">
        <v>0.34749165661416465</v>
      </c>
      <c r="E70">
        <v>0.32368807875968941</v>
      </c>
      <c r="F70">
        <v>0.31821574455688256</v>
      </c>
      <c r="G70">
        <v>0.32166956784702716</v>
      </c>
      <c r="H70">
        <v>0.32527595468047127</v>
      </c>
      <c r="I70">
        <v>0.31050184665718683</v>
      </c>
      <c r="J70">
        <v>0.29671464724518937</v>
      </c>
      <c r="K70">
        <v>0.29916252530588011</v>
      </c>
      <c r="L70">
        <v>0.32107042291205201</v>
      </c>
      <c r="M70">
        <v>0.35215791919001233</v>
      </c>
      <c r="N70">
        <v>0.3329898508155944</v>
      </c>
      <c r="O70">
        <v>0.33882563862808091</v>
      </c>
      <c r="P70">
        <v>0.34639681490451124</v>
      </c>
      <c r="Q70">
        <v>0.35958993739988054</v>
      </c>
      <c r="R70">
        <v>0.34643453229346488</v>
      </c>
      <c r="S70">
        <v>0.32676215161878441</v>
      </c>
      <c r="T70">
        <v>0.29947133131922443</v>
      </c>
      <c r="U70">
        <v>0.31922417739116604</v>
      </c>
      <c r="V70">
        <v>0.33912881956431368</v>
      </c>
      <c r="W70">
        <v>0.34107150656780771</v>
      </c>
      <c r="X70">
        <v>0.38132994522546504</v>
      </c>
      <c r="Y70">
        <v>0.38629761502378002</v>
      </c>
      <c r="Z70">
        <v>0.41388453221160865</v>
      </c>
      <c r="AA70">
        <v>0.45137607005953173</v>
      </c>
      <c r="AB70">
        <v>0.40485308540302839</v>
      </c>
      <c r="AC70">
        <v>0.31881891126304063</v>
      </c>
      <c r="AD70">
        <v>0.28906306035701246</v>
      </c>
      <c r="AE70">
        <v>0.29951095712421838</v>
      </c>
      <c r="AF70">
        <v>0.31414132386964849</v>
      </c>
      <c r="AG70">
        <v>0.34776068456851267</v>
      </c>
      <c r="AH70">
        <v>0.37698912626121583</v>
      </c>
      <c r="AI70">
        <v>0.38659797585248462</v>
      </c>
      <c r="AJ70">
        <v>0.38577605819835487</v>
      </c>
      <c r="AK70">
        <v>0.40234122708811759</v>
      </c>
      <c r="AL70">
        <v>0.39746978437601654</v>
      </c>
      <c r="AM70">
        <v>0.38648745116927541</v>
      </c>
      <c r="AN70">
        <v>0.36968289998799148</v>
      </c>
      <c r="AO70">
        <v>0.36171171131115831</v>
      </c>
      <c r="AP70">
        <v>0.35693825629981385</v>
      </c>
      <c r="AQ70">
        <v>0.37556010459378103</v>
      </c>
      <c r="EA70" t="s">
        <v>672</v>
      </c>
      <c r="EB70">
        <v>0.32914354263741658</v>
      </c>
      <c r="EC70">
        <v>0.33223988690083084</v>
      </c>
      <c r="ED70">
        <v>0.32995228051073994</v>
      </c>
      <c r="EE70">
        <v>0.33982587200773973</v>
      </c>
      <c r="EF70">
        <v>0.36991664594395651</v>
      </c>
      <c r="EG70">
        <v>0.38501939868320201</v>
      </c>
      <c r="EH70">
        <v>0.38647920059340096</v>
      </c>
      <c r="EI70">
        <v>0.37513649498450546</v>
      </c>
      <c r="EJ70">
        <v>0.35314991657515843</v>
      </c>
      <c r="EK70">
        <v>0.32850285386400208</v>
      </c>
      <c r="EL70">
        <v>0.34747876433746094</v>
      </c>
      <c r="EM70">
        <v>0.33206374517599013</v>
      </c>
      <c r="EN70">
        <v>0.33328697957029002</v>
      </c>
      <c r="EO70">
        <v>0.34028266681728447</v>
      </c>
      <c r="EP70">
        <v>0.36034455081991085</v>
      </c>
      <c r="EQ70">
        <v>0.39199752912194358</v>
      </c>
      <c r="ER70">
        <v>0.40503429058683538</v>
      </c>
      <c r="ES70">
        <v>0.39174664544771232</v>
      </c>
      <c r="ET70">
        <v>0.36587477788341027</v>
      </c>
      <c r="EU70">
        <v>0.35388027335019684</v>
      </c>
      <c r="EV70">
        <v>0.14430003480323822</v>
      </c>
      <c r="EW70">
        <v>0.13464799144274509</v>
      </c>
      <c r="EX70">
        <v>0.12558715763621969</v>
      </c>
      <c r="EY70">
        <v>0.12929083263977501</v>
      </c>
      <c r="EZ70">
        <v>0.15596028863438716</v>
      </c>
      <c r="FA70">
        <v>0.21636083335244927</v>
      </c>
      <c r="FB70">
        <v>0.26133171578270858</v>
      </c>
      <c r="FC70">
        <v>0.24945929247906645</v>
      </c>
      <c r="FD70">
        <v>0.21377157324846144</v>
      </c>
      <c r="FE70">
        <v>0.17182964705525375</v>
      </c>
      <c r="FF70">
        <v>0.22635416345637843</v>
      </c>
      <c r="FG70">
        <v>0.226706022710009</v>
      </c>
      <c r="FH70">
        <v>0.22436447009785837</v>
      </c>
      <c r="FI70">
        <v>0.2287441706375366</v>
      </c>
      <c r="FJ70">
        <v>0.24820416669171877</v>
      </c>
      <c r="FK70">
        <v>0.25451933154557399</v>
      </c>
      <c r="FL70">
        <v>0.25852666468311097</v>
      </c>
      <c r="FM70">
        <v>0.24524521839254165</v>
      </c>
      <c r="FN70">
        <v>0.23338849042396131</v>
      </c>
      <c r="FO70">
        <v>0.2295943859154877</v>
      </c>
      <c r="FQ70" t="s">
        <v>673</v>
      </c>
      <c r="FR70" t="s">
        <v>127</v>
      </c>
      <c r="FS70" t="s">
        <v>128</v>
      </c>
      <c r="FT70">
        <v>0.53159451968052696</v>
      </c>
    </row>
    <row r="71" spans="2:176" x14ac:dyDescent="0.45">
      <c r="B71" t="s">
        <v>674</v>
      </c>
      <c r="C71" t="s">
        <v>123</v>
      </c>
      <c r="D71">
        <v>0.41764660715972157</v>
      </c>
      <c r="E71">
        <v>0.39823551490069431</v>
      </c>
      <c r="F71">
        <v>0.37501339109799098</v>
      </c>
      <c r="G71">
        <v>0.39399937507892724</v>
      </c>
      <c r="H71">
        <v>0.40484036865706841</v>
      </c>
      <c r="I71">
        <v>0.38540809493532635</v>
      </c>
      <c r="J71">
        <v>0.36248196134814009</v>
      </c>
      <c r="K71">
        <v>0.34218011733445652</v>
      </c>
      <c r="L71">
        <v>0.36715498451468598</v>
      </c>
      <c r="M71">
        <v>0.40477401651012795</v>
      </c>
      <c r="N71">
        <v>0.39331616393213759</v>
      </c>
      <c r="O71">
        <v>0.37415077119540008</v>
      </c>
      <c r="P71">
        <v>0.39693840847574691</v>
      </c>
      <c r="Q71">
        <v>0.40631342766350753</v>
      </c>
      <c r="R71">
        <v>0.36569453709371097</v>
      </c>
      <c r="S71">
        <v>0.33407257361047843</v>
      </c>
      <c r="T71">
        <v>0.3328884298675992</v>
      </c>
      <c r="U71">
        <v>0.34518301005845875</v>
      </c>
      <c r="V71">
        <v>0.37937550992403796</v>
      </c>
      <c r="W71">
        <v>0.41367976005410539</v>
      </c>
      <c r="X71">
        <v>0.44986152779719446</v>
      </c>
      <c r="Y71">
        <v>0.42988765603178242</v>
      </c>
      <c r="Z71">
        <v>0.45530599541351235</v>
      </c>
      <c r="AA71">
        <v>0.48323319441873558</v>
      </c>
      <c r="AB71">
        <v>0.4137847932185631</v>
      </c>
      <c r="AC71">
        <v>0.32549606739981068</v>
      </c>
      <c r="AD71">
        <v>0.30537659998828837</v>
      </c>
      <c r="AE71">
        <v>0.34676254261573075</v>
      </c>
      <c r="AF71">
        <v>0.39855484416353754</v>
      </c>
      <c r="AG71">
        <v>0.43962369456051598</v>
      </c>
      <c r="AH71">
        <v>0.47049660343040001</v>
      </c>
      <c r="AI71">
        <v>0.46545312241734954</v>
      </c>
      <c r="AJ71">
        <v>0.48581685222234655</v>
      </c>
      <c r="AK71">
        <v>0.50224224906237724</v>
      </c>
      <c r="AL71">
        <v>0.48547662802646313</v>
      </c>
      <c r="AM71">
        <v>0.45161409007226727</v>
      </c>
      <c r="AN71">
        <v>0.43016853794872811</v>
      </c>
      <c r="AO71">
        <v>0.43547736388685426</v>
      </c>
      <c r="AP71">
        <v>0.47796272388069105</v>
      </c>
      <c r="AQ71">
        <v>0.48965209684601096</v>
      </c>
      <c r="EA71" t="s">
        <v>674</v>
      </c>
      <c r="EB71">
        <v>0.19013842825300672</v>
      </c>
      <c r="EC71">
        <v>0.18253403654814485</v>
      </c>
      <c r="ED71">
        <v>0.1709095636481931</v>
      </c>
      <c r="EE71">
        <v>0.17240972301564694</v>
      </c>
      <c r="EF71">
        <v>0.22231622536745818</v>
      </c>
      <c r="EG71">
        <v>0.24912143128106395</v>
      </c>
      <c r="EH71">
        <v>0.24212901947374407</v>
      </c>
      <c r="EI71">
        <v>0.22190275250915442</v>
      </c>
      <c r="EJ71">
        <v>0.20419888961383864</v>
      </c>
      <c r="EK71">
        <v>0.19615966571724477</v>
      </c>
      <c r="EL71">
        <v>0.20809296914348285</v>
      </c>
      <c r="EM71">
        <v>0.20437001773191554</v>
      </c>
      <c r="EN71">
        <v>0.20163616092822439</v>
      </c>
      <c r="EO71">
        <v>0.23023531977743752</v>
      </c>
      <c r="EP71">
        <v>0.25606317627803582</v>
      </c>
      <c r="EQ71">
        <v>0.2927835321154002</v>
      </c>
      <c r="ER71">
        <v>0.30044094798024984</v>
      </c>
      <c r="ES71">
        <v>0.27428492410875938</v>
      </c>
      <c r="ET71">
        <v>0.24474806160501181</v>
      </c>
      <c r="EU71">
        <v>0.22028261089563911</v>
      </c>
      <c r="EV71">
        <v>4.8440982670510231E-2</v>
      </c>
      <c r="EW71">
        <v>4.7121719242905577E-2</v>
      </c>
      <c r="EX71">
        <v>4.0626845461995922E-2</v>
      </c>
      <c r="EY71">
        <v>4.8580304485264597E-2</v>
      </c>
      <c r="EZ71">
        <v>6.5294627656454246E-2</v>
      </c>
      <c r="FA71">
        <v>9.9467916457130226E-2</v>
      </c>
      <c r="FB71">
        <v>0.11905148109280454</v>
      </c>
      <c r="FC71">
        <v>0.10793001387210775</v>
      </c>
      <c r="FD71">
        <v>8.162336642242958E-2</v>
      </c>
      <c r="FE71">
        <v>5.6040285038147383E-2</v>
      </c>
      <c r="FF71">
        <v>8.9887849409291579E-2</v>
      </c>
      <c r="FG71">
        <v>9.3707548689336756E-2</v>
      </c>
      <c r="FH71">
        <v>9.5063995562079534E-2</v>
      </c>
      <c r="FI71">
        <v>0.10638877089967895</v>
      </c>
      <c r="FJ71">
        <v>0.14099808573524214</v>
      </c>
      <c r="FK71">
        <v>0.1612050517814341</v>
      </c>
      <c r="FL71">
        <v>0.15708188064958548</v>
      </c>
      <c r="FM71">
        <v>0.12943515691776583</v>
      </c>
      <c r="FN71">
        <v>0.10517768325451872</v>
      </c>
      <c r="FO71">
        <v>9.3143885541057542E-2</v>
      </c>
      <c r="FQ71" t="s">
        <v>675</v>
      </c>
      <c r="FR71" t="s">
        <v>127</v>
      </c>
      <c r="FS71" t="s">
        <v>128</v>
      </c>
      <c r="FT71">
        <v>0.50024499849246007</v>
      </c>
    </row>
    <row r="72" spans="2:176" x14ac:dyDescent="0.45">
      <c r="B72" t="s">
        <v>676</v>
      </c>
      <c r="C72" t="s">
        <v>123</v>
      </c>
      <c r="D72">
        <v>0.4341178649938045</v>
      </c>
      <c r="E72">
        <v>0.41532800289314997</v>
      </c>
      <c r="F72">
        <v>0.41103648215330202</v>
      </c>
      <c r="G72">
        <v>0.41556604279712539</v>
      </c>
      <c r="H72">
        <v>0.41766716349171118</v>
      </c>
      <c r="I72">
        <v>0.41325874687586212</v>
      </c>
      <c r="J72">
        <v>0.40184178166753332</v>
      </c>
      <c r="K72">
        <v>0.40341442099957658</v>
      </c>
      <c r="L72">
        <v>0.41046941145971511</v>
      </c>
      <c r="M72">
        <v>0.42072510377692346</v>
      </c>
      <c r="N72">
        <v>0.41403672453336643</v>
      </c>
      <c r="O72">
        <v>0.39490089728682076</v>
      </c>
      <c r="P72">
        <v>0.40005134011975474</v>
      </c>
      <c r="Q72">
        <v>0.42235157023243003</v>
      </c>
      <c r="R72">
        <v>0.42446516532648426</v>
      </c>
      <c r="S72">
        <v>0.38442306655007707</v>
      </c>
      <c r="T72">
        <v>0.35503948417890835</v>
      </c>
      <c r="U72">
        <v>0.35984526642318398</v>
      </c>
      <c r="V72">
        <v>0.3849277359106017</v>
      </c>
      <c r="W72">
        <v>0.42382091183426174</v>
      </c>
      <c r="X72">
        <v>0.33367067712408122</v>
      </c>
      <c r="Y72">
        <v>0.32889572572953873</v>
      </c>
      <c r="Z72">
        <v>0.34473062158215356</v>
      </c>
      <c r="AA72">
        <v>0.40442648663394054</v>
      </c>
      <c r="AB72">
        <v>0.43008014781633319</v>
      </c>
      <c r="AC72">
        <v>0.38360092915668054</v>
      </c>
      <c r="AD72">
        <v>0.37083046495825517</v>
      </c>
      <c r="AE72">
        <v>0.39318949658747399</v>
      </c>
      <c r="AF72">
        <v>0.39148593699473661</v>
      </c>
      <c r="AG72">
        <v>0.3828866417788675</v>
      </c>
      <c r="AH72">
        <v>0.46711364805102817</v>
      </c>
      <c r="AI72">
        <v>0.47988208278878486</v>
      </c>
      <c r="AJ72">
        <v>0.50297259893463764</v>
      </c>
      <c r="AK72">
        <v>0.5059054692411874</v>
      </c>
      <c r="AL72">
        <v>0.50658151888958602</v>
      </c>
      <c r="AM72">
        <v>0.47029970904940355</v>
      </c>
      <c r="AN72">
        <v>0.43248394736665996</v>
      </c>
      <c r="AO72">
        <v>0.42262877728038301</v>
      </c>
      <c r="AP72">
        <v>0.43132407000007478</v>
      </c>
      <c r="AQ72">
        <v>0.4563130907424427</v>
      </c>
      <c r="EA72" t="s">
        <v>676</v>
      </c>
      <c r="EB72">
        <v>0.21968650629705078</v>
      </c>
      <c r="EC72">
        <v>0.21308952078076679</v>
      </c>
      <c r="ED72">
        <v>0.20400118757359834</v>
      </c>
      <c r="EE72">
        <v>0.19411839605958678</v>
      </c>
      <c r="EF72">
        <v>0.21910784376947023</v>
      </c>
      <c r="EG72">
        <v>0.23482430770626581</v>
      </c>
      <c r="EH72">
        <v>0.2331770539596327</v>
      </c>
      <c r="EI72">
        <v>0.23363571364876848</v>
      </c>
      <c r="EJ72">
        <v>0.22472316947757773</v>
      </c>
      <c r="EK72">
        <v>0.20986024785261381</v>
      </c>
      <c r="EL72">
        <v>0.18513462761736688</v>
      </c>
      <c r="EM72">
        <v>0.18281585626286495</v>
      </c>
      <c r="EN72">
        <v>0.18060973597565202</v>
      </c>
      <c r="EO72">
        <v>0.18031949243508433</v>
      </c>
      <c r="EP72">
        <v>0.19741586760303334</v>
      </c>
      <c r="EQ72">
        <v>0.21922323788272263</v>
      </c>
      <c r="ER72">
        <v>0.22588023836784843</v>
      </c>
      <c r="ES72">
        <v>0.22139936452763465</v>
      </c>
      <c r="ET72">
        <v>0.21177639360832093</v>
      </c>
      <c r="EU72">
        <v>0.19075209135609844</v>
      </c>
      <c r="EV72">
        <v>0.11097172565024017</v>
      </c>
      <c r="EW72">
        <v>0.11189466866499996</v>
      </c>
      <c r="EX72">
        <v>8.7782600063158925E-2</v>
      </c>
      <c r="EY72">
        <v>5.988568596516089E-2</v>
      </c>
      <c r="EZ72">
        <v>5.3872108331851652E-2</v>
      </c>
      <c r="FA72">
        <v>6.9172860691975938E-2</v>
      </c>
      <c r="FB72">
        <v>8.4014501327291852E-2</v>
      </c>
      <c r="FC72">
        <v>8.1451201530450268E-2</v>
      </c>
      <c r="FD72">
        <v>8.2207008123610106E-2</v>
      </c>
      <c r="FE72">
        <v>9.2148210502995501E-2</v>
      </c>
      <c r="FF72">
        <v>9.9679636105544478E-2</v>
      </c>
      <c r="FG72">
        <v>0.11034092341111165</v>
      </c>
      <c r="FH72">
        <v>0.11088950256830449</v>
      </c>
      <c r="FI72">
        <v>0.11479225829386394</v>
      </c>
      <c r="FJ72">
        <v>0.13009992849420363</v>
      </c>
      <c r="FK72">
        <v>0.13616988821852238</v>
      </c>
      <c r="FL72">
        <v>0.14001472188426717</v>
      </c>
      <c r="FM72">
        <v>0.12959251442158815</v>
      </c>
      <c r="FN72">
        <v>0.11651266736410382</v>
      </c>
      <c r="FO72">
        <v>0.11079213049994224</v>
      </c>
      <c r="FQ72" t="s">
        <v>677</v>
      </c>
      <c r="FR72" t="s">
        <v>127</v>
      </c>
      <c r="FS72" t="s">
        <v>128</v>
      </c>
      <c r="FT72">
        <v>0.41755847519837386</v>
      </c>
    </row>
    <row r="73" spans="2:176" x14ac:dyDescent="0.45">
      <c r="B73" t="s">
        <v>678</v>
      </c>
      <c r="C73" t="s">
        <v>123</v>
      </c>
      <c r="D73">
        <v>0.42121228779023706</v>
      </c>
      <c r="E73">
        <v>0.42350647853800749</v>
      </c>
      <c r="F73">
        <v>0.43291516601416458</v>
      </c>
      <c r="G73">
        <v>0.45426880777772372</v>
      </c>
      <c r="H73">
        <v>0.42943185172207604</v>
      </c>
      <c r="I73">
        <v>0.42584424623375094</v>
      </c>
      <c r="J73">
        <v>0.42989655386969017</v>
      </c>
      <c r="K73">
        <v>0.42500358346651673</v>
      </c>
      <c r="L73">
        <v>0.42982830727647714</v>
      </c>
      <c r="M73">
        <v>0.41880673900547843</v>
      </c>
      <c r="N73">
        <v>0.37580457351030361</v>
      </c>
      <c r="O73">
        <v>0.38376361136461984</v>
      </c>
      <c r="P73">
        <v>0.41016004948495971</v>
      </c>
      <c r="Q73">
        <v>0.41369798243047812</v>
      </c>
      <c r="R73">
        <v>0.40118548555365463</v>
      </c>
      <c r="S73">
        <v>0.38920808351687841</v>
      </c>
      <c r="T73">
        <v>0.38870634164850831</v>
      </c>
      <c r="U73">
        <v>0.3972902544911659</v>
      </c>
      <c r="V73">
        <v>0.38557014181683191</v>
      </c>
      <c r="W73">
        <v>0.37847187497235574</v>
      </c>
      <c r="X73">
        <v>0.33191603446710738</v>
      </c>
      <c r="Y73">
        <v>0.33749064251384969</v>
      </c>
      <c r="Z73">
        <v>0.39712835282453091</v>
      </c>
      <c r="AA73">
        <v>0.47089548596286757</v>
      </c>
      <c r="AB73">
        <v>0.47216655711113797</v>
      </c>
      <c r="AC73">
        <v>0.41821627984565213</v>
      </c>
      <c r="AD73">
        <v>0.4016497665940762</v>
      </c>
      <c r="AE73">
        <v>0.3973308234424206</v>
      </c>
      <c r="AF73">
        <v>0.37356364671396169</v>
      </c>
      <c r="AG73">
        <v>0.36826972447265921</v>
      </c>
      <c r="AH73">
        <v>0.41105974635120734</v>
      </c>
      <c r="AI73">
        <v>0.4303881463437953</v>
      </c>
      <c r="AJ73">
        <v>0.43750283045852639</v>
      </c>
      <c r="AK73">
        <v>0.48482942746219765</v>
      </c>
      <c r="AL73">
        <v>0.50096498782065535</v>
      </c>
      <c r="AM73">
        <v>0.49069697083582103</v>
      </c>
      <c r="AN73">
        <v>0.47017956804176181</v>
      </c>
      <c r="AO73">
        <v>0.44148979722818876</v>
      </c>
      <c r="AP73">
        <v>0.41508711756444722</v>
      </c>
      <c r="AQ73">
        <v>0.40832651954398075</v>
      </c>
      <c r="EA73" t="s">
        <v>678</v>
      </c>
      <c r="EB73">
        <v>0.15569319351693978</v>
      </c>
      <c r="EC73">
        <v>0.15099521317802958</v>
      </c>
      <c r="ED73">
        <v>0.14125810105540013</v>
      </c>
      <c r="EE73">
        <v>0.13653626052269277</v>
      </c>
      <c r="EF73">
        <v>0.16528869150212794</v>
      </c>
      <c r="EG73">
        <v>0.18986735974569771</v>
      </c>
      <c r="EH73">
        <v>0.18251045412644906</v>
      </c>
      <c r="EI73">
        <v>0.16720070906484691</v>
      </c>
      <c r="EJ73">
        <v>0.16168038937346732</v>
      </c>
      <c r="EK73">
        <v>0.15268940109008516</v>
      </c>
      <c r="EL73">
        <v>0.19344424188660109</v>
      </c>
      <c r="EM73">
        <v>0.18656489795191897</v>
      </c>
      <c r="EN73">
        <v>0.18655106113882641</v>
      </c>
      <c r="EO73">
        <v>0.19932428871785421</v>
      </c>
      <c r="EP73">
        <v>0.20929828201534462</v>
      </c>
      <c r="EQ73">
        <v>0.23305326208490298</v>
      </c>
      <c r="ER73">
        <v>0.22022398173054611</v>
      </c>
      <c r="ES73">
        <v>0.19646883547401348</v>
      </c>
      <c r="ET73">
        <v>0.19105546716554894</v>
      </c>
      <c r="EU73">
        <v>0.19172325229569448</v>
      </c>
      <c r="EV73">
        <v>7.6390445531791543E-2</v>
      </c>
      <c r="EW73">
        <v>7.3505499107922284E-2</v>
      </c>
      <c r="EX73">
        <v>5.6049876274558062E-2</v>
      </c>
      <c r="EY73">
        <v>4.8942402713226335E-2</v>
      </c>
      <c r="EZ73">
        <v>4.7961408465433127E-2</v>
      </c>
      <c r="FA73">
        <v>6.5057067859798284E-2</v>
      </c>
      <c r="FB73">
        <v>7.1832675583613947E-2</v>
      </c>
      <c r="FC73">
        <v>7.0592382899218944E-2</v>
      </c>
      <c r="FD73">
        <v>7.2234114523449952E-2</v>
      </c>
      <c r="FE73">
        <v>7.2546499495555042E-2</v>
      </c>
      <c r="FF73">
        <v>7.6654124585354463E-2</v>
      </c>
      <c r="FG73">
        <v>8.0231909260158094E-2</v>
      </c>
      <c r="FH73">
        <v>7.838458451963938E-2</v>
      </c>
      <c r="FI73">
        <v>8.8024231200558994E-2</v>
      </c>
      <c r="FJ73">
        <v>9.8030031452093921E-2</v>
      </c>
      <c r="FK73">
        <v>0.10774070138015791</v>
      </c>
      <c r="FL73">
        <v>0.1025161534617116</v>
      </c>
      <c r="FM73">
        <v>9.3693489138532232E-2</v>
      </c>
      <c r="FN73">
        <v>8.6611760585991904E-2</v>
      </c>
      <c r="FO73">
        <v>8.4345379181285485E-2</v>
      </c>
      <c r="FQ73" t="s">
        <v>679</v>
      </c>
      <c r="FR73" t="s">
        <v>127</v>
      </c>
      <c r="FS73" t="s">
        <v>128</v>
      </c>
      <c r="FT73">
        <v>0.40562353388934874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CCFD-95A5-4E75-A1A4-8D41B4D579B9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region=ITA")</f>
        <v>~TFM_DINS-AT: region=ITA</v>
      </c>
      <c r="H9" t="str">
        <f>IF(A11="x","DeActivated","~TFM_DINS-AT: region=ITA")</f>
        <v>~TFM_DINS-AT: region=ITA</v>
      </c>
      <c r="L9" t="str">
        <f>IF(A11="x","DeActivated","~TFM_DINS-AT: region=ITA")</f>
        <v>~TFM_DINS-AT: region=ITA</v>
      </c>
      <c r="P9" t="str">
        <f>IF(A11="x","DeActivated","~TFM_INS-AT: region=ITA")</f>
        <v>~TFM_INS-AT: region=ITA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9.4238946729642503E-2</v>
      </c>
      <c r="P11">
        <v>2020</v>
      </c>
      <c r="Q11" t="s">
        <v>214</v>
      </c>
      <c r="R11">
        <v>0.21346666666666669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0.17324779360725584</v>
      </c>
      <c r="P12">
        <v>2020</v>
      </c>
      <c r="Q12" t="s">
        <v>216</v>
      </c>
      <c r="R12">
        <v>0.26166666666666666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8.4638919394982803E-2</v>
      </c>
      <c r="P13">
        <v>2020</v>
      </c>
      <c r="Q13" t="s">
        <v>217</v>
      </c>
      <c r="R13">
        <v>0.32593333333333335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6.0392426919385178E-2</v>
      </c>
      <c r="P14">
        <v>2020</v>
      </c>
      <c r="Q14" t="s">
        <v>218</v>
      </c>
      <c r="R14">
        <v>0.25956666666666667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6.5883403285131648E-2</v>
      </c>
      <c r="P15">
        <v>2021</v>
      </c>
      <c r="Q15" t="s">
        <v>214</v>
      </c>
      <c r="R15">
        <v>0.22666666666666666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8.0034579405370287E-2</v>
      </c>
      <c r="P16">
        <v>2021</v>
      </c>
      <c r="Q16" t="s">
        <v>216</v>
      </c>
      <c r="R16">
        <v>0.23616666666666664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8.3554143742746723E-2</v>
      </c>
      <c r="P17">
        <v>2021</v>
      </c>
      <c r="Q17" t="s">
        <v>217</v>
      </c>
      <c r="R17">
        <v>0.3372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6.5403978430912391E-2</v>
      </c>
      <c r="P18">
        <v>2021</v>
      </c>
      <c r="Q18" t="s">
        <v>218</v>
      </c>
      <c r="R18">
        <v>0.19473333333333331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6.3726662315253479E-2</v>
      </c>
      <c r="P19">
        <v>2022</v>
      </c>
      <c r="Q19" t="s">
        <v>214</v>
      </c>
      <c r="R19">
        <v>0.1434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7.2409444894062647E-2</v>
      </c>
      <c r="P20">
        <v>2022</v>
      </c>
      <c r="Q20" t="s">
        <v>216</v>
      </c>
      <c r="R20">
        <v>0.14520000000000002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0.1423660886536906</v>
      </c>
      <c r="P21">
        <v>2022</v>
      </c>
      <c r="Q21" t="s">
        <v>217</v>
      </c>
      <c r="R21">
        <v>0.20863333333333334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0.18010497476326126</v>
      </c>
      <c r="P22">
        <v>2022</v>
      </c>
      <c r="Q22" t="s">
        <v>218</v>
      </c>
      <c r="R22">
        <v>0.1376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0.20378276672216522</v>
      </c>
      <c r="P23">
        <v>2025</v>
      </c>
      <c r="Q23" t="s">
        <v>214</v>
      </c>
      <c r="R23">
        <v>0.2315666666666667</v>
      </c>
      <c r="S23" t="s">
        <v>215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0.15647516199859668</v>
      </c>
      <c r="P24">
        <v>2025</v>
      </c>
      <c r="Q24" t="s">
        <v>216</v>
      </c>
      <c r="R24">
        <v>0.2979</v>
      </c>
      <c r="S24" t="s">
        <v>215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0.15390229302913294</v>
      </c>
      <c r="P25">
        <v>2025</v>
      </c>
      <c r="Q25" t="s">
        <v>217</v>
      </c>
      <c r="R25">
        <v>0.43926666666666669</v>
      </c>
      <c r="S25" t="s">
        <v>215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0.16152984614203603</v>
      </c>
      <c r="P26">
        <v>2025</v>
      </c>
      <c r="Q26" t="s">
        <v>218</v>
      </c>
      <c r="R26">
        <v>0.30946666666666661</v>
      </c>
      <c r="S26" t="s">
        <v>215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0.16028150378807804</v>
      </c>
      <c r="P27">
        <v>2026</v>
      </c>
      <c r="Q27" t="s">
        <v>214</v>
      </c>
      <c r="R27">
        <v>0.29389999999999999</v>
      </c>
      <c r="S27" t="s">
        <v>215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0.17284529762087941</v>
      </c>
      <c r="P28">
        <v>2026</v>
      </c>
      <c r="Q28" t="s">
        <v>216</v>
      </c>
      <c r="R28">
        <v>0.30696666666666667</v>
      </c>
      <c r="S28" t="s">
        <v>215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0.16806580808227189</v>
      </c>
      <c r="P29">
        <v>2026</v>
      </c>
      <c r="Q29" t="s">
        <v>217</v>
      </c>
      <c r="R29">
        <v>0.44893333333333335</v>
      </c>
      <c r="S29" t="s">
        <v>215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0.15635550097070006</v>
      </c>
      <c r="P30">
        <v>2026</v>
      </c>
      <c r="Q30" t="s">
        <v>218</v>
      </c>
      <c r="R30">
        <v>0.29060000000000002</v>
      </c>
      <c r="S30" t="s">
        <v>215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0.18772965440194578</v>
      </c>
      <c r="P31">
        <v>2027</v>
      </c>
      <c r="Q31" t="s">
        <v>214</v>
      </c>
      <c r="R31">
        <v>0.26643333333333336</v>
      </c>
      <c r="S31" t="s">
        <v>215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0.14968290255757477</v>
      </c>
      <c r="P32">
        <v>2027</v>
      </c>
      <c r="Q32" t="s">
        <v>216</v>
      </c>
      <c r="R32">
        <v>0.31630000000000003</v>
      </c>
      <c r="S32" t="s">
        <v>215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0.17664992165829418</v>
      </c>
      <c r="P33">
        <v>2027</v>
      </c>
      <c r="Q33" t="s">
        <v>217</v>
      </c>
      <c r="R33">
        <v>0.38713333333333333</v>
      </c>
      <c r="S33" t="s">
        <v>215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0.11562630174986288</v>
      </c>
      <c r="P34">
        <v>2027</v>
      </c>
      <c r="Q34" t="s">
        <v>218</v>
      </c>
      <c r="R34">
        <v>0.27176666666666666</v>
      </c>
      <c r="S34" t="s">
        <v>215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0.10836399393964657</v>
      </c>
      <c r="P35">
        <v>2028</v>
      </c>
      <c r="Q35" t="s">
        <v>214</v>
      </c>
      <c r="R35">
        <v>0.26086666666666664</v>
      </c>
      <c r="S35" t="s">
        <v>215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0.11796903641068113</v>
      </c>
      <c r="P36">
        <v>2028</v>
      </c>
      <c r="Q36" t="s">
        <v>216</v>
      </c>
      <c r="R36">
        <v>0.24590000000000001</v>
      </c>
      <c r="S36" t="s">
        <v>215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0.11442242012397918</v>
      </c>
      <c r="P37">
        <v>2028</v>
      </c>
      <c r="Q37" t="s">
        <v>217</v>
      </c>
      <c r="R37">
        <v>0.35193333333333338</v>
      </c>
      <c r="S37" t="s">
        <v>215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0.1132738778077933</v>
      </c>
      <c r="P38">
        <v>2028</v>
      </c>
      <c r="Q38" t="s">
        <v>218</v>
      </c>
      <c r="R38">
        <v>0.20960000000000001</v>
      </c>
      <c r="S38" t="s">
        <v>215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0.10300803738580866</v>
      </c>
      <c r="P39">
        <v>2029</v>
      </c>
      <c r="Q39" t="s">
        <v>214</v>
      </c>
      <c r="R39">
        <v>0.23133333333333331</v>
      </c>
      <c r="S39" t="s">
        <v>215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0.17807094432141812</v>
      </c>
      <c r="P40">
        <v>2029</v>
      </c>
      <c r="Q40" t="s">
        <v>216</v>
      </c>
      <c r="R40">
        <v>0.26439999999999997</v>
      </c>
      <c r="S40" t="s">
        <v>215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0.16347024848711733</v>
      </c>
      <c r="P41">
        <v>2029</v>
      </c>
      <c r="Q41" t="s">
        <v>217</v>
      </c>
      <c r="R41">
        <v>0.37333333333333335</v>
      </c>
      <c r="S41" t="s">
        <v>215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0.21867835292073412</v>
      </c>
      <c r="P42">
        <v>2029</v>
      </c>
      <c r="Q42" t="s">
        <v>218</v>
      </c>
      <c r="R42">
        <v>0.24943333333333331</v>
      </c>
      <c r="S42" t="s">
        <v>215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0.18104119424544485</v>
      </c>
      <c r="P43">
        <v>2030</v>
      </c>
      <c r="Q43" t="s">
        <v>214</v>
      </c>
      <c r="R43">
        <v>0.26169999999999999</v>
      </c>
      <c r="S43" t="s">
        <v>215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0.14900236240427311</v>
      </c>
      <c r="P44">
        <v>2030</v>
      </c>
      <c r="Q44" t="s">
        <v>216</v>
      </c>
      <c r="R44">
        <v>0.2588333333333333</v>
      </c>
      <c r="S44" t="s">
        <v>215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0.13578080176900453</v>
      </c>
      <c r="P45">
        <v>2030</v>
      </c>
      <c r="Q45" t="s">
        <v>217</v>
      </c>
      <c r="R45">
        <v>0.34870000000000001</v>
      </c>
      <c r="S45" t="s">
        <v>215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0.13201519741417789</v>
      </c>
      <c r="P46">
        <v>2030</v>
      </c>
      <c r="Q46" t="s">
        <v>218</v>
      </c>
      <c r="R46">
        <v>0.18703333333333336</v>
      </c>
      <c r="S46" t="s">
        <v>215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0.13674584924374544</v>
      </c>
      <c r="P47">
        <v>2031</v>
      </c>
      <c r="Q47" t="s">
        <v>214</v>
      </c>
      <c r="R47">
        <v>0.22463333333333332</v>
      </c>
      <c r="S47" t="s">
        <v>215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0.17035371951667466</v>
      </c>
      <c r="P48">
        <v>2031</v>
      </c>
      <c r="Q48" t="s">
        <v>216</v>
      </c>
      <c r="R48">
        <v>0.24176666666666669</v>
      </c>
      <c r="S48" t="s">
        <v>215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0.17032617639432601</v>
      </c>
      <c r="P49">
        <v>2031</v>
      </c>
      <c r="Q49" t="s">
        <v>217</v>
      </c>
      <c r="R49">
        <v>0.38106666666666666</v>
      </c>
      <c r="S49" t="s">
        <v>215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0.15633620261193726</v>
      </c>
      <c r="P50">
        <v>2031</v>
      </c>
      <c r="Q50" t="s">
        <v>218</v>
      </c>
      <c r="R50">
        <v>0.23369999999999999</v>
      </c>
      <c r="S50" t="s">
        <v>215</v>
      </c>
    </row>
    <row r="51" spans="3:19" x14ac:dyDescent="0.45">
      <c r="H51" t="s">
        <v>219</v>
      </c>
      <c r="I51" t="s">
        <v>5</v>
      </c>
      <c r="P51">
        <v>2032</v>
      </c>
      <c r="Q51" t="s">
        <v>214</v>
      </c>
      <c r="R51">
        <v>0.21276666666666666</v>
      </c>
      <c r="S51" t="s">
        <v>215</v>
      </c>
    </row>
    <row r="52" spans="3:19" x14ac:dyDescent="0.45">
      <c r="H52" t="s">
        <v>219</v>
      </c>
      <c r="I52" t="s">
        <v>9</v>
      </c>
      <c r="P52">
        <v>2032</v>
      </c>
      <c r="Q52" t="s">
        <v>216</v>
      </c>
      <c r="R52">
        <v>0.29783333333333334</v>
      </c>
      <c r="S52" t="s">
        <v>215</v>
      </c>
    </row>
    <row r="53" spans="3:19" x14ac:dyDescent="0.45">
      <c r="H53" t="s">
        <v>219</v>
      </c>
      <c r="I53" t="s">
        <v>10</v>
      </c>
      <c r="P53">
        <v>2032</v>
      </c>
      <c r="Q53" t="s">
        <v>217</v>
      </c>
      <c r="R53">
        <v>0.36273333333333335</v>
      </c>
      <c r="S53" t="s">
        <v>215</v>
      </c>
    </row>
    <row r="54" spans="3:19" x14ac:dyDescent="0.45">
      <c r="H54" t="s">
        <v>219</v>
      </c>
      <c r="I54" t="s">
        <v>11</v>
      </c>
      <c r="P54">
        <v>2032</v>
      </c>
      <c r="Q54" t="s">
        <v>218</v>
      </c>
      <c r="R54">
        <v>0.28606666666666669</v>
      </c>
      <c r="S54" t="s">
        <v>215</v>
      </c>
    </row>
    <row r="55" spans="3:19" x14ac:dyDescent="0.45">
      <c r="H55" t="s">
        <v>219</v>
      </c>
      <c r="I55" t="s">
        <v>12</v>
      </c>
      <c r="P55">
        <v>2033</v>
      </c>
      <c r="Q55" t="s">
        <v>214</v>
      </c>
      <c r="R55">
        <v>0.18810000000000002</v>
      </c>
      <c r="S55" t="s">
        <v>215</v>
      </c>
    </row>
    <row r="56" spans="3:19" x14ac:dyDescent="0.45">
      <c r="H56" t="s">
        <v>219</v>
      </c>
      <c r="I56" t="s">
        <v>13</v>
      </c>
      <c r="P56">
        <v>2033</v>
      </c>
      <c r="Q56" t="s">
        <v>216</v>
      </c>
      <c r="R56">
        <v>0.26683333333333331</v>
      </c>
      <c r="S56" t="s">
        <v>215</v>
      </c>
    </row>
    <row r="57" spans="3:19" x14ac:dyDescent="0.45">
      <c r="H57" t="s">
        <v>219</v>
      </c>
      <c r="I57" t="s">
        <v>14</v>
      </c>
      <c r="P57">
        <v>2033</v>
      </c>
      <c r="Q57" t="s">
        <v>217</v>
      </c>
      <c r="R57">
        <v>0.34369999999999995</v>
      </c>
      <c r="S57" t="s">
        <v>215</v>
      </c>
    </row>
    <row r="58" spans="3:19" x14ac:dyDescent="0.45">
      <c r="H58" t="s">
        <v>219</v>
      </c>
      <c r="I58" t="s">
        <v>15</v>
      </c>
      <c r="P58">
        <v>2033</v>
      </c>
      <c r="Q58" t="s">
        <v>218</v>
      </c>
      <c r="R58">
        <v>0.26219999999999999</v>
      </c>
      <c r="S58" t="s">
        <v>215</v>
      </c>
    </row>
    <row r="59" spans="3:19" x14ac:dyDescent="0.45">
      <c r="H59" t="s">
        <v>219</v>
      </c>
      <c r="I59" t="s">
        <v>16</v>
      </c>
      <c r="P59">
        <v>2034</v>
      </c>
      <c r="Q59" t="s">
        <v>214</v>
      </c>
      <c r="R59">
        <v>0.16016666666666665</v>
      </c>
      <c r="S59" t="s">
        <v>215</v>
      </c>
    </row>
    <row r="60" spans="3:19" x14ac:dyDescent="0.45">
      <c r="H60" t="s">
        <v>219</v>
      </c>
      <c r="I60" t="s">
        <v>17</v>
      </c>
      <c r="P60">
        <v>2034</v>
      </c>
      <c r="Q60" t="s">
        <v>216</v>
      </c>
      <c r="R60">
        <v>0.26666666666666666</v>
      </c>
      <c r="S60" t="s">
        <v>215</v>
      </c>
    </row>
    <row r="61" spans="3:19" x14ac:dyDescent="0.45">
      <c r="H61" t="s">
        <v>219</v>
      </c>
      <c r="I61" t="s">
        <v>18</v>
      </c>
      <c r="P61">
        <v>2034</v>
      </c>
      <c r="Q61" t="s">
        <v>217</v>
      </c>
      <c r="R61">
        <v>0.35113333333333335</v>
      </c>
      <c r="S61" t="s">
        <v>215</v>
      </c>
    </row>
    <row r="62" spans="3:19" x14ac:dyDescent="0.45">
      <c r="H62" t="s">
        <v>219</v>
      </c>
      <c r="I62" t="s">
        <v>19</v>
      </c>
      <c r="P62">
        <v>2034</v>
      </c>
      <c r="Q62" t="s">
        <v>218</v>
      </c>
      <c r="R62">
        <v>0.2586</v>
      </c>
      <c r="S62" t="s">
        <v>215</v>
      </c>
    </row>
    <row r="63" spans="3:19" x14ac:dyDescent="0.45">
      <c r="H63" t="s">
        <v>219</v>
      </c>
      <c r="I63" t="s">
        <v>20</v>
      </c>
      <c r="P63">
        <v>2035</v>
      </c>
      <c r="Q63" t="s">
        <v>214</v>
      </c>
      <c r="R63">
        <v>0.21766666666666667</v>
      </c>
      <c r="S63" t="s">
        <v>215</v>
      </c>
    </row>
    <row r="64" spans="3:19" x14ac:dyDescent="0.45">
      <c r="H64" t="s">
        <v>219</v>
      </c>
      <c r="I64" t="s">
        <v>21</v>
      </c>
      <c r="P64">
        <v>2035</v>
      </c>
      <c r="Q64" t="s">
        <v>216</v>
      </c>
      <c r="R64">
        <v>0.25956666666666667</v>
      </c>
      <c r="S64" t="s">
        <v>215</v>
      </c>
    </row>
    <row r="65" spans="8:19" x14ac:dyDescent="0.45">
      <c r="H65" t="s">
        <v>219</v>
      </c>
      <c r="I65" t="s">
        <v>22</v>
      </c>
      <c r="P65">
        <v>2035</v>
      </c>
      <c r="Q65" t="s">
        <v>217</v>
      </c>
      <c r="R65">
        <v>0.34310000000000002</v>
      </c>
      <c r="S65" t="s">
        <v>215</v>
      </c>
    </row>
    <row r="66" spans="8:19" x14ac:dyDescent="0.45">
      <c r="H66" t="s">
        <v>219</v>
      </c>
      <c r="I66" t="s">
        <v>23</v>
      </c>
      <c r="P66">
        <v>2035</v>
      </c>
      <c r="Q66" t="s">
        <v>218</v>
      </c>
      <c r="R66">
        <v>0.27116666666666667</v>
      </c>
      <c r="S66" t="s">
        <v>215</v>
      </c>
    </row>
    <row r="67" spans="8:19" x14ac:dyDescent="0.45">
      <c r="H67" t="s">
        <v>219</v>
      </c>
      <c r="I67" t="s">
        <v>24</v>
      </c>
      <c r="P67">
        <v>2036</v>
      </c>
      <c r="Q67" t="s">
        <v>214</v>
      </c>
      <c r="R67">
        <v>0.29960000000000003</v>
      </c>
      <c r="S67" t="s">
        <v>215</v>
      </c>
    </row>
    <row r="68" spans="8:19" x14ac:dyDescent="0.45">
      <c r="H68" t="s">
        <v>219</v>
      </c>
      <c r="I68" t="s">
        <v>25</v>
      </c>
      <c r="P68">
        <v>2036</v>
      </c>
      <c r="Q68" t="s">
        <v>216</v>
      </c>
      <c r="R68">
        <v>0.314</v>
      </c>
      <c r="S68" t="s">
        <v>215</v>
      </c>
    </row>
    <row r="69" spans="8:19" x14ac:dyDescent="0.45">
      <c r="H69" t="s">
        <v>219</v>
      </c>
      <c r="I69" t="s">
        <v>26</v>
      </c>
      <c r="P69">
        <v>2036</v>
      </c>
      <c r="Q69" t="s">
        <v>217</v>
      </c>
      <c r="R69">
        <v>0.46329999999999999</v>
      </c>
      <c r="S69" t="s">
        <v>215</v>
      </c>
    </row>
    <row r="70" spans="8:19" x14ac:dyDescent="0.45">
      <c r="H70" t="s">
        <v>219</v>
      </c>
      <c r="I70" t="s">
        <v>27</v>
      </c>
      <c r="P70">
        <v>2036</v>
      </c>
      <c r="Q70" t="s">
        <v>218</v>
      </c>
      <c r="R70">
        <v>0.23293333333333335</v>
      </c>
      <c r="S70" t="s">
        <v>215</v>
      </c>
    </row>
    <row r="71" spans="8:19" x14ac:dyDescent="0.45">
      <c r="H71" t="s">
        <v>219</v>
      </c>
      <c r="I71" t="s">
        <v>28</v>
      </c>
      <c r="P71">
        <v>2037</v>
      </c>
      <c r="Q71" t="s">
        <v>214</v>
      </c>
      <c r="R71">
        <v>0.25779999999999997</v>
      </c>
      <c r="S71" t="s">
        <v>215</v>
      </c>
    </row>
    <row r="72" spans="8:19" x14ac:dyDescent="0.45">
      <c r="H72" t="s">
        <v>219</v>
      </c>
      <c r="I72" t="s">
        <v>29</v>
      </c>
      <c r="P72">
        <v>2037</v>
      </c>
      <c r="Q72" t="s">
        <v>216</v>
      </c>
      <c r="R72">
        <v>0.31186666666666668</v>
      </c>
      <c r="S72" t="s">
        <v>215</v>
      </c>
    </row>
    <row r="73" spans="8:19" x14ac:dyDescent="0.45">
      <c r="H73" t="s">
        <v>219</v>
      </c>
      <c r="I73" t="s">
        <v>30</v>
      </c>
      <c r="P73">
        <v>2037</v>
      </c>
      <c r="Q73" t="s">
        <v>217</v>
      </c>
      <c r="R73">
        <v>0.42786666666666662</v>
      </c>
      <c r="S73" t="s">
        <v>215</v>
      </c>
    </row>
    <row r="74" spans="8:19" x14ac:dyDescent="0.45">
      <c r="H74" t="s">
        <v>219</v>
      </c>
      <c r="I74" t="s">
        <v>31</v>
      </c>
      <c r="P74">
        <v>2037</v>
      </c>
      <c r="Q74" t="s">
        <v>218</v>
      </c>
      <c r="R74">
        <v>0.31909999999999999</v>
      </c>
      <c r="S74" t="s">
        <v>215</v>
      </c>
    </row>
    <row r="75" spans="8:19" x14ac:dyDescent="0.45">
      <c r="H75" t="s">
        <v>219</v>
      </c>
      <c r="I75" t="s">
        <v>32</v>
      </c>
      <c r="P75">
        <v>2038</v>
      </c>
      <c r="Q75" t="s">
        <v>214</v>
      </c>
      <c r="R75">
        <v>0.2653666666666667</v>
      </c>
      <c r="S75" t="s">
        <v>215</v>
      </c>
    </row>
    <row r="76" spans="8:19" x14ac:dyDescent="0.45">
      <c r="H76" t="s">
        <v>219</v>
      </c>
      <c r="I76" t="s">
        <v>33</v>
      </c>
      <c r="P76">
        <v>2038</v>
      </c>
      <c r="Q76" t="s">
        <v>216</v>
      </c>
      <c r="R76">
        <v>0.29273333333333335</v>
      </c>
      <c r="S76" t="s">
        <v>215</v>
      </c>
    </row>
    <row r="77" spans="8:19" x14ac:dyDescent="0.45">
      <c r="H77" t="s">
        <v>219</v>
      </c>
      <c r="I77" t="s">
        <v>34</v>
      </c>
      <c r="P77">
        <v>2038</v>
      </c>
      <c r="Q77" t="s">
        <v>217</v>
      </c>
      <c r="R77">
        <v>0.39230000000000004</v>
      </c>
      <c r="S77" t="s">
        <v>215</v>
      </c>
    </row>
    <row r="78" spans="8:19" x14ac:dyDescent="0.45">
      <c r="H78" t="s">
        <v>219</v>
      </c>
      <c r="I78" t="s">
        <v>35</v>
      </c>
      <c r="P78">
        <v>2038</v>
      </c>
      <c r="Q78" t="s">
        <v>218</v>
      </c>
      <c r="R78">
        <v>0.33790000000000003</v>
      </c>
      <c r="S78" t="s">
        <v>215</v>
      </c>
    </row>
    <row r="79" spans="8:19" x14ac:dyDescent="0.45">
      <c r="H79" t="s">
        <v>219</v>
      </c>
      <c r="I79" t="s">
        <v>36</v>
      </c>
      <c r="P79">
        <v>2039</v>
      </c>
      <c r="Q79" t="s">
        <v>214</v>
      </c>
      <c r="R79">
        <v>0.3076666666666667</v>
      </c>
      <c r="S79" t="s">
        <v>215</v>
      </c>
    </row>
    <row r="80" spans="8:19" x14ac:dyDescent="0.45">
      <c r="H80" t="s">
        <v>219</v>
      </c>
      <c r="I80" t="s">
        <v>37</v>
      </c>
      <c r="P80">
        <v>2039</v>
      </c>
      <c r="Q80" t="s">
        <v>216</v>
      </c>
      <c r="R80">
        <v>0.34496666666666664</v>
      </c>
      <c r="S80" t="s">
        <v>215</v>
      </c>
    </row>
    <row r="81" spans="8:19" x14ac:dyDescent="0.45">
      <c r="H81" t="s">
        <v>219</v>
      </c>
      <c r="I81" t="s">
        <v>38</v>
      </c>
      <c r="P81">
        <v>2039</v>
      </c>
      <c r="Q81" t="s">
        <v>217</v>
      </c>
      <c r="R81">
        <v>0.40443333333333337</v>
      </c>
      <c r="S81" t="s">
        <v>215</v>
      </c>
    </row>
    <row r="82" spans="8:19" x14ac:dyDescent="0.45">
      <c r="H82" t="s">
        <v>219</v>
      </c>
      <c r="I82" t="s">
        <v>39</v>
      </c>
      <c r="P82">
        <v>2039</v>
      </c>
      <c r="Q82" t="s">
        <v>218</v>
      </c>
      <c r="R82">
        <v>0.33466666666666667</v>
      </c>
      <c r="S82" t="s">
        <v>215</v>
      </c>
    </row>
    <row r="83" spans="8:19" x14ac:dyDescent="0.45">
      <c r="H83" t="s">
        <v>219</v>
      </c>
      <c r="I83" t="s">
        <v>40</v>
      </c>
      <c r="P83">
        <v>2040</v>
      </c>
      <c r="Q83" t="s">
        <v>214</v>
      </c>
      <c r="R83">
        <v>0.21866666666666668</v>
      </c>
      <c r="S83" t="s">
        <v>215</v>
      </c>
    </row>
    <row r="84" spans="8:19" x14ac:dyDescent="0.45">
      <c r="H84" t="s">
        <v>219</v>
      </c>
      <c r="I84" t="s">
        <v>41</v>
      </c>
      <c r="P84">
        <v>2040</v>
      </c>
      <c r="Q84" t="s">
        <v>216</v>
      </c>
      <c r="R84">
        <v>0.24679999999999999</v>
      </c>
      <c r="S84" t="s">
        <v>215</v>
      </c>
    </row>
    <row r="85" spans="8:19" x14ac:dyDescent="0.45">
      <c r="H85" t="s">
        <v>219</v>
      </c>
      <c r="I85" t="s">
        <v>42</v>
      </c>
      <c r="P85">
        <v>2040</v>
      </c>
      <c r="Q85" t="s">
        <v>217</v>
      </c>
      <c r="R85">
        <v>0.37246666666666667</v>
      </c>
      <c r="S85" t="s">
        <v>215</v>
      </c>
    </row>
    <row r="86" spans="8:19" x14ac:dyDescent="0.45">
      <c r="H86" t="s">
        <v>219</v>
      </c>
      <c r="I86" t="s">
        <v>43</v>
      </c>
      <c r="P86">
        <v>2040</v>
      </c>
      <c r="Q86" t="s">
        <v>218</v>
      </c>
      <c r="R86">
        <v>0.23256666666666667</v>
      </c>
      <c r="S86" t="s">
        <v>215</v>
      </c>
    </row>
    <row r="87" spans="8:19" x14ac:dyDescent="0.45">
      <c r="H87" t="s">
        <v>219</v>
      </c>
      <c r="I87" t="s">
        <v>44</v>
      </c>
      <c r="P87">
        <v>2041</v>
      </c>
      <c r="Q87" t="s">
        <v>214</v>
      </c>
      <c r="R87">
        <v>0.20566666666666666</v>
      </c>
      <c r="S87" t="s">
        <v>215</v>
      </c>
    </row>
    <row r="88" spans="8:19" x14ac:dyDescent="0.45">
      <c r="H88" t="s">
        <v>219</v>
      </c>
      <c r="I88" t="s">
        <v>45</v>
      </c>
      <c r="P88">
        <v>2041</v>
      </c>
      <c r="Q88" t="s">
        <v>216</v>
      </c>
      <c r="R88">
        <v>0.32386666666666664</v>
      </c>
      <c r="S88" t="s">
        <v>215</v>
      </c>
    </row>
    <row r="89" spans="8:19" x14ac:dyDescent="0.45">
      <c r="H89" t="s">
        <v>219</v>
      </c>
      <c r="I89" t="s">
        <v>46</v>
      </c>
      <c r="P89">
        <v>2041</v>
      </c>
      <c r="Q89" t="s">
        <v>217</v>
      </c>
      <c r="R89">
        <v>0.36223333333333335</v>
      </c>
      <c r="S89" t="s">
        <v>215</v>
      </c>
    </row>
    <row r="90" spans="8:19" x14ac:dyDescent="0.45">
      <c r="H90" t="s">
        <v>219</v>
      </c>
      <c r="I90" t="s">
        <v>47</v>
      </c>
      <c r="P90">
        <v>2041</v>
      </c>
      <c r="Q90" t="s">
        <v>218</v>
      </c>
      <c r="R90">
        <v>0.23469999999999999</v>
      </c>
      <c r="S90" t="s">
        <v>215</v>
      </c>
    </row>
    <row r="91" spans="8:19" x14ac:dyDescent="0.45">
      <c r="P91">
        <v>2042</v>
      </c>
      <c r="Q91" t="s">
        <v>214</v>
      </c>
      <c r="R91">
        <v>0.21693333333333331</v>
      </c>
      <c r="S91" t="s">
        <v>215</v>
      </c>
    </row>
    <row r="92" spans="8:19" x14ac:dyDescent="0.45">
      <c r="P92">
        <v>2042</v>
      </c>
      <c r="Q92" t="s">
        <v>216</v>
      </c>
      <c r="R92">
        <v>0.28446666666666665</v>
      </c>
      <c r="S92" t="s">
        <v>215</v>
      </c>
    </row>
    <row r="93" spans="8:19" x14ac:dyDescent="0.45">
      <c r="P93">
        <v>2042</v>
      </c>
      <c r="Q93" t="s">
        <v>217</v>
      </c>
      <c r="R93">
        <v>0.35990000000000005</v>
      </c>
      <c r="S93" t="s">
        <v>215</v>
      </c>
    </row>
    <row r="94" spans="8:19" x14ac:dyDescent="0.45">
      <c r="P94">
        <v>2042</v>
      </c>
      <c r="Q94" t="s">
        <v>218</v>
      </c>
      <c r="R94">
        <v>0.25876666666666664</v>
      </c>
      <c r="S94" t="s">
        <v>215</v>
      </c>
    </row>
    <row r="95" spans="8:19" x14ac:dyDescent="0.45">
      <c r="P95">
        <v>2043</v>
      </c>
      <c r="Q95" t="s">
        <v>214</v>
      </c>
      <c r="R95">
        <v>0.25406666666666666</v>
      </c>
      <c r="S95" t="s">
        <v>215</v>
      </c>
    </row>
    <row r="96" spans="8:19" x14ac:dyDescent="0.45">
      <c r="P96">
        <v>2043</v>
      </c>
      <c r="Q96" t="s">
        <v>216</v>
      </c>
      <c r="R96">
        <v>0.27916666666666662</v>
      </c>
      <c r="S96" t="s">
        <v>215</v>
      </c>
    </row>
    <row r="97" spans="16:19" x14ac:dyDescent="0.45">
      <c r="P97">
        <v>2043</v>
      </c>
      <c r="Q97" t="s">
        <v>217</v>
      </c>
      <c r="R97">
        <v>0.36166666666666664</v>
      </c>
      <c r="S97" t="s">
        <v>215</v>
      </c>
    </row>
    <row r="98" spans="16:19" x14ac:dyDescent="0.45">
      <c r="P98">
        <v>2043</v>
      </c>
      <c r="Q98" t="s">
        <v>218</v>
      </c>
      <c r="R98">
        <v>0.23503333333333332</v>
      </c>
      <c r="S98" t="s">
        <v>215</v>
      </c>
    </row>
    <row r="99" spans="16:19" x14ac:dyDescent="0.45">
      <c r="P99">
        <v>2044</v>
      </c>
      <c r="Q99" t="s">
        <v>214</v>
      </c>
      <c r="R99">
        <v>0.2127</v>
      </c>
      <c r="S99" t="s">
        <v>215</v>
      </c>
    </row>
    <row r="100" spans="16:19" x14ac:dyDescent="0.45">
      <c r="P100">
        <v>2044</v>
      </c>
      <c r="Q100" t="s">
        <v>216</v>
      </c>
      <c r="R100">
        <v>0.2432</v>
      </c>
      <c r="S100" t="s">
        <v>215</v>
      </c>
    </row>
    <row r="101" spans="16:19" x14ac:dyDescent="0.45">
      <c r="P101">
        <v>2044</v>
      </c>
      <c r="Q101" t="s">
        <v>217</v>
      </c>
      <c r="R101">
        <v>0.3687333333333333</v>
      </c>
      <c r="S101" t="s">
        <v>215</v>
      </c>
    </row>
    <row r="102" spans="16:19" x14ac:dyDescent="0.45">
      <c r="P102">
        <v>2044</v>
      </c>
      <c r="Q102" t="s">
        <v>218</v>
      </c>
      <c r="R102">
        <v>0.2288</v>
      </c>
      <c r="S102" t="s">
        <v>215</v>
      </c>
    </row>
    <row r="103" spans="16:19" x14ac:dyDescent="0.45">
      <c r="P103">
        <v>2045</v>
      </c>
      <c r="Q103" t="s">
        <v>214</v>
      </c>
      <c r="R103">
        <v>0.21483333333333335</v>
      </c>
      <c r="S103" t="s">
        <v>215</v>
      </c>
    </row>
    <row r="104" spans="16:19" x14ac:dyDescent="0.45">
      <c r="P104">
        <v>2045</v>
      </c>
      <c r="Q104" t="s">
        <v>216</v>
      </c>
      <c r="R104">
        <v>0.29273333333333335</v>
      </c>
      <c r="S104" t="s">
        <v>215</v>
      </c>
    </row>
    <row r="105" spans="16:19" x14ac:dyDescent="0.45">
      <c r="P105">
        <v>2045</v>
      </c>
      <c r="Q105" t="s">
        <v>217</v>
      </c>
      <c r="R105">
        <v>0.3318666666666667</v>
      </c>
      <c r="S105" t="s">
        <v>215</v>
      </c>
    </row>
    <row r="106" spans="16:19" x14ac:dyDescent="0.45">
      <c r="P106">
        <v>2045</v>
      </c>
      <c r="Q106" t="s">
        <v>218</v>
      </c>
      <c r="R106">
        <v>0.31143333333333328</v>
      </c>
      <c r="S106" t="s">
        <v>215</v>
      </c>
    </row>
    <row r="107" spans="16:19" x14ac:dyDescent="0.45">
      <c r="P107">
        <v>2046</v>
      </c>
      <c r="Q107" t="s">
        <v>214</v>
      </c>
      <c r="R107">
        <v>0.24086666666666667</v>
      </c>
      <c r="S107" t="s">
        <v>215</v>
      </c>
    </row>
    <row r="108" spans="16:19" x14ac:dyDescent="0.45">
      <c r="P108">
        <v>2046</v>
      </c>
      <c r="Q108" t="s">
        <v>216</v>
      </c>
      <c r="R108">
        <v>0.34546666666666664</v>
      </c>
      <c r="S108" t="s">
        <v>215</v>
      </c>
    </row>
    <row r="109" spans="16:19" x14ac:dyDescent="0.45">
      <c r="P109">
        <v>2046</v>
      </c>
      <c r="Q109" t="s">
        <v>217</v>
      </c>
      <c r="R109">
        <v>0.43186666666666668</v>
      </c>
      <c r="S109" t="s">
        <v>215</v>
      </c>
    </row>
    <row r="110" spans="16:19" x14ac:dyDescent="0.45">
      <c r="P110">
        <v>2046</v>
      </c>
      <c r="Q110" t="s">
        <v>218</v>
      </c>
      <c r="R110">
        <v>0.35413333333333336</v>
      </c>
      <c r="S110" t="s">
        <v>215</v>
      </c>
    </row>
    <row r="111" spans="16:19" x14ac:dyDescent="0.45">
      <c r="P111">
        <v>2047</v>
      </c>
      <c r="Q111" t="s">
        <v>214</v>
      </c>
      <c r="R111">
        <v>0.21313333333333331</v>
      </c>
      <c r="S111" t="s">
        <v>215</v>
      </c>
    </row>
    <row r="112" spans="16:19" x14ac:dyDescent="0.45">
      <c r="P112">
        <v>2047</v>
      </c>
      <c r="Q112" t="s">
        <v>216</v>
      </c>
      <c r="R112">
        <v>0.20323333333333335</v>
      </c>
      <c r="S112" t="s">
        <v>215</v>
      </c>
    </row>
    <row r="113" spans="16:19" x14ac:dyDescent="0.45">
      <c r="P113">
        <v>2047</v>
      </c>
      <c r="Q113" t="s">
        <v>217</v>
      </c>
      <c r="R113">
        <v>0.39480000000000004</v>
      </c>
      <c r="S113" t="s">
        <v>215</v>
      </c>
    </row>
    <row r="114" spans="16:19" x14ac:dyDescent="0.45">
      <c r="P114">
        <v>2047</v>
      </c>
      <c r="Q114" t="s">
        <v>218</v>
      </c>
      <c r="R114">
        <v>0.30563333333333337</v>
      </c>
      <c r="S114" t="s">
        <v>215</v>
      </c>
    </row>
    <row r="115" spans="16:19" x14ac:dyDescent="0.45">
      <c r="P115">
        <v>2048</v>
      </c>
      <c r="Q115" t="s">
        <v>214</v>
      </c>
      <c r="R115">
        <v>0.25066666666666665</v>
      </c>
      <c r="S115" t="s">
        <v>215</v>
      </c>
    </row>
    <row r="116" spans="16:19" x14ac:dyDescent="0.45">
      <c r="P116">
        <v>2048</v>
      </c>
      <c r="Q116" t="s">
        <v>216</v>
      </c>
      <c r="R116">
        <v>0.2760333333333333</v>
      </c>
      <c r="S116" t="s">
        <v>215</v>
      </c>
    </row>
    <row r="117" spans="16:19" x14ac:dyDescent="0.45">
      <c r="P117">
        <v>2048</v>
      </c>
      <c r="Q117" t="s">
        <v>217</v>
      </c>
      <c r="R117">
        <v>0.37880000000000003</v>
      </c>
      <c r="S117" t="s">
        <v>215</v>
      </c>
    </row>
    <row r="118" spans="16:19" x14ac:dyDescent="0.45">
      <c r="P118">
        <v>2048</v>
      </c>
      <c r="Q118" t="s">
        <v>218</v>
      </c>
      <c r="R118">
        <v>0.27119999999999994</v>
      </c>
      <c r="S118" t="s">
        <v>215</v>
      </c>
    </row>
    <row r="119" spans="16:19" x14ac:dyDescent="0.45">
      <c r="P119">
        <v>2049</v>
      </c>
      <c r="Q119" t="s">
        <v>214</v>
      </c>
      <c r="R119">
        <v>0.24893333333333331</v>
      </c>
      <c r="S119" t="s">
        <v>215</v>
      </c>
    </row>
    <row r="120" spans="16:19" x14ac:dyDescent="0.45">
      <c r="P120">
        <v>2049</v>
      </c>
      <c r="Q120" t="s">
        <v>216</v>
      </c>
      <c r="R120">
        <v>0.30496666666666666</v>
      </c>
      <c r="S120" t="s">
        <v>215</v>
      </c>
    </row>
    <row r="121" spans="16:19" x14ac:dyDescent="0.45">
      <c r="P121">
        <v>2049</v>
      </c>
      <c r="Q121" t="s">
        <v>217</v>
      </c>
      <c r="R121">
        <v>0.31980000000000003</v>
      </c>
      <c r="S121" t="s">
        <v>215</v>
      </c>
    </row>
    <row r="122" spans="16:19" x14ac:dyDescent="0.45">
      <c r="P122">
        <v>2049</v>
      </c>
      <c r="Q122" t="s">
        <v>218</v>
      </c>
      <c r="R122">
        <v>0.32383333333333336</v>
      </c>
      <c r="S122" t="s">
        <v>215</v>
      </c>
    </row>
    <row r="123" spans="16:19" x14ac:dyDescent="0.45">
      <c r="P123">
        <v>2050</v>
      </c>
      <c r="Q123" t="s">
        <v>214</v>
      </c>
      <c r="R123">
        <v>0.25406666666666666</v>
      </c>
      <c r="S123" t="s">
        <v>215</v>
      </c>
    </row>
    <row r="124" spans="16:19" x14ac:dyDescent="0.45">
      <c r="P124">
        <v>2050</v>
      </c>
      <c r="Q124" t="s">
        <v>216</v>
      </c>
      <c r="R124">
        <v>0.26713333333333328</v>
      </c>
      <c r="S124" t="s">
        <v>215</v>
      </c>
    </row>
    <row r="125" spans="16:19" x14ac:dyDescent="0.45">
      <c r="P125">
        <v>2050</v>
      </c>
      <c r="Q125" t="s">
        <v>217</v>
      </c>
      <c r="R125">
        <v>0.40696666666666664</v>
      </c>
      <c r="S125" t="s">
        <v>215</v>
      </c>
    </row>
    <row r="126" spans="16:19" x14ac:dyDescent="0.45">
      <c r="P126">
        <v>2050</v>
      </c>
      <c r="Q126" t="s">
        <v>218</v>
      </c>
      <c r="R126">
        <v>0.25330000000000003</v>
      </c>
      <c r="S126" t="s">
        <v>215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E64E-E365-44DD-A1AF-ADCA564DA9D2}">
  <dimension ref="B9:O10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region=ESP")</f>
        <v>~TFM_DINS-AT: region=ESP</v>
      </c>
      <c r="G9" t="str">
        <f>IF(A11="x","DeActivated","~TFM_DINS-AT: region=ESP")</f>
        <v>~TFM_DINS-AT: region=ESP</v>
      </c>
      <c r="L9" t="str">
        <f>IF(A11="x","DeActivated","~TFM_DINS-AT: region=ESP")</f>
        <v>~TFM_DINS-AT: region=ESP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680</v>
      </c>
      <c r="C11" t="s">
        <v>5</v>
      </c>
      <c r="D11">
        <v>0</v>
      </c>
      <c r="E11" t="s">
        <v>6</v>
      </c>
      <c r="G11" t="s">
        <v>681</v>
      </c>
      <c r="H11" t="s">
        <v>5</v>
      </c>
      <c r="I11">
        <v>7.1043156241622732E-2</v>
      </c>
      <c r="J11" t="s">
        <v>6</v>
      </c>
      <c r="L11" t="s">
        <v>682</v>
      </c>
      <c r="M11" t="s">
        <v>5</v>
      </c>
      <c r="N11">
        <v>7.8523611514217911E-2</v>
      </c>
      <c r="O11" t="s">
        <v>6</v>
      </c>
    </row>
    <row r="12" spans="2:15" x14ac:dyDescent="0.45">
      <c r="B12" t="s">
        <v>680</v>
      </c>
      <c r="C12" t="s">
        <v>9</v>
      </c>
      <c r="D12">
        <v>0</v>
      </c>
      <c r="E12" t="s">
        <v>6</v>
      </c>
      <c r="G12" t="s">
        <v>681</v>
      </c>
      <c r="H12" t="s">
        <v>9</v>
      </c>
      <c r="I12">
        <v>2.8479665966217451E-2</v>
      </c>
      <c r="J12" t="s">
        <v>6</v>
      </c>
      <c r="L12" t="s">
        <v>682</v>
      </c>
      <c r="M12" t="s">
        <v>9</v>
      </c>
      <c r="N12">
        <v>3.1177691608688413E-2</v>
      </c>
      <c r="O12" t="s">
        <v>6</v>
      </c>
    </row>
    <row r="13" spans="2:15" x14ac:dyDescent="0.45">
      <c r="B13" t="s">
        <v>680</v>
      </c>
      <c r="C13" t="s">
        <v>10</v>
      </c>
      <c r="D13">
        <v>0</v>
      </c>
      <c r="E13" t="s">
        <v>6</v>
      </c>
      <c r="G13" t="s">
        <v>681</v>
      </c>
      <c r="H13" t="s">
        <v>10</v>
      </c>
      <c r="I13">
        <v>2.7209183264087517E-2</v>
      </c>
      <c r="J13" t="s">
        <v>6</v>
      </c>
      <c r="L13" t="s">
        <v>682</v>
      </c>
      <c r="M13" t="s">
        <v>10</v>
      </c>
      <c r="N13">
        <v>3.0948884878967488E-2</v>
      </c>
      <c r="O13" t="s">
        <v>6</v>
      </c>
    </row>
    <row r="14" spans="2:15" x14ac:dyDescent="0.45">
      <c r="B14" t="s">
        <v>680</v>
      </c>
      <c r="C14" t="s">
        <v>11</v>
      </c>
      <c r="D14">
        <v>9.9324120758900666E-3</v>
      </c>
      <c r="E14" t="s">
        <v>6</v>
      </c>
      <c r="G14" t="s">
        <v>681</v>
      </c>
      <c r="H14" t="s">
        <v>11</v>
      </c>
      <c r="I14">
        <v>2.6154002605813884E-2</v>
      </c>
      <c r="J14" t="s">
        <v>6</v>
      </c>
      <c r="L14" t="s">
        <v>682</v>
      </c>
      <c r="M14" t="s">
        <v>11</v>
      </c>
      <c r="N14">
        <v>3.0864975422667543E-2</v>
      </c>
      <c r="O14" t="s">
        <v>6</v>
      </c>
    </row>
    <row r="15" spans="2:15" x14ac:dyDescent="0.45">
      <c r="B15" t="s">
        <v>680</v>
      </c>
      <c r="C15" t="s">
        <v>12</v>
      </c>
      <c r="D15">
        <v>4.3035414983468807E-2</v>
      </c>
      <c r="E15" t="s">
        <v>6</v>
      </c>
      <c r="G15" t="s">
        <v>681</v>
      </c>
      <c r="H15" t="s">
        <v>12</v>
      </c>
      <c r="I15">
        <v>2.6163487435951135E-2</v>
      </c>
      <c r="J15" t="s">
        <v>6</v>
      </c>
      <c r="L15" t="s">
        <v>682</v>
      </c>
      <c r="M15" t="s">
        <v>12</v>
      </c>
      <c r="N15">
        <v>3.0564704283984438E-2</v>
      </c>
      <c r="O15" t="s">
        <v>6</v>
      </c>
    </row>
    <row r="16" spans="2:15" x14ac:dyDescent="0.45">
      <c r="B16" t="s">
        <v>680</v>
      </c>
      <c r="C16" t="s">
        <v>13</v>
      </c>
      <c r="D16">
        <v>5.8256485299010528E-2</v>
      </c>
      <c r="E16" t="s">
        <v>6</v>
      </c>
      <c r="G16" t="s">
        <v>681</v>
      </c>
      <c r="H16" t="s">
        <v>13</v>
      </c>
      <c r="I16">
        <v>3.0412824524895084E-2</v>
      </c>
      <c r="J16" t="s">
        <v>6</v>
      </c>
      <c r="L16" t="s">
        <v>682</v>
      </c>
      <c r="M16" t="s">
        <v>13</v>
      </c>
      <c r="N16">
        <v>2.9634210179416157E-2</v>
      </c>
      <c r="O16" t="s">
        <v>6</v>
      </c>
    </row>
    <row r="17" spans="2:15" x14ac:dyDescent="0.45">
      <c r="B17" t="s">
        <v>680</v>
      </c>
      <c r="C17" t="s">
        <v>14</v>
      </c>
      <c r="D17">
        <v>4.7692632339431912E-2</v>
      </c>
      <c r="E17" t="s">
        <v>6</v>
      </c>
      <c r="G17" t="s">
        <v>681</v>
      </c>
      <c r="H17" t="s">
        <v>14</v>
      </c>
      <c r="I17">
        <v>3.3158254704070078E-2</v>
      </c>
      <c r="J17" t="s">
        <v>6</v>
      </c>
      <c r="L17" t="s">
        <v>682</v>
      </c>
      <c r="M17" t="s">
        <v>14</v>
      </c>
      <c r="N17">
        <v>2.8404951106508404E-2</v>
      </c>
      <c r="O17" t="s">
        <v>6</v>
      </c>
    </row>
    <row r="18" spans="2:15" x14ac:dyDescent="0.45">
      <c r="B18" t="s">
        <v>680</v>
      </c>
      <c r="C18" t="s">
        <v>15</v>
      </c>
      <c r="D18">
        <v>1.7027912869606011E-2</v>
      </c>
      <c r="E18" t="s">
        <v>6</v>
      </c>
      <c r="G18" t="s">
        <v>681</v>
      </c>
      <c r="H18" t="s">
        <v>15</v>
      </c>
      <c r="I18">
        <v>3.1511439940102415E-2</v>
      </c>
      <c r="J18" t="s">
        <v>6</v>
      </c>
      <c r="L18" t="s">
        <v>682</v>
      </c>
      <c r="M18" t="s">
        <v>15</v>
      </c>
      <c r="N18">
        <v>2.8840942995078334E-2</v>
      </c>
      <c r="O18" t="s">
        <v>6</v>
      </c>
    </row>
    <row r="19" spans="2:15" x14ac:dyDescent="0.45">
      <c r="B19" t="s">
        <v>680</v>
      </c>
      <c r="C19" t="s">
        <v>16</v>
      </c>
      <c r="D19">
        <v>2.5253894902730858E-4</v>
      </c>
      <c r="E19" t="s">
        <v>6</v>
      </c>
      <c r="G19" t="s">
        <v>681</v>
      </c>
      <c r="H19" t="s">
        <v>16</v>
      </c>
      <c r="I19">
        <v>2.8841483188011618E-2</v>
      </c>
      <c r="J19" t="s">
        <v>6</v>
      </c>
      <c r="L19" t="s">
        <v>682</v>
      </c>
      <c r="M19" t="s">
        <v>16</v>
      </c>
      <c r="N19">
        <v>3.0212794568364072E-2</v>
      </c>
      <c r="O19" t="s">
        <v>6</v>
      </c>
    </row>
    <row r="20" spans="2:15" x14ac:dyDescent="0.45">
      <c r="B20" t="s">
        <v>680</v>
      </c>
      <c r="C20" t="s">
        <v>17</v>
      </c>
      <c r="D20">
        <v>0</v>
      </c>
      <c r="E20" t="s">
        <v>6</v>
      </c>
      <c r="G20" t="s">
        <v>681</v>
      </c>
      <c r="H20" t="s">
        <v>17</v>
      </c>
      <c r="I20">
        <v>4.115264696913673E-2</v>
      </c>
      <c r="J20" t="s">
        <v>6</v>
      </c>
      <c r="L20" t="s">
        <v>682</v>
      </c>
      <c r="M20" t="s">
        <v>17</v>
      </c>
      <c r="N20">
        <v>4.6507479170477643E-2</v>
      </c>
      <c r="O20" t="s">
        <v>6</v>
      </c>
    </row>
    <row r="21" spans="2:15" x14ac:dyDescent="0.45">
      <c r="B21" t="s">
        <v>680</v>
      </c>
      <c r="C21" t="s">
        <v>18</v>
      </c>
      <c r="D21">
        <v>0</v>
      </c>
      <c r="E21" t="s">
        <v>6</v>
      </c>
      <c r="G21" t="s">
        <v>681</v>
      </c>
      <c r="H21" t="s">
        <v>18</v>
      </c>
      <c r="I21">
        <v>5.7096727237551943E-2</v>
      </c>
      <c r="J21" t="s">
        <v>6</v>
      </c>
      <c r="L21" t="s">
        <v>682</v>
      </c>
      <c r="M21" t="s">
        <v>18</v>
      </c>
      <c r="N21">
        <v>6.4344547339668004E-2</v>
      </c>
      <c r="O21" t="s">
        <v>6</v>
      </c>
    </row>
    <row r="22" spans="2:15" x14ac:dyDescent="0.45">
      <c r="B22" t="s">
        <v>680</v>
      </c>
      <c r="C22" t="s">
        <v>19</v>
      </c>
      <c r="D22">
        <v>0</v>
      </c>
      <c r="E22" t="s">
        <v>6</v>
      </c>
      <c r="G22" t="s">
        <v>681</v>
      </c>
      <c r="H22" t="s">
        <v>19</v>
      </c>
      <c r="I22">
        <v>2.085046883516764E-2</v>
      </c>
      <c r="J22" t="s">
        <v>6</v>
      </c>
      <c r="L22" t="s">
        <v>682</v>
      </c>
      <c r="M22" t="s">
        <v>19</v>
      </c>
      <c r="N22">
        <v>2.4913773274273104E-2</v>
      </c>
      <c r="O22" t="s">
        <v>6</v>
      </c>
    </row>
    <row r="23" spans="2:15" x14ac:dyDescent="0.45">
      <c r="B23" t="s">
        <v>680</v>
      </c>
      <c r="C23" t="s">
        <v>20</v>
      </c>
      <c r="D23">
        <v>3.6815425634219869E-3</v>
      </c>
      <c r="E23" t="s">
        <v>6</v>
      </c>
      <c r="G23" t="s">
        <v>681</v>
      </c>
      <c r="H23" t="s">
        <v>20</v>
      </c>
      <c r="I23">
        <v>2.007528258974418E-2</v>
      </c>
      <c r="J23" t="s">
        <v>6</v>
      </c>
      <c r="L23" t="s">
        <v>682</v>
      </c>
      <c r="M23" t="s">
        <v>20</v>
      </c>
      <c r="N23">
        <v>2.4157391966564187E-2</v>
      </c>
      <c r="O23" t="s">
        <v>6</v>
      </c>
    </row>
    <row r="24" spans="2:15" x14ac:dyDescent="0.45">
      <c r="B24" t="s">
        <v>680</v>
      </c>
      <c r="C24" t="s">
        <v>21</v>
      </c>
      <c r="D24">
        <v>3.0865383750747058E-2</v>
      </c>
      <c r="E24" t="s">
        <v>6</v>
      </c>
      <c r="G24" t="s">
        <v>681</v>
      </c>
      <c r="H24" t="s">
        <v>21</v>
      </c>
      <c r="I24">
        <v>2.0931689696385869E-2</v>
      </c>
      <c r="J24" t="s">
        <v>6</v>
      </c>
      <c r="L24" t="s">
        <v>682</v>
      </c>
      <c r="M24" t="s">
        <v>21</v>
      </c>
      <c r="N24">
        <v>2.2671867681168318E-2</v>
      </c>
      <c r="O24" t="s">
        <v>6</v>
      </c>
    </row>
    <row r="25" spans="2:15" x14ac:dyDescent="0.45">
      <c r="B25" t="s">
        <v>680</v>
      </c>
      <c r="C25" t="s">
        <v>22</v>
      </c>
      <c r="D25">
        <v>6.0146618063932122E-2</v>
      </c>
      <c r="E25" t="s">
        <v>6</v>
      </c>
      <c r="G25" t="s">
        <v>681</v>
      </c>
      <c r="H25" t="s">
        <v>22</v>
      </c>
      <c r="I25">
        <v>2.4322977400794876E-2</v>
      </c>
      <c r="J25" t="s">
        <v>6</v>
      </c>
      <c r="L25" t="s">
        <v>682</v>
      </c>
      <c r="M25" t="s">
        <v>22</v>
      </c>
      <c r="N25">
        <v>2.3239916439172753E-2</v>
      </c>
      <c r="O25" t="s">
        <v>6</v>
      </c>
    </row>
    <row r="26" spans="2:15" x14ac:dyDescent="0.45">
      <c r="B26" t="s">
        <v>680</v>
      </c>
      <c r="C26" t="s">
        <v>23</v>
      </c>
      <c r="D26">
        <v>7.2936641712751271E-2</v>
      </c>
      <c r="E26" t="s">
        <v>6</v>
      </c>
      <c r="G26" t="s">
        <v>681</v>
      </c>
      <c r="H26" t="s">
        <v>23</v>
      </c>
      <c r="I26">
        <v>3.0284118668374556E-2</v>
      </c>
      <c r="J26" t="s">
        <v>6</v>
      </c>
      <c r="L26" t="s">
        <v>682</v>
      </c>
      <c r="M26" t="s">
        <v>23</v>
      </c>
      <c r="N26">
        <v>2.7185422646077789E-2</v>
      </c>
      <c r="O26" t="s">
        <v>6</v>
      </c>
    </row>
    <row r="27" spans="2:15" x14ac:dyDescent="0.45">
      <c r="B27" t="s">
        <v>680</v>
      </c>
      <c r="C27" t="s">
        <v>24</v>
      </c>
      <c r="D27">
        <v>6.3146323923957082E-2</v>
      </c>
      <c r="E27" t="s">
        <v>6</v>
      </c>
      <c r="G27" t="s">
        <v>681</v>
      </c>
      <c r="H27" t="s">
        <v>24</v>
      </c>
      <c r="I27">
        <v>3.3772069465719055E-2</v>
      </c>
      <c r="J27" t="s">
        <v>6</v>
      </c>
      <c r="L27" t="s">
        <v>682</v>
      </c>
      <c r="M27" t="s">
        <v>24</v>
      </c>
      <c r="N27">
        <v>3.0191571271466319E-2</v>
      </c>
      <c r="O27" t="s">
        <v>6</v>
      </c>
    </row>
    <row r="28" spans="2:15" x14ac:dyDescent="0.45">
      <c r="B28" t="s">
        <v>680</v>
      </c>
      <c r="C28" t="s">
        <v>25</v>
      </c>
      <c r="D28">
        <v>3.5568845627955051E-2</v>
      </c>
      <c r="E28" t="s">
        <v>6</v>
      </c>
      <c r="G28" t="s">
        <v>681</v>
      </c>
      <c r="H28" t="s">
        <v>25</v>
      </c>
      <c r="I28">
        <v>3.3664189566316248E-2</v>
      </c>
      <c r="J28" t="s">
        <v>6</v>
      </c>
      <c r="L28" t="s">
        <v>682</v>
      </c>
      <c r="M28" t="s">
        <v>25</v>
      </c>
      <c r="N28">
        <v>3.2103566888709613E-2</v>
      </c>
      <c r="O28" t="s">
        <v>6</v>
      </c>
    </row>
    <row r="29" spans="2:15" x14ac:dyDescent="0.45">
      <c r="B29" t="s">
        <v>680</v>
      </c>
      <c r="C29" t="s">
        <v>26</v>
      </c>
      <c r="D29">
        <v>5.9357749570108581E-3</v>
      </c>
      <c r="E29" t="s">
        <v>6</v>
      </c>
      <c r="G29" t="s">
        <v>681</v>
      </c>
      <c r="H29" t="s">
        <v>26</v>
      </c>
      <c r="I29">
        <v>2.9823916018617683E-2</v>
      </c>
      <c r="J29" t="s">
        <v>6</v>
      </c>
      <c r="L29" t="s">
        <v>682</v>
      </c>
      <c r="M29" t="s">
        <v>26</v>
      </c>
      <c r="N29">
        <v>3.1149132217641411E-2</v>
      </c>
      <c r="O29" t="s">
        <v>6</v>
      </c>
    </row>
    <row r="30" spans="2:15" x14ac:dyDescent="0.45">
      <c r="B30" t="s">
        <v>680</v>
      </c>
      <c r="C30" t="s">
        <v>27</v>
      </c>
      <c r="D30">
        <v>7.6270759415393647E-9</v>
      </c>
      <c r="E30" t="s">
        <v>6</v>
      </c>
      <c r="G30" t="s">
        <v>681</v>
      </c>
      <c r="H30" t="s">
        <v>27</v>
      </c>
      <c r="I30">
        <v>3.787340894388224E-2</v>
      </c>
      <c r="J30" t="s">
        <v>6</v>
      </c>
      <c r="L30" t="s">
        <v>682</v>
      </c>
      <c r="M30" t="s">
        <v>27</v>
      </c>
      <c r="N30">
        <v>4.1442299737456528E-2</v>
      </c>
      <c r="O30" t="s">
        <v>6</v>
      </c>
    </row>
    <row r="31" spans="2:15" x14ac:dyDescent="0.45">
      <c r="B31" t="s">
        <v>680</v>
      </c>
      <c r="C31" t="s">
        <v>28</v>
      </c>
      <c r="D31">
        <v>0</v>
      </c>
      <c r="E31" t="s">
        <v>6</v>
      </c>
      <c r="G31" t="s">
        <v>681</v>
      </c>
      <c r="H31" t="s">
        <v>28</v>
      </c>
      <c r="I31">
        <v>3.12648535476465E-2</v>
      </c>
      <c r="J31" t="s">
        <v>6</v>
      </c>
      <c r="L31" t="s">
        <v>682</v>
      </c>
      <c r="M31" t="s">
        <v>28</v>
      </c>
      <c r="N31">
        <v>2.1115871572892003E-2</v>
      </c>
      <c r="O31" t="s">
        <v>6</v>
      </c>
    </row>
    <row r="32" spans="2:15" x14ac:dyDescent="0.45">
      <c r="B32" t="s">
        <v>680</v>
      </c>
      <c r="C32" t="s">
        <v>29</v>
      </c>
      <c r="D32">
        <v>0</v>
      </c>
      <c r="E32" t="s">
        <v>6</v>
      </c>
      <c r="G32" t="s">
        <v>681</v>
      </c>
      <c r="H32" t="s">
        <v>29</v>
      </c>
      <c r="I32">
        <v>1.1799763048837134E-2</v>
      </c>
      <c r="J32" t="s">
        <v>6</v>
      </c>
      <c r="L32" t="s">
        <v>682</v>
      </c>
      <c r="M32" t="s">
        <v>29</v>
      </c>
      <c r="N32">
        <v>1.0174738956702341E-2</v>
      </c>
      <c r="O32" t="s">
        <v>6</v>
      </c>
    </row>
    <row r="33" spans="2:15" x14ac:dyDescent="0.45">
      <c r="B33" t="s">
        <v>680</v>
      </c>
      <c r="C33" t="s">
        <v>30</v>
      </c>
      <c r="D33">
        <v>6.7629551920456877E-3</v>
      </c>
      <c r="E33" t="s">
        <v>6</v>
      </c>
      <c r="G33" t="s">
        <v>681</v>
      </c>
      <c r="H33" t="s">
        <v>30</v>
      </c>
      <c r="I33">
        <v>1.2016882245021747E-2</v>
      </c>
      <c r="J33" t="s">
        <v>6</v>
      </c>
      <c r="L33" t="s">
        <v>682</v>
      </c>
      <c r="M33" t="s">
        <v>30</v>
      </c>
      <c r="N33">
        <v>1.0344375794357241E-2</v>
      </c>
      <c r="O33" t="s">
        <v>6</v>
      </c>
    </row>
    <row r="34" spans="2:15" x14ac:dyDescent="0.45">
      <c r="B34" t="s">
        <v>680</v>
      </c>
      <c r="C34" t="s">
        <v>31</v>
      </c>
      <c r="D34">
        <v>4.0792826937387845E-2</v>
      </c>
      <c r="E34" t="s">
        <v>6</v>
      </c>
      <c r="G34" t="s">
        <v>681</v>
      </c>
      <c r="H34" t="s">
        <v>31</v>
      </c>
      <c r="I34">
        <v>1.3484859443199123E-2</v>
      </c>
      <c r="J34" t="s">
        <v>6</v>
      </c>
      <c r="L34" t="s">
        <v>682</v>
      </c>
      <c r="M34" t="s">
        <v>31</v>
      </c>
      <c r="N34">
        <v>9.2297660726288009E-3</v>
      </c>
      <c r="O34" t="s">
        <v>6</v>
      </c>
    </row>
    <row r="35" spans="2:15" x14ac:dyDescent="0.45">
      <c r="B35" t="s">
        <v>680</v>
      </c>
      <c r="C35" t="s">
        <v>32</v>
      </c>
      <c r="D35">
        <v>7.2115549034524565E-2</v>
      </c>
      <c r="E35" t="s">
        <v>6</v>
      </c>
      <c r="G35" t="s">
        <v>681</v>
      </c>
      <c r="H35" t="s">
        <v>32</v>
      </c>
      <c r="I35">
        <v>1.5189732812690549E-2</v>
      </c>
      <c r="J35" t="s">
        <v>6</v>
      </c>
      <c r="L35" t="s">
        <v>682</v>
      </c>
      <c r="M35" t="s">
        <v>32</v>
      </c>
      <c r="N35">
        <v>8.8594063065657001E-3</v>
      </c>
      <c r="O35" t="s">
        <v>6</v>
      </c>
    </row>
    <row r="36" spans="2:15" x14ac:dyDescent="0.45">
      <c r="B36" t="s">
        <v>680</v>
      </c>
      <c r="C36" t="s">
        <v>33</v>
      </c>
      <c r="D36">
        <v>8.3349861377064141E-2</v>
      </c>
      <c r="E36" t="s">
        <v>6</v>
      </c>
      <c r="G36" t="s">
        <v>681</v>
      </c>
      <c r="H36" t="s">
        <v>33</v>
      </c>
      <c r="I36">
        <v>1.8063063391529785E-2</v>
      </c>
      <c r="J36" t="s">
        <v>6</v>
      </c>
      <c r="L36" t="s">
        <v>682</v>
      </c>
      <c r="M36" t="s">
        <v>33</v>
      </c>
      <c r="N36">
        <v>1.046125792766784E-2</v>
      </c>
      <c r="O36" t="s">
        <v>6</v>
      </c>
    </row>
    <row r="37" spans="2:15" x14ac:dyDescent="0.45">
      <c r="B37" t="s">
        <v>680</v>
      </c>
      <c r="C37" t="s">
        <v>34</v>
      </c>
      <c r="D37">
        <v>7.384111185345861E-2</v>
      </c>
      <c r="E37" t="s">
        <v>6</v>
      </c>
      <c r="G37" t="s">
        <v>681</v>
      </c>
      <c r="H37" t="s">
        <v>34</v>
      </c>
      <c r="I37">
        <v>1.8063088398029694E-2</v>
      </c>
      <c r="J37" t="s">
        <v>6</v>
      </c>
      <c r="L37" t="s">
        <v>682</v>
      </c>
      <c r="M37" t="s">
        <v>34</v>
      </c>
      <c r="N37">
        <v>1.2095277834490509E-2</v>
      </c>
      <c r="O37" t="s">
        <v>6</v>
      </c>
    </row>
    <row r="38" spans="2:15" x14ac:dyDescent="0.45">
      <c r="B38" t="s">
        <v>680</v>
      </c>
      <c r="C38" t="s">
        <v>35</v>
      </c>
      <c r="D38">
        <v>4.5925034311093467E-2</v>
      </c>
      <c r="E38" t="s">
        <v>6</v>
      </c>
      <c r="G38" t="s">
        <v>681</v>
      </c>
      <c r="H38" t="s">
        <v>35</v>
      </c>
      <c r="I38">
        <v>1.6721724817164621E-2</v>
      </c>
      <c r="J38" t="s">
        <v>6</v>
      </c>
      <c r="L38" t="s">
        <v>682</v>
      </c>
      <c r="M38" t="s">
        <v>35</v>
      </c>
      <c r="N38">
        <v>1.2902114831069936E-2</v>
      </c>
      <c r="O38" t="s">
        <v>6</v>
      </c>
    </row>
    <row r="39" spans="2:15" x14ac:dyDescent="0.45">
      <c r="B39" t="s">
        <v>680</v>
      </c>
      <c r="C39" t="s">
        <v>36</v>
      </c>
      <c r="D39">
        <v>1.0508942557715914E-2</v>
      </c>
      <c r="E39" t="s">
        <v>6</v>
      </c>
      <c r="G39" t="s">
        <v>681</v>
      </c>
      <c r="H39" t="s">
        <v>36</v>
      </c>
      <c r="I39">
        <v>1.5100336284361283E-2</v>
      </c>
      <c r="J39" t="s">
        <v>6</v>
      </c>
      <c r="L39" t="s">
        <v>682</v>
      </c>
      <c r="M39" t="s">
        <v>36</v>
      </c>
      <c r="N39">
        <v>1.2926668254798995E-2</v>
      </c>
      <c r="O39" t="s">
        <v>6</v>
      </c>
    </row>
    <row r="40" spans="2:15" x14ac:dyDescent="0.45">
      <c r="B40" t="s">
        <v>680</v>
      </c>
      <c r="C40" t="s">
        <v>37</v>
      </c>
      <c r="D40">
        <v>5.9268047629224054E-5</v>
      </c>
      <c r="E40" t="s">
        <v>6</v>
      </c>
      <c r="G40" t="s">
        <v>681</v>
      </c>
      <c r="H40" t="s">
        <v>37</v>
      </c>
      <c r="I40">
        <v>2.0980329174852624E-2</v>
      </c>
      <c r="J40" t="s">
        <v>6</v>
      </c>
      <c r="L40" t="s">
        <v>682</v>
      </c>
      <c r="M40" t="s">
        <v>37</v>
      </c>
      <c r="N40">
        <v>1.5966561863480343E-2</v>
      </c>
      <c r="O40" t="s">
        <v>6</v>
      </c>
    </row>
    <row r="41" spans="2:15" x14ac:dyDescent="0.45">
      <c r="B41" t="s">
        <v>680</v>
      </c>
      <c r="C41" t="s">
        <v>38</v>
      </c>
      <c r="D41">
        <v>0</v>
      </c>
      <c r="E41" t="s">
        <v>6</v>
      </c>
      <c r="G41" t="s">
        <v>681</v>
      </c>
      <c r="H41" t="s">
        <v>38</v>
      </c>
      <c r="I41">
        <v>3.345045246555424E-2</v>
      </c>
      <c r="J41" t="s">
        <v>6</v>
      </c>
      <c r="L41" t="s">
        <v>682</v>
      </c>
      <c r="M41" t="s">
        <v>38</v>
      </c>
      <c r="N41">
        <v>3.9144406414670055E-2</v>
      </c>
      <c r="O41" t="s">
        <v>6</v>
      </c>
    </row>
    <row r="42" spans="2:15" x14ac:dyDescent="0.45">
      <c r="B42" t="s">
        <v>680</v>
      </c>
      <c r="C42" t="s">
        <v>39</v>
      </c>
      <c r="D42">
        <v>0</v>
      </c>
      <c r="E42" t="s">
        <v>6</v>
      </c>
      <c r="G42" t="s">
        <v>681</v>
      </c>
      <c r="H42" t="s">
        <v>39</v>
      </c>
      <c r="I42">
        <v>1.2262785146875925E-2</v>
      </c>
      <c r="J42" t="s">
        <v>6</v>
      </c>
      <c r="L42" t="s">
        <v>682</v>
      </c>
      <c r="M42" t="s">
        <v>39</v>
      </c>
      <c r="N42">
        <v>1.5318593388759008E-2</v>
      </c>
      <c r="O42" t="s">
        <v>6</v>
      </c>
    </row>
    <row r="43" spans="2:15" x14ac:dyDescent="0.45">
      <c r="B43" t="s">
        <v>680</v>
      </c>
      <c r="C43" t="s">
        <v>40</v>
      </c>
      <c r="D43">
        <v>1.1181715485518433E-3</v>
      </c>
      <c r="E43" t="s">
        <v>6</v>
      </c>
      <c r="G43" t="s">
        <v>681</v>
      </c>
      <c r="H43" t="s">
        <v>40</v>
      </c>
      <c r="I43">
        <v>1.2248975040485926E-2</v>
      </c>
      <c r="J43" t="s">
        <v>6</v>
      </c>
      <c r="L43" t="s">
        <v>682</v>
      </c>
      <c r="M43" t="s">
        <v>40</v>
      </c>
      <c r="N43">
        <v>1.5583716996574763E-2</v>
      </c>
      <c r="O43" t="s">
        <v>6</v>
      </c>
    </row>
    <row r="44" spans="2:15" x14ac:dyDescent="0.45">
      <c r="B44" t="s">
        <v>680</v>
      </c>
      <c r="C44" t="s">
        <v>41</v>
      </c>
      <c r="D44">
        <v>2.4885537348731387E-2</v>
      </c>
      <c r="E44" t="s">
        <v>6</v>
      </c>
      <c r="G44" t="s">
        <v>681</v>
      </c>
      <c r="H44" t="s">
        <v>41</v>
      </c>
      <c r="I44">
        <v>1.2341502209357553E-2</v>
      </c>
      <c r="J44" t="s">
        <v>6</v>
      </c>
      <c r="L44" t="s">
        <v>682</v>
      </c>
      <c r="M44" t="s">
        <v>41</v>
      </c>
      <c r="N44">
        <v>1.537074909180936E-2</v>
      </c>
      <c r="O44" t="s">
        <v>6</v>
      </c>
    </row>
    <row r="45" spans="2:15" x14ac:dyDescent="0.45">
      <c r="B45" t="s">
        <v>680</v>
      </c>
      <c r="C45" t="s">
        <v>42</v>
      </c>
      <c r="D45">
        <v>5.4445383988085509E-2</v>
      </c>
      <c r="E45" t="s">
        <v>6</v>
      </c>
      <c r="G45" t="s">
        <v>681</v>
      </c>
      <c r="H45" t="s">
        <v>42</v>
      </c>
      <c r="I45">
        <v>1.3268044482997168E-2</v>
      </c>
      <c r="J45" t="s">
        <v>6</v>
      </c>
      <c r="L45" t="s">
        <v>682</v>
      </c>
      <c r="M45" t="s">
        <v>42</v>
      </c>
      <c r="N45">
        <v>1.5046033996435271E-2</v>
      </c>
      <c r="O45" t="s">
        <v>6</v>
      </c>
    </row>
    <row r="46" spans="2:15" x14ac:dyDescent="0.45">
      <c r="B46" t="s">
        <v>680</v>
      </c>
      <c r="C46" t="s">
        <v>43</v>
      </c>
      <c r="D46">
        <v>6.387716818825652E-2</v>
      </c>
      <c r="E46" t="s">
        <v>6</v>
      </c>
      <c r="G46" t="s">
        <v>681</v>
      </c>
      <c r="H46" t="s">
        <v>43</v>
      </c>
      <c r="I46">
        <v>1.6359605159183565E-2</v>
      </c>
      <c r="J46" t="s">
        <v>6</v>
      </c>
      <c r="L46" t="s">
        <v>682</v>
      </c>
      <c r="M46" t="s">
        <v>43</v>
      </c>
      <c r="N46">
        <v>1.5627054718909187E-2</v>
      </c>
      <c r="O46" t="s">
        <v>6</v>
      </c>
    </row>
    <row r="47" spans="2:15" x14ac:dyDescent="0.45">
      <c r="B47" t="s">
        <v>680</v>
      </c>
      <c r="C47" t="s">
        <v>44</v>
      </c>
      <c r="D47">
        <v>5.1016752203336846E-2</v>
      </c>
      <c r="E47" t="s">
        <v>6</v>
      </c>
      <c r="G47" t="s">
        <v>681</v>
      </c>
      <c r="H47" t="s">
        <v>44</v>
      </c>
      <c r="I47">
        <v>1.8047058484107141E-2</v>
      </c>
      <c r="J47" t="s">
        <v>6</v>
      </c>
      <c r="L47" t="s">
        <v>682</v>
      </c>
      <c r="M47" t="s">
        <v>44</v>
      </c>
      <c r="N47">
        <v>1.546945041137812E-2</v>
      </c>
      <c r="O47" t="s">
        <v>6</v>
      </c>
    </row>
    <row r="48" spans="2:15" x14ac:dyDescent="0.45">
      <c r="B48" t="s">
        <v>680</v>
      </c>
      <c r="C48" t="s">
        <v>45</v>
      </c>
      <c r="D48">
        <v>2.162881223947978E-2</v>
      </c>
      <c r="E48" t="s">
        <v>6</v>
      </c>
      <c r="G48" t="s">
        <v>681</v>
      </c>
      <c r="H48" t="s">
        <v>45</v>
      </c>
      <c r="I48">
        <v>1.7500889781364534E-2</v>
      </c>
      <c r="J48" t="s">
        <v>6</v>
      </c>
      <c r="L48" t="s">
        <v>682</v>
      </c>
      <c r="M48" t="s">
        <v>45</v>
      </c>
      <c r="N48">
        <v>1.5686075634554927E-2</v>
      </c>
      <c r="O48" t="s">
        <v>6</v>
      </c>
    </row>
    <row r="49" spans="2:15" x14ac:dyDescent="0.45">
      <c r="B49" t="s">
        <v>680</v>
      </c>
      <c r="C49" t="s">
        <v>46</v>
      </c>
      <c r="D49">
        <v>1.1940904293524963E-3</v>
      </c>
      <c r="E49" t="s">
        <v>6</v>
      </c>
      <c r="G49" t="s">
        <v>681</v>
      </c>
      <c r="H49" t="s">
        <v>46</v>
      </c>
      <c r="I49">
        <v>1.6481858671871786E-2</v>
      </c>
      <c r="J49" t="s">
        <v>6</v>
      </c>
      <c r="L49" t="s">
        <v>682</v>
      </c>
      <c r="M49" t="s">
        <v>46</v>
      </c>
      <c r="N49">
        <v>1.6601680804515836E-2</v>
      </c>
      <c r="O49" t="s">
        <v>6</v>
      </c>
    </row>
    <row r="50" spans="2:15" x14ac:dyDescent="0.45">
      <c r="B50" t="s">
        <v>680</v>
      </c>
      <c r="C50" t="s">
        <v>47</v>
      </c>
      <c r="D50">
        <v>0</v>
      </c>
      <c r="E50" t="s">
        <v>6</v>
      </c>
      <c r="G50" t="s">
        <v>681</v>
      </c>
      <c r="H50" t="s">
        <v>47</v>
      </c>
      <c r="I50">
        <v>2.2533202132403105E-2</v>
      </c>
      <c r="J50" t="s">
        <v>6</v>
      </c>
      <c r="L50" t="s">
        <v>682</v>
      </c>
      <c r="M50" t="s">
        <v>47</v>
      </c>
      <c r="N50">
        <v>2.4996463937173887E-2</v>
      </c>
      <c r="O50" t="s">
        <v>6</v>
      </c>
    </row>
    <row r="51" spans="2:15" x14ac:dyDescent="0.45">
      <c r="B51" t="s">
        <v>683</v>
      </c>
      <c r="C51" t="s">
        <v>5</v>
      </c>
      <c r="D51">
        <v>0</v>
      </c>
      <c r="E51" t="s">
        <v>6</v>
      </c>
      <c r="G51" t="s">
        <v>684</v>
      </c>
      <c r="H51" t="s">
        <v>5</v>
      </c>
      <c r="I51">
        <v>7.2719641217189476E-2</v>
      </c>
      <c r="J51" t="s">
        <v>6</v>
      </c>
      <c r="L51" t="s">
        <v>685</v>
      </c>
      <c r="M51" t="s">
        <v>5</v>
      </c>
      <c r="N51">
        <v>7.2839328953112417E-2</v>
      </c>
      <c r="O51" t="s">
        <v>6</v>
      </c>
    </row>
    <row r="52" spans="2:15" x14ac:dyDescent="0.45">
      <c r="B52" t="s">
        <v>683</v>
      </c>
      <c r="C52" t="s">
        <v>9</v>
      </c>
      <c r="D52">
        <v>0</v>
      </c>
      <c r="E52" t="s">
        <v>6</v>
      </c>
      <c r="G52" t="s">
        <v>684</v>
      </c>
      <c r="H52" t="s">
        <v>9</v>
      </c>
      <c r="I52">
        <v>2.9008164422645616E-2</v>
      </c>
      <c r="J52" t="s">
        <v>6</v>
      </c>
      <c r="L52" t="s">
        <v>685</v>
      </c>
      <c r="M52" t="s">
        <v>9</v>
      </c>
      <c r="N52">
        <v>2.8741157391675983E-2</v>
      </c>
      <c r="O52" t="s">
        <v>6</v>
      </c>
    </row>
    <row r="53" spans="2:15" x14ac:dyDescent="0.45">
      <c r="B53" t="s">
        <v>683</v>
      </c>
      <c r="C53" t="s">
        <v>10</v>
      </c>
      <c r="D53">
        <v>0</v>
      </c>
      <c r="E53" t="s">
        <v>6</v>
      </c>
      <c r="G53" t="s">
        <v>684</v>
      </c>
      <c r="H53" t="s">
        <v>10</v>
      </c>
      <c r="I53">
        <v>2.7244903033487984E-2</v>
      </c>
      <c r="J53" t="s">
        <v>6</v>
      </c>
      <c r="L53" t="s">
        <v>685</v>
      </c>
      <c r="M53" t="s">
        <v>10</v>
      </c>
      <c r="N53">
        <v>2.8169873852403285E-2</v>
      </c>
      <c r="O53" t="s">
        <v>6</v>
      </c>
    </row>
    <row r="54" spans="2:15" x14ac:dyDescent="0.45">
      <c r="B54" t="s">
        <v>683</v>
      </c>
      <c r="C54" t="s">
        <v>11</v>
      </c>
      <c r="D54">
        <v>7.7915032637522795E-3</v>
      </c>
      <c r="E54" t="s">
        <v>6</v>
      </c>
      <c r="G54" t="s">
        <v>684</v>
      </c>
      <c r="H54" t="s">
        <v>11</v>
      </c>
      <c r="I54">
        <v>2.4881500389525239E-2</v>
      </c>
      <c r="J54" t="s">
        <v>6</v>
      </c>
      <c r="L54" t="s">
        <v>685</v>
      </c>
      <c r="M54" t="s">
        <v>11</v>
      </c>
      <c r="N54">
        <v>2.7275798990156322E-2</v>
      </c>
      <c r="O54" t="s">
        <v>6</v>
      </c>
    </row>
    <row r="55" spans="2:15" x14ac:dyDescent="0.45">
      <c r="B55" t="s">
        <v>683</v>
      </c>
      <c r="C55" t="s">
        <v>12</v>
      </c>
      <c r="D55">
        <v>3.7788894951620536E-2</v>
      </c>
      <c r="E55" t="s">
        <v>6</v>
      </c>
      <c r="G55" t="s">
        <v>684</v>
      </c>
      <c r="H55" t="s">
        <v>12</v>
      </c>
      <c r="I55">
        <v>2.0727474390745303E-2</v>
      </c>
      <c r="J55" t="s">
        <v>6</v>
      </c>
      <c r="L55" t="s">
        <v>685</v>
      </c>
      <c r="M55" t="s">
        <v>12</v>
      </c>
      <c r="N55">
        <v>2.6426805801079239E-2</v>
      </c>
      <c r="O55" t="s">
        <v>6</v>
      </c>
    </row>
    <row r="56" spans="2:15" x14ac:dyDescent="0.45">
      <c r="B56" t="s">
        <v>683</v>
      </c>
      <c r="C56" t="s">
        <v>13</v>
      </c>
      <c r="D56">
        <v>5.3933654273354947E-2</v>
      </c>
      <c r="E56" t="s">
        <v>6</v>
      </c>
      <c r="G56" t="s">
        <v>684</v>
      </c>
      <c r="H56" t="s">
        <v>13</v>
      </c>
      <c r="I56">
        <v>2.2984205232502178E-2</v>
      </c>
      <c r="J56" t="s">
        <v>6</v>
      </c>
      <c r="L56" t="s">
        <v>685</v>
      </c>
      <c r="M56" t="s">
        <v>13</v>
      </c>
      <c r="N56">
        <v>2.6331283126016732E-2</v>
      </c>
      <c r="O56" t="s">
        <v>6</v>
      </c>
    </row>
    <row r="57" spans="2:15" x14ac:dyDescent="0.45">
      <c r="B57" t="s">
        <v>683</v>
      </c>
      <c r="C57" t="s">
        <v>14</v>
      </c>
      <c r="D57">
        <v>4.6402579988650619E-2</v>
      </c>
      <c r="E57" t="s">
        <v>6</v>
      </c>
      <c r="G57" t="s">
        <v>684</v>
      </c>
      <c r="H57" t="s">
        <v>14</v>
      </c>
      <c r="I57">
        <v>2.3464835489068928E-2</v>
      </c>
      <c r="J57" t="s">
        <v>6</v>
      </c>
      <c r="L57" t="s">
        <v>685</v>
      </c>
      <c r="M57" t="s">
        <v>14</v>
      </c>
      <c r="N57">
        <v>2.8408621677469249E-2</v>
      </c>
      <c r="O57" t="s">
        <v>6</v>
      </c>
    </row>
    <row r="58" spans="2:15" x14ac:dyDescent="0.45">
      <c r="B58" t="s">
        <v>683</v>
      </c>
      <c r="C58" t="s">
        <v>15</v>
      </c>
      <c r="D58">
        <v>1.9131529233723493E-2</v>
      </c>
      <c r="E58" t="s">
        <v>6</v>
      </c>
      <c r="G58" t="s">
        <v>684</v>
      </c>
      <c r="H58" t="s">
        <v>15</v>
      </c>
      <c r="I58">
        <v>2.2570609504280949E-2</v>
      </c>
      <c r="J58" t="s">
        <v>6</v>
      </c>
      <c r="L58" t="s">
        <v>685</v>
      </c>
      <c r="M58" t="s">
        <v>15</v>
      </c>
      <c r="N58">
        <v>3.0798830319165419E-2</v>
      </c>
      <c r="O58" t="s">
        <v>6</v>
      </c>
    </row>
    <row r="59" spans="2:15" x14ac:dyDescent="0.45">
      <c r="B59" t="s">
        <v>683</v>
      </c>
      <c r="C59" t="s">
        <v>16</v>
      </c>
      <c r="D59">
        <v>4.8091643453762882E-4</v>
      </c>
      <c r="E59" t="s">
        <v>6</v>
      </c>
      <c r="G59" t="s">
        <v>684</v>
      </c>
      <c r="H59" t="s">
        <v>16</v>
      </c>
      <c r="I59">
        <v>2.4686019006001904E-2</v>
      </c>
      <c r="J59" t="s">
        <v>6</v>
      </c>
      <c r="L59" t="s">
        <v>685</v>
      </c>
      <c r="M59" t="s">
        <v>16</v>
      </c>
      <c r="N59">
        <v>3.0512586891040791E-2</v>
      </c>
      <c r="O59" t="s">
        <v>6</v>
      </c>
    </row>
    <row r="60" spans="2:15" x14ac:dyDescent="0.45">
      <c r="B60" t="s">
        <v>683</v>
      </c>
      <c r="C60" t="s">
        <v>17</v>
      </c>
      <c r="D60">
        <v>0</v>
      </c>
      <c r="E60" t="s">
        <v>6</v>
      </c>
      <c r="G60" t="s">
        <v>684</v>
      </c>
      <c r="H60" t="s">
        <v>17</v>
      </c>
      <c r="I60">
        <v>4.077246450236606E-2</v>
      </c>
      <c r="J60" t="s">
        <v>6</v>
      </c>
      <c r="L60" t="s">
        <v>685</v>
      </c>
      <c r="M60" t="s">
        <v>17</v>
      </c>
      <c r="N60">
        <v>4.2910354456649258E-2</v>
      </c>
      <c r="O60" t="s">
        <v>6</v>
      </c>
    </row>
    <row r="61" spans="2:15" x14ac:dyDescent="0.45">
      <c r="B61" t="s">
        <v>683</v>
      </c>
      <c r="C61" t="s">
        <v>18</v>
      </c>
      <c r="D61">
        <v>0</v>
      </c>
      <c r="E61" t="s">
        <v>6</v>
      </c>
      <c r="G61" t="s">
        <v>684</v>
      </c>
      <c r="H61" t="s">
        <v>18</v>
      </c>
      <c r="I61">
        <v>6.3011883262919427E-2</v>
      </c>
      <c r="J61" t="s">
        <v>6</v>
      </c>
      <c r="L61" t="s">
        <v>685</v>
      </c>
      <c r="M61" t="s">
        <v>18</v>
      </c>
      <c r="N61">
        <v>5.9071546599604029E-2</v>
      </c>
      <c r="O61" t="s">
        <v>6</v>
      </c>
    </row>
    <row r="62" spans="2:15" x14ac:dyDescent="0.45">
      <c r="B62" t="s">
        <v>683</v>
      </c>
      <c r="C62" t="s">
        <v>19</v>
      </c>
      <c r="D62">
        <v>0</v>
      </c>
      <c r="E62" t="s">
        <v>6</v>
      </c>
      <c r="G62" t="s">
        <v>684</v>
      </c>
      <c r="H62" t="s">
        <v>19</v>
      </c>
      <c r="I62">
        <v>2.1429211493289538E-2</v>
      </c>
      <c r="J62" t="s">
        <v>6</v>
      </c>
      <c r="L62" t="s">
        <v>685</v>
      </c>
      <c r="M62" t="s">
        <v>19</v>
      </c>
      <c r="N62">
        <v>2.1768666402865525E-2</v>
      </c>
      <c r="O62" t="s">
        <v>6</v>
      </c>
    </row>
    <row r="63" spans="2:15" x14ac:dyDescent="0.45">
      <c r="B63" t="s">
        <v>683</v>
      </c>
      <c r="C63" t="s">
        <v>20</v>
      </c>
      <c r="D63">
        <v>2.9757112549242738E-3</v>
      </c>
      <c r="E63" t="s">
        <v>6</v>
      </c>
      <c r="G63" t="s">
        <v>684</v>
      </c>
      <c r="H63" t="s">
        <v>20</v>
      </c>
      <c r="I63">
        <v>2.0458177884487925E-2</v>
      </c>
      <c r="J63" t="s">
        <v>6</v>
      </c>
      <c r="L63" t="s">
        <v>685</v>
      </c>
      <c r="M63" t="s">
        <v>20</v>
      </c>
      <c r="N63">
        <v>2.1668662941599279E-2</v>
      </c>
      <c r="O63" t="s">
        <v>6</v>
      </c>
    </row>
    <row r="64" spans="2:15" x14ac:dyDescent="0.45">
      <c r="B64" t="s">
        <v>683</v>
      </c>
      <c r="C64" t="s">
        <v>21</v>
      </c>
      <c r="D64">
        <v>2.803762589101522E-2</v>
      </c>
      <c r="E64" t="s">
        <v>6</v>
      </c>
      <c r="G64" t="s">
        <v>684</v>
      </c>
      <c r="H64" t="s">
        <v>21</v>
      </c>
      <c r="I64">
        <v>1.9003971811638529E-2</v>
      </c>
      <c r="J64" t="s">
        <v>6</v>
      </c>
      <c r="L64" t="s">
        <v>685</v>
      </c>
      <c r="M64" t="s">
        <v>21</v>
      </c>
      <c r="N64">
        <v>2.0919726748205029E-2</v>
      </c>
      <c r="O64" t="s">
        <v>6</v>
      </c>
    </row>
    <row r="65" spans="2:15" x14ac:dyDescent="0.45">
      <c r="B65" t="s">
        <v>683</v>
      </c>
      <c r="C65" t="s">
        <v>22</v>
      </c>
      <c r="D65">
        <v>5.8350403481066002E-2</v>
      </c>
      <c r="E65" t="s">
        <v>6</v>
      </c>
      <c r="G65" t="s">
        <v>684</v>
      </c>
      <c r="H65" t="s">
        <v>22</v>
      </c>
      <c r="I65">
        <v>1.9463677587386981E-2</v>
      </c>
      <c r="J65" t="s">
        <v>6</v>
      </c>
      <c r="L65" t="s">
        <v>685</v>
      </c>
      <c r="M65" t="s">
        <v>22</v>
      </c>
      <c r="N65">
        <v>2.3819608278115776E-2</v>
      </c>
      <c r="O65" t="s">
        <v>6</v>
      </c>
    </row>
    <row r="66" spans="2:15" x14ac:dyDescent="0.45">
      <c r="B66" t="s">
        <v>683</v>
      </c>
      <c r="C66" t="s">
        <v>23</v>
      </c>
      <c r="D66">
        <v>7.2459241602660568E-2</v>
      </c>
      <c r="E66" t="s">
        <v>6</v>
      </c>
      <c r="G66" t="s">
        <v>684</v>
      </c>
      <c r="H66" t="s">
        <v>23</v>
      </c>
      <c r="I66">
        <v>2.4932955989055133E-2</v>
      </c>
      <c r="J66" t="s">
        <v>6</v>
      </c>
      <c r="L66" t="s">
        <v>685</v>
      </c>
      <c r="M66" t="s">
        <v>23</v>
      </c>
      <c r="N66">
        <v>2.9976867973190786E-2</v>
      </c>
      <c r="O66" t="s">
        <v>6</v>
      </c>
    </row>
    <row r="67" spans="2:15" x14ac:dyDescent="0.45">
      <c r="B67" t="s">
        <v>683</v>
      </c>
      <c r="C67" t="s">
        <v>24</v>
      </c>
      <c r="D67">
        <v>6.4281284979560163E-2</v>
      </c>
      <c r="E67" t="s">
        <v>6</v>
      </c>
      <c r="G67" t="s">
        <v>684</v>
      </c>
      <c r="H67" t="s">
        <v>24</v>
      </c>
      <c r="I67">
        <v>3.1355550132872653E-2</v>
      </c>
      <c r="J67" t="s">
        <v>6</v>
      </c>
      <c r="L67" t="s">
        <v>685</v>
      </c>
      <c r="M67" t="s">
        <v>24</v>
      </c>
      <c r="N67">
        <v>3.5335161297768952E-2</v>
      </c>
      <c r="O67" t="s">
        <v>6</v>
      </c>
    </row>
    <row r="68" spans="2:15" x14ac:dyDescent="0.45">
      <c r="B68" t="s">
        <v>683</v>
      </c>
      <c r="C68" t="s">
        <v>25</v>
      </c>
      <c r="D68">
        <v>3.7420831392790788E-2</v>
      </c>
      <c r="E68" t="s">
        <v>6</v>
      </c>
      <c r="G68" t="s">
        <v>684</v>
      </c>
      <c r="H68" t="s">
        <v>25</v>
      </c>
      <c r="I68">
        <v>3.4200923565470866E-2</v>
      </c>
      <c r="J68" t="s">
        <v>6</v>
      </c>
      <c r="L68" t="s">
        <v>685</v>
      </c>
      <c r="M68" t="s">
        <v>25</v>
      </c>
      <c r="N68">
        <v>3.4410849753260933E-2</v>
      </c>
      <c r="O68" t="s">
        <v>6</v>
      </c>
    </row>
    <row r="69" spans="2:15" x14ac:dyDescent="0.45">
      <c r="B69" t="s">
        <v>683</v>
      </c>
      <c r="C69" t="s">
        <v>26</v>
      </c>
      <c r="D69">
        <v>6.9829839892683624E-3</v>
      </c>
      <c r="E69" t="s">
        <v>6</v>
      </c>
      <c r="G69" t="s">
        <v>684</v>
      </c>
      <c r="H69" t="s">
        <v>26</v>
      </c>
      <c r="I69">
        <v>3.2536077036743084E-2</v>
      </c>
      <c r="J69" t="s">
        <v>6</v>
      </c>
      <c r="L69" t="s">
        <v>685</v>
      </c>
      <c r="M69" t="s">
        <v>26</v>
      </c>
      <c r="N69">
        <v>3.0120779915226513E-2</v>
      </c>
      <c r="O69" t="s">
        <v>6</v>
      </c>
    </row>
    <row r="70" spans="2:15" x14ac:dyDescent="0.45">
      <c r="B70" t="s">
        <v>683</v>
      </c>
      <c r="C70" t="s">
        <v>27</v>
      </c>
      <c r="D70">
        <v>3.3057099765397736E-6</v>
      </c>
      <c r="E70" t="s">
        <v>6</v>
      </c>
      <c r="G70" t="s">
        <v>684</v>
      </c>
      <c r="H70" t="s">
        <v>27</v>
      </c>
      <c r="I70">
        <v>4.4376108688490949E-2</v>
      </c>
      <c r="J70" t="s">
        <v>6</v>
      </c>
      <c r="L70" t="s">
        <v>685</v>
      </c>
      <c r="M70" t="s">
        <v>27</v>
      </c>
      <c r="N70">
        <v>3.7865533298090288E-2</v>
      </c>
      <c r="O70" t="s">
        <v>6</v>
      </c>
    </row>
    <row r="71" spans="2:15" x14ac:dyDescent="0.45">
      <c r="B71" t="s">
        <v>683</v>
      </c>
      <c r="C71" t="s">
        <v>28</v>
      </c>
      <c r="D71">
        <v>0</v>
      </c>
      <c r="E71" t="s">
        <v>6</v>
      </c>
      <c r="G71" t="s">
        <v>684</v>
      </c>
      <c r="H71" t="s">
        <v>28</v>
      </c>
      <c r="I71">
        <v>3.7265530219483409E-2</v>
      </c>
      <c r="J71" t="s">
        <v>6</v>
      </c>
      <c r="L71" t="s">
        <v>685</v>
      </c>
      <c r="M71" t="s">
        <v>28</v>
      </c>
      <c r="N71">
        <v>2.6215155697596013E-2</v>
      </c>
      <c r="O71" t="s">
        <v>6</v>
      </c>
    </row>
    <row r="72" spans="2:15" x14ac:dyDescent="0.45">
      <c r="B72" t="s">
        <v>683</v>
      </c>
      <c r="C72" t="s">
        <v>29</v>
      </c>
      <c r="D72">
        <v>0</v>
      </c>
      <c r="E72" t="s">
        <v>6</v>
      </c>
      <c r="G72" t="s">
        <v>684</v>
      </c>
      <c r="H72" t="s">
        <v>29</v>
      </c>
      <c r="I72">
        <v>1.081043871935619E-2</v>
      </c>
      <c r="J72" t="s">
        <v>6</v>
      </c>
      <c r="L72" t="s">
        <v>685</v>
      </c>
      <c r="M72" t="s">
        <v>29</v>
      </c>
      <c r="N72">
        <v>1.1998930667240254E-2</v>
      </c>
      <c r="O72" t="s">
        <v>6</v>
      </c>
    </row>
    <row r="73" spans="2:15" x14ac:dyDescent="0.45">
      <c r="B73" t="s">
        <v>683</v>
      </c>
      <c r="C73" t="s">
        <v>30</v>
      </c>
      <c r="D73">
        <v>5.822543484015493E-3</v>
      </c>
      <c r="E73" t="s">
        <v>6</v>
      </c>
      <c r="G73" t="s">
        <v>684</v>
      </c>
      <c r="H73" t="s">
        <v>30</v>
      </c>
      <c r="I73">
        <v>9.6934265801374882E-3</v>
      </c>
      <c r="J73" t="s">
        <v>6</v>
      </c>
      <c r="L73" t="s">
        <v>685</v>
      </c>
      <c r="M73" t="s">
        <v>30</v>
      </c>
      <c r="N73">
        <v>1.2182582885093364E-2</v>
      </c>
      <c r="O73" t="s">
        <v>6</v>
      </c>
    </row>
    <row r="74" spans="2:15" x14ac:dyDescent="0.45">
      <c r="B74" t="s">
        <v>683</v>
      </c>
      <c r="C74" t="s">
        <v>31</v>
      </c>
      <c r="D74">
        <v>4.0718290411531424E-2</v>
      </c>
      <c r="E74" t="s">
        <v>6</v>
      </c>
      <c r="G74" t="s">
        <v>684</v>
      </c>
      <c r="H74" t="s">
        <v>31</v>
      </c>
      <c r="I74">
        <v>6.8450754428676513E-3</v>
      </c>
      <c r="J74" t="s">
        <v>6</v>
      </c>
      <c r="L74" t="s">
        <v>685</v>
      </c>
      <c r="M74" t="s">
        <v>31</v>
      </c>
      <c r="N74">
        <v>1.2017375524045028E-2</v>
      </c>
      <c r="O74" t="s">
        <v>6</v>
      </c>
    </row>
    <row r="75" spans="2:15" x14ac:dyDescent="0.45">
      <c r="B75" t="s">
        <v>683</v>
      </c>
      <c r="C75" t="s">
        <v>32</v>
      </c>
      <c r="D75">
        <v>7.5760800742315851E-2</v>
      </c>
      <c r="E75" t="s">
        <v>6</v>
      </c>
      <c r="G75" t="s">
        <v>684</v>
      </c>
      <c r="H75" t="s">
        <v>32</v>
      </c>
      <c r="I75">
        <v>6.6518606708557259E-3</v>
      </c>
      <c r="J75" t="s">
        <v>6</v>
      </c>
      <c r="L75" t="s">
        <v>685</v>
      </c>
      <c r="M75" t="s">
        <v>32</v>
      </c>
      <c r="N75">
        <v>1.391124086656057E-2</v>
      </c>
      <c r="O75" t="s">
        <v>6</v>
      </c>
    </row>
    <row r="76" spans="2:15" x14ac:dyDescent="0.45">
      <c r="B76" t="s">
        <v>683</v>
      </c>
      <c r="C76" t="s">
        <v>33</v>
      </c>
      <c r="D76">
        <v>8.8435891850592849E-2</v>
      </c>
      <c r="E76" t="s">
        <v>6</v>
      </c>
      <c r="G76" t="s">
        <v>684</v>
      </c>
      <c r="H76" t="s">
        <v>33</v>
      </c>
      <c r="I76">
        <v>8.8310820722905196E-3</v>
      </c>
      <c r="J76" t="s">
        <v>6</v>
      </c>
      <c r="L76" t="s">
        <v>685</v>
      </c>
      <c r="M76" t="s">
        <v>33</v>
      </c>
      <c r="N76">
        <v>1.790872726001054E-2</v>
      </c>
      <c r="O76" t="s">
        <v>6</v>
      </c>
    </row>
    <row r="77" spans="2:15" x14ac:dyDescent="0.45">
      <c r="B77" t="s">
        <v>683</v>
      </c>
      <c r="C77" t="s">
        <v>34</v>
      </c>
      <c r="D77">
        <v>7.8553688245307812E-2</v>
      </c>
      <c r="E77" t="s">
        <v>6</v>
      </c>
      <c r="G77" t="s">
        <v>684</v>
      </c>
      <c r="H77" t="s">
        <v>34</v>
      </c>
      <c r="I77">
        <v>1.2628325830557884E-2</v>
      </c>
      <c r="J77" t="s">
        <v>6</v>
      </c>
      <c r="L77" t="s">
        <v>685</v>
      </c>
      <c r="M77" t="s">
        <v>34</v>
      </c>
      <c r="N77">
        <v>1.9229399529379028E-2</v>
      </c>
      <c r="O77" t="s">
        <v>6</v>
      </c>
    </row>
    <row r="78" spans="2:15" x14ac:dyDescent="0.45">
      <c r="B78" t="s">
        <v>683</v>
      </c>
      <c r="C78" t="s">
        <v>35</v>
      </c>
      <c r="D78">
        <v>4.9813340263281554E-2</v>
      </c>
      <c r="E78" t="s">
        <v>6</v>
      </c>
      <c r="G78" t="s">
        <v>684</v>
      </c>
      <c r="H78" t="s">
        <v>35</v>
      </c>
      <c r="I78">
        <v>1.7278348826811021E-2</v>
      </c>
      <c r="J78" t="s">
        <v>6</v>
      </c>
      <c r="L78" t="s">
        <v>685</v>
      </c>
      <c r="M78" t="s">
        <v>35</v>
      </c>
      <c r="N78">
        <v>1.8153074823565464E-2</v>
      </c>
      <c r="O78" t="s">
        <v>6</v>
      </c>
    </row>
    <row r="79" spans="2:15" x14ac:dyDescent="0.45">
      <c r="B79" t="s">
        <v>683</v>
      </c>
      <c r="C79" t="s">
        <v>36</v>
      </c>
      <c r="D79">
        <v>1.2577044195830634E-2</v>
      </c>
      <c r="E79" t="s">
        <v>6</v>
      </c>
      <c r="G79" t="s">
        <v>684</v>
      </c>
      <c r="H79" t="s">
        <v>36</v>
      </c>
      <c r="I79">
        <v>2.1954582669879121E-2</v>
      </c>
      <c r="J79" t="s">
        <v>6</v>
      </c>
      <c r="L79" t="s">
        <v>685</v>
      </c>
      <c r="M79" t="s">
        <v>36</v>
      </c>
      <c r="N79">
        <v>1.5372518242086285E-2</v>
      </c>
      <c r="O79" t="s">
        <v>6</v>
      </c>
    </row>
    <row r="80" spans="2:15" x14ac:dyDescent="0.45">
      <c r="B80" t="s">
        <v>683</v>
      </c>
      <c r="C80" t="s">
        <v>37</v>
      </c>
      <c r="D80">
        <v>1.3507040812089574E-4</v>
      </c>
      <c r="E80" t="s">
        <v>6</v>
      </c>
      <c r="G80" t="s">
        <v>684</v>
      </c>
      <c r="H80" t="s">
        <v>37</v>
      </c>
      <c r="I80">
        <v>3.4458738396219615E-2</v>
      </c>
      <c r="J80" t="s">
        <v>6</v>
      </c>
      <c r="L80" t="s">
        <v>685</v>
      </c>
      <c r="M80" t="s">
        <v>37</v>
      </c>
      <c r="N80">
        <v>1.6738582878835846E-2</v>
      </c>
      <c r="O80" t="s">
        <v>6</v>
      </c>
    </row>
    <row r="81" spans="2:15" x14ac:dyDescent="0.45">
      <c r="B81" t="s">
        <v>683</v>
      </c>
      <c r="C81" t="s">
        <v>38</v>
      </c>
      <c r="D81">
        <v>0</v>
      </c>
      <c r="E81" t="s">
        <v>6</v>
      </c>
      <c r="G81" t="s">
        <v>684</v>
      </c>
      <c r="H81" t="s">
        <v>38</v>
      </c>
      <c r="I81">
        <v>4.6443924941028746E-2</v>
      </c>
      <c r="J81" t="s">
        <v>6</v>
      </c>
      <c r="L81" t="s">
        <v>685</v>
      </c>
      <c r="M81" t="s">
        <v>38</v>
      </c>
      <c r="N81">
        <v>3.4696552196838482E-2</v>
      </c>
      <c r="O81" t="s">
        <v>6</v>
      </c>
    </row>
    <row r="82" spans="2:15" x14ac:dyDescent="0.45">
      <c r="B82" t="s">
        <v>683</v>
      </c>
      <c r="C82" t="s">
        <v>39</v>
      </c>
      <c r="D82">
        <v>0</v>
      </c>
      <c r="E82" t="s">
        <v>6</v>
      </c>
      <c r="G82" t="s">
        <v>684</v>
      </c>
      <c r="H82" t="s">
        <v>39</v>
      </c>
      <c r="I82">
        <v>1.7741216856396454E-2</v>
      </c>
      <c r="J82" t="s">
        <v>6</v>
      </c>
      <c r="L82" t="s">
        <v>685</v>
      </c>
      <c r="M82" t="s">
        <v>39</v>
      </c>
      <c r="N82">
        <v>1.3616726182800297E-2</v>
      </c>
      <c r="O82" t="s">
        <v>6</v>
      </c>
    </row>
    <row r="83" spans="2:15" x14ac:dyDescent="0.45">
      <c r="B83" t="s">
        <v>683</v>
      </c>
      <c r="C83" t="s">
        <v>40</v>
      </c>
      <c r="D83">
        <v>6.7334474377641934E-4</v>
      </c>
      <c r="E83" t="s">
        <v>6</v>
      </c>
      <c r="G83" t="s">
        <v>684</v>
      </c>
      <c r="H83" t="s">
        <v>40</v>
      </c>
      <c r="I83">
        <v>1.781996775848314E-2</v>
      </c>
      <c r="J83" t="s">
        <v>6</v>
      </c>
      <c r="L83" t="s">
        <v>685</v>
      </c>
      <c r="M83" t="s">
        <v>40</v>
      </c>
      <c r="N83">
        <v>1.363970764901057E-2</v>
      </c>
      <c r="O83" t="s">
        <v>6</v>
      </c>
    </row>
    <row r="84" spans="2:15" x14ac:dyDescent="0.45">
      <c r="B84" t="s">
        <v>683</v>
      </c>
      <c r="C84" t="s">
        <v>41</v>
      </c>
      <c r="D84">
        <v>2.0668604561476678E-2</v>
      </c>
      <c r="E84" t="s">
        <v>6</v>
      </c>
      <c r="G84" t="s">
        <v>684</v>
      </c>
      <c r="H84" t="s">
        <v>41</v>
      </c>
      <c r="I84">
        <v>1.5263243491037002E-2</v>
      </c>
      <c r="J84" t="s">
        <v>6</v>
      </c>
      <c r="L84" t="s">
        <v>685</v>
      </c>
      <c r="M84" t="s">
        <v>41</v>
      </c>
      <c r="N84">
        <v>1.3223177177191193E-2</v>
      </c>
      <c r="O84" t="s">
        <v>6</v>
      </c>
    </row>
    <row r="85" spans="2:15" x14ac:dyDescent="0.45">
      <c r="B85" t="s">
        <v>683</v>
      </c>
      <c r="C85" t="s">
        <v>42</v>
      </c>
      <c r="D85">
        <v>5.148648688434114E-2</v>
      </c>
      <c r="E85" t="s">
        <v>6</v>
      </c>
      <c r="G85" t="s">
        <v>684</v>
      </c>
      <c r="H85" t="s">
        <v>42</v>
      </c>
      <c r="I85">
        <v>1.3392557750465413E-2</v>
      </c>
      <c r="J85" t="s">
        <v>6</v>
      </c>
      <c r="L85" t="s">
        <v>685</v>
      </c>
      <c r="M85" t="s">
        <v>42</v>
      </c>
      <c r="N85">
        <v>1.2959938245572096E-2</v>
      </c>
      <c r="O85" t="s">
        <v>6</v>
      </c>
    </row>
    <row r="86" spans="2:15" x14ac:dyDescent="0.45">
      <c r="B86" t="s">
        <v>683</v>
      </c>
      <c r="C86" t="s">
        <v>43</v>
      </c>
      <c r="D86">
        <v>6.2700132497226641E-2</v>
      </c>
      <c r="E86" t="s">
        <v>6</v>
      </c>
      <c r="G86" t="s">
        <v>684</v>
      </c>
      <c r="H86" t="s">
        <v>43</v>
      </c>
      <c r="I86">
        <v>1.4645716616593743E-2</v>
      </c>
      <c r="J86" t="s">
        <v>6</v>
      </c>
      <c r="L86" t="s">
        <v>685</v>
      </c>
      <c r="M86" t="s">
        <v>43</v>
      </c>
      <c r="N86">
        <v>1.4544496564286415E-2</v>
      </c>
      <c r="O86" t="s">
        <v>6</v>
      </c>
    </row>
    <row r="87" spans="2:15" x14ac:dyDescent="0.45">
      <c r="B87" t="s">
        <v>683</v>
      </c>
      <c r="C87" t="s">
        <v>44</v>
      </c>
      <c r="D87">
        <v>5.0967044984604477E-2</v>
      </c>
      <c r="E87" t="s">
        <v>6</v>
      </c>
      <c r="G87" t="s">
        <v>684</v>
      </c>
      <c r="H87" t="s">
        <v>44</v>
      </c>
      <c r="I87">
        <v>1.6839980718748298E-2</v>
      </c>
      <c r="J87" t="s">
        <v>6</v>
      </c>
      <c r="L87" t="s">
        <v>685</v>
      </c>
      <c r="M87" t="s">
        <v>44</v>
      </c>
      <c r="N87">
        <v>1.7294713495304048E-2</v>
      </c>
      <c r="O87" t="s">
        <v>6</v>
      </c>
    </row>
    <row r="88" spans="2:15" x14ac:dyDescent="0.45">
      <c r="B88" t="s">
        <v>683</v>
      </c>
      <c r="C88" t="s">
        <v>45</v>
      </c>
      <c r="D88">
        <v>2.3916673126614652E-2</v>
      </c>
      <c r="E88" t="s">
        <v>6</v>
      </c>
      <c r="G88" t="s">
        <v>684</v>
      </c>
      <c r="H88" t="s">
        <v>45</v>
      </c>
      <c r="I88">
        <v>1.8014803556310473E-2</v>
      </c>
      <c r="J88" t="s">
        <v>6</v>
      </c>
      <c r="L88" t="s">
        <v>685</v>
      </c>
      <c r="M88" t="s">
        <v>45</v>
      </c>
      <c r="N88">
        <v>1.8224137977458088E-2</v>
      </c>
      <c r="O88" t="s">
        <v>6</v>
      </c>
    </row>
    <row r="89" spans="2:15" x14ac:dyDescent="0.45">
      <c r="B89" t="s">
        <v>683</v>
      </c>
      <c r="C89" t="s">
        <v>46</v>
      </c>
      <c r="D89">
        <v>1.7305771540604815E-3</v>
      </c>
      <c r="E89" t="s">
        <v>6</v>
      </c>
      <c r="G89" t="s">
        <v>684</v>
      </c>
      <c r="H89" t="s">
        <v>46</v>
      </c>
      <c r="I89">
        <v>2.0982498933099371E-2</v>
      </c>
      <c r="J89" t="s">
        <v>6</v>
      </c>
      <c r="L89" t="s">
        <v>685</v>
      </c>
      <c r="M89" t="s">
        <v>46</v>
      </c>
      <c r="N89">
        <v>1.7418432935166036E-2</v>
      </c>
      <c r="O89" t="s">
        <v>6</v>
      </c>
    </row>
    <row r="90" spans="2:15" x14ac:dyDescent="0.45">
      <c r="B90" t="s">
        <v>683</v>
      </c>
      <c r="C90" t="s">
        <v>47</v>
      </c>
      <c r="D90">
        <v>0</v>
      </c>
      <c r="E90" t="s">
        <v>6</v>
      </c>
      <c r="G90" t="s">
        <v>684</v>
      </c>
      <c r="H90" t="s">
        <v>47</v>
      </c>
      <c r="I90">
        <v>3.2610325309211478E-2</v>
      </c>
      <c r="J90" t="s">
        <v>6</v>
      </c>
      <c r="L90" t="s">
        <v>685</v>
      </c>
      <c r="M90" t="s">
        <v>47</v>
      </c>
      <c r="N90">
        <v>2.3282484535261664E-2</v>
      </c>
      <c r="O90" t="s">
        <v>6</v>
      </c>
    </row>
    <row r="91" spans="2:15" x14ac:dyDescent="0.45">
      <c r="B91" t="s">
        <v>686</v>
      </c>
      <c r="C91" t="s">
        <v>5</v>
      </c>
      <c r="D91">
        <v>0</v>
      </c>
      <c r="E91" t="s">
        <v>6</v>
      </c>
      <c r="G91" t="s">
        <v>687</v>
      </c>
      <c r="H91" t="s">
        <v>5</v>
      </c>
      <c r="I91">
        <v>7.7167201534658586E-2</v>
      </c>
      <c r="J91" t="s">
        <v>6</v>
      </c>
      <c r="L91" t="s">
        <v>688</v>
      </c>
      <c r="M91" t="s">
        <v>5</v>
      </c>
      <c r="N91">
        <v>7.9581616345211437E-2</v>
      </c>
      <c r="O91" t="s">
        <v>6</v>
      </c>
    </row>
    <row r="92" spans="2:15" x14ac:dyDescent="0.45">
      <c r="B92" t="s">
        <v>686</v>
      </c>
      <c r="C92" t="s">
        <v>9</v>
      </c>
      <c r="D92">
        <v>0</v>
      </c>
      <c r="E92" t="s">
        <v>6</v>
      </c>
      <c r="G92" t="s">
        <v>687</v>
      </c>
      <c r="H92" t="s">
        <v>9</v>
      </c>
      <c r="I92">
        <v>2.8109009847929002E-2</v>
      </c>
      <c r="J92" t="s">
        <v>6</v>
      </c>
      <c r="L92" t="s">
        <v>688</v>
      </c>
      <c r="M92" t="s">
        <v>9</v>
      </c>
      <c r="N92">
        <v>3.1935708785174648E-2</v>
      </c>
      <c r="O92" t="s">
        <v>6</v>
      </c>
    </row>
    <row r="93" spans="2:15" x14ac:dyDescent="0.45">
      <c r="B93" t="s">
        <v>686</v>
      </c>
      <c r="C93" t="s">
        <v>10</v>
      </c>
      <c r="D93">
        <v>0</v>
      </c>
      <c r="E93" t="s">
        <v>6</v>
      </c>
      <c r="G93" t="s">
        <v>687</v>
      </c>
      <c r="H93" t="s">
        <v>10</v>
      </c>
      <c r="I93">
        <v>2.7452171860332927E-2</v>
      </c>
      <c r="J93" t="s">
        <v>6</v>
      </c>
      <c r="L93" t="s">
        <v>688</v>
      </c>
      <c r="M93" t="s">
        <v>10</v>
      </c>
      <c r="N93">
        <v>3.2289181382662693E-2</v>
      </c>
      <c r="O93" t="s">
        <v>6</v>
      </c>
    </row>
    <row r="94" spans="2:15" x14ac:dyDescent="0.45">
      <c r="B94" t="s">
        <v>686</v>
      </c>
      <c r="C94" t="s">
        <v>11</v>
      </c>
      <c r="D94">
        <v>7.8380585718023071E-3</v>
      </c>
      <c r="E94" t="s">
        <v>6</v>
      </c>
      <c r="G94" t="s">
        <v>687</v>
      </c>
      <c r="H94" t="s">
        <v>11</v>
      </c>
      <c r="I94">
        <v>2.6149903178700411E-2</v>
      </c>
      <c r="J94" t="s">
        <v>6</v>
      </c>
      <c r="L94" t="s">
        <v>688</v>
      </c>
      <c r="M94" t="s">
        <v>11</v>
      </c>
      <c r="N94">
        <v>3.2292310343023982E-2</v>
      </c>
      <c r="O94" t="s">
        <v>6</v>
      </c>
    </row>
    <row r="95" spans="2:15" x14ac:dyDescent="0.45">
      <c r="B95" t="s">
        <v>686</v>
      </c>
      <c r="C95" t="s">
        <v>12</v>
      </c>
      <c r="D95">
        <v>3.9021679673160198E-2</v>
      </c>
      <c r="E95" t="s">
        <v>6</v>
      </c>
      <c r="G95" t="s">
        <v>687</v>
      </c>
      <c r="H95" t="s">
        <v>12</v>
      </c>
      <c r="I95">
        <v>2.2468142688243119E-2</v>
      </c>
      <c r="J95" t="s">
        <v>6</v>
      </c>
      <c r="L95" t="s">
        <v>688</v>
      </c>
      <c r="M95" t="s">
        <v>12</v>
      </c>
      <c r="N95">
        <v>3.0661836162864983E-2</v>
      </c>
      <c r="O95" t="s">
        <v>6</v>
      </c>
    </row>
    <row r="96" spans="2:15" x14ac:dyDescent="0.45">
      <c r="B96" t="s">
        <v>686</v>
      </c>
      <c r="C96" t="s">
        <v>13</v>
      </c>
      <c r="D96">
        <v>5.689289137661456E-2</v>
      </c>
      <c r="E96" t="s">
        <v>6</v>
      </c>
      <c r="G96" t="s">
        <v>687</v>
      </c>
      <c r="H96" t="s">
        <v>13</v>
      </c>
      <c r="I96">
        <v>2.4418248076703314E-2</v>
      </c>
      <c r="J96" t="s">
        <v>6</v>
      </c>
      <c r="L96" t="s">
        <v>688</v>
      </c>
      <c r="M96" t="s">
        <v>13</v>
      </c>
      <c r="N96">
        <v>2.805950591323152E-2</v>
      </c>
      <c r="O96" t="s">
        <v>6</v>
      </c>
    </row>
    <row r="97" spans="2:15" x14ac:dyDescent="0.45">
      <c r="B97" t="s">
        <v>686</v>
      </c>
      <c r="C97" t="s">
        <v>14</v>
      </c>
      <c r="D97">
        <v>4.75002359305512E-2</v>
      </c>
      <c r="E97" t="s">
        <v>6</v>
      </c>
      <c r="G97" t="s">
        <v>687</v>
      </c>
      <c r="H97" t="s">
        <v>14</v>
      </c>
      <c r="I97">
        <v>2.5441789721001456E-2</v>
      </c>
      <c r="J97" t="s">
        <v>6</v>
      </c>
      <c r="L97" t="s">
        <v>688</v>
      </c>
      <c r="M97" t="s">
        <v>14</v>
      </c>
      <c r="N97">
        <v>2.6405325212623645E-2</v>
      </c>
      <c r="O97" t="s">
        <v>6</v>
      </c>
    </row>
    <row r="98" spans="2:15" x14ac:dyDescent="0.45">
      <c r="B98" t="s">
        <v>686</v>
      </c>
      <c r="C98" t="s">
        <v>15</v>
      </c>
      <c r="D98">
        <v>1.7724609372719573E-2</v>
      </c>
      <c r="E98" t="s">
        <v>6</v>
      </c>
      <c r="G98" t="s">
        <v>687</v>
      </c>
      <c r="H98" t="s">
        <v>15</v>
      </c>
      <c r="I98">
        <v>2.602167668886449E-2</v>
      </c>
      <c r="J98" t="s">
        <v>6</v>
      </c>
      <c r="L98" t="s">
        <v>688</v>
      </c>
      <c r="M98" t="s">
        <v>15</v>
      </c>
      <c r="N98">
        <v>2.7461793241575844E-2</v>
      </c>
      <c r="O98" t="s">
        <v>6</v>
      </c>
    </row>
    <row r="99" spans="2:15" x14ac:dyDescent="0.45">
      <c r="B99" t="s">
        <v>686</v>
      </c>
      <c r="C99" t="s">
        <v>16</v>
      </c>
      <c r="D99">
        <v>3.6846893014629912E-4</v>
      </c>
      <c r="E99" t="s">
        <v>6</v>
      </c>
      <c r="G99" t="s">
        <v>687</v>
      </c>
      <c r="H99" t="s">
        <v>16</v>
      </c>
      <c r="I99">
        <v>2.8777042587895076E-2</v>
      </c>
      <c r="J99" t="s">
        <v>6</v>
      </c>
      <c r="L99" t="s">
        <v>688</v>
      </c>
      <c r="M99" t="s">
        <v>16</v>
      </c>
      <c r="N99">
        <v>2.9313204592860059E-2</v>
      </c>
      <c r="O99" t="s">
        <v>6</v>
      </c>
    </row>
    <row r="100" spans="2:15" x14ac:dyDescent="0.45">
      <c r="B100" t="s">
        <v>686</v>
      </c>
      <c r="C100" t="s">
        <v>17</v>
      </c>
      <c r="D100">
        <v>0</v>
      </c>
      <c r="E100" t="s">
        <v>6</v>
      </c>
      <c r="G100" t="s">
        <v>687</v>
      </c>
      <c r="H100" t="s">
        <v>17</v>
      </c>
      <c r="I100">
        <v>4.6372432442180901E-2</v>
      </c>
      <c r="J100" t="s">
        <v>6</v>
      </c>
      <c r="L100" t="s">
        <v>688</v>
      </c>
      <c r="M100" t="s">
        <v>17</v>
      </c>
      <c r="N100">
        <v>4.4944970378640384E-2</v>
      </c>
      <c r="O100" t="s">
        <v>6</v>
      </c>
    </row>
    <row r="101" spans="2:15" x14ac:dyDescent="0.45">
      <c r="B101" t="s">
        <v>686</v>
      </c>
      <c r="C101" t="s">
        <v>18</v>
      </c>
      <c r="D101">
        <v>0</v>
      </c>
      <c r="E101" t="s">
        <v>6</v>
      </c>
      <c r="G101" t="s">
        <v>687</v>
      </c>
      <c r="H101" t="s">
        <v>18</v>
      </c>
      <c r="I101">
        <v>6.7239066275594533E-2</v>
      </c>
      <c r="J101" t="s">
        <v>6</v>
      </c>
      <c r="L101" t="s">
        <v>688</v>
      </c>
      <c r="M101" t="s">
        <v>18</v>
      </c>
      <c r="N101">
        <v>6.8340916799540671E-2</v>
      </c>
      <c r="O101" t="s">
        <v>6</v>
      </c>
    </row>
    <row r="102" spans="2:15" x14ac:dyDescent="0.45">
      <c r="B102" t="s">
        <v>686</v>
      </c>
      <c r="C102" t="s">
        <v>19</v>
      </c>
      <c r="D102">
        <v>0</v>
      </c>
      <c r="E102" t="s">
        <v>6</v>
      </c>
      <c r="G102" t="s">
        <v>687</v>
      </c>
      <c r="H102" t="s">
        <v>19</v>
      </c>
      <c r="I102">
        <v>2.3265456260998001E-2</v>
      </c>
      <c r="J102" t="s">
        <v>6</v>
      </c>
      <c r="L102" t="s">
        <v>688</v>
      </c>
      <c r="M102" t="s">
        <v>19</v>
      </c>
      <c r="N102">
        <v>2.6636169701312436E-2</v>
      </c>
      <c r="O102" t="s">
        <v>6</v>
      </c>
    </row>
    <row r="103" spans="2:15" x14ac:dyDescent="0.45">
      <c r="B103" t="s">
        <v>686</v>
      </c>
      <c r="C103" t="s">
        <v>20</v>
      </c>
      <c r="D103">
        <v>3.1122973816544866E-3</v>
      </c>
      <c r="E103" t="s">
        <v>6</v>
      </c>
      <c r="G103" t="s">
        <v>687</v>
      </c>
      <c r="H103" t="s">
        <v>20</v>
      </c>
      <c r="I103">
        <v>2.2340471866613771E-2</v>
      </c>
      <c r="J103" t="s">
        <v>6</v>
      </c>
      <c r="L103" t="s">
        <v>688</v>
      </c>
      <c r="M103" t="s">
        <v>20</v>
      </c>
      <c r="N103">
        <v>2.6419147782855146E-2</v>
      </c>
      <c r="O103" t="s">
        <v>6</v>
      </c>
    </row>
    <row r="104" spans="2:15" x14ac:dyDescent="0.45">
      <c r="B104" t="s">
        <v>686</v>
      </c>
      <c r="C104" t="s">
        <v>21</v>
      </c>
      <c r="D104">
        <v>2.9089752900795841E-2</v>
      </c>
      <c r="E104" t="s">
        <v>6</v>
      </c>
      <c r="G104" t="s">
        <v>687</v>
      </c>
      <c r="H104" t="s">
        <v>21</v>
      </c>
      <c r="I104">
        <v>2.1839607002746959E-2</v>
      </c>
      <c r="J104" t="s">
        <v>6</v>
      </c>
      <c r="L104" t="s">
        <v>688</v>
      </c>
      <c r="M104" t="s">
        <v>21</v>
      </c>
      <c r="N104">
        <v>2.4388578968843548E-2</v>
      </c>
      <c r="O104" t="s">
        <v>6</v>
      </c>
    </row>
    <row r="105" spans="2:15" x14ac:dyDescent="0.45">
      <c r="B105" t="s">
        <v>686</v>
      </c>
      <c r="C105" t="s">
        <v>22</v>
      </c>
      <c r="D105">
        <v>6.0522927233014973E-2</v>
      </c>
      <c r="E105" t="s">
        <v>6</v>
      </c>
      <c r="G105" t="s">
        <v>687</v>
      </c>
      <c r="H105" t="s">
        <v>22</v>
      </c>
      <c r="I105">
        <v>2.163865013649343E-2</v>
      </c>
      <c r="J105" t="s">
        <v>6</v>
      </c>
      <c r="L105" t="s">
        <v>688</v>
      </c>
      <c r="M105" t="s">
        <v>22</v>
      </c>
      <c r="N105">
        <v>2.3403519370701276E-2</v>
      </c>
      <c r="O105" t="s">
        <v>6</v>
      </c>
    </row>
    <row r="106" spans="2:15" x14ac:dyDescent="0.45">
      <c r="B106" t="s">
        <v>686</v>
      </c>
      <c r="C106" t="s">
        <v>23</v>
      </c>
      <c r="D106">
        <v>7.4935908460854628E-2</v>
      </c>
      <c r="E106" t="s">
        <v>6</v>
      </c>
      <c r="G106" t="s">
        <v>687</v>
      </c>
      <c r="H106" t="s">
        <v>23</v>
      </c>
      <c r="I106">
        <v>2.5327720227476546E-2</v>
      </c>
      <c r="J106" t="s">
        <v>6</v>
      </c>
      <c r="L106" t="s">
        <v>688</v>
      </c>
      <c r="M106" t="s">
        <v>23</v>
      </c>
      <c r="N106">
        <v>2.6127015779337612E-2</v>
      </c>
      <c r="O106" t="s">
        <v>6</v>
      </c>
    </row>
    <row r="107" spans="2:15" x14ac:dyDescent="0.45">
      <c r="B107" t="s">
        <v>686</v>
      </c>
      <c r="C107" t="s">
        <v>24</v>
      </c>
      <c r="D107">
        <v>6.6215343252390951E-2</v>
      </c>
      <c r="E107" t="s">
        <v>6</v>
      </c>
      <c r="G107" t="s">
        <v>687</v>
      </c>
      <c r="H107" t="s">
        <v>24</v>
      </c>
      <c r="I107">
        <v>3.0419647258621403E-2</v>
      </c>
      <c r="J107" t="s">
        <v>6</v>
      </c>
      <c r="L107" t="s">
        <v>688</v>
      </c>
      <c r="M107" t="s">
        <v>24</v>
      </c>
      <c r="N107">
        <v>2.9994993255537922E-2</v>
      </c>
      <c r="O107" t="s">
        <v>6</v>
      </c>
    </row>
    <row r="108" spans="2:15" x14ac:dyDescent="0.45">
      <c r="B108" t="s">
        <v>686</v>
      </c>
      <c r="C108" t="s">
        <v>25</v>
      </c>
      <c r="D108">
        <v>3.7785874271266569E-2</v>
      </c>
      <c r="E108" t="s">
        <v>6</v>
      </c>
      <c r="G108" t="s">
        <v>687</v>
      </c>
      <c r="H108" t="s">
        <v>25</v>
      </c>
      <c r="I108">
        <v>3.3170929341372925E-2</v>
      </c>
      <c r="J108" t="s">
        <v>6</v>
      </c>
      <c r="L108" t="s">
        <v>688</v>
      </c>
      <c r="M108" t="s">
        <v>25</v>
      </c>
      <c r="N108">
        <v>3.2372229388410494E-2</v>
      </c>
      <c r="O108" t="s">
        <v>6</v>
      </c>
    </row>
    <row r="109" spans="2:15" x14ac:dyDescent="0.45">
      <c r="B109" t="s">
        <v>686</v>
      </c>
      <c r="C109" t="s">
        <v>26</v>
      </c>
      <c r="D109">
        <v>6.6445733835604568E-3</v>
      </c>
      <c r="E109" t="s">
        <v>6</v>
      </c>
      <c r="G109" t="s">
        <v>687</v>
      </c>
      <c r="H109" t="s">
        <v>26</v>
      </c>
      <c r="I109">
        <v>3.0180254605974541E-2</v>
      </c>
      <c r="J109" t="s">
        <v>6</v>
      </c>
      <c r="L109" t="s">
        <v>688</v>
      </c>
      <c r="M109" t="s">
        <v>26</v>
      </c>
      <c r="N109">
        <v>3.1552887917056793E-2</v>
      </c>
      <c r="O109" t="s">
        <v>6</v>
      </c>
    </row>
    <row r="110" spans="2:15" x14ac:dyDescent="0.45">
      <c r="B110" t="s">
        <v>686</v>
      </c>
      <c r="C110" t="s">
        <v>27</v>
      </c>
      <c r="D110">
        <v>2.0658037535384658E-6</v>
      </c>
      <c r="E110" t="s">
        <v>6</v>
      </c>
      <c r="G110" t="s">
        <v>687</v>
      </c>
      <c r="H110" t="s">
        <v>27</v>
      </c>
      <c r="I110">
        <v>4.5040048491980879E-2</v>
      </c>
      <c r="J110" t="s">
        <v>6</v>
      </c>
      <c r="L110" t="s">
        <v>688</v>
      </c>
      <c r="M110" t="s">
        <v>27</v>
      </c>
      <c r="N110">
        <v>4.2974251988613925E-2</v>
      </c>
      <c r="O110" t="s">
        <v>6</v>
      </c>
    </row>
    <row r="111" spans="2:15" x14ac:dyDescent="0.45">
      <c r="B111" t="s">
        <v>686</v>
      </c>
      <c r="C111" t="s">
        <v>28</v>
      </c>
      <c r="D111">
        <v>0</v>
      </c>
      <c r="E111" t="s">
        <v>6</v>
      </c>
      <c r="G111" t="s">
        <v>687</v>
      </c>
      <c r="H111" t="s">
        <v>28</v>
      </c>
      <c r="I111">
        <v>3.87775738951458E-2</v>
      </c>
      <c r="J111" t="s">
        <v>6</v>
      </c>
      <c r="L111" t="s">
        <v>688</v>
      </c>
      <c r="M111" t="s">
        <v>28</v>
      </c>
      <c r="N111">
        <v>1.7271518727095626E-2</v>
      </c>
      <c r="O111" t="s">
        <v>6</v>
      </c>
    </row>
    <row r="112" spans="2:15" x14ac:dyDescent="0.45">
      <c r="B112" t="s">
        <v>686</v>
      </c>
      <c r="C112" t="s">
        <v>29</v>
      </c>
      <c r="D112">
        <v>0</v>
      </c>
      <c r="E112" t="s">
        <v>6</v>
      </c>
      <c r="G112" t="s">
        <v>687</v>
      </c>
      <c r="H112" t="s">
        <v>29</v>
      </c>
      <c r="I112">
        <v>1.0700838494071248E-2</v>
      </c>
      <c r="J112" t="s">
        <v>6</v>
      </c>
      <c r="L112" t="s">
        <v>688</v>
      </c>
      <c r="M112" t="s">
        <v>29</v>
      </c>
      <c r="N112">
        <v>7.3126602023590873E-3</v>
      </c>
      <c r="O112" t="s">
        <v>6</v>
      </c>
    </row>
    <row r="113" spans="2:15" x14ac:dyDescent="0.45">
      <c r="B113" t="s">
        <v>686</v>
      </c>
      <c r="C113" t="s">
        <v>30</v>
      </c>
      <c r="D113">
        <v>5.8730396319386013E-3</v>
      </c>
      <c r="E113" t="s">
        <v>6</v>
      </c>
      <c r="G113" t="s">
        <v>687</v>
      </c>
      <c r="H113" t="s">
        <v>30</v>
      </c>
      <c r="I113">
        <v>8.5553196785791586E-3</v>
      </c>
      <c r="J113" t="s">
        <v>6</v>
      </c>
      <c r="L113" t="s">
        <v>688</v>
      </c>
      <c r="M113" t="s">
        <v>30</v>
      </c>
      <c r="N113">
        <v>7.0937290504639889E-3</v>
      </c>
      <c r="O113" t="s">
        <v>6</v>
      </c>
    </row>
    <row r="114" spans="2:15" x14ac:dyDescent="0.45">
      <c r="B114" t="s">
        <v>686</v>
      </c>
      <c r="C114" t="s">
        <v>31</v>
      </c>
      <c r="D114">
        <v>3.9178598564136746E-2</v>
      </c>
      <c r="E114" t="s">
        <v>6</v>
      </c>
      <c r="G114" t="s">
        <v>687</v>
      </c>
      <c r="H114" t="s">
        <v>31</v>
      </c>
      <c r="I114">
        <v>5.0046124589992417E-3</v>
      </c>
      <c r="J114" t="s">
        <v>6</v>
      </c>
      <c r="L114" t="s">
        <v>688</v>
      </c>
      <c r="M114" t="s">
        <v>31</v>
      </c>
      <c r="N114">
        <v>6.2562248905380004E-3</v>
      </c>
      <c r="O114" t="s">
        <v>6</v>
      </c>
    </row>
    <row r="115" spans="2:15" x14ac:dyDescent="0.45">
      <c r="B115" t="s">
        <v>686</v>
      </c>
      <c r="C115" t="s">
        <v>32</v>
      </c>
      <c r="D115">
        <v>7.3359269923061063E-2</v>
      </c>
      <c r="E115" t="s">
        <v>6</v>
      </c>
      <c r="G115" t="s">
        <v>687</v>
      </c>
      <c r="H115" t="s">
        <v>32</v>
      </c>
      <c r="I115">
        <v>4.3487947242902428E-3</v>
      </c>
      <c r="J115" t="s">
        <v>6</v>
      </c>
      <c r="L115" t="s">
        <v>688</v>
      </c>
      <c r="M115" t="s">
        <v>32</v>
      </c>
      <c r="N115">
        <v>6.6939794085907221E-3</v>
      </c>
      <c r="O115" t="s">
        <v>6</v>
      </c>
    </row>
    <row r="116" spans="2:15" x14ac:dyDescent="0.45">
      <c r="B116" t="s">
        <v>686</v>
      </c>
      <c r="C116" t="s">
        <v>33</v>
      </c>
      <c r="D116">
        <v>8.6538844993893513E-2</v>
      </c>
      <c r="E116" t="s">
        <v>6</v>
      </c>
      <c r="G116" t="s">
        <v>687</v>
      </c>
      <c r="H116" t="s">
        <v>33</v>
      </c>
      <c r="I116">
        <v>5.6952500573855171E-3</v>
      </c>
      <c r="J116" t="s">
        <v>6</v>
      </c>
      <c r="L116" t="s">
        <v>688</v>
      </c>
      <c r="M116" t="s">
        <v>33</v>
      </c>
      <c r="N116">
        <v>9.5608080443602573E-3</v>
      </c>
      <c r="O116" t="s">
        <v>6</v>
      </c>
    </row>
    <row r="117" spans="2:15" x14ac:dyDescent="0.45">
      <c r="B117" t="s">
        <v>686</v>
      </c>
      <c r="C117" t="s">
        <v>34</v>
      </c>
      <c r="D117">
        <v>7.7572765985831141E-2</v>
      </c>
      <c r="E117" t="s">
        <v>6</v>
      </c>
      <c r="G117" t="s">
        <v>687</v>
      </c>
      <c r="H117" t="s">
        <v>34</v>
      </c>
      <c r="I117">
        <v>7.900481523296303E-3</v>
      </c>
      <c r="J117" t="s">
        <v>6</v>
      </c>
      <c r="L117" t="s">
        <v>688</v>
      </c>
      <c r="M117" t="s">
        <v>34</v>
      </c>
      <c r="N117">
        <v>1.2105039685209245E-2</v>
      </c>
      <c r="O117" t="s">
        <v>6</v>
      </c>
    </row>
    <row r="118" spans="2:15" x14ac:dyDescent="0.45">
      <c r="B118" t="s">
        <v>686</v>
      </c>
      <c r="C118" t="s">
        <v>35</v>
      </c>
      <c r="D118">
        <v>4.9852361110458113E-2</v>
      </c>
      <c r="E118" t="s">
        <v>6</v>
      </c>
      <c r="G118" t="s">
        <v>687</v>
      </c>
      <c r="H118" t="s">
        <v>35</v>
      </c>
      <c r="I118">
        <v>1.0787155320770563E-2</v>
      </c>
      <c r="J118" t="s">
        <v>6</v>
      </c>
      <c r="L118" t="s">
        <v>688</v>
      </c>
      <c r="M118" t="s">
        <v>35</v>
      </c>
      <c r="N118">
        <v>1.2617723340411649E-2</v>
      </c>
      <c r="O118" t="s">
        <v>6</v>
      </c>
    </row>
    <row r="119" spans="2:15" x14ac:dyDescent="0.45">
      <c r="B119" t="s">
        <v>686</v>
      </c>
      <c r="C119" t="s">
        <v>36</v>
      </c>
      <c r="D119">
        <v>1.2280168876714669E-2</v>
      </c>
      <c r="E119" t="s">
        <v>6</v>
      </c>
      <c r="G119" t="s">
        <v>687</v>
      </c>
      <c r="H119" t="s">
        <v>36</v>
      </c>
      <c r="I119">
        <v>1.495298385354756E-2</v>
      </c>
      <c r="J119" t="s">
        <v>6</v>
      </c>
      <c r="L119" t="s">
        <v>688</v>
      </c>
      <c r="M119" t="s">
        <v>36</v>
      </c>
      <c r="N119">
        <v>1.1216588744244421E-2</v>
      </c>
      <c r="O119" t="s">
        <v>6</v>
      </c>
    </row>
    <row r="120" spans="2:15" x14ac:dyDescent="0.45">
      <c r="B120" t="s">
        <v>686</v>
      </c>
      <c r="C120" t="s">
        <v>37</v>
      </c>
      <c r="D120">
        <v>1.2101212937480849E-4</v>
      </c>
      <c r="E120" t="s">
        <v>6</v>
      </c>
      <c r="G120" t="s">
        <v>687</v>
      </c>
      <c r="H120" t="s">
        <v>37</v>
      </c>
      <c r="I120">
        <v>3.4311678371997299E-2</v>
      </c>
      <c r="J120" t="s">
        <v>6</v>
      </c>
      <c r="L120" t="s">
        <v>688</v>
      </c>
      <c r="M120" t="s">
        <v>37</v>
      </c>
      <c r="N120">
        <v>1.1629012656774334E-2</v>
      </c>
      <c r="O120" t="s">
        <v>6</v>
      </c>
    </row>
    <row r="121" spans="2:15" x14ac:dyDescent="0.45">
      <c r="B121" t="s">
        <v>686</v>
      </c>
      <c r="C121" t="s">
        <v>38</v>
      </c>
      <c r="D121">
        <v>0</v>
      </c>
      <c r="E121" t="s">
        <v>6</v>
      </c>
      <c r="G121" t="s">
        <v>687</v>
      </c>
      <c r="H121" t="s">
        <v>38</v>
      </c>
      <c r="I121">
        <v>4.73614179070855E-2</v>
      </c>
      <c r="J121" t="s">
        <v>6</v>
      </c>
      <c r="L121" t="s">
        <v>688</v>
      </c>
      <c r="M121" t="s">
        <v>38</v>
      </c>
      <c r="N121">
        <v>4.2561595961097369E-2</v>
      </c>
      <c r="O121" t="s">
        <v>6</v>
      </c>
    </row>
    <row r="122" spans="2:15" x14ac:dyDescent="0.45">
      <c r="B122" t="s">
        <v>686</v>
      </c>
      <c r="C122" t="s">
        <v>39</v>
      </c>
      <c r="D122">
        <v>0</v>
      </c>
      <c r="E122" t="s">
        <v>6</v>
      </c>
      <c r="G122" t="s">
        <v>687</v>
      </c>
      <c r="H122" t="s">
        <v>39</v>
      </c>
      <c r="I122">
        <v>1.6384851476418959E-2</v>
      </c>
      <c r="J122" t="s">
        <v>6</v>
      </c>
      <c r="L122" t="s">
        <v>688</v>
      </c>
      <c r="M122" t="s">
        <v>39</v>
      </c>
      <c r="N122">
        <v>1.742591688595985E-2</v>
      </c>
      <c r="O122" t="s">
        <v>6</v>
      </c>
    </row>
    <row r="123" spans="2:15" x14ac:dyDescent="0.45">
      <c r="B123" t="s">
        <v>686</v>
      </c>
      <c r="C123" t="s">
        <v>40</v>
      </c>
      <c r="D123">
        <v>7.1180311304120867E-4</v>
      </c>
      <c r="E123" t="s">
        <v>6</v>
      </c>
      <c r="G123" t="s">
        <v>687</v>
      </c>
      <c r="H123" t="s">
        <v>40</v>
      </c>
      <c r="I123">
        <v>1.5799343439665874E-2</v>
      </c>
      <c r="J123" t="s">
        <v>6</v>
      </c>
      <c r="L123" t="s">
        <v>688</v>
      </c>
      <c r="M123" t="s">
        <v>40</v>
      </c>
      <c r="N123">
        <v>1.7383242284393099E-2</v>
      </c>
      <c r="O123" t="s">
        <v>6</v>
      </c>
    </row>
    <row r="124" spans="2:15" x14ac:dyDescent="0.45">
      <c r="B124" t="s">
        <v>686</v>
      </c>
      <c r="C124" t="s">
        <v>41</v>
      </c>
      <c r="D124">
        <v>2.1736870807531672E-2</v>
      </c>
      <c r="E124" t="s">
        <v>6</v>
      </c>
      <c r="G124" t="s">
        <v>687</v>
      </c>
      <c r="H124" t="s">
        <v>41</v>
      </c>
      <c r="I124">
        <v>1.4140738056728903E-2</v>
      </c>
      <c r="J124" t="s">
        <v>6</v>
      </c>
      <c r="L124" t="s">
        <v>688</v>
      </c>
      <c r="M124" t="s">
        <v>41</v>
      </c>
      <c r="N124">
        <v>1.6516209201822504E-2</v>
      </c>
      <c r="O124" t="s">
        <v>6</v>
      </c>
    </row>
    <row r="125" spans="2:15" x14ac:dyDescent="0.45">
      <c r="B125" t="s">
        <v>686</v>
      </c>
      <c r="C125" t="s">
        <v>42</v>
      </c>
      <c r="D125">
        <v>5.2100378935462273E-2</v>
      </c>
      <c r="E125" t="s">
        <v>6</v>
      </c>
      <c r="G125" t="s">
        <v>687</v>
      </c>
      <c r="H125" t="s">
        <v>42</v>
      </c>
      <c r="I125">
        <v>1.307683244518202E-2</v>
      </c>
      <c r="J125" t="s">
        <v>6</v>
      </c>
      <c r="L125" t="s">
        <v>688</v>
      </c>
      <c r="M125" t="s">
        <v>42</v>
      </c>
      <c r="N125">
        <v>1.5565753678356381E-2</v>
      </c>
      <c r="O125" t="s">
        <v>6</v>
      </c>
    </row>
    <row r="126" spans="2:15" x14ac:dyDescent="0.45">
      <c r="B126" t="s">
        <v>686</v>
      </c>
      <c r="C126" t="s">
        <v>43</v>
      </c>
      <c r="D126">
        <v>6.1121491072005277E-2</v>
      </c>
      <c r="E126" t="s">
        <v>6</v>
      </c>
      <c r="G126" t="s">
        <v>687</v>
      </c>
      <c r="H126" t="s">
        <v>43</v>
      </c>
      <c r="I126">
        <v>1.4755143806465483E-2</v>
      </c>
      <c r="J126" t="s">
        <v>6</v>
      </c>
      <c r="L126" t="s">
        <v>688</v>
      </c>
      <c r="M126" t="s">
        <v>43</v>
      </c>
      <c r="N126">
        <v>1.5049872681893103E-2</v>
      </c>
      <c r="O126" t="s">
        <v>6</v>
      </c>
    </row>
    <row r="127" spans="2:15" x14ac:dyDescent="0.45">
      <c r="B127" t="s">
        <v>686</v>
      </c>
      <c r="C127" t="s">
        <v>44</v>
      </c>
      <c r="D127">
        <v>4.8272566423661199E-2</v>
      </c>
      <c r="E127" t="s">
        <v>6</v>
      </c>
      <c r="G127" t="s">
        <v>687</v>
      </c>
      <c r="H127" t="s">
        <v>44</v>
      </c>
      <c r="I127">
        <v>1.6147574764453696E-2</v>
      </c>
      <c r="J127" t="s">
        <v>6</v>
      </c>
      <c r="L127" t="s">
        <v>688</v>
      </c>
      <c r="M127" t="s">
        <v>44</v>
      </c>
      <c r="N127">
        <v>1.553654535143387E-2</v>
      </c>
      <c r="O127" t="s">
        <v>6</v>
      </c>
    </row>
    <row r="128" spans="2:15" x14ac:dyDescent="0.45">
      <c r="B128" t="s">
        <v>686</v>
      </c>
      <c r="C128" t="s">
        <v>45</v>
      </c>
      <c r="D128">
        <v>2.2148090467240939E-2</v>
      </c>
      <c r="E128" t="s">
        <v>6</v>
      </c>
      <c r="G128" t="s">
        <v>687</v>
      </c>
      <c r="H128" t="s">
        <v>45</v>
      </c>
      <c r="I128">
        <v>1.6430778315833481E-2</v>
      </c>
      <c r="J128" t="s">
        <v>6</v>
      </c>
      <c r="L128" t="s">
        <v>688</v>
      </c>
      <c r="M128" t="s">
        <v>45</v>
      </c>
      <c r="N128">
        <v>1.7025139166553828E-2</v>
      </c>
      <c r="O128" t="s">
        <v>6</v>
      </c>
    </row>
    <row r="129" spans="2:15" x14ac:dyDescent="0.45">
      <c r="B129" t="s">
        <v>686</v>
      </c>
      <c r="C129" t="s">
        <v>46</v>
      </c>
      <c r="D129">
        <v>1.4780514233638489E-3</v>
      </c>
      <c r="E129" t="s">
        <v>6</v>
      </c>
      <c r="G129" t="s">
        <v>687</v>
      </c>
      <c r="H129" t="s">
        <v>46</v>
      </c>
      <c r="I129">
        <v>1.9301820295757777E-2</v>
      </c>
      <c r="J129" t="s">
        <v>6</v>
      </c>
      <c r="L129" t="s">
        <v>688</v>
      </c>
      <c r="M129" t="s">
        <v>46</v>
      </c>
      <c r="N129">
        <v>1.8508905897358145E-2</v>
      </c>
      <c r="O129" t="s">
        <v>6</v>
      </c>
    </row>
    <row r="130" spans="2:15" x14ac:dyDescent="0.45">
      <c r="B130" t="s">
        <v>686</v>
      </c>
      <c r="C130" t="s">
        <v>47</v>
      </c>
      <c r="D130">
        <v>0</v>
      </c>
      <c r="E130" t="s">
        <v>6</v>
      </c>
      <c r="G130" t="s">
        <v>687</v>
      </c>
      <c r="H130" t="s">
        <v>47</v>
      </c>
      <c r="I130">
        <v>3.2727341019942409E-2</v>
      </c>
      <c r="J130" t="s">
        <v>6</v>
      </c>
      <c r="L130" t="s">
        <v>688</v>
      </c>
      <c r="M130" t="s">
        <v>47</v>
      </c>
      <c r="N130">
        <v>2.7514370831002555E-2</v>
      </c>
      <c r="O130" t="s">
        <v>6</v>
      </c>
    </row>
    <row r="131" spans="2:15" x14ac:dyDescent="0.45">
      <c r="B131" t="s">
        <v>689</v>
      </c>
      <c r="C131" t="s">
        <v>5</v>
      </c>
      <c r="D131">
        <v>0</v>
      </c>
      <c r="E131" t="s">
        <v>6</v>
      </c>
      <c r="G131" t="s">
        <v>690</v>
      </c>
      <c r="H131" t="s">
        <v>5</v>
      </c>
      <c r="I131">
        <v>7.8353269054314431E-2</v>
      </c>
      <c r="J131" t="s">
        <v>6</v>
      </c>
      <c r="L131" t="s">
        <v>691</v>
      </c>
      <c r="M131" t="s">
        <v>5</v>
      </c>
      <c r="N131">
        <v>7.598697184730871E-2</v>
      </c>
      <c r="O131" t="s">
        <v>6</v>
      </c>
    </row>
    <row r="132" spans="2:15" x14ac:dyDescent="0.45">
      <c r="B132" t="s">
        <v>689</v>
      </c>
      <c r="C132" t="s">
        <v>9</v>
      </c>
      <c r="D132">
        <v>0</v>
      </c>
      <c r="E132" t="s">
        <v>6</v>
      </c>
      <c r="G132" t="s">
        <v>690</v>
      </c>
      <c r="H132" t="s">
        <v>9</v>
      </c>
      <c r="I132">
        <v>2.8061429781021122E-2</v>
      </c>
      <c r="J132" t="s">
        <v>6</v>
      </c>
      <c r="L132" t="s">
        <v>691</v>
      </c>
      <c r="M132" t="s">
        <v>9</v>
      </c>
      <c r="N132">
        <v>3.065177195456318E-2</v>
      </c>
      <c r="O132" t="s">
        <v>6</v>
      </c>
    </row>
    <row r="133" spans="2:15" x14ac:dyDescent="0.45">
      <c r="B133" t="s">
        <v>689</v>
      </c>
      <c r="C133" t="s">
        <v>10</v>
      </c>
      <c r="D133">
        <v>0</v>
      </c>
      <c r="E133" t="s">
        <v>6</v>
      </c>
      <c r="G133" t="s">
        <v>690</v>
      </c>
      <c r="H133" t="s">
        <v>10</v>
      </c>
      <c r="I133">
        <v>2.6085900718464585E-2</v>
      </c>
      <c r="J133" t="s">
        <v>6</v>
      </c>
      <c r="L133" t="s">
        <v>691</v>
      </c>
      <c r="M133" t="s">
        <v>10</v>
      </c>
      <c r="N133">
        <v>3.0818584654739991E-2</v>
      </c>
      <c r="O133" t="s">
        <v>6</v>
      </c>
    </row>
    <row r="134" spans="2:15" x14ac:dyDescent="0.45">
      <c r="B134" t="s">
        <v>689</v>
      </c>
      <c r="C134" t="s">
        <v>11</v>
      </c>
      <c r="D134">
        <v>5.0830437114891477E-3</v>
      </c>
      <c r="E134" t="s">
        <v>6</v>
      </c>
      <c r="G134" t="s">
        <v>690</v>
      </c>
      <c r="H134" t="s">
        <v>11</v>
      </c>
      <c r="I134">
        <v>2.4074391537949106E-2</v>
      </c>
      <c r="J134" t="s">
        <v>6</v>
      </c>
      <c r="L134" t="s">
        <v>691</v>
      </c>
      <c r="M134" t="s">
        <v>11</v>
      </c>
      <c r="N134">
        <v>3.0684725070106517E-2</v>
      </c>
      <c r="O134" t="s">
        <v>6</v>
      </c>
    </row>
    <row r="135" spans="2:15" x14ac:dyDescent="0.45">
      <c r="B135" t="s">
        <v>689</v>
      </c>
      <c r="C135" t="s">
        <v>12</v>
      </c>
      <c r="D135">
        <v>3.0862560027281213E-2</v>
      </c>
      <c r="E135" t="s">
        <v>6</v>
      </c>
      <c r="G135" t="s">
        <v>690</v>
      </c>
      <c r="H135" t="s">
        <v>12</v>
      </c>
      <c r="I135">
        <v>2.2908849082821769E-2</v>
      </c>
      <c r="J135" t="s">
        <v>6</v>
      </c>
      <c r="L135" t="s">
        <v>691</v>
      </c>
      <c r="M135" t="s">
        <v>12</v>
      </c>
      <c r="N135">
        <v>3.0634700403460401E-2</v>
      </c>
      <c r="O135" t="s">
        <v>6</v>
      </c>
    </row>
    <row r="136" spans="2:15" x14ac:dyDescent="0.45">
      <c r="B136" t="s">
        <v>689</v>
      </c>
      <c r="C136" t="s">
        <v>13</v>
      </c>
      <c r="D136">
        <v>4.8297387195879289E-2</v>
      </c>
      <c r="E136" t="s">
        <v>6</v>
      </c>
      <c r="G136" t="s">
        <v>690</v>
      </c>
      <c r="H136" t="s">
        <v>13</v>
      </c>
      <c r="I136">
        <v>2.8570602641969409E-2</v>
      </c>
      <c r="J136" t="s">
        <v>6</v>
      </c>
      <c r="L136" t="s">
        <v>691</v>
      </c>
      <c r="M136" t="s">
        <v>13</v>
      </c>
      <c r="N136">
        <v>2.9789806491233761E-2</v>
      </c>
      <c r="O136" t="s">
        <v>6</v>
      </c>
    </row>
    <row r="137" spans="2:15" x14ac:dyDescent="0.45">
      <c r="B137" t="s">
        <v>689</v>
      </c>
      <c r="C137" t="s">
        <v>14</v>
      </c>
      <c r="D137">
        <v>4.2332081426982353E-2</v>
      </c>
      <c r="E137" t="s">
        <v>6</v>
      </c>
      <c r="G137" t="s">
        <v>690</v>
      </c>
      <c r="H137" t="s">
        <v>14</v>
      </c>
      <c r="I137">
        <v>3.139873070971394E-2</v>
      </c>
      <c r="J137" t="s">
        <v>6</v>
      </c>
      <c r="L137" t="s">
        <v>691</v>
      </c>
      <c r="M137" t="s">
        <v>14</v>
      </c>
      <c r="N137">
        <v>2.8621781182347237E-2</v>
      </c>
      <c r="O137" t="s">
        <v>6</v>
      </c>
    </row>
    <row r="138" spans="2:15" x14ac:dyDescent="0.45">
      <c r="B138" t="s">
        <v>689</v>
      </c>
      <c r="C138" t="s">
        <v>15</v>
      </c>
      <c r="D138">
        <v>1.993724785006688E-2</v>
      </c>
      <c r="E138" t="s">
        <v>6</v>
      </c>
      <c r="G138" t="s">
        <v>690</v>
      </c>
      <c r="H138" t="s">
        <v>15</v>
      </c>
      <c r="I138">
        <v>2.9402965625173805E-2</v>
      </c>
      <c r="J138" t="s">
        <v>6</v>
      </c>
      <c r="L138" t="s">
        <v>691</v>
      </c>
      <c r="M138" t="s">
        <v>15</v>
      </c>
      <c r="N138">
        <v>2.8064207404859896E-2</v>
      </c>
      <c r="O138" t="s">
        <v>6</v>
      </c>
    </row>
    <row r="139" spans="2:15" x14ac:dyDescent="0.45">
      <c r="B139" t="s">
        <v>689</v>
      </c>
      <c r="C139" t="s">
        <v>16</v>
      </c>
      <c r="D139">
        <v>1.0131536062878584E-3</v>
      </c>
      <c r="E139" t="s">
        <v>6</v>
      </c>
      <c r="G139" t="s">
        <v>690</v>
      </c>
      <c r="H139" t="s">
        <v>16</v>
      </c>
      <c r="I139">
        <v>2.7753945156530249E-2</v>
      </c>
      <c r="J139" t="s">
        <v>6</v>
      </c>
      <c r="L139" t="s">
        <v>691</v>
      </c>
      <c r="M139" t="s">
        <v>16</v>
      </c>
      <c r="N139">
        <v>2.8806007002100335E-2</v>
      </c>
      <c r="O139" t="s">
        <v>6</v>
      </c>
    </row>
    <row r="140" spans="2:15" x14ac:dyDescent="0.45">
      <c r="B140" t="s">
        <v>689</v>
      </c>
      <c r="C140" t="s">
        <v>17</v>
      </c>
      <c r="D140">
        <v>0</v>
      </c>
      <c r="E140" t="s">
        <v>6</v>
      </c>
      <c r="G140" t="s">
        <v>690</v>
      </c>
      <c r="H140" t="s">
        <v>17</v>
      </c>
      <c r="I140">
        <v>4.3327575481185397E-2</v>
      </c>
      <c r="J140" t="s">
        <v>6</v>
      </c>
      <c r="L140" t="s">
        <v>691</v>
      </c>
      <c r="M140" t="s">
        <v>17</v>
      </c>
      <c r="N140">
        <v>4.4082908899471668E-2</v>
      </c>
      <c r="O140" t="s">
        <v>6</v>
      </c>
    </row>
    <row r="141" spans="2:15" x14ac:dyDescent="0.45">
      <c r="B141" t="s">
        <v>689</v>
      </c>
      <c r="C141" t="s">
        <v>18</v>
      </c>
      <c r="D141">
        <v>0</v>
      </c>
      <c r="E141" t="s">
        <v>6</v>
      </c>
      <c r="G141" t="s">
        <v>690</v>
      </c>
      <c r="H141" t="s">
        <v>18</v>
      </c>
      <c r="I141">
        <v>6.5054221404094725E-2</v>
      </c>
      <c r="J141" t="s">
        <v>6</v>
      </c>
      <c r="L141" t="s">
        <v>691</v>
      </c>
      <c r="M141" t="s">
        <v>18</v>
      </c>
      <c r="N141">
        <v>6.904518633621963E-2</v>
      </c>
      <c r="O141" t="s">
        <v>6</v>
      </c>
    </row>
    <row r="142" spans="2:15" x14ac:dyDescent="0.45">
      <c r="B142" t="s">
        <v>689</v>
      </c>
      <c r="C142" t="s">
        <v>19</v>
      </c>
      <c r="D142">
        <v>0</v>
      </c>
      <c r="E142" t="s">
        <v>6</v>
      </c>
      <c r="G142" t="s">
        <v>690</v>
      </c>
      <c r="H142" t="s">
        <v>19</v>
      </c>
      <c r="I142">
        <v>2.0380906431390206E-2</v>
      </c>
      <c r="J142" t="s">
        <v>6</v>
      </c>
      <c r="L142" t="s">
        <v>691</v>
      </c>
      <c r="M142" t="s">
        <v>19</v>
      </c>
      <c r="N142">
        <v>2.7688168528980834E-2</v>
      </c>
      <c r="O142" t="s">
        <v>6</v>
      </c>
    </row>
    <row r="143" spans="2:15" x14ac:dyDescent="0.45">
      <c r="B143" t="s">
        <v>689</v>
      </c>
      <c r="C143" t="s">
        <v>20</v>
      </c>
      <c r="D143">
        <v>1.7172495880315029E-3</v>
      </c>
      <c r="E143" t="s">
        <v>6</v>
      </c>
      <c r="G143" t="s">
        <v>690</v>
      </c>
      <c r="H143" t="s">
        <v>20</v>
      </c>
      <c r="I143">
        <v>1.8014017498600012E-2</v>
      </c>
      <c r="J143" t="s">
        <v>6</v>
      </c>
      <c r="L143" t="s">
        <v>691</v>
      </c>
      <c r="M143" t="s">
        <v>20</v>
      </c>
      <c r="N143">
        <v>2.7492465862642011E-2</v>
      </c>
      <c r="O143" t="s">
        <v>6</v>
      </c>
    </row>
    <row r="144" spans="2:15" x14ac:dyDescent="0.45">
      <c r="B144" t="s">
        <v>689</v>
      </c>
      <c r="C144" t="s">
        <v>21</v>
      </c>
      <c r="D144">
        <v>2.4194004771631455E-2</v>
      </c>
      <c r="E144" t="s">
        <v>6</v>
      </c>
      <c r="G144" t="s">
        <v>690</v>
      </c>
      <c r="H144" t="s">
        <v>21</v>
      </c>
      <c r="I144">
        <v>1.7983334359651774E-2</v>
      </c>
      <c r="J144" t="s">
        <v>6</v>
      </c>
      <c r="L144" t="s">
        <v>691</v>
      </c>
      <c r="M144" t="s">
        <v>21</v>
      </c>
      <c r="N144">
        <v>2.6396189919729321E-2</v>
      </c>
      <c r="O144" t="s">
        <v>6</v>
      </c>
    </row>
    <row r="145" spans="2:15" x14ac:dyDescent="0.45">
      <c r="B145" t="s">
        <v>689</v>
      </c>
      <c r="C145" t="s">
        <v>22</v>
      </c>
      <c r="D145">
        <v>5.5327048168165964E-2</v>
      </c>
      <c r="E145" t="s">
        <v>6</v>
      </c>
      <c r="G145" t="s">
        <v>690</v>
      </c>
      <c r="H145" t="s">
        <v>22</v>
      </c>
      <c r="I145">
        <v>2.1101052988431759E-2</v>
      </c>
      <c r="J145" t="s">
        <v>6</v>
      </c>
      <c r="L145" t="s">
        <v>691</v>
      </c>
      <c r="M145" t="s">
        <v>22</v>
      </c>
      <c r="N145">
        <v>2.5534945619875862E-2</v>
      </c>
      <c r="O145" t="s">
        <v>6</v>
      </c>
    </row>
    <row r="146" spans="2:15" x14ac:dyDescent="0.45">
      <c r="B146" t="s">
        <v>689</v>
      </c>
      <c r="C146" t="s">
        <v>23</v>
      </c>
      <c r="D146">
        <v>7.2308238278845999E-2</v>
      </c>
      <c r="E146" t="s">
        <v>6</v>
      </c>
      <c r="G146" t="s">
        <v>690</v>
      </c>
      <c r="H146" t="s">
        <v>23</v>
      </c>
      <c r="I146">
        <v>2.8600991975445873E-2</v>
      </c>
      <c r="J146" t="s">
        <v>6</v>
      </c>
      <c r="L146" t="s">
        <v>691</v>
      </c>
      <c r="M146" t="s">
        <v>23</v>
      </c>
      <c r="N146">
        <v>2.6384381401887237E-2</v>
      </c>
      <c r="O146" t="s">
        <v>6</v>
      </c>
    </row>
    <row r="147" spans="2:15" x14ac:dyDescent="0.45">
      <c r="B147" t="s">
        <v>689</v>
      </c>
      <c r="C147" t="s">
        <v>24</v>
      </c>
      <c r="D147">
        <v>6.704820834527403E-2</v>
      </c>
      <c r="E147" t="s">
        <v>6</v>
      </c>
      <c r="G147" t="s">
        <v>690</v>
      </c>
      <c r="H147" t="s">
        <v>24</v>
      </c>
      <c r="I147">
        <v>3.6062669843819513E-2</v>
      </c>
      <c r="J147" t="s">
        <v>6</v>
      </c>
      <c r="L147" t="s">
        <v>691</v>
      </c>
      <c r="M147" t="s">
        <v>24</v>
      </c>
      <c r="N147">
        <v>2.6293374796147646E-2</v>
      </c>
      <c r="O147" t="s">
        <v>6</v>
      </c>
    </row>
    <row r="148" spans="2:15" x14ac:dyDescent="0.45">
      <c r="B148" t="s">
        <v>689</v>
      </c>
      <c r="C148" t="s">
        <v>25</v>
      </c>
      <c r="D148">
        <v>4.3290686091054749E-2</v>
      </c>
      <c r="E148" t="s">
        <v>6</v>
      </c>
      <c r="G148" t="s">
        <v>690</v>
      </c>
      <c r="H148" t="s">
        <v>25</v>
      </c>
      <c r="I148">
        <v>3.9066986737117594E-2</v>
      </c>
      <c r="J148" t="s">
        <v>6</v>
      </c>
      <c r="L148" t="s">
        <v>691</v>
      </c>
      <c r="M148" t="s">
        <v>25</v>
      </c>
      <c r="N148">
        <v>2.6293470588960307E-2</v>
      </c>
      <c r="O148" t="s">
        <v>6</v>
      </c>
    </row>
    <row r="149" spans="2:15" x14ac:dyDescent="0.45">
      <c r="B149" t="s">
        <v>689</v>
      </c>
      <c r="C149" t="s">
        <v>26</v>
      </c>
      <c r="D149">
        <v>1.0923182712372369E-2</v>
      </c>
      <c r="E149" t="s">
        <v>6</v>
      </c>
      <c r="G149" t="s">
        <v>690</v>
      </c>
      <c r="H149" t="s">
        <v>26</v>
      </c>
      <c r="I149">
        <v>3.5206763923021418E-2</v>
      </c>
      <c r="J149" t="s">
        <v>6</v>
      </c>
      <c r="L149" t="s">
        <v>691</v>
      </c>
      <c r="M149" t="s">
        <v>26</v>
      </c>
      <c r="N149">
        <v>2.8377505639879473E-2</v>
      </c>
      <c r="O149" t="s">
        <v>6</v>
      </c>
    </row>
    <row r="150" spans="2:15" x14ac:dyDescent="0.45">
      <c r="B150" t="s">
        <v>689</v>
      </c>
      <c r="C150" t="s">
        <v>27</v>
      </c>
      <c r="D150">
        <v>7.114050592704051E-5</v>
      </c>
      <c r="E150" t="s">
        <v>6</v>
      </c>
      <c r="G150" t="s">
        <v>690</v>
      </c>
      <c r="H150" t="s">
        <v>27</v>
      </c>
      <c r="I150">
        <v>4.7933210414637696E-2</v>
      </c>
      <c r="J150" t="s">
        <v>6</v>
      </c>
      <c r="L150" t="s">
        <v>691</v>
      </c>
      <c r="M150" t="s">
        <v>27</v>
      </c>
      <c r="N150">
        <v>4.3309363836415767E-2</v>
      </c>
      <c r="O150" t="s">
        <v>6</v>
      </c>
    </row>
    <row r="151" spans="2:15" x14ac:dyDescent="0.45">
      <c r="B151" t="s">
        <v>689</v>
      </c>
      <c r="C151" t="s">
        <v>28</v>
      </c>
      <c r="D151">
        <v>0</v>
      </c>
      <c r="E151" t="s">
        <v>6</v>
      </c>
      <c r="G151" t="s">
        <v>690</v>
      </c>
      <c r="H151" t="s">
        <v>28</v>
      </c>
      <c r="I151">
        <v>3.7109021474785071E-2</v>
      </c>
      <c r="J151" t="s">
        <v>6</v>
      </c>
      <c r="L151" t="s">
        <v>691</v>
      </c>
      <c r="M151" t="s">
        <v>28</v>
      </c>
      <c r="N151">
        <v>1.9919518377685574E-2</v>
      </c>
      <c r="O151" t="s">
        <v>6</v>
      </c>
    </row>
    <row r="152" spans="2:15" x14ac:dyDescent="0.45">
      <c r="B152" t="s">
        <v>689</v>
      </c>
      <c r="C152" t="s">
        <v>29</v>
      </c>
      <c r="D152">
        <v>0</v>
      </c>
      <c r="E152" t="s">
        <v>6</v>
      </c>
      <c r="G152" t="s">
        <v>690</v>
      </c>
      <c r="H152" t="s">
        <v>29</v>
      </c>
      <c r="I152">
        <v>8.0876917858370406E-3</v>
      </c>
      <c r="J152" t="s">
        <v>6</v>
      </c>
      <c r="L152" t="s">
        <v>691</v>
      </c>
      <c r="M152" t="s">
        <v>29</v>
      </c>
      <c r="N152">
        <v>9.6480304471001574E-3</v>
      </c>
      <c r="O152" t="s">
        <v>6</v>
      </c>
    </row>
    <row r="153" spans="2:15" x14ac:dyDescent="0.45">
      <c r="B153" t="s">
        <v>689</v>
      </c>
      <c r="C153" t="s">
        <v>30</v>
      </c>
      <c r="D153">
        <v>3.1298169636217671E-3</v>
      </c>
      <c r="E153" t="s">
        <v>6</v>
      </c>
      <c r="G153" t="s">
        <v>690</v>
      </c>
      <c r="H153" t="s">
        <v>30</v>
      </c>
      <c r="I153">
        <v>6.2478674849690023E-3</v>
      </c>
      <c r="J153" t="s">
        <v>6</v>
      </c>
      <c r="L153" t="s">
        <v>691</v>
      </c>
      <c r="M153" t="s">
        <v>30</v>
      </c>
      <c r="N153">
        <v>1.0082330326491737E-2</v>
      </c>
      <c r="O153" t="s">
        <v>6</v>
      </c>
    </row>
    <row r="154" spans="2:15" x14ac:dyDescent="0.45">
      <c r="B154" t="s">
        <v>689</v>
      </c>
      <c r="C154" t="s">
        <v>31</v>
      </c>
      <c r="D154">
        <v>3.4370614585959268E-2</v>
      </c>
      <c r="E154" t="s">
        <v>6</v>
      </c>
      <c r="G154" t="s">
        <v>690</v>
      </c>
      <c r="H154" t="s">
        <v>31</v>
      </c>
      <c r="I154">
        <v>4.9563391058622874E-3</v>
      </c>
      <c r="J154" t="s">
        <v>6</v>
      </c>
      <c r="L154" t="s">
        <v>691</v>
      </c>
      <c r="M154" t="s">
        <v>31</v>
      </c>
      <c r="N154">
        <v>8.9127674371118053E-3</v>
      </c>
      <c r="O154" t="s">
        <v>6</v>
      </c>
    </row>
    <row r="155" spans="2:15" x14ac:dyDescent="0.45">
      <c r="B155" t="s">
        <v>689</v>
      </c>
      <c r="C155" t="s">
        <v>32</v>
      </c>
      <c r="D155">
        <v>7.1469136882051643E-2</v>
      </c>
      <c r="E155" t="s">
        <v>6</v>
      </c>
      <c r="G155" t="s">
        <v>690</v>
      </c>
      <c r="H155" t="s">
        <v>32</v>
      </c>
      <c r="I155">
        <v>5.7202004261982025E-3</v>
      </c>
      <c r="J155" t="s">
        <v>6</v>
      </c>
      <c r="L155" t="s">
        <v>691</v>
      </c>
      <c r="M155" t="s">
        <v>32</v>
      </c>
      <c r="N155">
        <v>8.3114195009427946E-3</v>
      </c>
      <c r="O155" t="s">
        <v>6</v>
      </c>
    </row>
    <row r="156" spans="2:15" x14ac:dyDescent="0.45">
      <c r="B156" t="s">
        <v>689</v>
      </c>
      <c r="C156" t="s">
        <v>33</v>
      </c>
      <c r="D156">
        <v>8.822926505471719E-2</v>
      </c>
      <c r="E156" t="s">
        <v>6</v>
      </c>
      <c r="G156" t="s">
        <v>690</v>
      </c>
      <c r="H156" t="s">
        <v>33</v>
      </c>
      <c r="I156">
        <v>8.6974327213748624E-3</v>
      </c>
      <c r="J156" t="s">
        <v>6</v>
      </c>
      <c r="L156" t="s">
        <v>691</v>
      </c>
      <c r="M156" t="s">
        <v>33</v>
      </c>
      <c r="N156">
        <v>8.4002325625840233E-3</v>
      </c>
      <c r="O156" t="s">
        <v>6</v>
      </c>
    </row>
    <row r="157" spans="2:15" x14ac:dyDescent="0.45">
      <c r="B157" t="s">
        <v>689</v>
      </c>
      <c r="C157" t="s">
        <v>34</v>
      </c>
      <c r="D157">
        <v>8.3169575929507619E-2</v>
      </c>
      <c r="E157" t="s">
        <v>6</v>
      </c>
      <c r="G157" t="s">
        <v>690</v>
      </c>
      <c r="H157" t="s">
        <v>34</v>
      </c>
      <c r="I157">
        <v>1.2740185396340583E-2</v>
      </c>
      <c r="J157" t="s">
        <v>6</v>
      </c>
      <c r="L157" t="s">
        <v>691</v>
      </c>
      <c r="M157" t="s">
        <v>34</v>
      </c>
      <c r="N157">
        <v>8.0606653446345187E-3</v>
      </c>
      <c r="O157" t="s">
        <v>6</v>
      </c>
    </row>
    <row r="158" spans="2:15" x14ac:dyDescent="0.45">
      <c r="B158" t="s">
        <v>689</v>
      </c>
      <c r="C158" t="s">
        <v>35</v>
      </c>
      <c r="D158">
        <v>5.7944904260588743E-2</v>
      </c>
      <c r="E158" t="s">
        <v>6</v>
      </c>
      <c r="G158" t="s">
        <v>690</v>
      </c>
      <c r="H158" t="s">
        <v>35</v>
      </c>
      <c r="I158">
        <v>1.5752644442597628E-2</v>
      </c>
      <c r="J158" t="s">
        <v>6</v>
      </c>
      <c r="L158" t="s">
        <v>691</v>
      </c>
      <c r="M158" t="s">
        <v>35</v>
      </c>
      <c r="N158">
        <v>8.3890047689684881E-3</v>
      </c>
      <c r="O158" t="s">
        <v>6</v>
      </c>
    </row>
    <row r="159" spans="2:15" x14ac:dyDescent="0.45">
      <c r="B159" t="s">
        <v>689</v>
      </c>
      <c r="C159" t="s">
        <v>36</v>
      </c>
      <c r="D159">
        <v>1.8434466128627786E-2</v>
      </c>
      <c r="E159" t="s">
        <v>6</v>
      </c>
      <c r="G159" t="s">
        <v>690</v>
      </c>
      <c r="H159" t="s">
        <v>36</v>
      </c>
      <c r="I159">
        <v>1.9372545305520853E-2</v>
      </c>
      <c r="J159" t="s">
        <v>6</v>
      </c>
      <c r="L159" t="s">
        <v>691</v>
      </c>
      <c r="M159" t="s">
        <v>36</v>
      </c>
      <c r="N159">
        <v>9.0642454132677016E-3</v>
      </c>
      <c r="O159" t="s">
        <v>6</v>
      </c>
    </row>
    <row r="160" spans="2:15" x14ac:dyDescent="0.45">
      <c r="B160" t="s">
        <v>689</v>
      </c>
      <c r="C160" t="s">
        <v>37</v>
      </c>
      <c r="D160">
        <v>4.5938541729320442E-4</v>
      </c>
      <c r="E160" t="s">
        <v>6</v>
      </c>
      <c r="G160" t="s">
        <v>690</v>
      </c>
      <c r="H160" t="s">
        <v>37</v>
      </c>
      <c r="I160">
        <v>3.8226690906605069E-2</v>
      </c>
      <c r="J160" t="s">
        <v>6</v>
      </c>
      <c r="L160" t="s">
        <v>691</v>
      </c>
      <c r="M160" t="s">
        <v>37</v>
      </c>
      <c r="N160">
        <v>1.2989998272524039E-2</v>
      </c>
      <c r="O160" t="s">
        <v>6</v>
      </c>
    </row>
    <row r="161" spans="2:15" x14ac:dyDescent="0.45">
      <c r="B161" t="s">
        <v>689</v>
      </c>
      <c r="C161" t="s">
        <v>38</v>
      </c>
      <c r="D161">
        <v>0</v>
      </c>
      <c r="E161" t="s">
        <v>6</v>
      </c>
      <c r="G161" t="s">
        <v>690</v>
      </c>
      <c r="H161" t="s">
        <v>38</v>
      </c>
      <c r="I161">
        <v>3.6507726580704447E-2</v>
      </c>
      <c r="J161" t="s">
        <v>6</v>
      </c>
      <c r="L161" t="s">
        <v>691</v>
      </c>
      <c r="M161" t="s">
        <v>38</v>
      </c>
      <c r="N161">
        <v>4.6594432174342518E-2</v>
      </c>
      <c r="O161" t="s">
        <v>6</v>
      </c>
    </row>
    <row r="162" spans="2:15" x14ac:dyDescent="0.45">
      <c r="B162" t="s">
        <v>689</v>
      </c>
      <c r="C162" t="s">
        <v>39</v>
      </c>
      <c r="D162">
        <v>0</v>
      </c>
      <c r="E162" t="s">
        <v>6</v>
      </c>
      <c r="G162" t="s">
        <v>690</v>
      </c>
      <c r="H162" t="s">
        <v>39</v>
      </c>
      <c r="I162">
        <v>1.1801757612950218E-2</v>
      </c>
      <c r="J162" t="s">
        <v>6</v>
      </c>
      <c r="L162" t="s">
        <v>691</v>
      </c>
      <c r="M162" t="s">
        <v>39</v>
      </c>
      <c r="N162">
        <v>1.8471607253729316E-2</v>
      </c>
      <c r="O162" t="s">
        <v>6</v>
      </c>
    </row>
    <row r="163" spans="2:15" x14ac:dyDescent="0.45">
      <c r="B163" t="s">
        <v>689</v>
      </c>
      <c r="C163" t="s">
        <v>40</v>
      </c>
      <c r="D163">
        <v>1.4723217123064529E-4</v>
      </c>
      <c r="E163" t="s">
        <v>6</v>
      </c>
      <c r="G163" t="s">
        <v>690</v>
      </c>
      <c r="H163" t="s">
        <v>40</v>
      </c>
      <c r="I163">
        <v>1.1113524966841792E-2</v>
      </c>
      <c r="J163" t="s">
        <v>6</v>
      </c>
      <c r="L163" t="s">
        <v>691</v>
      </c>
      <c r="M163" t="s">
        <v>40</v>
      </c>
      <c r="N163">
        <v>1.8361599407004412E-2</v>
      </c>
      <c r="O163" t="s">
        <v>6</v>
      </c>
    </row>
    <row r="164" spans="2:15" x14ac:dyDescent="0.45">
      <c r="B164" t="s">
        <v>689</v>
      </c>
      <c r="C164" t="s">
        <v>41</v>
      </c>
      <c r="D164">
        <v>1.6388572569600267E-2</v>
      </c>
      <c r="E164" t="s">
        <v>6</v>
      </c>
      <c r="G164" t="s">
        <v>690</v>
      </c>
      <c r="H164" t="s">
        <v>41</v>
      </c>
      <c r="I164">
        <v>9.5060199663789362E-3</v>
      </c>
      <c r="J164" t="s">
        <v>6</v>
      </c>
      <c r="L164" t="s">
        <v>691</v>
      </c>
      <c r="M164" t="s">
        <v>41</v>
      </c>
      <c r="N164">
        <v>1.7709728228975485E-2</v>
      </c>
      <c r="O164" t="s">
        <v>6</v>
      </c>
    </row>
    <row r="165" spans="2:15" x14ac:dyDescent="0.45">
      <c r="B165" t="s">
        <v>689</v>
      </c>
      <c r="C165" t="s">
        <v>42</v>
      </c>
      <c r="D165">
        <v>4.9488366165489059E-2</v>
      </c>
      <c r="E165" t="s">
        <v>6</v>
      </c>
      <c r="G165" t="s">
        <v>690</v>
      </c>
      <c r="H165" t="s">
        <v>42</v>
      </c>
      <c r="I165">
        <v>9.8701323537403931E-3</v>
      </c>
      <c r="J165" t="s">
        <v>6</v>
      </c>
      <c r="L165" t="s">
        <v>691</v>
      </c>
      <c r="M165" t="s">
        <v>42</v>
      </c>
      <c r="N165">
        <v>1.7263151131131825E-2</v>
      </c>
      <c r="O165" t="s">
        <v>6</v>
      </c>
    </row>
    <row r="166" spans="2:15" x14ac:dyDescent="0.45">
      <c r="B166" t="s">
        <v>689</v>
      </c>
      <c r="C166" t="s">
        <v>43</v>
      </c>
      <c r="D166">
        <v>6.483277587798425E-2</v>
      </c>
      <c r="E166" t="s">
        <v>6</v>
      </c>
      <c r="G166" t="s">
        <v>690</v>
      </c>
      <c r="H166" t="s">
        <v>43</v>
      </c>
      <c r="I166">
        <v>1.2816981348671326E-2</v>
      </c>
      <c r="J166" t="s">
        <v>6</v>
      </c>
      <c r="L166" t="s">
        <v>691</v>
      </c>
      <c r="M166" t="s">
        <v>43</v>
      </c>
      <c r="N166">
        <v>1.6757020615391627E-2</v>
      </c>
      <c r="O166" t="s">
        <v>6</v>
      </c>
    </row>
    <row r="167" spans="2:15" x14ac:dyDescent="0.45">
      <c r="B167" t="s">
        <v>689</v>
      </c>
      <c r="C167" t="s">
        <v>44</v>
      </c>
      <c r="D167">
        <v>5.6613681449093171E-2</v>
      </c>
      <c r="E167" t="s">
        <v>6</v>
      </c>
      <c r="G167" t="s">
        <v>690</v>
      </c>
      <c r="H167" t="s">
        <v>44</v>
      </c>
      <c r="I167">
        <v>1.5829301018381023E-2</v>
      </c>
      <c r="J167" t="s">
        <v>6</v>
      </c>
      <c r="L167" t="s">
        <v>691</v>
      </c>
      <c r="M167" t="s">
        <v>44</v>
      </c>
      <c r="N167">
        <v>1.5910500459910042E-2</v>
      </c>
      <c r="O167" t="s">
        <v>6</v>
      </c>
    </row>
    <row r="168" spans="2:15" x14ac:dyDescent="0.45">
      <c r="B168" t="s">
        <v>689</v>
      </c>
      <c r="C168" t="s">
        <v>45</v>
      </c>
      <c r="D168">
        <v>2.9830814971479786E-2</v>
      </c>
      <c r="E168" t="s">
        <v>6</v>
      </c>
      <c r="G168" t="s">
        <v>690</v>
      </c>
      <c r="H168" t="s">
        <v>45</v>
      </c>
      <c r="I168">
        <v>1.6749765309755166E-2</v>
      </c>
      <c r="J168" t="s">
        <v>6</v>
      </c>
      <c r="L168" t="s">
        <v>691</v>
      </c>
      <c r="M168" t="s">
        <v>45</v>
      </c>
      <c r="N168">
        <v>1.5753073101481187E-2</v>
      </c>
      <c r="O168" t="s">
        <v>6</v>
      </c>
    </row>
    <row r="169" spans="2:15" x14ac:dyDescent="0.45">
      <c r="B169" t="s">
        <v>689</v>
      </c>
      <c r="C169" t="s">
        <v>46</v>
      </c>
      <c r="D169">
        <v>3.0861592934659653E-3</v>
      </c>
      <c r="E169" t="s">
        <v>6</v>
      </c>
      <c r="G169" t="s">
        <v>690</v>
      </c>
      <c r="H169" t="s">
        <v>46</v>
      </c>
      <c r="I169">
        <v>1.9352882682670845E-2</v>
      </c>
      <c r="J169" t="s">
        <v>6</v>
      </c>
      <c r="L169" t="s">
        <v>691</v>
      </c>
      <c r="M169" t="s">
        <v>46</v>
      </c>
      <c r="N169">
        <v>1.7068877137992475E-2</v>
      </c>
      <c r="O169" t="s">
        <v>6</v>
      </c>
    </row>
    <row r="170" spans="2:15" x14ac:dyDescent="0.45">
      <c r="B170" t="s">
        <v>689</v>
      </c>
      <c r="C170" t="s">
        <v>47</v>
      </c>
      <c r="D170">
        <v>0</v>
      </c>
      <c r="E170" t="s">
        <v>6</v>
      </c>
      <c r="G170" t="s">
        <v>690</v>
      </c>
      <c r="H170" t="s">
        <v>47</v>
      </c>
      <c r="I170">
        <v>3.019947374446031E-2</v>
      </c>
      <c r="J170" t="s">
        <v>6</v>
      </c>
      <c r="L170" t="s">
        <v>691</v>
      </c>
      <c r="M170" t="s">
        <v>47</v>
      </c>
      <c r="N170">
        <v>2.7375280597800093E-2</v>
      </c>
      <c r="O170" t="s">
        <v>6</v>
      </c>
    </row>
    <row r="171" spans="2:15" x14ac:dyDescent="0.45">
      <c r="B171" t="s">
        <v>692</v>
      </c>
      <c r="C171" t="s">
        <v>5</v>
      </c>
      <c r="D171">
        <v>0</v>
      </c>
      <c r="E171" t="s">
        <v>6</v>
      </c>
      <c r="G171" t="s">
        <v>693</v>
      </c>
      <c r="H171" t="s">
        <v>5</v>
      </c>
      <c r="I171">
        <v>7.3420850561839002E-2</v>
      </c>
      <c r="J171" t="s">
        <v>6</v>
      </c>
      <c r="L171" t="s">
        <v>694</v>
      </c>
      <c r="M171" t="s">
        <v>5</v>
      </c>
      <c r="N171">
        <v>5.8361190222016891E-2</v>
      </c>
      <c r="O171" t="s">
        <v>6</v>
      </c>
    </row>
    <row r="172" spans="2:15" x14ac:dyDescent="0.45">
      <c r="B172" t="s">
        <v>692</v>
      </c>
      <c r="C172" t="s">
        <v>9</v>
      </c>
      <c r="D172">
        <v>0</v>
      </c>
      <c r="E172" t="s">
        <v>6</v>
      </c>
      <c r="G172" t="s">
        <v>693</v>
      </c>
      <c r="H172" t="s">
        <v>9</v>
      </c>
      <c r="I172">
        <v>2.8383059842679404E-2</v>
      </c>
      <c r="J172" t="s">
        <v>6</v>
      </c>
      <c r="L172" t="s">
        <v>694</v>
      </c>
      <c r="M172" t="s">
        <v>9</v>
      </c>
      <c r="N172">
        <v>2.2025415978146595E-2</v>
      </c>
      <c r="O172" t="s">
        <v>6</v>
      </c>
    </row>
    <row r="173" spans="2:15" x14ac:dyDescent="0.45">
      <c r="B173" t="s">
        <v>692</v>
      </c>
      <c r="C173" t="s">
        <v>10</v>
      </c>
      <c r="D173">
        <v>0</v>
      </c>
      <c r="E173" t="s">
        <v>6</v>
      </c>
      <c r="G173" t="s">
        <v>693</v>
      </c>
      <c r="H173" t="s">
        <v>10</v>
      </c>
      <c r="I173">
        <v>2.7184928788215781E-2</v>
      </c>
      <c r="J173" t="s">
        <v>6</v>
      </c>
      <c r="L173" t="s">
        <v>694</v>
      </c>
      <c r="M173" t="s">
        <v>10</v>
      </c>
      <c r="N173">
        <v>2.1924946223177283E-2</v>
      </c>
      <c r="O173" t="s">
        <v>6</v>
      </c>
    </row>
    <row r="174" spans="2:15" x14ac:dyDescent="0.45">
      <c r="B174" t="s">
        <v>692</v>
      </c>
      <c r="C174" t="s">
        <v>11</v>
      </c>
      <c r="D174">
        <v>9.7177917676427011E-3</v>
      </c>
      <c r="E174" t="s">
        <v>6</v>
      </c>
      <c r="G174" t="s">
        <v>693</v>
      </c>
      <c r="H174" t="s">
        <v>11</v>
      </c>
      <c r="I174">
        <v>2.5475596816498875E-2</v>
      </c>
      <c r="J174" t="s">
        <v>6</v>
      </c>
      <c r="L174" t="s">
        <v>694</v>
      </c>
      <c r="M174" t="s">
        <v>11</v>
      </c>
      <c r="N174">
        <v>2.1691411492801103E-2</v>
      </c>
      <c r="O174" t="s">
        <v>6</v>
      </c>
    </row>
    <row r="175" spans="2:15" x14ac:dyDescent="0.45">
      <c r="B175" t="s">
        <v>692</v>
      </c>
      <c r="C175" t="s">
        <v>12</v>
      </c>
      <c r="D175">
        <v>4.122929331768993E-2</v>
      </c>
      <c r="E175" t="s">
        <v>6</v>
      </c>
      <c r="G175" t="s">
        <v>693</v>
      </c>
      <c r="H175" t="s">
        <v>12</v>
      </c>
      <c r="I175">
        <v>2.2790936132452505E-2</v>
      </c>
      <c r="J175" t="s">
        <v>6</v>
      </c>
      <c r="L175" t="s">
        <v>694</v>
      </c>
      <c r="M175" t="s">
        <v>12</v>
      </c>
      <c r="N175">
        <v>2.1366236085983533E-2</v>
      </c>
      <c r="O175" t="s">
        <v>6</v>
      </c>
    </row>
    <row r="176" spans="2:15" x14ac:dyDescent="0.45">
      <c r="B176" t="s">
        <v>692</v>
      </c>
      <c r="C176" t="s">
        <v>13</v>
      </c>
      <c r="D176">
        <v>5.56811111959837E-2</v>
      </c>
      <c r="E176" t="s">
        <v>6</v>
      </c>
      <c r="G176" t="s">
        <v>693</v>
      </c>
      <c r="H176" t="s">
        <v>13</v>
      </c>
      <c r="I176">
        <v>2.6599848682868764E-2</v>
      </c>
      <c r="J176" t="s">
        <v>6</v>
      </c>
      <c r="L176" t="s">
        <v>694</v>
      </c>
      <c r="M176" t="s">
        <v>13</v>
      </c>
      <c r="N176">
        <v>2.170326084665751E-2</v>
      </c>
      <c r="O176" t="s">
        <v>6</v>
      </c>
    </row>
    <row r="177" spans="2:15" x14ac:dyDescent="0.45">
      <c r="B177" t="s">
        <v>692</v>
      </c>
      <c r="C177" t="s">
        <v>14</v>
      </c>
      <c r="D177">
        <v>4.785832956306086E-2</v>
      </c>
      <c r="E177" t="s">
        <v>6</v>
      </c>
      <c r="G177" t="s">
        <v>693</v>
      </c>
      <c r="H177" t="s">
        <v>14</v>
      </c>
      <c r="I177">
        <v>2.7109588605955453E-2</v>
      </c>
      <c r="J177" t="s">
        <v>6</v>
      </c>
      <c r="L177" t="s">
        <v>694</v>
      </c>
      <c r="M177" t="s">
        <v>14</v>
      </c>
      <c r="N177">
        <v>2.2408261119444776E-2</v>
      </c>
      <c r="O177" t="s">
        <v>6</v>
      </c>
    </row>
    <row r="178" spans="2:15" x14ac:dyDescent="0.45">
      <c r="B178" t="s">
        <v>692</v>
      </c>
      <c r="C178" t="s">
        <v>15</v>
      </c>
      <c r="D178">
        <v>2.0583025771133023E-2</v>
      </c>
      <c r="E178" t="s">
        <v>6</v>
      </c>
      <c r="G178" t="s">
        <v>693</v>
      </c>
      <c r="H178" t="s">
        <v>15</v>
      </c>
      <c r="I178">
        <v>2.6047783919670796E-2</v>
      </c>
      <c r="J178" t="s">
        <v>6</v>
      </c>
      <c r="L178" t="s">
        <v>694</v>
      </c>
      <c r="M178" t="s">
        <v>15</v>
      </c>
      <c r="N178">
        <v>2.310250029745739E-2</v>
      </c>
      <c r="O178" t="s">
        <v>6</v>
      </c>
    </row>
    <row r="179" spans="2:15" x14ac:dyDescent="0.45">
      <c r="B179" t="s">
        <v>692</v>
      </c>
      <c r="C179" t="s">
        <v>16</v>
      </c>
      <c r="D179">
        <v>4.4162602111224583E-4</v>
      </c>
      <c r="E179" t="s">
        <v>6</v>
      </c>
      <c r="G179" t="s">
        <v>693</v>
      </c>
      <c r="H179" t="s">
        <v>16</v>
      </c>
      <c r="I179">
        <v>2.8868273008637084E-2</v>
      </c>
      <c r="J179" t="s">
        <v>6</v>
      </c>
      <c r="L179" t="s">
        <v>694</v>
      </c>
      <c r="M179" t="s">
        <v>16</v>
      </c>
      <c r="N179">
        <v>2.3450095542393617E-2</v>
      </c>
      <c r="O179" t="s">
        <v>6</v>
      </c>
    </row>
    <row r="180" spans="2:15" x14ac:dyDescent="0.45">
      <c r="B180" t="s">
        <v>692</v>
      </c>
      <c r="C180" t="s">
        <v>17</v>
      </c>
      <c r="D180">
        <v>0</v>
      </c>
      <c r="E180" t="s">
        <v>6</v>
      </c>
      <c r="G180" t="s">
        <v>693</v>
      </c>
      <c r="H180" t="s">
        <v>17</v>
      </c>
      <c r="I180">
        <v>4.6140708184572658E-2</v>
      </c>
      <c r="J180" t="s">
        <v>6</v>
      </c>
      <c r="L180" t="s">
        <v>694</v>
      </c>
      <c r="M180" t="s">
        <v>17</v>
      </c>
      <c r="N180">
        <v>3.5737586822493755E-2</v>
      </c>
      <c r="O180" t="s">
        <v>6</v>
      </c>
    </row>
    <row r="181" spans="2:15" x14ac:dyDescent="0.45">
      <c r="B181" t="s">
        <v>692</v>
      </c>
      <c r="C181" t="s">
        <v>18</v>
      </c>
      <c r="D181">
        <v>0</v>
      </c>
      <c r="E181" t="s">
        <v>6</v>
      </c>
      <c r="G181" t="s">
        <v>693</v>
      </c>
      <c r="H181" t="s">
        <v>18</v>
      </c>
      <c r="I181">
        <v>6.986203851368572E-2</v>
      </c>
      <c r="J181" t="s">
        <v>6</v>
      </c>
      <c r="L181" t="s">
        <v>694</v>
      </c>
      <c r="M181" t="s">
        <v>18</v>
      </c>
      <c r="N181">
        <v>5.2549072508420037E-2</v>
      </c>
      <c r="O181" t="s">
        <v>6</v>
      </c>
    </row>
    <row r="182" spans="2:15" x14ac:dyDescent="0.45">
      <c r="B182" t="s">
        <v>692</v>
      </c>
      <c r="C182" t="s">
        <v>19</v>
      </c>
      <c r="D182">
        <v>0</v>
      </c>
      <c r="E182" t="s">
        <v>6</v>
      </c>
      <c r="G182" t="s">
        <v>693</v>
      </c>
      <c r="H182" t="s">
        <v>19</v>
      </c>
      <c r="I182">
        <v>2.4598655579292791E-2</v>
      </c>
      <c r="J182" t="s">
        <v>6</v>
      </c>
      <c r="L182" t="s">
        <v>694</v>
      </c>
      <c r="M182" t="s">
        <v>19</v>
      </c>
      <c r="N182">
        <v>2.1885516997655521E-2</v>
      </c>
      <c r="O182" t="s">
        <v>6</v>
      </c>
    </row>
    <row r="183" spans="2:15" x14ac:dyDescent="0.45">
      <c r="B183" t="s">
        <v>692</v>
      </c>
      <c r="C183" t="s">
        <v>20</v>
      </c>
      <c r="D183">
        <v>3.2684747355174438E-3</v>
      </c>
      <c r="E183" t="s">
        <v>6</v>
      </c>
      <c r="G183" t="s">
        <v>693</v>
      </c>
      <c r="H183" t="s">
        <v>20</v>
      </c>
      <c r="I183">
        <v>2.2040729348599269E-2</v>
      </c>
      <c r="J183" t="s">
        <v>6</v>
      </c>
      <c r="L183" t="s">
        <v>694</v>
      </c>
      <c r="M183" t="s">
        <v>20</v>
      </c>
      <c r="N183">
        <v>2.180816228665599E-2</v>
      </c>
      <c r="O183" t="s">
        <v>6</v>
      </c>
    </row>
    <row r="184" spans="2:15" x14ac:dyDescent="0.45">
      <c r="B184" t="s">
        <v>692</v>
      </c>
      <c r="C184" t="s">
        <v>21</v>
      </c>
      <c r="D184">
        <v>2.9610487466666849E-2</v>
      </c>
      <c r="E184" t="s">
        <v>6</v>
      </c>
      <c r="G184" t="s">
        <v>693</v>
      </c>
      <c r="H184" t="s">
        <v>21</v>
      </c>
      <c r="I184">
        <v>2.1014812120778811E-2</v>
      </c>
      <c r="J184" t="s">
        <v>6</v>
      </c>
      <c r="L184" t="s">
        <v>694</v>
      </c>
      <c r="M184" t="s">
        <v>21</v>
      </c>
      <c r="N184">
        <v>2.0532413167025511E-2</v>
      </c>
      <c r="O184" t="s">
        <v>6</v>
      </c>
    </row>
    <row r="185" spans="2:15" x14ac:dyDescent="0.45">
      <c r="B185" t="s">
        <v>692</v>
      </c>
      <c r="C185" t="s">
        <v>22</v>
      </c>
      <c r="D185">
        <v>5.8461452670492804E-2</v>
      </c>
      <c r="E185" t="s">
        <v>6</v>
      </c>
      <c r="G185" t="s">
        <v>693</v>
      </c>
      <c r="H185" t="s">
        <v>22</v>
      </c>
      <c r="I185">
        <v>2.3141193660924566E-2</v>
      </c>
      <c r="J185" t="s">
        <v>6</v>
      </c>
      <c r="L185" t="s">
        <v>694</v>
      </c>
      <c r="M185" t="s">
        <v>22</v>
      </c>
      <c r="N185">
        <v>1.9458486313016995E-2</v>
      </c>
      <c r="O185" t="s">
        <v>6</v>
      </c>
    </row>
    <row r="186" spans="2:15" x14ac:dyDescent="0.45">
      <c r="B186" t="s">
        <v>692</v>
      </c>
      <c r="C186" t="s">
        <v>23</v>
      </c>
      <c r="D186">
        <v>6.9412206263307658E-2</v>
      </c>
      <c r="E186" t="s">
        <v>6</v>
      </c>
      <c r="G186" t="s">
        <v>693</v>
      </c>
      <c r="H186" t="s">
        <v>23</v>
      </c>
      <c r="I186">
        <v>2.7592822776176234E-2</v>
      </c>
      <c r="J186" t="s">
        <v>6</v>
      </c>
      <c r="L186" t="s">
        <v>694</v>
      </c>
      <c r="M186" t="s">
        <v>23</v>
      </c>
      <c r="N186">
        <v>1.982822457734534E-2</v>
      </c>
      <c r="O186" t="s">
        <v>6</v>
      </c>
    </row>
    <row r="187" spans="2:15" x14ac:dyDescent="0.45">
      <c r="B187" t="s">
        <v>692</v>
      </c>
      <c r="C187" t="s">
        <v>24</v>
      </c>
      <c r="D187">
        <v>6.024817867705981E-2</v>
      </c>
      <c r="E187" t="s">
        <v>6</v>
      </c>
      <c r="G187" t="s">
        <v>693</v>
      </c>
      <c r="H187" t="s">
        <v>24</v>
      </c>
      <c r="I187">
        <v>3.1405171790351884E-2</v>
      </c>
      <c r="J187" t="s">
        <v>6</v>
      </c>
      <c r="L187" t="s">
        <v>694</v>
      </c>
      <c r="M187" t="s">
        <v>24</v>
      </c>
      <c r="N187">
        <v>2.1111262822084535E-2</v>
      </c>
      <c r="O187" t="s">
        <v>6</v>
      </c>
    </row>
    <row r="188" spans="2:15" x14ac:dyDescent="0.45">
      <c r="B188" t="s">
        <v>692</v>
      </c>
      <c r="C188" t="s">
        <v>25</v>
      </c>
      <c r="D188">
        <v>3.5285458354806815E-2</v>
      </c>
      <c r="E188" t="s">
        <v>6</v>
      </c>
      <c r="G188" t="s">
        <v>693</v>
      </c>
      <c r="H188" t="s">
        <v>25</v>
      </c>
      <c r="I188">
        <v>3.0561443645650756E-2</v>
      </c>
      <c r="J188" t="s">
        <v>6</v>
      </c>
      <c r="L188" t="s">
        <v>694</v>
      </c>
      <c r="M188" t="s">
        <v>25</v>
      </c>
      <c r="N188">
        <v>2.1877187103106602E-2</v>
      </c>
      <c r="O188" t="s">
        <v>6</v>
      </c>
    </row>
    <row r="189" spans="2:15" x14ac:dyDescent="0.45">
      <c r="B189" t="s">
        <v>692</v>
      </c>
      <c r="C189" t="s">
        <v>26</v>
      </c>
      <c r="D189">
        <v>6.5743308411841412E-3</v>
      </c>
      <c r="E189" t="s">
        <v>6</v>
      </c>
      <c r="G189" t="s">
        <v>693</v>
      </c>
      <c r="H189" t="s">
        <v>26</v>
      </c>
      <c r="I189">
        <v>2.958331834836676E-2</v>
      </c>
      <c r="J189" t="s">
        <v>6</v>
      </c>
      <c r="L189" t="s">
        <v>694</v>
      </c>
      <c r="M189" t="s">
        <v>26</v>
      </c>
      <c r="N189">
        <v>2.2176023879378073E-2</v>
      </c>
      <c r="O189" t="s">
        <v>6</v>
      </c>
    </row>
    <row r="190" spans="2:15" x14ac:dyDescent="0.45">
      <c r="B190" t="s">
        <v>692</v>
      </c>
      <c r="C190" t="s">
        <v>27</v>
      </c>
      <c r="D190">
        <v>3.1807833978618126E-7</v>
      </c>
      <c r="E190" t="s">
        <v>6</v>
      </c>
      <c r="G190" t="s">
        <v>693</v>
      </c>
      <c r="H190" t="s">
        <v>27</v>
      </c>
      <c r="I190">
        <v>4.6131115072767306E-2</v>
      </c>
      <c r="J190" t="s">
        <v>6</v>
      </c>
      <c r="L190" t="s">
        <v>694</v>
      </c>
      <c r="M190" t="s">
        <v>27</v>
      </c>
      <c r="N190">
        <v>3.2396953169220762E-2</v>
      </c>
      <c r="O190" t="s">
        <v>6</v>
      </c>
    </row>
    <row r="191" spans="2:15" x14ac:dyDescent="0.45">
      <c r="B191" t="s">
        <v>692</v>
      </c>
      <c r="C191" t="s">
        <v>28</v>
      </c>
      <c r="D191">
        <v>0</v>
      </c>
      <c r="E191" t="s">
        <v>6</v>
      </c>
      <c r="G191" t="s">
        <v>693</v>
      </c>
      <c r="H191" t="s">
        <v>28</v>
      </c>
      <c r="I191">
        <v>5.1729377119055668E-2</v>
      </c>
      <c r="J191" t="s">
        <v>6</v>
      </c>
      <c r="L191" t="s">
        <v>694</v>
      </c>
      <c r="M191" t="s">
        <v>28</v>
      </c>
      <c r="N191">
        <v>4.139841237301E-2</v>
      </c>
      <c r="O191" t="s">
        <v>6</v>
      </c>
    </row>
    <row r="192" spans="2:15" x14ac:dyDescent="0.45">
      <c r="B192" t="s">
        <v>692</v>
      </c>
      <c r="C192" t="s">
        <v>29</v>
      </c>
      <c r="D192">
        <v>0</v>
      </c>
      <c r="E192" t="s">
        <v>6</v>
      </c>
      <c r="G192" t="s">
        <v>693</v>
      </c>
      <c r="H192" t="s">
        <v>29</v>
      </c>
      <c r="I192">
        <v>1.5967652468729384E-2</v>
      </c>
      <c r="J192" t="s">
        <v>6</v>
      </c>
      <c r="L192" t="s">
        <v>694</v>
      </c>
      <c r="M192" t="s">
        <v>29</v>
      </c>
      <c r="N192">
        <v>1.6346159575848829E-2</v>
      </c>
      <c r="O192" t="s">
        <v>6</v>
      </c>
    </row>
    <row r="193" spans="2:15" x14ac:dyDescent="0.45">
      <c r="B193" t="s">
        <v>692</v>
      </c>
      <c r="C193" t="s">
        <v>30</v>
      </c>
      <c r="D193">
        <v>5.9136903623015743E-3</v>
      </c>
      <c r="E193" t="s">
        <v>6</v>
      </c>
      <c r="G193" t="s">
        <v>693</v>
      </c>
      <c r="H193" t="s">
        <v>30</v>
      </c>
      <c r="I193">
        <v>1.1166680310541055E-2</v>
      </c>
      <c r="J193" t="s">
        <v>6</v>
      </c>
      <c r="L193" t="s">
        <v>694</v>
      </c>
      <c r="M193" t="s">
        <v>30</v>
      </c>
      <c r="N193">
        <v>1.6706617511076778E-2</v>
      </c>
      <c r="O193" t="s">
        <v>6</v>
      </c>
    </row>
    <row r="194" spans="2:15" x14ac:dyDescent="0.45">
      <c r="B194" t="s">
        <v>692</v>
      </c>
      <c r="C194" t="s">
        <v>31</v>
      </c>
      <c r="D194">
        <v>4.1181819788342573E-2</v>
      </c>
      <c r="E194" t="s">
        <v>6</v>
      </c>
      <c r="G194" t="s">
        <v>693</v>
      </c>
      <c r="H194" t="s">
        <v>31</v>
      </c>
      <c r="I194">
        <v>6.185595045294495E-3</v>
      </c>
      <c r="J194" t="s">
        <v>6</v>
      </c>
      <c r="L194" t="s">
        <v>694</v>
      </c>
      <c r="M194" t="s">
        <v>31</v>
      </c>
      <c r="N194">
        <v>1.5449425850679707E-2</v>
      </c>
      <c r="O194" t="s">
        <v>6</v>
      </c>
    </row>
    <row r="195" spans="2:15" x14ac:dyDescent="0.45">
      <c r="B195" t="s">
        <v>692</v>
      </c>
      <c r="C195" t="s">
        <v>32</v>
      </c>
      <c r="D195">
        <v>7.245237010454518E-2</v>
      </c>
      <c r="E195" t="s">
        <v>6</v>
      </c>
      <c r="G195" t="s">
        <v>693</v>
      </c>
      <c r="H195" t="s">
        <v>32</v>
      </c>
      <c r="I195">
        <v>4.6907725549045877E-3</v>
      </c>
      <c r="J195" t="s">
        <v>6</v>
      </c>
      <c r="L195" t="s">
        <v>694</v>
      </c>
      <c r="M195" t="s">
        <v>32</v>
      </c>
      <c r="N195">
        <v>1.4629137525236331E-2</v>
      </c>
      <c r="O195" t="s">
        <v>6</v>
      </c>
    </row>
    <row r="196" spans="2:15" x14ac:dyDescent="0.45">
      <c r="B196" t="s">
        <v>692</v>
      </c>
      <c r="C196" t="s">
        <v>33</v>
      </c>
      <c r="D196">
        <v>8.3181611531236765E-2</v>
      </c>
      <c r="E196" t="s">
        <v>6</v>
      </c>
      <c r="G196" t="s">
        <v>693</v>
      </c>
      <c r="H196" t="s">
        <v>33</v>
      </c>
      <c r="I196">
        <v>6.4232063112393007E-3</v>
      </c>
      <c r="J196" t="s">
        <v>6</v>
      </c>
      <c r="L196" t="s">
        <v>694</v>
      </c>
      <c r="M196" t="s">
        <v>33</v>
      </c>
      <c r="N196">
        <v>1.4882526224211351E-2</v>
      </c>
      <c r="O196" t="s">
        <v>6</v>
      </c>
    </row>
    <row r="197" spans="2:15" x14ac:dyDescent="0.45">
      <c r="B197" t="s">
        <v>692</v>
      </c>
      <c r="C197" t="s">
        <v>34</v>
      </c>
      <c r="D197">
        <v>7.2738581277607683E-2</v>
      </c>
      <c r="E197" t="s">
        <v>6</v>
      </c>
      <c r="G197" t="s">
        <v>693</v>
      </c>
      <c r="H197" t="s">
        <v>34</v>
      </c>
      <c r="I197">
        <v>8.6309778336094243E-3</v>
      </c>
      <c r="J197" t="s">
        <v>6</v>
      </c>
      <c r="L197" t="s">
        <v>694</v>
      </c>
      <c r="M197" t="s">
        <v>34</v>
      </c>
      <c r="N197">
        <v>1.585955865401429E-2</v>
      </c>
      <c r="O197" t="s">
        <v>6</v>
      </c>
    </row>
    <row r="198" spans="2:15" x14ac:dyDescent="0.45">
      <c r="B198" t="s">
        <v>692</v>
      </c>
      <c r="C198" t="s">
        <v>35</v>
      </c>
      <c r="D198">
        <v>4.6086895365656487E-2</v>
      </c>
      <c r="E198" t="s">
        <v>6</v>
      </c>
      <c r="G198" t="s">
        <v>693</v>
      </c>
      <c r="H198" t="s">
        <v>35</v>
      </c>
      <c r="I198">
        <v>1.1121946510706686E-2</v>
      </c>
      <c r="J198" t="s">
        <v>6</v>
      </c>
      <c r="L198" t="s">
        <v>694</v>
      </c>
      <c r="M198" t="s">
        <v>35</v>
      </c>
      <c r="N198">
        <v>1.722438115887924E-2</v>
      </c>
      <c r="O198" t="s">
        <v>6</v>
      </c>
    </row>
    <row r="199" spans="2:15" x14ac:dyDescent="0.45">
      <c r="B199" t="s">
        <v>692</v>
      </c>
      <c r="C199" t="s">
        <v>36</v>
      </c>
      <c r="D199">
        <v>1.1129916780321256E-2</v>
      </c>
      <c r="E199" t="s">
        <v>6</v>
      </c>
      <c r="G199" t="s">
        <v>693</v>
      </c>
      <c r="H199" t="s">
        <v>36</v>
      </c>
      <c r="I199">
        <v>1.1930432243623968E-2</v>
      </c>
      <c r="J199" t="s">
        <v>6</v>
      </c>
      <c r="L199" t="s">
        <v>694</v>
      </c>
      <c r="M199" t="s">
        <v>36</v>
      </c>
      <c r="N199">
        <v>1.7703253981384177E-2</v>
      </c>
      <c r="O199" t="s">
        <v>6</v>
      </c>
    </row>
    <row r="200" spans="2:15" x14ac:dyDescent="0.45">
      <c r="B200" t="s">
        <v>692</v>
      </c>
      <c r="C200" t="s">
        <v>37</v>
      </c>
      <c r="D200">
        <v>8.031712070957379E-5</v>
      </c>
      <c r="E200" t="s">
        <v>6</v>
      </c>
      <c r="G200" t="s">
        <v>693</v>
      </c>
      <c r="H200" t="s">
        <v>37</v>
      </c>
      <c r="I200">
        <v>2.7631825764973365E-2</v>
      </c>
      <c r="J200" t="s">
        <v>6</v>
      </c>
      <c r="L200" t="s">
        <v>694</v>
      </c>
      <c r="M200" t="s">
        <v>37</v>
      </c>
      <c r="N200">
        <v>2.6096913365095318E-2</v>
      </c>
      <c r="O200" t="s">
        <v>6</v>
      </c>
    </row>
    <row r="201" spans="2:15" x14ac:dyDescent="0.45">
      <c r="B201" t="s">
        <v>692</v>
      </c>
      <c r="C201" t="s">
        <v>38</v>
      </c>
      <c r="D201">
        <v>0</v>
      </c>
      <c r="E201" t="s">
        <v>6</v>
      </c>
      <c r="G201" t="s">
        <v>693</v>
      </c>
      <c r="H201" t="s">
        <v>38</v>
      </c>
      <c r="I201">
        <v>4.5391851081341895E-2</v>
      </c>
      <c r="J201" t="s">
        <v>6</v>
      </c>
      <c r="L201" t="s">
        <v>694</v>
      </c>
      <c r="M201" t="s">
        <v>38</v>
      </c>
      <c r="N201">
        <v>6.0786823903168419E-2</v>
      </c>
      <c r="O201" t="s">
        <v>6</v>
      </c>
    </row>
    <row r="202" spans="2:15" x14ac:dyDescent="0.45">
      <c r="B202" t="s">
        <v>692</v>
      </c>
      <c r="C202" t="s">
        <v>39</v>
      </c>
      <c r="D202">
        <v>0</v>
      </c>
      <c r="E202" t="s">
        <v>6</v>
      </c>
      <c r="G202" t="s">
        <v>693</v>
      </c>
      <c r="H202" t="s">
        <v>39</v>
      </c>
      <c r="I202">
        <v>1.6446205060587908E-2</v>
      </c>
      <c r="J202" t="s">
        <v>6</v>
      </c>
      <c r="L202" t="s">
        <v>694</v>
      </c>
      <c r="M202" t="s">
        <v>39</v>
      </c>
      <c r="N202">
        <v>2.3987376279605503E-2</v>
      </c>
      <c r="O202" t="s">
        <v>6</v>
      </c>
    </row>
    <row r="203" spans="2:15" x14ac:dyDescent="0.45">
      <c r="B203" t="s">
        <v>692</v>
      </c>
      <c r="C203" t="s">
        <v>40</v>
      </c>
      <c r="D203">
        <v>9.7190541063042887E-4</v>
      </c>
      <c r="E203" t="s">
        <v>6</v>
      </c>
      <c r="G203" t="s">
        <v>693</v>
      </c>
      <c r="H203" t="s">
        <v>40</v>
      </c>
      <c r="I203">
        <v>1.4519595173178778E-2</v>
      </c>
      <c r="J203" t="s">
        <v>6</v>
      </c>
      <c r="L203" t="s">
        <v>694</v>
      </c>
      <c r="M203" t="s">
        <v>40</v>
      </c>
      <c r="N203">
        <v>2.3551823143044916E-2</v>
      </c>
      <c r="O203" t="s">
        <v>6</v>
      </c>
    </row>
    <row r="204" spans="2:15" x14ac:dyDescent="0.45">
      <c r="B204" t="s">
        <v>692</v>
      </c>
      <c r="C204" t="s">
        <v>41</v>
      </c>
      <c r="D204">
        <v>2.4284387789896202E-2</v>
      </c>
      <c r="E204" t="s">
        <v>6</v>
      </c>
      <c r="G204" t="s">
        <v>693</v>
      </c>
      <c r="H204" t="s">
        <v>41</v>
      </c>
      <c r="I204">
        <v>1.0945331614400384E-2</v>
      </c>
      <c r="J204" t="s">
        <v>6</v>
      </c>
      <c r="L204" t="s">
        <v>694</v>
      </c>
      <c r="M204" t="s">
        <v>41</v>
      </c>
      <c r="N204">
        <v>2.24576574604398E-2</v>
      </c>
      <c r="O204" t="s">
        <v>6</v>
      </c>
    </row>
    <row r="205" spans="2:15" x14ac:dyDescent="0.45">
      <c r="B205" t="s">
        <v>692</v>
      </c>
      <c r="C205" t="s">
        <v>42</v>
      </c>
      <c r="D205">
        <v>5.45582108733546E-2</v>
      </c>
      <c r="E205" t="s">
        <v>6</v>
      </c>
      <c r="G205" t="s">
        <v>693</v>
      </c>
      <c r="H205" t="s">
        <v>42</v>
      </c>
      <c r="I205">
        <v>1.023610784104244E-2</v>
      </c>
      <c r="J205" t="s">
        <v>6</v>
      </c>
      <c r="L205" t="s">
        <v>694</v>
      </c>
      <c r="M205" t="s">
        <v>42</v>
      </c>
      <c r="N205">
        <v>2.1567087318960416E-2</v>
      </c>
      <c r="O205" t="s">
        <v>6</v>
      </c>
    </row>
    <row r="206" spans="2:15" x14ac:dyDescent="0.45">
      <c r="B206" t="s">
        <v>692</v>
      </c>
      <c r="C206" t="s">
        <v>43</v>
      </c>
      <c r="D206">
        <v>6.6365207584596519E-2</v>
      </c>
      <c r="E206" t="s">
        <v>6</v>
      </c>
      <c r="G206" t="s">
        <v>693</v>
      </c>
      <c r="H206" t="s">
        <v>43</v>
      </c>
      <c r="I206">
        <v>1.3414911937472372E-2</v>
      </c>
      <c r="J206" t="s">
        <v>6</v>
      </c>
      <c r="L206" t="s">
        <v>694</v>
      </c>
      <c r="M206" t="s">
        <v>43</v>
      </c>
      <c r="N206">
        <v>2.1155267755995664E-2</v>
      </c>
      <c r="O206" t="s">
        <v>6</v>
      </c>
    </row>
    <row r="207" spans="2:15" x14ac:dyDescent="0.45">
      <c r="B207" t="s">
        <v>692</v>
      </c>
      <c r="C207" t="s">
        <v>44</v>
      </c>
      <c r="D207">
        <v>5.5213561600522758E-2</v>
      </c>
      <c r="E207" t="s">
        <v>6</v>
      </c>
      <c r="G207" t="s">
        <v>693</v>
      </c>
      <c r="H207" t="s">
        <v>44</v>
      </c>
      <c r="I207">
        <v>1.471460512171177E-2</v>
      </c>
      <c r="J207" t="s">
        <v>6</v>
      </c>
      <c r="L207" t="s">
        <v>694</v>
      </c>
      <c r="M207" t="s">
        <v>44</v>
      </c>
      <c r="N207">
        <v>2.171185499233343E-2</v>
      </c>
      <c r="O207" t="s">
        <v>6</v>
      </c>
    </row>
    <row r="208" spans="2:15" x14ac:dyDescent="0.45">
      <c r="B208" t="s">
        <v>692</v>
      </c>
      <c r="C208" t="s">
        <v>45</v>
      </c>
      <c r="D208">
        <v>2.5832751749037843E-2</v>
      </c>
      <c r="E208" t="s">
        <v>6</v>
      </c>
      <c r="G208" t="s">
        <v>693</v>
      </c>
      <c r="H208" t="s">
        <v>45</v>
      </c>
      <c r="I208">
        <v>1.4369663015965005E-2</v>
      </c>
      <c r="J208" t="s">
        <v>6</v>
      </c>
      <c r="L208" t="s">
        <v>694</v>
      </c>
      <c r="M208" t="s">
        <v>45</v>
      </c>
      <c r="N208">
        <v>2.2708600739251582E-2</v>
      </c>
      <c r="O208" t="s">
        <v>6</v>
      </c>
    </row>
    <row r="209" spans="2:15" x14ac:dyDescent="0.45">
      <c r="B209" t="s">
        <v>692</v>
      </c>
      <c r="C209" t="s">
        <v>46</v>
      </c>
      <c r="D209">
        <v>1.6366879372410204E-3</v>
      </c>
      <c r="E209" t="s">
        <v>6</v>
      </c>
      <c r="G209" t="s">
        <v>693</v>
      </c>
      <c r="H209" t="s">
        <v>46</v>
      </c>
      <c r="I209">
        <v>1.7604539176318469E-2</v>
      </c>
      <c r="J209" t="s">
        <v>6</v>
      </c>
      <c r="L209" t="s">
        <v>694</v>
      </c>
      <c r="M209" t="s">
        <v>46</v>
      </c>
      <c r="N209">
        <v>2.3798537413952811E-2</v>
      </c>
      <c r="O209" t="s">
        <v>6</v>
      </c>
    </row>
    <row r="210" spans="2:15" x14ac:dyDescent="0.45">
      <c r="B210" t="s">
        <v>692</v>
      </c>
      <c r="C210" t="s">
        <v>47</v>
      </c>
      <c r="D210">
        <v>0</v>
      </c>
      <c r="E210" t="s">
        <v>6</v>
      </c>
      <c r="G210" t="s">
        <v>693</v>
      </c>
      <c r="H210" t="s">
        <v>47</v>
      </c>
      <c r="I210">
        <v>2.8925848415317798E-2</v>
      </c>
      <c r="J210" t="s">
        <v>6</v>
      </c>
      <c r="L210" t="s">
        <v>694</v>
      </c>
      <c r="M210" t="s">
        <v>47</v>
      </c>
      <c r="N210">
        <v>3.6584377319330189E-2</v>
      </c>
      <c r="O210" t="s">
        <v>6</v>
      </c>
    </row>
    <row r="211" spans="2:15" x14ac:dyDescent="0.45">
      <c r="B211" t="s">
        <v>695</v>
      </c>
      <c r="C211" t="s">
        <v>5</v>
      </c>
      <c r="D211">
        <v>0</v>
      </c>
      <c r="E211" t="s">
        <v>6</v>
      </c>
      <c r="G211" t="s">
        <v>696</v>
      </c>
      <c r="H211" t="s">
        <v>5</v>
      </c>
      <c r="I211">
        <v>7.0312754063044311E-2</v>
      </c>
      <c r="J211" t="s">
        <v>6</v>
      </c>
      <c r="L211" t="s">
        <v>697</v>
      </c>
      <c r="M211" t="s">
        <v>5</v>
      </c>
      <c r="N211">
        <v>6.9201684344193645E-2</v>
      </c>
      <c r="O211" t="s">
        <v>6</v>
      </c>
    </row>
    <row r="212" spans="2:15" x14ac:dyDescent="0.45">
      <c r="B212" t="s">
        <v>695</v>
      </c>
      <c r="C212" t="s">
        <v>9</v>
      </c>
      <c r="D212">
        <v>0</v>
      </c>
      <c r="E212" t="s">
        <v>6</v>
      </c>
      <c r="G212" t="s">
        <v>696</v>
      </c>
      <c r="H212" t="s">
        <v>9</v>
      </c>
      <c r="I212">
        <v>2.638565959882486E-2</v>
      </c>
      <c r="J212" t="s">
        <v>6</v>
      </c>
      <c r="L212" t="s">
        <v>697</v>
      </c>
      <c r="M212" t="s">
        <v>9</v>
      </c>
      <c r="N212">
        <v>2.730737059935124E-2</v>
      </c>
      <c r="O212" t="s">
        <v>6</v>
      </c>
    </row>
    <row r="213" spans="2:15" x14ac:dyDescent="0.45">
      <c r="B213" t="s">
        <v>695</v>
      </c>
      <c r="C213" t="s">
        <v>10</v>
      </c>
      <c r="D213">
        <v>0</v>
      </c>
      <c r="E213" t="s">
        <v>6</v>
      </c>
      <c r="G213" t="s">
        <v>696</v>
      </c>
      <c r="H213" t="s">
        <v>10</v>
      </c>
      <c r="I213">
        <v>2.6542818169543746E-2</v>
      </c>
      <c r="J213" t="s">
        <v>6</v>
      </c>
      <c r="L213" t="s">
        <v>697</v>
      </c>
      <c r="M213" t="s">
        <v>10</v>
      </c>
      <c r="N213">
        <v>2.7777499418687891E-2</v>
      </c>
      <c r="O213" t="s">
        <v>6</v>
      </c>
    </row>
    <row r="214" spans="2:15" x14ac:dyDescent="0.45">
      <c r="B214" t="s">
        <v>695</v>
      </c>
      <c r="C214" t="s">
        <v>11</v>
      </c>
      <c r="D214">
        <v>8.0808121085215838E-3</v>
      </c>
      <c r="E214" t="s">
        <v>6</v>
      </c>
      <c r="G214" t="s">
        <v>696</v>
      </c>
      <c r="H214" t="s">
        <v>11</v>
      </c>
      <c r="I214">
        <v>2.430767311213855E-2</v>
      </c>
      <c r="J214" t="s">
        <v>6</v>
      </c>
      <c r="L214" t="s">
        <v>697</v>
      </c>
      <c r="M214" t="s">
        <v>11</v>
      </c>
      <c r="N214">
        <v>2.7155076449676973E-2</v>
      </c>
      <c r="O214" t="s">
        <v>6</v>
      </c>
    </row>
    <row r="215" spans="2:15" x14ac:dyDescent="0.45">
      <c r="B215" t="s">
        <v>695</v>
      </c>
      <c r="C215" t="s">
        <v>12</v>
      </c>
      <c r="D215">
        <v>3.7733184701848117E-2</v>
      </c>
      <c r="E215" t="s">
        <v>6</v>
      </c>
      <c r="G215" t="s">
        <v>696</v>
      </c>
      <c r="H215" t="s">
        <v>12</v>
      </c>
      <c r="I215">
        <v>2.3107275051108385E-2</v>
      </c>
      <c r="J215" t="s">
        <v>6</v>
      </c>
      <c r="L215" t="s">
        <v>697</v>
      </c>
      <c r="M215" t="s">
        <v>12</v>
      </c>
      <c r="N215">
        <v>2.69451485748291E-2</v>
      </c>
      <c r="O215" t="s">
        <v>6</v>
      </c>
    </row>
    <row r="216" spans="2:15" x14ac:dyDescent="0.45">
      <c r="B216" t="s">
        <v>695</v>
      </c>
      <c r="C216" t="s">
        <v>13</v>
      </c>
      <c r="D216">
        <v>5.2523212134205861E-2</v>
      </c>
      <c r="E216" t="s">
        <v>6</v>
      </c>
      <c r="G216" t="s">
        <v>696</v>
      </c>
      <c r="H216" t="s">
        <v>13</v>
      </c>
      <c r="I216">
        <v>2.6187504300211648E-2</v>
      </c>
      <c r="J216" t="s">
        <v>6</v>
      </c>
      <c r="L216" t="s">
        <v>697</v>
      </c>
      <c r="M216" t="s">
        <v>13</v>
      </c>
      <c r="N216">
        <v>2.7002932353753693E-2</v>
      </c>
      <c r="O216" t="s">
        <v>6</v>
      </c>
    </row>
    <row r="217" spans="2:15" x14ac:dyDescent="0.45">
      <c r="B217" t="s">
        <v>695</v>
      </c>
      <c r="C217" t="s">
        <v>14</v>
      </c>
      <c r="D217">
        <v>4.5489960504006569E-2</v>
      </c>
      <c r="E217" t="s">
        <v>6</v>
      </c>
      <c r="G217" t="s">
        <v>696</v>
      </c>
      <c r="H217" t="s">
        <v>14</v>
      </c>
      <c r="I217">
        <v>2.7987491538496195E-2</v>
      </c>
      <c r="J217" t="s">
        <v>6</v>
      </c>
      <c r="L217" t="s">
        <v>697</v>
      </c>
      <c r="M217" t="s">
        <v>14</v>
      </c>
      <c r="N217">
        <v>2.8403877685410094E-2</v>
      </c>
      <c r="O217" t="s">
        <v>6</v>
      </c>
    </row>
    <row r="218" spans="2:15" x14ac:dyDescent="0.45">
      <c r="B218" t="s">
        <v>695</v>
      </c>
      <c r="C218" t="s">
        <v>15</v>
      </c>
      <c r="D218">
        <v>2.0733131231406292E-2</v>
      </c>
      <c r="E218" t="s">
        <v>6</v>
      </c>
      <c r="G218" t="s">
        <v>696</v>
      </c>
      <c r="H218" t="s">
        <v>15</v>
      </c>
      <c r="I218">
        <v>2.9137992515718004E-2</v>
      </c>
      <c r="J218" t="s">
        <v>6</v>
      </c>
      <c r="L218" t="s">
        <v>697</v>
      </c>
      <c r="M218" t="s">
        <v>15</v>
      </c>
      <c r="N218">
        <v>3.0940399137834976E-2</v>
      </c>
      <c r="O218" t="s">
        <v>6</v>
      </c>
    </row>
    <row r="219" spans="2:15" x14ac:dyDescent="0.45">
      <c r="B219" t="s">
        <v>695</v>
      </c>
      <c r="C219" t="s">
        <v>16</v>
      </c>
      <c r="D219">
        <v>6.9969096223494373E-4</v>
      </c>
      <c r="E219" t="s">
        <v>6</v>
      </c>
      <c r="G219" t="s">
        <v>696</v>
      </c>
      <c r="H219" t="s">
        <v>16</v>
      </c>
      <c r="I219">
        <v>3.1503420465907414E-2</v>
      </c>
      <c r="J219" t="s">
        <v>6</v>
      </c>
      <c r="L219" t="s">
        <v>697</v>
      </c>
      <c r="M219" t="s">
        <v>16</v>
      </c>
      <c r="N219">
        <v>3.0501605419685329E-2</v>
      </c>
      <c r="O219" t="s">
        <v>6</v>
      </c>
    </row>
    <row r="220" spans="2:15" x14ac:dyDescent="0.45">
      <c r="B220" t="s">
        <v>695</v>
      </c>
      <c r="C220" t="s">
        <v>17</v>
      </c>
      <c r="D220">
        <v>0</v>
      </c>
      <c r="E220" t="s">
        <v>6</v>
      </c>
      <c r="G220" t="s">
        <v>696</v>
      </c>
      <c r="H220" t="s">
        <v>17</v>
      </c>
      <c r="I220">
        <v>4.4216832518329141E-2</v>
      </c>
      <c r="J220" t="s">
        <v>6</v>
      </c>
      <c r="L220" t="s">
        <v>697</v>
      </c>
      <c r="M220" t="s">
        <v>17</v>
      </c>
      <c r="N220">
        <v>4.251848107072153E-2</v>
      </c>
      <c r="O220" t="s">
        <v>6</v>
      </c>
    </row>
    <row r="221" spans="2:15" x14ac:dyDescent="0.45">
      <c r="B221" t="s">
        <v>695</v>
      </c>
      <c r="C221" t="s">
        <v>18</v>
      </c>
      <c r="D221">
        <v>0</v>
      </c>
      <c r="E221" t="s">
        <v>6</v>
      </c>
      <c r="G221" t="s">
        <v>696</v>
      </c>
      <c r="H221" t="s">
        <v>18</v>
      </c>
      <c r="I221">
        <v>6.3542417035104964E-2</v>
      </c>
      <c r="J221" t="s">
        <v>6</v>
      </c>
      <c r="L221" t="s">
        <v>697</v>
      </c>
      <c r="M221" t="s">
        <v>18</v>
      </c>
      <c r="N221">
        <v>5.6526068718083515E-2</v>
      </c>
      <c r="O221" t="s">
        <v>6</v>
      </c>
    </row>
    <row r="222" spans="2:15" x14ac:dyDescent="0.45">
      <c r="B222" t="s">
        <v>695</v>
      </c>
      <c r="C222" t="s">
        <v>19</v>
      </c>
      <c r="D222">
        <v>0</v>
      </c>
      <c r="E222" t="s">
        <v>6</v>
      </c>
      <c r="G222" t="s">
        <v>696</v>
      </c>
      <c r="H222" t="s">
        <v>19</v>
      </c>
      <c r="I222">
        <v>2.3157433480439027E-2</v>
      </c>
      <c r="J222" t="s">
        <v>6</v>
      </c>
      <c r="L222" t="s">
        <v>697</v>
      </c>
      <c r="M222" t="s">
        <v>19</v>
      </c>
      <c r="N222">
        <v>2.5058218650989523E-2</v>
      </c>
      <c r="O222" t="s">
        <v>6</v>
      </c>
    </row>
    <row r="223" spans="2:15" x14ac:dyDescent="0.45">
      <c r="B223" t="s">
        <v>695</v>
      </c>
      <c r="C223" t="s">
        <v>20</v>
      </c>
      <c r="D223">
        <v>2.7803059836073729E-3</v>
      </c>
      <c r="E223" t="s">
        <v>6</v>
      </c>
      <c r="G223" t="s">
        <v>696</v>
      </c>
      <c r="H223" t="s">
        <v>20</v>
      </c>
      <c r="I223">
        <v>2.1130546331106368E-2</v>
      </c>
      <c r="J223" t="s">
        <v>6</v>
      </c>
      <c r="L223" t="s">
        <v>697</v>
      </c>
      <c r="M223" t="s">
        <v>20</v>
      </c>
      <c r="N223">
        <v>2.4887695090626157E-2</v>
      </c>
      <c r="O223" t="s">
        <v>6</v>
      </c>
    </row>
    <row r="224" spans="2:15" x14ac:dyDescent="0.45">
      <c r="B224" t="s">
        <v>695</v>
      </c>
      <c r="C224" t="s">
        <v>21</v>
      </c>
      <c r="D224">
        <v>2.8635359564846256E-2</v>
      </c>
      <c r="E224" t="s">
        <v>6</v>
      </c>
      <c r="G224" t="s">
        <v>696</v>
      </c>
      <c r="H224" t="s">
        <v>21</v>
      </c>
      <c r="I224">
        <v>2.1110529505220615E-2</v>
      </c>
      <c r="J224" t="s">
        <v>6</v>
      </c>
      <c r="L224" t="s">
        <v>697</v>
      </c>
      <c r="M224" t="s">
        <v>21</v>
      </c>
      <c r="N224">
        <v>2.3310549119133897E-2</v>
      </c>
      <c r="O224" t="s">
        <v>6</v>
      </c>
    </row>
    <row r="225" spans="2:15" x14ac:dyDescent="0.45">
      <c r="B225" t="s">
        <v>695</v>
      </c>
      <c r="C225" t="s">
        <v>22</v>
      </c>
      <c r="D225">
        <v>5.725957895776642E-2</v>
      </c>
      <c r="E225" t="s">
        <v>6</v>
      </c>
      <c r="G225" t="s">
        <v>696</v>
      </c>
      <c r="H225" t="s">
        <v>22</v>
      </c>
      <c r="I225">
        <v>2.5851378614525466E-2</v>
      </c>
      <c r="J225" t="s">
        <v>6</v>
      </c>
      <c r="L225" t="s">
        <v>697</v>
      </c>
      <c r="M225" t="s">
        <v>22</v>
      </c>
      <c r="N225">
        <v>2.612431579913661E-2</v>
      </c>
      <c r="O225" t="s">
        <v>6</v>
      </c>
    </row>
    <row r="226" spans="2:15" x14ac:dyDescent="0.45">
      <c r="B226" t="s">
        <v>695</v>
      </c>
      <c r="C226" t="s">
        <v>23</v>
      </c>
      <c r="D226">
        <v>6.8677921365374234E-2</v>
      </c>
      <c r="E226" t="s">
        <v>6</v>
      </c>
      <c r="G226" t="s">
        <v>696</v>
      </c>
      <c r="H226" t="s">
        <v>23</v>
      </c>
      <c r="I226">
        <v>3.1908935847855154E-2</v>
      </c>
      <c r="J226" t="s">
        <v>6</v>
      </c>
      <c r="L226" t="s">
        <v>697</v>
      </c>
      <c r="M226" t="s">
        <v>23</v>
      </c>
      <c r="N226">
        <v>3.3089672604823352E-2</v>
      </c>
      <c r="O226" t="s">
        <v>6</v>
      </c>
    </row>
    <row r="227" spans="2:15" x14ac:dyDescent="0.45">
      <c r="B227" t="s">
        <v>695</v>
      </c>
      <c r="C227" t="s">
        <v>24</v>
      </c>
      <c r="D227">
        <v>6.0371116576153544E-2</v>
      </c>
      <c r="E227" t="s">
        <v>6</v>
      </c>
      <c r="G227" t="s">
        <v>696</v>
      </c>
      <c r="H227" t="s">
        <v>24</v>
      </c>
      <c r="I227">
        <v>3.5876564329239295E-2</v>
      </c>
      <c r="J227" t="s">
        <v>6</v>
      </c>
      <c r="L227" t="s">
        <v>697</v>
      </c>
      <c r="M227" t="s">
        <v>24</v>
      </c>
      <c r="N227">
        <v>3.8679882505330762E-2</v>
      </c>
      <c r="O227" t="s">
        <v>6</v>
      </c>
    </row>
    <row r="228" spans="2:15" x14ac:dyDescent="0.45">
      <c r="B228" t="s">
        <v>695</v>
      </c>
      <c r="C228" t="s">
        <v>25</v>
      </c>
      <c r="D228">
        <v>3.6955613368994465E-2</v>
      </c>
      <c r="E228" t="s">
        <v>6</v>
      </c>
      <c r="G228" t="s">
        <v>696</v>
      </c>
      <c r="H228" t="s">
        <v>25</v>
      </c>
      <c r="I228">
        <v>3.5353581911233334E-2</v>
      </c>
      <c r="J228" t="s">
        <v>6</v>
      </c>
      <c r="L228" t="s">
        <v>697</v>
      </c>
      <c r="M228" t="s">
        <v>25</v>
      </c>
      <c r="N228">
        <v>3.5649881267435027E-2</v>
      </c>
      <c r="O228" t="s">
        <v>6</v>
      </c>
    </row>
    <row r="229" spans="2:15" x14ac:dyDescent="0.45">
      <c r="B229" t="s">
        <v>695</v>
      </c>
      <c r="C229" t="s">
        <v>26</v>
      </c>
      <c r="D229">
        <v>7.4266750702044332E-3</v>
      </c>
      <c r="E229" t="s">
        <v>6</v>
      </c>
      <c r="G229" t="s">
        <v>696</v>
      </c>
      <c r="H229" t="s">
        <v>26</v>
      </c>
      <c r="I229">
        <v>3.2013648246347427E-2</v>
      </c>
      <c r="J229" t="s">
        <v>6</v>
      </c>
      <c r="L229" t="s">
        <v>697</v>
      </c>
      <c r="M229" t="s">
        <v>26</v>
      </c>
      <c r="N229">
        <v>2.8935391694279396E-2</v>
      </c>
      <c r="O229" t="s">
        <v>6</v>
      </c>
    </row>
    <row r="230" spans="2:15" x14ac:dyDescent="0.45">
      <c r="B230" t="s">
        <v>695</v>
      </c>
      <c r="C230" t="s">
        <v>27</v>
      </c>
      <c r="D230">
        <v>6.2730705771049588E-6</v>
      </c>
      <c r="E230" t="s">
        <v>6</v>
      </c>
      <c r="G230" t="s">
        <v>696</v>
      </c>
      <c r="H230" t="s">
        <v>27</v>
      </c>
      <c r="I230">
        <v>4.4316339396344571E-2</v>
      </c>
      <c r="J230" t="s">
        <v>6</v>
      </c>
      <c r="L230" t="s">
        <v>697</v>
      </c>
      <c r="M230" t="s">
        <v>27</v>
      </c>
      <c r="N230">
        <v>3.449128964469373E-2</v>
      </c>
      <c r="O230" t="s">
        <v>6</v>
      </c>
    </row>
    <row r="231" spans="2:15" x14ac:dyDescent="0.45">
      <c r="B231" t="s">
        <v>695</v>
      </c>
      <c r="C231" t="s">
        <v>28</v>
      </c>
      <c r="D231">
        <v>0</v>
      </c>
      <c r="E231" t="s">
        <v>6</v>
      </c>
      <c r="G231" t="s">
        <v>696</v>
      </c>
      <c r="H231" t="s">
        <v>28</v>
      </c>
      <c r="I231">
        <v>4.4572086539973493E-2</v>
      </c>
      <c r="J231" t="s">
        <v>6</v>
      </c>
      <c r="L231" t="s">
        <v>697</v>
      </c>
      <c r="M231" t="s">
        <v>28</v>
      </c>
      <c r="N231">
        <v>1.4163560586382115E-2</v>
      </c>
      <c r="O231" t="s">
        <v>6</v>
      </c>
    </row>
    <row r="232" spans="2:15" x14ac:dyDescent="0.45">
      <c r="B232" t="s">
        <v>695</v>
      </c>
      <c r="C232" t="s">
        <v>29</v>
      </c>
      <c r="D232">
        <v>0</v>
      </c>
      <c r="E232" t="s">
        <v>6</v>
      </c>
      <c r="G232" t="s">
        <v>696</v>
      </c>
      <c r="H232" t="s">
        <v>29</v>
      </c>
      <c r="I232">
        <v>2.0161574941190443E-2</v>
      </c>
      <c r="J232" t="s">
        <v>6</v>
      </c>
      <c r="L232" t="s">
        <v>697</v>
      </c>
      <c r="M232" t="s">
        <v>29</v>
      </c>
      <c r="N232">
        <v>6.3605269578234412E-3</v>
      </c>
      <c r="O232" t="s">
        <v>6</v>
      </c>
    </row>
    <row r="233" spans="2:15" x14ac:dyDescent="0.45">
      <c r="B233" t="s">
        <v>695</v>
      </c>
      <c r="C233" t="s">
        <v>30</v>
      </c>
      <c r="D233">
        <v>5.1456814313787496E-3</v>
      </c>
      <c r="E233" t="s">
        <v>6</v>
      </c>
      <c r="G233" t="s">
        <v>696</v>
      </c>
      <c r="H233" t="s">
        <v>30</v>
      </c>
      <c r="I233">
        <v>1.6736907497575237E-2</v>
      </c>
      <c r="J233" t="s">
        <v>6</v>
      </c>
      <c r="L233" t="s">
        <v>697</v>
      </c>
      <c r="M233" t="s">
        <v>30</v>
      </c>
      <c r="N233">
        <v>5.8938929350152054E-3</v>
      </c>
      <c r="O233" t="s">
        <v>6</v>
      </c>
    </row>
    <row r="234" spans="2:15" x14ac:dyDescent="0.45">
      <c r="B234" t="s">
        <v>695</v>
      </c>
      <c r="C234" t="s">
        <v>31</v>
      </c>
      <c r="D234">
        <v>4.001784336007716E-2</v>
      </c>
      <c r="E234" t="s">
        <v>6</v>
      </c>
      <c r="G234" t="s">
        <v>696</v>
      </c>
      <c r="H234" t="s">
        <v>31</v>
      </c>
      <c r="I234">
        <v>1.0989619605020309E-2</v>
      </c>
      <c r="J234" t="s">
        <v>6</v>
      </c>
      <c r="L234" t="s">
        <v>697</v>
      </c>
      <c r="M234" t="s">
        <v>31</v>
      </c>
      <c r="N234">
        <v>5.5866042081897244E-3</v>
      </c>
      <c r="O234" t="s">
        <v>6</v>
      </c>
    </row>
    <row r="235" spans="2:15" x14ac:dyDescent="0.45">
      <c r="B235" t="s">
        <v>695</v>
      </c>
      <c r="C235" t="s">
        <v>32</v>
      </c>
      <c r="D235">
        <v>7.3276925046008731E-2</v>
      </c>
      <c r="E235" t="s">
        <v>6</v>
      </c>
      <c r="G235" t="s">
        <v>696</v>
      </c>
      <c r="H235" t="s">
        <v>32</v>
      </c>
      <c r="I235">
        <v>8.2702940241581747E-3</v>
      </c>
      <c r="J235" t="s">
        <v>6</v>
      </c>
      <c r="L235" t="s">
        <v>697</v>
      </c>
      <c r="M235" t="s">
        <v>32</v>
      </c>
      <c r="N235">
        <v>8.2705939095223911E-3</v>
      </c>
      <c r="O235" t="s">
        <v>6</v>
      </c>
    </row>
    <row r="236" spans="2:15" x14ac:dyDescent="0.45">
      <c r="B236" t="s">
        <v>695</v>
      </c>
      <c r="C236" t="s">
        <v>33</v>
      </c>
      <c r="D236">
        <v>8.6209673967146891E-2</v>
      </c>
      <c r="E236" t="s">
        <v>6</v>
      </c>
      <c r="G236" t="s">
        <v>696</v>
      </c>
      <c r="H236" t="s">
        <v>33</v>
      </c>
      <c r="I236">
        <v>9.4174149368431107E-3</v>
      </c>
      <c r="J236" t="s">
        <v>6</v>
      </c>
      <c r="L236" t="s">
        <v>697</v>
      </c>
      <c r="M236" t="s">
        <v>33</v>
      </c>
      <c r="N236">
        <v>1.3276024693886886E-2</v>
      </c>
      <c r="O236" t="s">
        <v>6</v>
      </c>
    </row>
    <row r="237" spans="2:15" x14ac:dyDescent="0.45">
      <c r="B237" t="s">
        <v>695</v>
      </c>
      <c r="C237" t="s">
        <v>34</v>
      </c>
      <c r="D237">
        <v>7.7373854620709365E-2</v>
      </c>
      <c r="E237" t="s">
        <v>6</v>
      </c>
      <c r="G237" t="s">
        <v>696</v>
      </c>
      <c r="H237" t="s">
        <v>34</v>
      </c>
      <c r="I237">
        <v>1.295690801166946E-2</v>
      </c>
      <c r="J237" t="s">
        <v>6</v>
      </c>
      <c r="L237" t="s">
        <v>697</v>
      </c>
      <c r="M237" t="s">
        <v>34</v>
      </c>
      <c r="N237">
        <v>1.5901687408173458E-2</v>
      </c>
      <c r="O237" t="s">
        <v>6</v>
      </c>
    </row>
    <row r="238" spans="2:15" x14ac:dyDescent="0.45">
      <c r="B238" t="s">
        <v>695</v>
      </c>
      <c r="C238" t="s">
        <v>35</v>
      </c>
      <c r="D238">
        <v>5.0573371756774212E-2</v>
      </c>
      <c r="E238" t="s">
        <v>6</v>
      </c>
      <c r="G238" t="s">
        <v>696</v>
      </c>
      <c r="H238" t="s">
        <v>35</v>
      </c>
      <c r="I238">
        <v>1.6155445564729504E-2</v>
      </c>
      <c r="J238" t="s">
        <v>6</v>
      </c>
      <c r="L238" t="s">
        <v>697</v>
      </c>
      <c r="M238" t="s">
        <v>35</v>
      </c>
      <c r="N238">
        <v>1.3785025864531102E-2</v>
      </c>
      <c r="O238" t="s">
        <v>6</v>
      </c>
    </row>
    <row r="239" spans="2:15" x14ac:dyDescent="0.45">
      <c r="B239" t="s">
        <v>695</v>
      </c>
      <c r="C239" t="s">
        <v>36</v>
      </c>
      <c r="D239">
        <v>1.3155788791025306E-2</v>
      </c>
      <c r="E239" t="s">
        <v>6</v>
      </c>
      <c r="G239" t="s">
        <v>696</v>
      </c>
      <c r="H239" t="s">
        <v>36</v>
      </c>
      <c r="I239">
        <v>1.5512985223732388E-2</v>
      </c>
      <c r="J239" t="s">
        <v>6</v>
      </c>
      <c r="L239" t="s">
        <v>697</v>
      </c>
      <c r="M239" t="s">
        <v>36</v>
      </c>
      <c r="N239">
        <v>8.878768530086515E-3</v>
      </c>
      <c r="O239" t="s">
        <v>6</v>
      </c>
    </row>
    <row r="240" spans="2:15" x14ac:dyDescent="0.45">
      <c r="B240" t="s">
        <v>695</v>
      </c>
      <c r="C240" t="s">
        <v>37</v>
      </c>
      <c r="D240">
        <v>1.5218373360159979E-4</v>
      </c>
      <c r="E240" t="s">
        <v>6</v>
      </c>
      <c r="G240" t="s">
        <v>696</v>
      </c>
      <c r="H240" t="s">
        <v>37</v>
      </c>
      <c r="I240">
        <v>2.2834481713177753E-2</v>
      </c>
      <c r="J240" t="s">
        <v>6</v>
      </c>
      <c r="L240" t="s">
        <v>697</v>
      </c>
      <c r="M240" t="s">
        <v>37</v>
      </c>
      <c r="N240">
        <v>9.2075601774502577E-3</v>
      </c>
      <c r="O240" t="s">
        <v>6</v>
      </c>
    </row>
    <row r="241" spans="2:15" x14ac:dyDescent="0.45">
      <c r="B241" t="s">
        <v>695</v>
      </c>
      <c r="C241" t="s">
        <v>38</v>
      </c>
      <c r="D241">
        <v>0</v>
      </c>
      <c r="E241" t="s">
        <v>6</v>
      </c>
      <c r="G241" t="s">
        <v>696</v>
      </c>
      <c r="H241" t="s">
        <v>38</v>
      </c>
      <c r="I241">
        <v>3.3187082189017211E-2</v>
      </c>
      <c r="J241" t="s">
        <v>6</v>
      </c>
      <c r="L241" t="s">
        <v>697</v>
      </c>
      <c r="M241" t="s">
        <v>38</v>
      </c>
      <c r="N241">
        <v>4.8777082424929168E-2</v>
      </c>
      <c r="O241" t="s">
        <v>6</v>
      </c>
    </row>
    <row r="242" spans="2:15" x14ac:dyDescent="0.45">
      <c r="B242" t="s">
        <v>695</v>
      </c>
      <c r="C242" t="s">
        <v>39</v>
      </c>
      <c r="D242">
        <v>0</v>
      </c>
      <c r="E242" t="s">
        <v>6</v>
      </c>
      <c r="G242" t="s">
        <v>696</v>
      </c>
      <c r="H242" t="s">
        <v>39</v>
      </c>
      <c r="I242">
        <v>1.4944222619229461E-2</v>
      </c>
      <c r="J242" t="s">
        <v>6</v>
      </c>
      <c r="L242" t="s">
        <v>697</v>
      </c>
      <c r="M242" t="s">
        <v>39</v>
      </c>
      <c r="N242">
        <v>1.8653424741808124E-2</v>
      </c>
      <c r="O242" t="s">
        <v>6</v>
      </c>
    </row>
    <row r="243" spans="2:15" x14ac:dyDescent="0.45">
      <c r="B243" t="s">
        <v>695</v>
      </c>
      <c r="C243" t="s">
        <v>40</v>
      </c>
      <c r="D243">
        <v>6.3527712862587239E-4</v>
      </c>
      <c r="E243" t="s">
        <v>6</v>
      </c>
      <c r="G243" t="s">
        <v>696</v>
      </c>
      <c r="H243" t="s">
        <v>40</v>
      </c>
      <c r="I243">
        <v>1.4246606759609474E-2</v>
      </c>
      <c r="J243" t="s">
        <v>6</v>
      </c>
      <c r="L243" t="s">
        <v>697</v>
      </c>
      <c r="M243" t="s">
        <v>40</v>
      </c>
      <c r="N243">
        <v>1.7921297951081536E-2</v>
      </c>
      <c r="O243" t="s">
        <v>6</v>
      </c>
    </row>
    <row r="244" spans="2:15" x14ac:dyDescent="0.45">
      <c r="B244" t="s">
        <v>695</v>
      </c>
      <c r="C244" t="s">
        <v>41</v>
      </c>
      <c r="D244">
        <v>2.2393428550137099E-2</v>
      </c>
      <c r="E244" t="s">
        <v>6</v>
      </c>
      <c r="G244" t="s">
        <v>696</v>
      </c>
      <c r="H244" t="s">
        <v>41</v>
      </c>
      <c r="I244">
        <v>1.0811400025556962E-2</v>
      </c>
      <c r="J244" t="s">
        <v>6</v>
      </c>
      <c r="L244" t="s">
        <v>697</v>
      </c>
      <c r="M244" t="s">
        <v>41</v>
      </c>
      <c r="N244">
        <v>1.5805338565240992E-2</v>
      </c>
      <c r="O244" t="s">
        <v>6</v>
      </c>
    </row>
    <row r="245" spans="2:15" x14ac:dyDescent="0.45">
      <c r="B245" t="s">
        <v>695</v>
      </c>
      <c r="C245" t="s">
        <v>42</v>
      </c>
      <c r="D245">
        <v>5.3949942807819035E-2</v>
      </c>
      <c r="E245" t="s">
        <v>6</v>
      </c>
      <c r="G245" t="s">
        <v>696</v>
      </c>
      <c r="H245" t="s">
        <v>42</v>
      </c>
      <c r="I245">
        <v>9.3425636727084028E-3</v>
      </c>
      <c r="J245" t="s">
        <v>6</v>
      </c>
      <c r="L245" t="s">
        <v>697</v>
      </c>
      <c r="M245" t="s">
        <v>42</v>
      </c>
      <c r="N245">
        <v>1.5682128528495678E-2</v>
      </c>
      <c r="O245" t="s">
        <v>6</v>
      </c>
    </row>
    <row r="246" spans="2:15" x14ac:dyDescent="0.45">
      <c r="B246" t="s">
        <v>695</v>
      </c>
      <c r="C246" t="s">
        <v>43</v>
      </c>
      <c r="D246">
        <v>6.6196764880393402E-2</v>
      </c>
      <c r="E246" t="s">
        <v>6</v>
      </c>
      <c r="G246" t="s">
        <v>696</v>
      </c>
      <c r="H246" t="s">
        <v>43</v>
      </c>
      <c r="I246">
        <v>1.1809821274206093E-2</v>
      </c>
      <c r="J246" t="s">
        <v>6</v>
      </c>
      <c r="L246" t="s">
        <v>697</v>
      </c>
      <c r="M246" t="s">
        <v>43</v>
      </c>
      <c r="N246">
        <v>1.8592195650233831E-2</v>
      </c>
      <c r="O246" t="s">
        <v>6</v>
      </c>
    </row>
    <row r="247" spans="2:15" x14ac:dyDescent="0.45">
      <c r="B247" t="s">
        <v>695</v>
      </c>
      <c r="C247" t="s">
        <v>44</v>
      </c>
      <c r="D247">
        <v>5.4701562138860294E-2</v>
      </c>
      <c r="E247" t="s">
        <v>6</v>
      </c>
      <c r="G247" t="s">
        <v>696</v>
      </c>
      <c r="H247" t="s">
        <v>44</v>
      </c>
      <c r="I247">
        <v>1.3774625967819722E-2</v>
      </c>
      <c r="J247" t="s">
        <v>6</v>
      </c>
      <c r="L247" t="s">
        <v>697</v>
      </c>
      <c r="M247" t="s">
        <v>44</v>
      </c>
      <c r="N247">
        <v>2.1964218325211695E-2</v>
      </c>
      <c r="O247" t="s">
        <v>6</v>
      </c>
    </row>
    <row r="248" spans="2:15" x14ac:dyDescent="0.45">
      <c r="B248" t="s">
        <v>695</v>
      </c>
      <c r="C248" t="s">
        <v>45</v>
      </c>
      <c r="D248">
        <v>2.6813704609932182E-2</v>
      </c>
      <c r="E248" t="s">
        <v>6</v>
      </c>
      <c r="G248" t="s">
        <v>696</v>
      </c>
      <c r="H248" t="s">
        <v>45</v>
      </c>
      <c r="I248">
        <v>1.4130385292327465E-2</v>
      </c>
      <c r="J248" t="s">
        <v>6</v>
      </c>
      <c r="L248" t="s">
        <v>697</v>
      </c>
      <c r="M248" t="s">
        <v>45</v>
      </c>
      <c r="N248">
        <v>2.3658297167617904E-2</v>
      </c>
      <c r="O248" t="s">
        <v>6</v>
      </c>
    </row>
    <row r="249" spans="2:15" x14ac:dyDescent="0.45">
      <c r="B249" t="s">
        <v>695</v>
      </c>
      <c r="C249" t="s">
        <v>46</v>
      </c>
      <c r="D249">
        <v>2.0311615777621325E-3</v>
      </c>
      <c r="E249" t="s">
        <v>6</v>
      </c>
      <c r="G249" t="s">
        <v>696</v>
      </c>
      <c r="H249" t="s">
        <v>46</v>
      </c>
      <c r="I249">
        <v>1.5158656407472408E-2</v>
      </c>
      <c r="J249" t="s">
        <v>6</v>
      </c>
      <c r="L249" t="s">
        <v>697</v>
      </c>
      <c r="M249" t="s">
        <v>46</v>
      </c>
      <c r="N249">
        <v>2.2037085022012345E-2</v>
      </c>
      <c r="O249" t="s">
        <v>6</v>
      </c>
    </row>
    <row r="250" spans="2:15" x14ac:dyDescent="0.45">
      <c r="B250" t="s">
        <v>695</v>
      </c>
      <c r="C250" t="s">
        <v>47</v>
      </c>
      <c r="D250">
        <v>0</v>
      </c>
      <c r="E250" t="s">
        <v>6</v>
      </c>
      <c r="G250" t="s">
        <v>696</v>
      </c>
      <c r="H250" t="s">
        <v>47</v>
      </c>
      <c r="I250">
        <v>2.1036121703247399E-2</v>
      </c>
      <c r="J250" t="s">
        <v>6</v>
      </c>
      <c r="L250" t="s">
        <v>697</v>
      </c>
      <c r="M250" t="s">
        <v>47</v>
      </c>
      <c r="N250">
        <v>3.1077646203632951E-2</v>
      </c>
      <c r="O250" t="s">
        <v>6</v>
      </c>
    </row>
    <row r="251" spans="2:15" x14ac:dyDescent="0.45">
      <c r="B251" t="s">
        <v>698</v>
      </c>
      <c r="C251" t="s">
        <v>5</v>
      </c>
      <c r="D251">
        <v>0</v>
      </c>
      <c r="E251" t="s">
        <v>6</v>
      </c>
      <c r="G251" t="s">
        <v>699</v>
      </c>
      <c r="H251" t="s">
        <v>5</v>
      </c>
      <c r="I251">
        <v>7.8943233795094284E-2</v>
      </c>
      <c r="J251" t="s">
        <v>6</v>
      </c>
      <c r="L251" t="s">
        <v>700</v>
      </c>
      <c r="M251" t="s">
        <v>5</v>
      </c>
      <c r="N251">
        <v>7.2880820176458236E-2</v>
      </c>
      <c r="O251" t="s">
        <v>6</v>
      </c>
    </row>
    <row r="252" spans="2:15" x14ac:dyDescent="0.45">
      <c r="B252" t="s">
        <v>698</v>
      </c>
      <c r="C252" t="s">
        <v>9</v>
      </c>
      <c r="D252">
        <v>0</v>
      </c>
      <c r="E252" t="s">
        <v>6</v>
      </c>
      <c r="G252" t="s">
        <v>699</v>
      </c>
      <c r="H252" t="s">
        <v>9</v>
      </c>
      <c r="I252">
        <v>2.8591912807138332E-2</v>
      </c>
      <c r="J252" t="s">
        <v>6</v>
      </c>
      <c r="L252" t="s">
        <v>700</v>
      </c>
      <c r="M252" t="s">
        <v>9</v>
      </c>
      <c r="N252">
        <v>2.9439273406522314E-2</v>
      </c>
      <c r="O252" t="s">
        <v>6</v>
      </c>
    </row>
    <row r="253" spans="2:15" x14ac:dyDescent="0.45">
      <c r="B253" t="s">
        <v>698</v>
      </c>
      <c r="C253" t="s">
        <v>10</v>
      </c>
      <c r="D253">
        <v>0</v>
      </c>
      <c r="E253" t="s">
        <v>6</v>
      </c>
      <c r="G253" t="s">
        <v>699</v>
      </c>
      <c r="H253" t="s">
        <v>10</v>
      </c>
      <c r="I253">
        <v>2.75252839492648E-2</v>
      </c>
      <c r="J253" t="s">
        <v>6</v>
      </c>
      <c r="L253" t="s">
        <v>700</v>
      </c>
      <c r="M253" t="s">
        <v>10</v>
      </c>
      <c r="N253">
        <v>2.9647918434842494E-2</v>
      </c>
      <c r="O253" t="s">
        <v>6</v>
      </c>
    </row>
    <row r="254" spans="2:15" x14ac:dyDescent="0.45">
      <c r="B254" t="s">
        <v>698</v>
      </c>
      <c r="C254" t="s">
        <v>11</v>
      </c>
      <c r="D254">
        <v>7.0830085435211673E-3</v>
      </c>
      <c r="E254" t="s">
        <v>6</v>
      </c>
      <c r="G254" t="s">
        <v>699</v>
      </c>
      <c r="H254" t="s">
        <v>11</v>
      </c>
      <c r="I254">
        <v>2.5633100197246558E-2</v>
      </c>
      <c r="J254" t="s">
        <v>6</v>
      </c>
      <c r="L254" t="s">
        <v>700</v>
      </c>
      <c r="M254" t="s">
        <v>11</v>
      </c>
      <c r="N254">
        <v>2.9777753078851707E-2</v>
      </c>
      <c r="O254" t="s">
        <v>6</v>
      </c>
    </row>
    <row r="255" spans="2:15" x14ac:dyDescent="0.45">
      <c r="B255" t="s">
        <v>698</v>
      </c>
      <c r="C255" t="s">
        <v>12</v>
      </c>
      <c r="D255">
        <v>3.6974440604318273E-2</v>
      </c>
      <c r="E255" t="s">
        <v>6</v>
      </c>
      <c r="G255" t="s">
        <v>699</v>
      </c>
      <c r="H255" t="s">
        <v>12</v>
      </c>
      <c r="I255">
        <v>2.4190746885518935E-2</v>
      </c>
      <c r="J255" t="s">
        <v>6</v>
      </c>
      <c r="L255" t="s">
        <v>700</v>
      </c>
      <c r="M255" t="s">
        <v>12</v>
      </c>
      <c r="N255">
        <v>2.8894171225657399E-2</v>
      </c>
      <c r="O255" t="s">
        <v>6</v>
      </c>
    </row>
    <row r="256" spans="2:15" x14ac:dyDescent="0.45">
      <c r="B256" t="s">
        <v>698</v>
      </c>
      <c r="C256" t="s">
        <v>13</v>
      </c>
      <c r="D256">
        <v>5.3416604787260069E-2</v>
      </c>
      <c r="E256" t="s">
        <v>6</v>
      </c>
      <c r="G256" t="s">
        <v>699</v>
      </c>
      <c r="H256" t="s">
        <v>13</v>
      </c>
      <c r="I256">
        <v>2.7267400543457537E-2</v>
      </c>
      <c r="J256" t="s">
        <v>6</v>
      </c>
      <c r="L256" t="s">
        <v>700</v>
      </c>
      <c r="M256" t="s">
        <v>13</v>
      </c>
      <c r="N256">
        <v>2.7901760586813103E-2</v>
      </c>
      <c r="O256" t="s">
        <v>6</v>
      </c>
    </row>
    <row r="257" spans="2:15" x14ac:dyDescent="0.45">
      <c r="B257" t="s">
        <v>698</v>
      </c>
      <c r="C257" t="s">
        <v>14</v>
      </c>
      <c r="D257">
        <v>4.6594331230056241E-2</v>
      </c>
      <c r="E257" t="s">
        <v>6</v>
      </c>
      <c r="G257" t="s">
        <v>699</v>
      </c>
      <c r="H257" t="s">
        <v>14</v>
      </c>
      <c r="I257">
        <v>2.8695223390855985E-2</v>
      </c>
      <c r="J257" t="s">
        <v>6</v>
      </c>
      <c r="L257" t="s">
        <v>700</v>
      </c>
      <c r="M257" t="s">
        <v>14</v>
      </c>
      <c r="N257">
        <v>2.7655276010536817E-2</v>
      </c>
      <c r="O257" t="s">
        <v>6</v>
      </c>
    </row>
    <row r="258" spans="2:15" x14ac:dyDescent="0.45">
      <c r="B258" t="s">
        <v>698</v>
      </c>
      <c r="C258" t="s">
        <v>15</v>
      </c>
      <c r="D258">
        <v>2.0731332752603093E-2</v>
      </c>
      <c r="E258" t="s">
        <v>6</v>
      </c>
      <c r="G258" t="s">
        <v>699</v>
      </c>
      <c r="H258" t="s">
        <v>15</v>
      </c>
      <c r="I258">
        <v>2.7616684992851581E-2</v>
      </c>
      <c r="J258" t="s">
        <v>6</v>
      </c>
      <c r="L258" t="s">
        <v>700</v>
      </c>
      <c r="M258" t="s">
        <v>15</v>
      </c>
      <c r="N258">
        <v>2.8831730050533872E-2</v>
      </c>
      <c r="O258" t="s">
        <v>6</v>
      </c>
    </row>
    <row r="259" spans="2:15" x14ac:dyDescent="0.45">
      <c r="B259" t="s">
        <v>698</v>
      </c>
      <c r="C259" t="s">
        <v>16</v>
      </c>
      <c r="D259">
        <v>7.3100047366743447E-4</v>
      </c>
      <c r="E259" t="s">
        <v>6</v>
      </c>
      <c r="G259" t="s">
        <v>699</v>
      </c>
      <c r="H259" t="s">
        <v>16</v>
      </c>
      <c r="I259">
        <v>2.9310627260114089E-2</v>
      </c>
      <c r="J259" t="s">
        <v>6</v>
      </c>
      <c r="L259" t="s">
        <v>700</v>
      </c>
      <c r="M259" t="s">
        <v>16</v>
      </c>
      <c r="N259">
        <v>2.8831772874047538E-2</v>
      </c>
      <c r="O259" t="s">
        <v>6</v>
      </c>
    </row>
    <row r="260" spans="2:15" x14ac:dyDescent="0.45">
      <c r="B260" t="s">
        <v>698</v>
      </c>
      <c r="C260" t="s">
        <v>17</v>
      </c>
      <c r="D260">
        <v>0</v>
      </c>
      <c r="E260" t="s">
        <v>6</v>
      </c>
      <c r="G260" t="s">
        <v>699</v>
      </c>
      <c r="H260" t="s">
        <v>17</v>
      </c>
      <c r="I260">
        <v>4.740176927481058E-2</v>
      </c>
      <c r="J260" t="s">
        <v>6</v>
      </c>
      <c r="L260" t="s">
        <v>700</v>
      </c>
      <c r="M260" t="s">
        <v>17</v>
      </c>
      <c r="N260">
        <v>4.1809578791077474E-2</v>
      </c>
      <c r="O260" t="s">
        <v>6</v>
      </c>
    </row>
    <row r="261" spans="2:15" x14ac:dyDescent="0.45">
      <c r="B261" t="s">
        <v>698</v>
      </c>
      <c r="C261" t="s">
        <v>18</v>
      </c>
      <c r="D261">
        <v>0</v>
      </c>
      <c r="E261" t="s">
        <v>6</v>
      </c>
      <c r="G261" t="s">
        <v>699</v>
      </c>
      <c r="H261" t="s">
        <v>18</v>
      </c>
      <c r="I261">
        <v>6.7292721190938529E-2</v>
      </c>
      <c r="J261" t="s">
        <v>6</v>
      </c>
      <c r="L261" t="s">
        <v>700</v>
      </c>
      <c r="M261" t="s">
        <v>18</v>
      </c>
      <c r="N261">
        <v>6.4100534736020495E-2</v>
      </c>
      <c r="O261" t="s">
        <v>6</v>
      </c>
    </row>
    <row r="262" spans="2:15" x14ac:dyDescent="0.45">
      <c r="B262" t="s">
        <v>698</v>
      </c>
      <c r="C262" t="s">
        <v>19</v>
      </c>
      <c r="D262">
        <v>0</v>
      </c>
      <c r="E262" t="s">
        <v>6</v>
      </c>
      <c r="G262" t="s">
        <v>699</v>
      </c>
      <c r="H262" t="s">
        <v>19</v>
      </c>
      <c r="I262">
        <v>2.3757595596134655E-2</v>
      </c>
      <c r="J262" t="s">
        <v>6</v>
      </c>
      <c r="L262" t="s">
        <v>700</v>
      </c>
      <c r="M262" t="s">
        <v>19</v>
      </c>
      <c r="N262">
        <v>2.6812990083760813E-2</v>
      </c>
      <c r="O262" t="s">
        <v>6</v>
      </c>
    </row>
    <row r="263" spans="2:15" x14ac:dyDescent="0.45">
      <c r="B263" t="s">
        <v>698</v>
      </c>
      <c r="C263" t="s">
        <v>20</v>
      </c>
      <c r="D263">
        <v>2.6074579074174382E-3</v>
      </c>
      <c r="E263" t="s">
        <v>6</v>
      </c>
      <c r="G263" t="s">
        <v>699</v>
      </c>
      <c r="H263" t="s">
        <v>20</v>
      </c>
      <c r="I263">
        <v>2.2075978414918773E-2</v>
      </c>
      <c r="J263" t="s">
        <v>6</v>
      </c>
      <c r="L263" t="s">
        <v>700</v>
      </c>
      <c r="M263" t="s">
        <v>20</v>
      </c>
      <c r="N263">
        <v>2.6781494820026917E-2</v>
      </c>
      <c r="O263" t="s">
        <v>6</v>
      </c>
    </row>
    <row r="264" spans="2:15" x14ac:dyDescent="0.45">
      <c r="B264" t="s">
        <v>698</v>
      </c>
      <c r="C264" t="s">
        <v>21</v>
      </c>
      <c r="D264">
        <v>2.7189952339744215E-2</v>
      </c>
      <c r="E264" t="s">
        <v>6</v>
      </c>
      <c r="G264" t="s">
        <v>699</v>
      </c>
      <c r="H264" t="s">
        <v>21</v>
      </c>
      <c r="I264">
        <v>2.218261308871454E-2</v>
      </c>
      <c r="J264" t="s">
        <v>6</v>
      </c>
      <c r="L264" t="s">
        <v>700</v>
      </c>
      <c r="M264" t="s">
        <v>21</v>
      </c>
      <c r="N264">
        <v>2.4211096578495017E-2</v>
      </c>
      <c r="O264" t="s">
        <v>6</v>
      </c>
    </row>
    <row r="265" spans="2:15" x14ac:dyDescent="0.45">
      <c r="B265" t="s">
        <v>698</v>
      </c>
      <c r="C265" t="s">
        <v>22</v>
      </c>
      <c r="D265">
        <v>5.792954627816365E-2</v>
      </c>
      <c r="E265" t="s">
        <v>6</v>
      </c>
      <c r="G265" t="s">
        <v>699</v>
      </c>
      <c r="H265" t="s">
        <v>22</v>
      </c>
      <c r="I265">
        <v>2.4124439975930338E-2</v>
      </c>
      <c r="J265" t="s">
        <v>6</v>
      </c>
      <c r="L265" t="s">
        <v>700</v>
      </c>
      <c r="M265" t="s">
        <v>22</v>
      </c>
      <c r="N265">
        <v>2.3097577536035165E-2</v>
      </c>
      <c r="O265" t="s">
        <v>6</v>
      </c>
    </row>
    <row r="266" spans="2:15" x14ac:dyDescent="0.45">
      <c r="B266" t="s">
        <v>698</v>
      </c>
      <c r="C266" t="s">
        <v>23</v>
      </c>
      <c r="D266">
        <v>7.1551435740386721E-2</v>
      </c>
      <c r="E266" t="s">
        <v>6</v>
      </c>
      <c r="G266" t="s">
        <v>699</v>
      </c>
      <c r="H266" t="s">
        <v>23</v>
      </c>
      <c r="I266">
        <v>2.8363675400783356E-2</v>
      </c>
      <c r="J266" t="s">
        <v>6</v>
      </c>
      <c r="L266" t="s">
        <v>700</v>
      </c>
      <c r="M266" t="s">
        <v>23</v>
      </c>
      <c r="N266">
        <v>2.5219020320766613E-2</v>
      </c>
      <c r="O266" t="s">
        <v>6</v>
      </c>
    </row>
    <row r="267" spans="2:15" x14ac:dyDescent="0.45">
      <c r="B267" t="s">
        <v>698</v>
      </c>
      <c r="C267" t="s">
        <v>24</v>
      </c>
      <c r="D267">
        <v>6.503468817551214E-2</v>
      </c>
      <c r="E267" t="s">
        <v>6</v>
      </c>
      <c r="G267" t="s">
        <v>699</v>
      </c>
      <c r="H267" t="s">
        <v>24</v>
      </c>
      <c r="I267">
        <v>3.2509433730257352E-2</v>
      </c>
      <c r="J267" t="s">
        <v>6</v>
      </c>
      <c r="L267" t="s">
        <v>700</v>
      </c>
      <c r="M267" t="s">
        <v>24</v>
      </c>
      <c r="N267">
        <v>2.898447807872576E-2</v>
      </c>
      <c r="O267" t="s">
        <v>6</v>
      </c>
    </row>
    <row r="268" spans="2:15" x14ac:dyDescent="0.45">
      <c r="B268" t="s">
        <v>698</v>
      </c>
      <c r="C268" t="s">
        <v>25</v>
      </c>
      <c r="D268">
        <v>3.8666528647118004E-2</v>
      </c>
      <c r="E268" t="s">
        <v>6</v>
      </c>
      <c r="G268" t="s">
        <v>699</v>
      </c>
      <c r="H268" t="s">
        <v>25</v>
      </c>
      <c r="I268">
        <v>3.4444765215375518E-2</v>
      </c>
      <c r="J268" t="s">
        <v>6</v>
      </c>
      <c r="L268" t="s">
        <v>700</v>
      </c>
      <c r="M268" t="s">
        <v>25</v>
      </c>
      <c r="N268">
        <v>2.9559389168644843E-2</v>
      </c>
      <c r="O268" t="s">
        <v>6</v>
      </c>
    </row>
    <row r="269" spans="2:15" x14ac:dyDescent="0.45">
      <c r="B269" t="s">
        <v>698</v>
      </c>
      <c r="C269" t="s">
        <v>26</v>
      </c>
      <c r="D269">
        <v>7.7023290899197235E-3</v>
      </c>
      <c r="E269" t="s">
        <v>6</v>
      </c>
      <c r="G269" t="s">
        <v>699</v>
      </c>
      <c r="H269" t="s">
        <v>26</v>
      </c>
      <c r="I269">
        <v>3.1478348803795721E-2</v>
      </c>
      <c r="J269" t="s">
        <v>6</v>
      </c>
      <c r="L269" t="s">
        <v>700</v>
      </c>
      <c r="M269" t="s">
        <v>26</v>
      </c>
      <c r="N269">
        <v>2.8853585935944087E-2</v>
      </c>
      <c r="O269" t="s">
        <v>6</v>
      </c>
    </row>
    <row r="270" spans="2:15" x14ac:dyDescent="0.45">
      <c r="B270" t="s">
        <v>698</v>
      </c>
      <c r="C270" t="s">
        <v>27</v>
      </c>
      <c r="D270">
        <v>1.5124414340237502E-5</v>
      </c>
      <c r="E270" t="s">
        <v>6</v>
      </c>
      <c r="G270" t="s">
        <v>699</v>
      </c>
      <c r="H270" t="s">
        <v>27</v>
      </c>
      <c r="I270">
        <v>4.449459414439548E-2</v>
      </c>
      <c r="J270" t="s">
        <v>6</v>
      </c>
      <c r="L270" t="s">
        <v>700</v>
      </c>
      <c r="M270" t="s">
        <v>27</v>
      </c>
      <c r="N270">
        <v>3.911174973929811E-2</v>
      </c>
      <c r="O270" t="s">
        <v>6</v>
      </c>
    </row>
    <row r="271" spans="2:15" x14ac:dyDescent="0.45">
      <c r="B271" t="s">
        <v>698</v>
      </c>
      <c r="C271" t="s">
        <v>28</v>
      </c>
      <c r="D271">
        <v>0</v>
      </c>
      <c r="E271" t="s">
        <v>6</v>
      </c>
      <c r="G271" t="s">
        <v>699</v>
      </c>
      <c r="H271" t="s">
        <v>28</v>
      </c>
      <c r="I271">
        <v>3.5968545080002086E-2</v>
      </c>
      <c r="J271" t="s">
        <v>6</v>
      </c>
      <c r="L271" t="s">
        <v>700</v>
      </c>
      <c r="M271" t="s">
        <v>28</v>
      </c>
      <c r="N271">
        <v>1.9995760119063708E-2</v>
      </c>
      <c r="O271" t="s">
        <v>6</v>
      </c>
    </row>
    <row r="272" spans="2:15" x14ac:dyDescent="0.45">
      <c r="B272" t="s">
        <v>698</v>
      </c>
      <c r="C272" t="s">
        <v>29</v>
      </c>
      <c r="D272">
        <v>0</v>
      </c>
      <c r="E272" t="s">
        <v>6</v>
      </c>
      <c r="G272" t="s">
        <v>699</v>
      </c>
      <c r="H272" t="s">
        <v>29</v>
      </c>
      <c r="I272">
        <v>1.0899961659195051E-2</v>
      </c>
      <c r="J272" t="s">
        <v>6</v>
      </c>
      <c r="L272" t="s">
        <v>700</v>
      </c>
      <c r="M272" t="s">
        <v>29</v>
      </c>
      <c r="N272">
        <v>8.5525293609152262E-3</v>
      </c>
      <c r="O272" t="s">
        <v>6</v>
      </c>
    </row>
    <row r="273" spans="2:15" x14ac:dyDescent="0.45">
      <c r="B273" t="s">
        <v>698</v>
      </c>
      <c r="C273" t="s">
        <v>30</v>
      </c>
      <c r="D273">
        <v>4.9847851440531473E-3</v>
      </c>
      <c r="E273" t="s">
        <v>6</v>
      </c>
      <c r="G273" t="s">
        <v>699</v>
      </c>
      <c r="H273" t="s">
        <v>30</v>
      </c>
      <c r="I273">
        <v>8.0526314848667329E-3</v>
      </c>
      <c r="J273" t="s">
        <v>6</v>
      </c>
      <c r="L273" t="s">
        <v>700</v>
      </c>
      <c r="M273" t="s">
        <v>30</v>
      </c>
      <c r="N273">
        <v>7.9903385409733785E-3</v>
      </c>
      <c r="O273" t="s">
        <v>6</v>
      </c>
    </row>
    <row r="274" spans="2:15" x14ac:dyDescent="0.45">
      <c r="B274" t="s">
        <v>698</v>
      </c>
      <c r="C274" t="s">
        <v>31</v>
      </c>
      <c r="D274">
        <v>3.9242435872090968E-2</v>
      </c>
      <c r="E274" t="s">
        <v>6</v>
      </c>
      <c r="G274" t="s">
        <v>699</v>
      </c>
      <c r="H274" t="s">
        <v>31</v>
      </c>
      <c r="I274">
        <v>5.2990617643818867E-3</v>
      </c>
      <c r="J274" t="s">
        <v>6</v>
      </c>
      <c r="L274" t="s">
        <v>700</v>
      </c>
      <c r="M274" t="s">
        <v>31</v>
      </c>
      <c r="N274">
        <v>6.3293438398175673E-3</v>
      </c>
      <c r="O274" t="s">
        <v>6</v>
      </c>
    </row>
    <row r="275" spans="2:15" x14ac:dyDescent="0.45">
      <c r="B275" t="s">
        <v>698</v>
      </c>
      <c r="C275" t="s">
        <v>32</v>
      </c>
      <c r="D275">
        <v>7.342616177739511E-2</v>
      </c>
      <c r="E275" t="s">
        <v>6</v>
      </c>
      <c r="G275" t="s">
        <v>699</v>
      </c>
      <c r="H275" t="s">
        <v>32</v>
      </c>
      <c r="I275">
        <v>5.4087198695876894E-3</v>
      </c>
      <c r="J275" t="s">
        <v>6</v>
      </c>
      <c r="L275" t="s">
        <v>700</v>
      </c>
      <c r="M275" t="s">
        <v>32</v>
      </c>
      <c r="N275">
        <v>5.4374705017170323E-3</v>
      </c>
      <c r="O275" t="s">
        <v>6</v>
      </c>
    </row>
    <row r="276" spans="2:15" x14ac:dyDescent="0.45">
      <c r="B276" t="s">
        <v>698</v>
      </c>
      <c r="C276" t="s">
        <v>33</v>
      </c>
      <c r="D276">
        <v>8.729115183726785E-2</v>
      </c>
      <c r="E276" t="s">
        <v>6</v>
      </c>
      <c r="G276" t="s">
        <v>699</v>
      </c>
      <c r="H276" t="s">
        <v>33</v>
      </c>
      <c r="I276">
        <v>7.4483492878380407E-3</v>
      </c>
      <c r="J276" t="s">
        <v>6</v>
      </c>
      <c r="L276" t="s">
        <v>700</v>
      </c>
      <c r="M276" t="s">
        <v>33</v>
      </c>
      <c r="N276">
        <v>8.152248723826196E-3</v>
      </c>
      <c r="O276" t="s">
        <v>6</v>
      </c>
    </row>
    <row r="277" spans="2:15" x14ac:dyDescent="0.45">
      <c r="B277" t="s">
        <v>698</v>
      </c>
      <c r="C277" t="s">
        <v>34</v>
      </c>
      <c r="D277">
        <v>7.7584086318619377E-2</v>
      </c>
      <c r="E277" t="s">
        <v>6</v>
      </c>
      <c r="G277" t="s">
        <v>699</v>
      </c>
      <c r="H277" t="s">
        <v>34</v>
      </c>
      <c r="I277">
        <v>1.0096346396286211E-2</v>
      </c>
      <c r="J277" t="s">
        <v>6</v>
      </c>
      <c r="L277" t="s">
        <v>700</v>
      </c>
      <c r="M277" t="s">
        <v>34</v>
      </c>
      <c r="N277">
        <v>1.1151340006384146E-2</v>
      </c>
      <c r="O277" t="s">
        <v>6</v>
      </c>
    </row>
    <row r="278" spans="2:15" x14ac:dyDescent="0.45">
      <c r="B278" t="s">
        <v>698</v>
      </c>
      <c r="C278" t="s">
        <v>35</v>
      </c>
      <c r="D278">
        <v>4.9555658487488698E-2</v>
      </c>
      <c r="E278" t="s">
        <v>6</v>
      </c>
      <c r="G278" t="s">
        <v>699</v>
      </c>
      <c r="H278" t="s">
        <v>35</v>
      </c>
      <c r="I278">
        <v>1.2132922472376314E-2</v>
      </c>
      <c r="J278" t="s">
        <v>6</v>
      </c>
      <c r="L278" t="s">
        <v>700</v>
      </c>
      <c r="M278" t="s">
        <v>35</v>
      </c>
      <c r="N278">
        <v>1.1152918701151189E-2</v>
      </c>
      <c r="O278" t="s">
        <v>6</v>
      </c>
    </row>
    <row r="279" spans="2:15" x14ac:dyDescent="0.45">
      <c r="B279" t="s">
        <v>698</v>
      </c>
      <c r="C279" t="s">
        <v>36</v>
      </c>
      <c r="D279">
        <v>1.3236811113261646E-2</v>
      </c>
      <c r="E279" t="s">
        <v>6</v>
      </c>
      <c r="G279" t="s">
        <v>699</v>
      </c>
      <c r="H279" t="s">
        <v>36</v>
      </c>
      <c r="I279">
        <v>1.2750198323293244E-2</v>
      </c>
      <c r="J279" t="s">
        <v>6</v>
      </c>
      <c r="L279" t="s">
        <v>700</v>
      </c>
      <c r="M279" t="s">
        <v>36</v>
      </c>
      <c r="N279">
        <v>9.385386858202999E-3</v>
      </c>
      <c r="O279" t="s">
        <v>6</v>
      </c>
    </row>
    <row r="280" spans="2:15" x14ac:dyDescent="0.45">
      <c r="B280" t="s">
        <v>698</v>
      </c>
      <c r="C280" t="s">
        <v>37</v>
      </c>
      <c r="D280">
        <v>2.0757322419123867E-4</v>
      </c>
      <c r="E280" t="s">
        <v>6</v>
      </c>
      <c r="G280" t="s">
        <v>699</v>
      </c>
      <c r="H280" t="s">
        <v>37</v>
      </c>
      <c r="I280">
        <v>2.4113064821953072E-2</v>
      </c>
      <c r="J280" t="s">
        <v>6</v>
      </c>
      <c r="L280" t="s">
        <v>700</v>
      </c>
      <c r="M280" t="s">
        <v>37</v>
      </c>
      <c r="N280">
        <v>1.1568381553441802E-2</v>
      </c>
      <c r="O280" t="s">
        <v>6</v>
      </c>
    </row>
    <row r="281" spans="2:15" x14ac:dyDescent="0.45">
      <c r="B281" t="s">
        <v>698</v>
      </c>
      <c r="C281" t="s">
        <v>38</v>
      </c>
      <c r="D281">
        <v>0</v>
      </c>
      <c r="E281" t="s">
        <v>6</v>
      </c>
      <c r="G281" t="s">
        <v>699</v>
      </c>
      <c r="H281" t="s">
        <v>38</v>
      </c>
      <c r="I281">
        <v>4.3234185991693513E-2</v>
      </c>
      <c r="J281" t="s">
        <v>6</v>
      </c>
      <c r="L281" t="s">
        <v>700</v>
      </c>
      <c r="M281" t="s">
        <v>38</v>
      </c>
      <c r="N281">
        <v>5.0342037917529531E-2</v>
      </c>
      <c r="O281" t="s">
        <v>6</v>
      </c>
    </row>
    <row r="282" spans="2:15" x14ac:dyDescent="0.45">
      <c r="B282" t="s">
        <v>698</v>
      </c>
      <c r="C282" t="s">
        <v>39</v>
      </c>
      <c r="D282">
        <v>0</v>
      </c>
      <c r="E282" t="s">
        <v>6</v>
      </c>
      <c r="G282" t="s">
        <v>699</v>
      </c>
      <c r="H282" t="s">
        <v>39</v>
      </c>
      <c r="I282">
        <v>1.5240179743021427E-2</v>
      </c>
      <c r="J282" t="s">
        <v>6</v>
      </c>
      <c r="L282" t="s">
        <v>700</v>
      </c>
      <c r="M282" t="s">
        <v>39</v>
      </c>
      <c r="N282">
        <v>2.1550127983892761E-2</v>
      </c>
      <c r="O282" t="s">
        <v>6</v>
      </c>
    </row>
    <row r="283" spans="2:15" x14ac:dyDescent="0.45">
      <c r="B283" t="s">
        <v>698</v>
      </c>
      <c r="C283" t="s">
        <v>40</v>
      </c>
      <c r="D283">
        <v>4.8304420677666699E-4</v>
      </c>
      <c r="E283" t="s">
        <v>6</v>
      </c>
      <c r="G283" t="s">
        <v>699</v>
      </c>
      <c r="H283" t="s">
        <v>40</v>
      </c>
      <c r="I283">
        <v>1.394408780688389E-2</v>
      </c>
      <c r="J283" t="s">
        <v>6</v>
      </c>
      <c r="L283" t="s">
        <v>700</v>
      </c>
      <c r="M283" t="s">
        <v>40</v>
      </c>
      <c r="N283">
        <v>2.1753638220298285E-2</v>
      </c>
      <c r="O283" t="s">
        <v>6</v>
      </c>
    </row>
    <row r="284" spans="2:15" x14ac:dyDescent="0.45">
      <c r="B284" t="s">
        <v>698</v>
      </c>
      <c r="C284" t="s">
        <v>41</v>
      </c>
      <c r="D284">
        <v>2.05240787155112E-2</v>
      </c>
      <c r="E284" t="s">
        <v>6</v>
      </c>
      <c r="G284" t="s">
        <v>699</v>
      </c>
      <c r="H284" t="s">
        <v>41</v>
      </c>
      <c r="I284">
        <v>1.1534575256328677E-2</v>
      </c>
      <c r="J284" t="s">
        <v>6</v>
      </c>
      <c r="L284" t="s">
        <v>700</v>
      </c>
      <c r="M284" t="s">
        <v>41</v>
      </c>
      <c r="N284">
        <v>2.0001990166868988E-2</v>
      </c>
      <c r="O284" t="s">
        <v>6</v>
      </c>
    </row>
    <row r="285" spans="2:15" x14ac:dyDescent="0.45">
      <c r="B285" t="s">
        <v>698</v>
      </c>
      <c r="C285" t="s">
        <v>42</v>
      </c>
      <c r="D285">
        <v>5.2573117511307943E-2</v>
      </c>
      <c r="E285" t="s">
        <v>6</v>
      </c>
      <c r="G285" t="s">
        <v>699</v>
      </c>
      <c r="H285" t="s">
        <v>42</v>
      </c>
      <c r="I285">
        <v>1.2622453612018344E-2</v>
      </c>
      <c r="J285" t="s">
        <v>6</v>
      </c>
      <c r="L285" t="s">
        <v>700</v>
      </c>
      <c r="M285" t="s">
        <v>42</v>
      </c>
      <c r="N285">
        <v>1.7993988069524746E-2</v>
      </c>
      <c r="O285" t="s">
        <v>6</v>
      </c>
    </row>
    <row r="286" spans="2:15" x14ac:dyDescent="0.45">
      <c r="B286" t="s">
        <v>698</v>
      </c>
      <c r="C286" t="s">
        <v>43</v>
      </c>
      <c r="D286">
        <v>6.3881605853261567E-2</v>
      </c>
      <c r="E286" t="s">
        <v>6</v>
      </c>
      <c r="G286" t="s">
        <v>699</v>
      </c>
      <c r="H286" t="s">
        <v>43</v>
      </c>
      <c r="I286">
        <v>1.542753223465824E-2</v>
      </c>
      <c r="J286" t="s">
        <v>6</v>
      </c>
      <c r="L286" t="s">
        <v>700</v>
      </c>
      <c r="M286" t="s">
        <v>43</v>
      </c>
      <c r="N286">
        <v>1.7311016212612933E-2</v>
      </c>
      <c r="O286" t="s">
        <v>6</v>
      </c>
    </row>
    <row r="287" spans="2:15" x14ac:dyDescent="0.45">
      <c r="B287" t="s">
        <v>698</v>
      </c>
      <c r="C287" t="s">
        <v>44</v>
      </c>
      <c r="D287">
        <v>5.3226677786678292E-2</v>
      </c>
      <c r="E287" t="s">
        <v>6</v>
      </c>
      <c r="G287" t="s">
        <v>699</v>
      </c>
      <c r="H287" t="s">
        <v>44</v>
      </c>
      <c r="I287">
        <v>1.6489815825014496E-2</v>
      </c>
      <c r="J287" t="s">
        <v>6</v>
      </c>
      <c r="L287" t="s">
        <v>700</v>
      </c>
      <c r="M287" t="s">
        <v>44</v>
      </c>
      <c r="N287">
        <v>1.8629050495051917E-2</v>
      </c>
      <c r="O287" t="s">
        <v>6</v>
      </c>
    </row>
    <row r="288" spans="2:15" x14ac:dyDescent="0.45">
      <c r="B288" t="s">
        <v>698</v>
      </c>
      <c r="C288" t="s">
        <v>45</v>
      </c>
      <c r="D288">
        <v>2.559783937743812E-2</v>
      </c>
      <c r="E288" t="s">
        <v>6</v>
      </c>
      <c r="G288" t="s">
        <v>699</v>
      </c>
      <c r="H288" t="s">
        <v>45</v>
      </c>
      <c r="I288">
        <v>1.5434073499520525E-2</v>
      </c>
      <c r="J288" t="s">
        <v>6</v>
      </c>
      <c r="L288" t="s">
        <v>700</v>
      </c>
      <c r="M288" t="s">
        <v>45</v>
      </c>
      <c r="N288">
        <v>2.0035722849078886E-2</v>
      </c>
      <c r="O288" t="s">
        <v>6</v>
      </c>
    </row>
    <row r="289" spans="2:15" x14ac:dyDescent="0.45">
      <c r="B289" t="s">
        <v>698</v>
      </c>
      <c r="C289" t="s">
        <v>46</v>
      </c>
      <c r="D289">
        <v>1.9571917906299557E-3</v>
      </c>
      <c r="E289" t="s">
        <v>6</v>
      </c>
      <c r="G289" t="s">
        <v>699</v>
      </c>
      <c r="H289" t="s">
        <v>46</v>
      </c>
      <c r="I289">
        <v>1.7415703687130749E-2</v>
      </c>
      <c r="J289" t="s">
        <v>6</v>
      </c>
      <c r="L289" t="s">
        <v>700</v>
      </c>
      <c r="M289" t="s">
        <v>46</v>
      </c>
      <c r="N289">
        <v>2.0113400542132138E-2</v>
      </c>
      <c r="O289" t="s">
        <v>6</v>
      </c>
    </row>
    <row r="290" spans="2:15" x14ac:dyDescent="0.45">
      <c r="B290" t="s">
        <v>698</v>
      </c>
      <c r="C290" t="s">
        <v>47</v>
      </c>
      <c r="D290">
        <v>0</v>
      </c>
      <c r="E290" t="s">
        <v>6</v>
      </c>
      <c r="G290" t="s">
        <v>699</v>
      </c>
      <c r="H290" t="s">
        <v>47</v>
      </c>
      <c r="I290">
        <v>3.0587442526356413E-2</v>
      </c>
      <c r="J290" t="s">
        <v>6</v>
      </c>
      <c r="L290" t="s">
        <v>700</v>
      </c>
      <c r="M290" t="s">
        <v>47</v>
      </c>
      <c r="N290">
        <v>3.0151337704456403E-2</v>
      </c>
      <c r="O290" t="s">
        <v>6</v>
      </c>
    </row>
    <row r="291" spans="2:15" x14ac:dyDescent="0.45">
      <c r="B291" t="s">
        <v>701</v>
      </c>
      <c r="C291" t="s">
        <v>5</v>
      </c>
      <c r="D291">
        <v>0</v>
      </c>
      <c r="E291" t="s">
        <v>6</v>
      </c>
      <c r="G291" t="s">
        <v>702</v>
      </c>
      <c r="H291" t="s">
        <v>5</v>
      </c>
      <c r="I291">
        <v>5.3590986647108076E-2</v>
      </c>
      <c r="J291" t="s">
        <v>6</v>
      </c>
      <c r="L291" t="s">
        <v>703</v>
      </c>
      <c r="M291" t="s">
        <v>5</v>
      </c>
      <c r="N291">
        <v>6.2919528548262244E-2</v>
      </c>
      <c r="O291" t="s">
        <v>6</v>
      </c>
    </row>
    <row r="292" spans="2:15" x14ac:dyDescent="0.45">
      <c r="B292" t="s">
        <v>701</v>
      </c>
      <c r="C292" t="s">
        <v>9</v>
      </c>
      <c r="D292">
        <v>0</v>
      </c>
      <c r="E292" t="s">
        <v>6</v>
      </c>
      <c r="G292" t="s">
        <v>702</v>
      </c>
      <c r="H292" t="s">
        <v>9</v>
      </c>
      <c r="I292">
        <v>2.0710801081374342E-2</v>
      </c>
      <c r="J292" t="s">
        <v>6</v>
      </c>
      <c r="L292" t="s">
        <v>703</v>
      </c>
      <c r="M292" t="s">
        <v>9</v>
      </c>
      <c r="N292">
        <v>2.3819282767705577E-2</v>
      </c>
      <c r="O292" t="s">
        <v>6</v>
      </c>
    </row>
    <row r="293" spans="2:15" x14ac:dyDescent="0.45">
      <c r="B293" t="s">
        <v>701</v>
      </c>
      <c r="C293" t="s">
        <v>10</v>
      </c>
      <c r="D293">
        <v>0</v>
      </c>
      <c r="E293" t="s">
        <v>6</v>
      </c>
      <c r="G293" t="s">
        <v>702</v>
      </c>
      <c r="H293" t="s">
        <v>10</v>
      </c>
      <c r="I293">
        <v>1.9955344388790423E-2</v>
      </c>
      <c r="J293" t="s">
        <v>6</v>
      </c>
      <c r="L293" t="s">
        <v>703</v>
      </c>
      <c r="M293" t="s">
        <v>10</v>
      </c>
      <c r="N293">
        <v>2.3917873196822141E-2</v>
      </c>
      <c r="O293" t="s">
        <v>6</v>
      </c>
    </row>
    <row r="294" spans="2:15" x14ac:dyDescent="0.45">
      <c r="B294" t="s">
        <v>701</v>
      </c>
      <c r="C294" t="s">
        <v>11</v>
      </c>
      <c r="D294">
        <v>6.2544392570177019E-3</v>
      </c>
      <c r="E294" t="s">
        <v>6</v>
      </c>
      <c r="G294" t="s">
        <v>702</v>
      </c>
      <c r="H294" t="s">
        <v>11</v>
      </c>
      <c r="I294">
        <v>1.9999852632453602E-2</v>
      </c>
      <c r="J294" t="s">
        <v>6</v>
      </c>
      <c r="L294" t="s">
        <v>703</v>
      </c>
      <c r="M294" t="s">
        <v>11</v>
      </c>
      <c r="N294">
        <v>2.3429138097736241E-2</v>
      </c>
      <c r="O294" t="s">
        <v>6</v>
      </c>
    </row>
    <row r="295" spans="2:15" x14ac:dyDescent="0.45">
      <c r="B295" t="s">
        <v>701</v>
      </c>
      <c r="C295" t="s">
        <v>12</v>
      </c>
      <c r="D295">
        <v>3.376138689948243E-2</v>
      </c>
      <c r="E295" t="s">
        <v>6</v>
      </c>
      <c r="G295" t="s">
        <v>702</v>
      </c>
      <c r="H295" t="s">
        <v>12</v>
      </c>
      <c r="I295">
        <v>2.0569965664201533E-2</v>
      </c>
      <c r="J295" t="s">
        <v>6</v>
      </c>
      <c r="L295" t="s">
        <v>703</v>
      </c>
      <c r="M295" t="s">
        <v>12</v>
      </c>
      <c r="N295">
        <v>2.2139943011535188E-2</v>
      </c>
      <c r="O295" t="s">
        <v>6</v>
      </c>
    </row>
    <row r="296" spans="2:15" x14ac:dyDescent="0.45">
      <c r="B296" t="s">
        <v>701</v>
      </c>
      <c r="C296" t="s">
        <v>13</v>
      </c>
      <c r="D296">
        <v>5.0005205735115556E-2</v>
      </c>
      <c r="E296" t="s">
        <v>6</v>
      </c>
      <c r="G296" t="s">
        <v>702</v>
      </c>
      <c r="H296" t="s">
        <v>13</v>
      </c>
      <c r="I296">
        <v>2.2658200043372132E-2</v>
      </c>
      <c r="J296" t="s">
        <v>6</v>
      </c>
      <c r="L296" t="s">
        <v>703</v>
      </c>
      <c r="M296" t="s">
        <v>13</v>
      </c>
      <c r="N296">
        <v>2.1657959540416369E-2</v>
      </c>
      <c r="O296" t="s">
        <v>6</v>
      </c>
    </row>
    <row r="297" spans="2:15" x14ac:dyDescent="0.45">
      <c r="B297" t="s">
        <v>701</v>
      </c>
      <c r="C297" t="s">
        <v>14</v>
      </c>
      <c r="D297">
        <v>4.5017923254982987E-2</v>
      </c>
      <c r="E297" t="s">
        <v>6</v>
      </c>
      <c r="G297" t="s">
        <v>702</v>
      </c>
      <c r="H297" t="s">
        <v>14</v>
      </c>
      <c r="I297">
        <v>2.4712253822341646E-2</v>
      </c>
      <c r="J297" t="s">
        <v>6</v>
      </c>
      <c r="L297" t="s">
        <v>703</v>
      </c>
      <c r="M297" t="s">
        <v>14</v>
      </c>
      <c r="N297">
        <v>2.2169286260382063E-2</v>
      </c>
      <c r="O297" t="s">
        <v>6</v>
      </c>
    </row>
    <row r="298" spans="2:15" x14ac:dyDescent="0.45">
      <c r="B298" t="s">
        <v>701</v>
      </c>
      <c r="C298" t="s">
        <v>15</v>
      </c>
      <c r="D298">
        <v>2.1168573765937372E-2</v>
      </c>
      <c r="E298" t="s">
        <v>6</v>
      </c>
      <c r="G298" t="s">
        <v>702</v>
      </c>
      <c r="H298" t="s">
        <v>15</v>
      </c>
      <c r="I298">
        <v>2.4450042337122002E-2</v>
      </c>
      <c r="J298" t="s">
        <v>6</v>
      </c>
      <c r="L298" t="s">
        <v>703</v>
      </c>
      <c r="M298" t="s">
        <v>15</v>
      </c>
      <c r="N298">
        <v>2.3484832082964029E-2</v>
      </c>
      <c r="O298" t="s">
        <v>6</v>
      </c>
    </row>
    <row r="299" spans="2:15" x14ac:dyDescent="0.45">
      <c r="B299" t="s">
        <v>701</v>
      </c>
      <c r="C299" t="s">
        <v>16</v>
      </c>
      <c r="D299">
        <v>1.0221770653039118E-3</v>
      </c>
      <c r="E299" t="s">
        <v>6</v>
      </c>
      <c r="G299" t="s">
        <v>702</v>
      </c>
      <c r="H299" t="s">
        <v>16</v>
      </c>
      <c r="I299">
        <v>2.2847910969380939E-2</v>
      </c>
      <c r="J299" t="s">
        <v>6</v>
      </c>
      <c r="L299" t="s">
        <v>703</v>
      </c>
      <c r="M299" t="s">
        <v>16</v>
      </c>
      <c r="N299">
        <v>2.4458191616781078E-2</v>
      </c>
      <c r="O299" t="s">
        <v>6</v>
      </c>
    </row>
    <row r="300" spans="2:15" x14ac:dyDescent="0.45">
      <c r="B300" t="s">
        <v>701</v>
      </c>
      <c r="C300" t="s">
        <v>17</v>
      </c>
      <c r="D300">
        <v>0</v>
      </c>
      <c r="E300" t="s">
        <v>6</v>
      </c>
      <c r="G300" t="s">
        <v>702</v>
      </c>
      <c r="H300" t="s">
        <v>17</v>
      </c>
      <c r="I300">
        <v>3.2781162796866437E-2</v>
      </c>
      <c r="J300" t="s">
        <v>6</v>
      </c>
      <c r="L300" t="s">
        <v>703</v>
      </c>
      <c r="M300" t="s">
        <v>17</v>
      </c>
      <c r="N300">
        <v>3.6578496252752717E-2</v>
      </c>
      <c r="O300" t="s">
        <v>6</v>
      </c>
    </row>
    <row r="301" spans="2:15" x14ac:dyDescent="0.45">
      <c r="B301" t="s">
        <v>701</v>
      </c>
      <c r="C301" t="s">
        <v>18</v>
      </c>
      <c r="D301">
        <v>0</v>
      </c>
      <c r="E301" t="s">
        <v>6</v>
      </c>
      <c r="G301" t="s">
        <v>702</v>
      </c>
      <c r="H301" t="s">
        <v>18</v>
      </c>
      <c r="I301">
        <v>5.5127092671195296E-2</v>
      </c>
      <c r="J301" t="s">
        <v>6</v>
      </c>
      <c r="L301" t="s">
        <v>703</v>
      </c>
      <c r="M301" t="s">
        <v>18</v>
      </c>
      <c r="N301">
        <v>5.7774129061263828E-2</v>
      </c>
      <c r="O301" t="s">
        <v>6</v>
      </c>
    </row>
    <row r="302" spans="2:15" x14ac:dyDescent="0.45">
      <c r="B302" t="s">
        <v>701</v>
      </c>
      <c r="C302" t="s">
        <v>19</v>
      </c>
      <c r="D302">
        <v>0</v>
      </c>
      <c r="E302" t="s">
        <v>6</v>
      </c>
      <c r="G302" t="s">
        <v>702</v>
      </c>
      <c r="H302" t="s">
        <v>19</v>
      </c>
      <c r="I302">
        <v>2.0681847561294025E-2</v>
      </c>
      <c r="J302" t="s">
        <v>6</v>
      </c>
      <c r="L302" t="s">
        <v>703</v>
      </c>
      <c r="M302" t="s">
        <v>19</v>
      </c>
      <c r="N302">
        <v>2.238859835634854E-2</v>
      </c>
      <c r="O302" t="s">
        <v>6</v>
      </c>
    </row>
    <row r="303" spans="2:15" x14ac:dyDescent="0.45">
      <c r="B303" t="s">
        <v>701</v>
      </c>
      <c r="C303" t="s">
        <v>20</v>
      </c>
      <c r="D303">
        <v>2.0777022806601347E-3</v>
      </c>
      <c r="E303" t="s">
        <v>6</v>
      </c>
      <c r="G303" t="s">
        <v>702</v>
      </c>
      <c r="H303" t="s">
        <v>20</v>
      </c>
      <c r="I303">
        <v>1.9859934807053635E-2</v>
      </c>
      <c r="J303" t="s">
        <v>6</v>
      </c>
      <c r="L303" t="s">
        <v>703</v>
      </c>
      <c r="M303" t="s">
        <v>20</v>
      </c>
      <c r="N303">
        <v>2.1527182782172371E-2</v>
      </c>
      <c r="O303" t="s">
        <v>6</v>
      </c>
    </row>
    <row r="304" spans="2:15" x14ac:dyDescent="0.45">
      <c r="B304" t="s">
        <v>701</v>
      </c>
      <c r="C304" t="s">
        <v>21</v>
      </c>
      <c r="D304">
        <v>2.5766308294090021E-2</v>
      </c>
      <c r="E304" t="s">
        <v>6</v>
      </c>
      <c r="G304" t="s">
        <v>702</v>
      </c>
      <c r="H304" t="s">
        <v>21</v>
      </c>
      <c r="I304">
        <v>2.0835707817943812E-2</v>
      </c>
      <c r="J304" t="s">
        <v>6</v>
      </c>
      <c r="L304" t="s">
        <v>703</v>
      </c>
      <c r="M304" t="s">
        <v>21</v>
      </c>
      <c r="N304">
        <v>2.0991891689527982E-2</v>
      </c>
      <c r="O304" t="s">
        <v>6</v>
      </c>
    </row>
    <row r="305" spans="2:15" x14ac:dyDescent="0.45">
      <c r="B305" t="s">
        <v>701</v>
      </c>
      <c r="C305" t="s">
        <v>22</v>
      </c>
      <c r="D305">
        <v>5.5838612435326264E-2</v>
      </c>
      <c r="E305" t="s">
        <v>6</v>
      </c>
      <c r="G305" t="s">
        <v>702</v>
      </c>
      <c r="H305" t="s">
        <v>22</v>
      </c>
      <c r="I305">
        <v>2.1019189329775392E-2</v>
      </c>
      <c r="J305" t="s">
        <v>6</v>
      </c>
      <c r="L305" t="s">
        <v>703</v>
      </c>
      <c r="M305" t="s">
        <v>22</v>
      </c>
      <c r="N305">
        <v>2.4668901990436327E-2</v>
      </c>
      <c r="O305" t="s">
        <v>6</v>
      </c>
    </row>
    <row r="306" spans="2:15" x14ac:dyDescent="0.45">
      <c r="B306" t="s">
        <v>701</v>
      </c>
      <c r="C306" t="s">
        <v>23</v>
      </c>
      <c r="D306">
        <v>6.9705218967814342E-2</v>
      </c>
      <c r="E306" t="s">
        <v>6</v>
      </c>
      <c r="G306" t="s">
        <v>702</v>
      </c>
      <c r="H306" t="s">
        <v>23</v>
      </c>
      <c r="I306">
        <v>2.3597340751574464E-2</v>
      </c>
      <c r="J306" t="s">
        <v>6</v>
      </c>
      <c r="L306" t="s">
        <v>703</v>
      </c>
      <c r="M306" t="s">
        <v>23</v>
      </c>
      <c r="N306">
        <v>3.1005973082205162E-2</v>
      </c>
      <c r="O306" t="s">
        <v>6</v>
      </c>
    </row>
    <row r="307" spans="2:15" x14ac:dyDescent="0.45">
      <c r="B307" t="s">
        <v>701</v>
      </c>
      <c r="C307" t="s">
        <v>24</v>
      </c>
      <c r="D307">
        <v>6.477191756569102E-2</v>
      </c>
      <c r="E307" t="s">
        <v>6</v>
      </c>
      <c r="G307" t="s">
        <v>702</v>
      </c>
      <c r="H307" t="s">
        <v>24</v>
      </c>
      <c r="I307">
        <v>2.6350706455601194E-2</v>
      </c>
      <c r="J307" t="s">
        <v>6</v>
      </c>
      <c r="L307" t="s">
        <v>703</v>
      </c>
      <c r="M307" t="s">
        <v>24</v>
      </c>
      <c r="N307">
        <v>3.6475256145596567E-2</v>
      </c>
      <c r="O307" t="s">
        <v>6</v>
      </c>
    </row>
    <row r="308" spans="2:15" x14ac:dyDescent="0.45">
      <c r="B308" t="s">
        <v>701</v>
      </c>
      <c r="C308" t="s">
        <v>25</v>
      </c>
      <c r="D308">
        <v>3.9907506468082332E-2</v>
      </c>
      <c r="E308" t="s">
        <v>6</v>
      </c>
      <c r="G308" t="s">
        <v>702</v>
      </c>
      <c r="H308" t="s">
        <v>25</v>
      </c>
      <c r="I308">
        <v>2.7480263308827156E-2</v>
      </c>
      <c r="J308" t="s">
        <v>6</v>
      </c>
      <c r="L308" t="s">
        <v>703</v>
      </c>
      <c r="M308" t="s">
        <v>25</v>
      </c>
      <c r="N308">
        <v>3.7065284874776394E-2</v>
      </c>
      <c r="O308" t="s">
        <v>6</v>
      </c>
    </row>
    <row r="309" spans="2:15" x14ac:dyDescent="0.45">
      <c r="B309" t="s">
        <v>701</v>
      </c>
      <c r="C309" t="s">
        <v>26</v>
      </c>
      <c r="D309">
        <v>9.1425584240069462E-3</v>
      </c>
      <c r="E309" t="s">
        <v>6</v>
      </c>
      <c r="G309" t="s">
        <v>702</v>
      </c>
      <c r="H309" t="s">
        <v>26</v>
      </c>
      <c r="I309">
        <v>2.656434495172328E-2</v>
      </c>
      <c r="J309" t="s">
        <v>6</v>
      </c>
      <c r="L309" t="s">
        <v>703</v>
      </c>
      <c r="M309" t="s">
        <v>26</v>
      </c>
      <c r="N309">
        <v>3.3638164660785688E-2</v>
      </c>
      <c r="O309" t="s">
        <v>6</v>
      </c>
    </row>
    <row r="310" spans="2:15" x14ac:dyDescent="0.45">
      <c r="B310" t="s">
        <v>701</v>
      </c>
      <c r="C310" t="s">
        <v>27</v>
      </c>
      <c r="D310">
        <v>3.5171080341125631E-5</v>
      </c>
      <c r="E310" t="s">
        <v>6</v>
      </c>
      <c r="G310" t="s">
        <v>702</v>
      </c>
      <c r="H310" t="s">
        <v>27</v>
      </c>
      <c r="I310">
        <v>3.6283532466742603E-2</v>
      </c>
      <c r="J310" t="s">
        <v>6</v>
      </c>
      <c r="L310" t="s">
        <v>703</v>
      </c>
      <c r="M310" t="s">
        <v>27</v>
      </c>
      <c r="N310">
        <v>4.1583734530570397E-2</v>
      </c>
      <c r="O310" t="s">
        <v>6</v>
      </c>
    </row>
    <row r="311" spans="2:15" x14ac:dyDescent="0.45">
      <c r="B311" t="s">
        <v>701</v>
      </c>
      <c r="C311" t="s">
        <v>28</v>
      </c>
      <c r="D311">
        <v>0</v>
      </c>
      <c r="E311" t="s">
        <v>6</v>
      </c>
      <c r="G311" t="s">
        <v>702</v>
      </c>
      <c r="H311" t="s">
        <v>28</v>
      </c>
      <c r="I311">
        <v>3.8555020548632767E-2</v>
      </c>
      <c r="J311" t="s">
        <v>6</v>
      </c>
      <c r="L311" t="s">
        <v>703</v>
      </c>
      <c r="M311" t="s">
        <v>28</v>
      </c>
      <c r="N311">
        <v>2.0628179102325037E-2</v>
      </c>
      <c r="O311" t="s">
        <v>6</v>
      </c>
    </row>
    <row r="312" spans="2:15" x14ac:dyDescent="0.45">
      <c r="B312" t="s">
        <v>701</v>
      </c>
      <c r="C312" t="s">
        <v>29</v>
      </c>
      <c r="D312">
        <v>0</v>
      </c>
      <c r="E312" t="s">
        <v>6</v>
      </c>
      <c r="G312" t="s">
        <v>702</v>
      </c>
      <c r="H312" t="s">
        <v>29</v>
      </c>
      <c r="I312">
        <v>1.4190087564419158E-2</v>
      </c>
      <c r="J312" t="s">
        <v>6</v>
      </c>
      <c r="L312" t="s">
        <v>703</v>
      </c>
      <c r="M312" t="s">
        <v>29</v>
      </c>
      <c r="N312">
        <v>8.0117437725348659E-3</v>
      </c>
      <c r="O312" t="s">
        <v>6</v>
      </c>
    </row>
    <row r="313" spans="2:15" x14ac:dyDescent="0.45">
      <c r="B313" t="s">
        <v>701</v>
      </c>
      <c r="C313" t="s">
        <v>30</v>
      </c>
      <c r="D313">
        <v>3.8268081291562162E-3</v>
      </c>
      <c r="E313" t="s">
        <v>6</v>
      </c>
      <c r="G313" t="s">
        <v>702</v>
      </c>
      <c r="H313" t="s">
        <v>30</v>
      </c>
      <c r="I313">
        <v>1.3608852440688437E-2</v>
      </c>
      <c r="J313" t="s">
        <v>6</v>
      </c>
      <c r="L313" t="s">
        <v>703</v>
      </c>
      <c r="M313" t="s">
        <v>30</v>
      </c>
      <c r="N313">
        <v>7.9294385766637693E-3</v>
      </c>
      <c r="O313" t="s">
        <v>6</v>
      </c>
    </row>
    <row r="314" spans="2:15" x14ac:dyDescent="0.45">
      <c r="B314" t="s">
        <v>701</v>
      </c>
      <c r="C314" t="s">
        <v>31</v>
      </c>
      <c r="D314">
        <v>3.7353604470812062E-2</v>
      </c>
      <c r="E314" t="s">
        <v>6</v>
      </c>
      <c r="G314" t="s">
        <v>702</v>
      </c>
      <c r="H314" t="s">
        <v>31</v>
      </c>
      <c r="I314">
        <v>1.3067026350488384E-2</v>
      </c>
      <c r="J314" t="s">
        <v>6</v>
      </c>
      <c r="L314" t="s">
        <v>703</v>
      </c>
      <c r="M314" t="s">
        <v>31</v>
      </c>
      <c r="N314">
        <v>7.6495459035611727E-3</v>
      </c>
      <c r="O314" t="s">
        <v>6</v>
      </c>
    </row>
    <row r="315" spans="2:15" x14ac:dyDescent="0.45">
      <c r="B315" t="s">
        <v>701</v>
      </c>
      <c r="C315" t="s">
        <v>32</v>
      </c>
      <c r="D315">
        <v>7.2748311882346012E-2</v>
      </c>
      <c r="E315" t="s">
        <v>6</v>
      </c>
      <c r="G315" t="s">
        <v>702</v>
      </c>
      <c r="H315" t="s">
        <v>32</v>
      </c>
      <c r="I315">
        <v>1.3258293795235828E-2</v>
      </c>
      <c r="J315" t="s">
        <v>6</v>
      </c>
      <c r="L315" t="s">
        <v>703</v>
      </c>
      <c r="M315" t="s">
        <v>32</v>
      </c>
      <c r="N315">
        <v>9.5167425353243438E-3</v>
      </c>
      <c r="O315" t="s">
        <v>6</v>
      </c>
    </row>
    <row r="316" spans="2:15" x14ac:dyDescent="0.45">
      <c r="B316" t="s">
        <v>701</v>
      </c>
      <c r="C316" t="s">
        <v>33</v>
      </c>
      <c r="D316">
        <v>8.7950472541093172E-2</v>
      </c>
      <c r="E316" t="s">
        <v>6</v>
      </c>
      <c r="G316" t="s">
        <v>702</v>
      </c>
      <c r="H316" t="s">
        <v>33</v>
      </c>
      <c r="I316">
        <v>1.474660407537705E-2</v>
      </c>
      <c r="J316" t="s">
        <v>6</v>
      </c>
      <c r="L316" t="s">
        <v>703</v>
      </c>
      <c r="M316" t="s">
        <v>33</v>
      </c>
      <c r="N316">
        <v>1.2523904086245376E-2</v>
      </c>
      <c r="O316" t="s">
        <v>6</v>
      </c>
    </row>
    <row r="317" spans="2:15" x14ac:dyDescent="0.45">
      <c r="B317" t="s">
        <v>701</v>
      </c>
      <c r="C317" t="s">
        <v>34</v>
      </c>
      <c r="D317">
        <v>7.9830527096935777E-2</v>
      </c>
      <c r="E317" t="s">
        <v>6</v>
      </c>
      <c r="G317" t="s">
        <v>702</v>
      </c>
      <c r="H317" t="s">
        <v>34</v>
      </c>
      <c r="I317">
        <v>1.7073388274079716E-2</v>
      </c>
      <c r="J317" t="s">
        <v>6</v>
      </c>
      <c r="L317" t="s">
        <v>703</v>
      </c>
      <c r="M317" t="s">
        <v>34</v>
      </c>
      <c r="N317">
        <v>1.262575186998259E-2</v>
      </c>
      <c r="O317" t="s">
        <v>6</v>
      </c>
    </row>
    <row r="318" spans="2:15" x14ac:dyDescent="0.45">
      <c r="B318" t="s">
        <v>701</v>
      </c>
      <c r="C318" t="s">
        <v>35</v>
      </c>
      <c r="D318">
        <v>5.2937303794892504E-2</v>
      </c>
      <c r="E318" t="s">
        <v>6</v>
      </c>
      <c r="G318" t="s">
        <v>702</v>
      </c>
      <c r="H318" t="s">
        <v>35</v>
      </c>
      <c r="I318">
        <v>1.9471792246617492E-2</v>
      </c>
      <c r="J318" t="s">
        <v>6</v>
      </c>
      <c r="L318" t="s">
        <v>703</v>
      </c>
      <c r="M318" t="s">
        <v>35</v>
      </c>
      <c r="N318">
        <v>1.0888404606071168E-2</v>
      </c>
      <c r="O318" t="s">
        <v>6</v>
      </c>
    </row>
    <row r="319" spans="2:15" x14ac:dyDescent="0.45">
      <c r="B319" t="s">
        <v>701</v>
      </c>
      <c r="C319" t="s">
        <v>36</v>
      </c>
      <c r="D319">
        <v>1.5354788297138811E-2</v>
      </c>
      <c r="E319" t="s">
        <v>6</v>
      </c>
      <c r="G319" t="s">
        <v>702</v>
      </c>
      <c r="H319" t="s">
        <v>36</v>
      </c>
      <c r="I319">
        <v>2.0116244297106508E-2</v>
      </c>
      <c r="J319" t="s">
        <v>6</v>
      </c>
      <c r="L319" t="s">
        <v>703</v>
      </c>
      <c r="M319" t="s">
        <v>36</v>
      </c>
      <c r="N319">
        <v>9.4016805191302812E-3</v>
      </c>
      <c r="O319" t="s">
        <v>6</v>
      </c>
    </row>
    <row r="320" spans="2:15" x14ac:dyDescent="0.45">
      <c r="B320" t="s">
        <v>701</v>
      </c>
      <c r="C320" t="s">
        <v>37</v>
      </c>
      <c r="D320">
        <v>2.9692519208562829E-4</v>
      </c>
      <c r="E320" t="s">
        <v>6</v>
      </c>
      <c r="G320" t="s">
        <v>702</v>
      </c>
      <c r="H320" t="s">
        <v>37</v>
      </c>
      <c r="I320">
        <v>2.7963566491031613E-2</v>
      </c>
      <c r="J320" t="s">
        <v>6</v>
      </c>
      <c r="L320" t="s">
        <v>703</v>
      </c>
      <c r="M320" t="s">
        <v>37</v>
      </c>
      <c r="N320">
        <v>1.4679561492005454E-2</v>
      </c>
      <c r="O320" t="s">
        <v>6</v>
      </c>
    </row>
    <row r="321" spans="2:15" x14ac:dyDescent="0.45">
      <c r="B321" t="s">
        <v>701</v>
      </c>
      <c r="C321" t="s">
        <v>38</v>
      </c>
      <c r="D321">
        <v>0</v>
      </c>
      <c r="E321" t="s">
        <v>6</v>
      </c>
      <c r="G321" t="s">
        <v>702</v>
      </c>
      <c r="H321" t="s">
        <v>38</v>
      </c>
      <c r="I321">
        <v>5.423291816316067E-2</v>
      </c>
      <c r="J321" t="s">
        <v>6</v>
      </c>
      <c r="L321" t="s">
        <v>703</v>
      </c>
      <c r="M321" t="s">
        <v>38</v>
      </c>
      <c r="N321">
        <v>5.5147093531648449E-2</v>
      </c>
      <c r="O321" t="s">
        <v>6</v>
      </c>
    </row>
    <row r="322" spans="2:15" x14ac:dyDescent="0.45">
      <c r="B322" t="s">
        <v>701</v>
      </c>
      <c r="C322" t="s">
        <v>39</v>
      </c>
      <c r="D322">
        <v>0</v>
      </c>
      <c r="E322" t="s">
        <v>6</v>
      </c>
      <c r="G322" t="s">
        <v>702</v>
      </c>
      <c r="H322" t="s">
        <v>39</v>
      </c>
      <c r="I322">
        <v>2.0997853055693485E-2</v>
      </c>
      <c r="J322" t="s">
        <v>6</v>
      </c>
      <c r="L322" t="s">
        <v>703</v>
      </c>
      <c r="M322" t="s">
        <v>39</v>
      </c>
      <c r="N322">
        <v>2.2226368193785193E-2</v>
      </c>
      <c r="O322" t="s">
        <v>6</v>
      </c>
    </row>
    <row r="323" spans="2:15" x14ac:dyDescent="0.45">
      <c r="B323" t="s">
        <v>701</v>
      </c>
      <c r="C323" t="s">
        <v>40</v>
      </c>
      <c r="D323">
        <v>3.0558027407240877E-4</v>
      </c>
      <c r="E323" t="s">
        <v>6</v>
      </c>
      <c r="G323" t="s">
        <v>702</v>
      </c>
      <c r="H323" t="s">
        <v>40</v>
      </c>
      <c r="I323">
        <v>2.0769084912707139E-2</v>
      </c>
      <c r="J323" t="s">
        <v>6</v>
      </c>
      <c r="L323" t="s">
        <v>703</v>
      </c>
      <c r="M323" t="s">
        <v>40</v>
      </c>
      <c r="N323">
        <v>2.3650671762852998E-2</v>
      </c>
      <c r="O323" t="s">
        <v>6</v>
      </c>
    </row>
    <row r="324" spans="2:15" x14ac:dyDescent="0.45">
      <c r="B324" t="s">
        <v>701</v>
      </c>
      <c r="C324" t="s">
        <v>41</v>
      </c>
      <c r="D324">
        <v>1.9427168893621175E-2</v>
      </c>
      <c r="E324" t="s">
        <v>6</v>
      </c>
      <c r="G324" t="s">
        <v>702</v>
      </c>
      <c r="H324" t="s">
        <v>41</v>
      </c>
      <c r="I324">
        <v>2.050795420961651E-2</v>
      </c>
      <c r="J324" t="s">
        <v>6</v>
      </c>
      <c r="L324" t="s">
        <v>703</v>
      </c>
      <c r="M324" t="s">
        <v>41</v>
      </c>
      <c r="N324">
        <v>2.2107482292701451E-2</v>
      </c>
      <c r="O324" t="s">
        <v>6</v>
      </c>
    </row>
    <row r="325" spans="2:15" x14ac:dyDescent="0.45">
      <c r="B325" t="s">
        <v>701</v>
      </c>
      <c r="C325" t="s">
        <v>42</v>
      </c>
      <c r="D325">
        <v>5.2254749001787844E-2</v>
      </c>
      <c r="E325" t="s">
        <v>6</v>
      </c>
      <c r="G325" t="s">
        <v>702</v>
      </c>
      <c r="H325" t="s">
        <v>42</v>
      </c>
      <c r="I325">
        <v>2.0964725823705687E-2</v>
      </c>
      <c r="J325" t="s">
        <v>6</v>
      </c>
      <c r="L325" t="s">
        <v>703</v>
      </c>
      <c r="M325" t="s">
        <v>42</v>
      </c>
      <c r="N325">
        <v>2.0218735379749362E-2</v>
      </c>
      <c r="O325" t="s">
        <v>6</v>
      </c>
    </row>
    <row r="326" spans="2:15" x14ac:dyDescent="0.45">
      <c r="B326" t="s">
        <v>701</v>
      </c>
      <c r="C326" t="s">
        <v>43</v>
      </c>
      <c r="D326">
        <v>6.5995227056260763E-2</v>
      </c>
      <c r="E326" t="s">
        <v>6</v>
      </c>
      <c r="G326" t="s">
        <v>702</v>
      </c>
      <c r="H326" t="s">
        <v>43</v>
      </c>
      <c r="I326">
        <v>2.2959724404648513E-2</v>
      </c>
      <c r="J326" t="s">
        <v>6</v>
      </c>
      <c r="L326" t="s">
        <v>703</v>
      </c>
      <c r="M326" t="s">
        <v>43</v>
      </c>
      <c r="N326">
        <v>2.048225585676311E-2</v>
      </c>
      <c r="O326" t="s">
        <v>6</v>
      </c>
    </row>
    <row r="327" spans="2:15" x14ac:dyDescent="0.45">
      <c r="B327" t="s">
        <v>701</v>
      </c>
      <c r="C327" t="s">
        <v>44</v>
      </c>
      <c r="D327">
        <v>5.656510847375925E-2</v>
      </c>
      <c r="E327" t="s">
        <v>6</v>
      </c>
      <c r="G327" t="s">
        <v>702</v>
      </c>
      <c r="H327" t="s">
        <v>44</v>
      </c>
      <c r="I327">
        <v>2.4461789560401612E-2</v>
      </c>
      <c r="J327" t="s">
        <v>6</v>
      </c>
      <c r="L327" t="s">
        <v>703</v>
      </c>
      <c r="M327" t="s">
        <v>44</v>
      </c>
      <c r="N327">
        <v>2.2205249664315287E-2</v>
      </c>
      <c r="O327" t="s">
        <v>6</v>
      </c>
    </row>
    <row r="328" spans="2:15" x14ac:dyDescent="0.45">
      <c r="B328" t="s">
        <v>701</v>
      </c>
      <c r="C328" t="s">
        <v>45</v>
      </c>
      <c r="D328">
        <v>2.8147150001289457E-2</v>
      </c>
      <c r="E328" t="s">
        <v>6</v>
      </c>
      <c r="G328" t="s">
        <v>702</v>
      </c>
      <c r="H328" t="s">
        <v>45</v>
      </c>
      <c r="I328">
        <v>2.4150437053242064E-2</v>
      </c>
      <c r="J328" t="s">
        <v>6</v>
      </c>
      <c r="L328" t="s">
        <v>703</v>
      </c>
      <c r="M328" t="s">
        <v>45</v>
      </c>
      <c r="N328">
        <v>2.3610314229026215E-2</v>
      </c>
      <c r="O328" t="s">
        <v>6</v>
      </c>
    </row>
    <row r="329" spans="2:15" x14ac:dyDescent="0.45">
      <c r="B329" t="s">
        <v>701</v>
      </c>
      <c r="C329" t="s">
        <v>46</v>
      </c>
      <c r="D329">
        <v>2.5315734008993724E-3</v>
      </c>
      <c r="E329" t="s">
        <v>6</v>
      </c>
      <c r="G329" t="s">
        <v>702</v>
      </c>
      <c r="H329" t="s">
        <v>46</v>
      </c>
      <c r="I329">
        <v>2.402983955284517E-2</v>
      </c>
      <c r="J329" t="s">
        <v>6</v>
      </c>
      <c r="L329" t="s">
        <v>703</v>
      </c>
      <c r="M329" t="s">
        <v>46</v>
      </c>
      <c r="N329">
        <v>2.5190920554119315E-2</v>
      </c>
      <c r="O329" t="s">
        <v>6</v>
      </c>
    </row>
    <row r="330" spans="2:15" x14ac:dyDescent="0.45">
      <c r="B330" t="s">
        <v>701</v>
      </c>
      <c r="C330" t="s">
        <v>47</v>
      </c>
      <c r="D330">
        <v>0</v>
      </c>
      <c r="E330" t="s">
        <v>6</v>
      </c>
      <c r="G330" t="s">
        <v>702</v>
      </c>
      <c r="H330" t="s">
        <v>47</v>
      </c>
      <c r="I330">
        <v>3.4798316675563087E-2</v>
      </c>
      <c r="J330" t="s">
        <v>6</v>
      </c>
      <c r="L330" t="s">
        <v>703</v>
      </c>
      <c r="M330" t="s">
        <v>47</v>
      </c>
      <c r="N330">
        <v>3.9612307522153452E-2</v>
      </c>
      <c r="O330" t="s">
        <v>6</v>
      </c>
    </row>
    <row r="331" spans="2:15" x14ac:dyDescent="0.45">
      <c r="B331" t="s">
        <v>704</v>
      </c>
      <c r="C331" t="s">
        <v>5</v>
      </c>
      <c r="D331">
        <v>0</v>
      </c>
      <c r="E331" t="s">
        <v>6</v>
      </c>
      <c r="G331" t="s">
        <v>705</v>
      </c>
      <c r="H331" t="s">
        <v>5</v>
      </c>
      <c r="I331">
        <v>7.3550487953347732E-2</v>
      </c>
      <c r="J331" t="s">
        <v>6</v>
      </c>
      <c r="L331" t="s">
        <v>706</v>
      </c>
      <c r="M331" t="s">
        <v>5</v>
      </c>
      <c r="N331">
        <v>6.8102423579705293E-2</v>
      </c>
      <c r="O331" t="s">
        <v>6</v>
      </c>
    </row>
    <row r="332" spans="2:15" x14ac:dyDescent="0.45">
      <c r="B332" t="s">
        <v>704</v>
      </c>
      <c r="C332" t="s">
        <v>9</v>
      </c>
      <c r="D332">
        <v>0</v>
      </c>
      <c r="E332" t="s">
        <v>6</v>
      </c>
      <c r="G332" t="s">
        <v>705</v>
      </c>
      <c r="H332" t="s">
        <v>9</v>
      </c>
      <c r="I332">
        <v>2.9873275599716084E-2</v>
      </c>
      <c r="J332" t="s">
        <v>6</v>
      </c>
      <c r="L332" t="s">
        <v>706</v>
      </c>
      <c r="M332" t="s">
        <v>9</v>
      </c>
      <c r="N332">
        <v>2.5832573635832069E-2</v>
      </c>
      <c r="O332" t="s">
        <v>6</v>
      </c>
    </row>
    <row r="333" spans="2:15" x14ac:dyDescent="0.45">
      <c r="B333" t="s">
        <v>704</v>
      </c>
      <c r="C333" t="s">
        <v>10</v>
      </c>
      <c r="D333">
        <v>0</v>
      </c>
      <c r="E333" t="s">
        <v>6</v>
      </c>
      <c r="G333" t="s">
        <v>705</v>
      </c>
      <c r="H333" t="s">
        <v>10</v>
      </c>
      <c r="I333">
        <v>2.8345432735436361E-2</v>
      </c>
      <c r="J333" t="s">
        <v>6</v>
      </c>
      <c r="L333" t="s">
        <v>706</v>
      </c>
      <c r="M333" t="s">
        <v>10</v>
      </c>
      <c r="N333">
        <v>2.6026623354787008E-2</v>
      </c>
      <c r="O333" t="s">
        <v>6</v>
      </c>
    </row>
    <row r="334" spans="2:15" x14ac:dyDescent="0.45">
      <c r="B334" t="s">
        <v>704</v>
      </c>
      <c r="C334" t="s">
        <v>11</v>
      </c>
      <c r="D334">
        <v>7.1775591287027074E-3</v>
      </c>
      <c r="E334" t="s">
        <v>6</v>
      </c>
      <c r="G334" t="s">
        <v>705</v>
      </c>
      <c r="H334" t="s">
        <v>11</v>
      </c>
      <c r="I334">
        <v>2.7273232510518521E-2</v>
      </c>
      <c r="J334" t="s">
        <v>6</v>
      </c>
      <c r="L334" t="s">
        <v>706</v>
      </c>
      <c r="M334" t="s">
        <v>11</v>
      </c>
      <c r="N334">
        <v>2.5979500329027655E-2</v>
      </c>
      <c r="O334" t="s">
        <v>6</v>
      </c>
    </row>
    <row r="335" spans="2:15" x14ac:dyDescent="0.45">
      <c r="B335" t="s">
        <v>704</v>
      </c>
      <c r="C335" t="s">
        <v>12</v>
      </c>
      <c r="D335">
        <v>3.5883510919821948E-2</v>
      </c>
      <c r="E335" t="s">
        <v>6</v>
      </c>
      <c r="G335" t="s">
        <v>705</v>
      </c>
      <c r="H335" t="s">
        <v>12</v>
      </c>
      <c r="I335">
        <v>2.537208892902509E-2</v>
      </c>
      <c r="J335" t="s">
        <v>6</v>
      </c>
      <c r="L335" t="s">
        <v>706</v>
      </c>
      <c r="M335" t="s">
        <v>12</v>
      </c>
      <c r="N335">
        <v>2.6670692588204467E-2</v>
      </c>
      <c r="O335" t="s">
        <v>6</v>
      </c>
    </row>
    <row r="336" spans="2:15" x14ac:dyDescent="0.45">
      <c r="B336" t="s">
        <v>704</v>
      </c>
      <c r="C336" t="s">
        <v>13</v>
      </c>
      <c r="D336">
        <v>5.1446358417668543E-2</v>
      </c>
      <c r="E336" t="s">
        <v>6</v>
      </c>
      <c r="G336" t="s">
        <v>705</v>
      </c>
      <c r="H336" t="s">
        <v>13</v>
      </c>
      <c r="I336">
        <v>3.0628874402270828E-2</v>
      </c>
      <c r="J336" t="s">
        <v>6</v>
      </c>
      <c r="L336" t="s">
        <v>706</v>
      </c>
      <c r="M336" t="s">
        <v>13</v>
      </c>
      <c r="N336">
        <v>2.6562683480125464E-2</v>
      </c>
      <c r="O336" t="s">
        <v>6</v>
      </c>
    </row>
    <row r="337" spans="2:15" x14ac:dyDescent="0.45">
      <c r="B337" t="s">
        <v>704</v>
      </c>
      <c r="C337" t="s">
        <v>14</v>
      </c>
      <c r="D337">
        <v>4.5710702554174157E-2</v>
      </c>
      <c r="E337" t="s">
        <v>6</v>
      </c>
      <c r="G337" t="s">
        <v>705</v>
      </c>
      <c r="H337" t="s">
        <v>14</v>
      </c>
      <c r="I337">
        <v>3.3595914739003592E-2</v>
      </c>
      <c r="J337" t="s">
        <v>6</v>
      </c>
      <c r="L337" t="s">
        <v>706</v>
      </c>
      <c r="M337" t="s">
        <v>14</v>
      </c>
      <c r="N337">
        <v>2.5694880250799246E-2</v>
      </c>
      <c r="O337" t="s">
        <v>6</v>
      </c>
    </row>
    <row r="338" spans="2:15" x14ac:dyDescent="0.45">
      <c r="B338" t="s">
        <v>704</v>
      </c>
      <c r="C338" t="s">
        <v>15</v>
      </c>
      <c r="D338">
        <v>2.1939258677390876E-2</v>
      </c>
      <c r="E338" t="s">
        <v>6</v>
      </c>
      <c r="G338" t="s">
        <v>705</v>
      </c>
      <c r="H338" t="s">
        <v>15</v>
      </c>
      <c r="I338">
        <v>3.2575609871658244E-2</v>
      </c>
      <c r="J338" t="s">
        <v>6</v>
      </c>
      <c r="L338" t="s">
        <v>706</v>
      </c>
      <c r="M338" t="s">
        <v>15</v>
      </c>
      <c r="N338">
        <v>2.5189948945927524E-2</v>
      </c>
      <c r="O338" t="s">
        <v>6</v>
      </c>
    </row>
    <row r="339" spans="2:15" x14ac:dyDescent="0.45">
      <c r="B339" t="s">
        <v>704</v>
      </c>
      <c r="C339" t="s">
        <v>16</v>
      </c>
      <c r="D339">
        <v>1.0989848784882974E-3</v>
      </c>
      <c r="E339" t="s">
        <v>6</v>
      </c>
      <c r="G339" t="s">
        <v>705</v>
      </c>
      <c r="H339" t="s">
        <v>16</v>
      </c>
      <c r="I339">
        <v>3.0431902706073592E-2</v>
      </c>
      <c r="J339" t="s">
        <v>6</v>
      </c>
      <c r="L339" t="s">
        <v>706</v>
      </c>
      <c r="M339" t="s">
        <v>16</v>
      </c>
      <c r="N339">
        <v>2.5859493798845504E-2</v>
      </c>
      <c r="O339" t="s">
        <v>6</v>
      </c>
    </row>
    <row r="340" spans="2:15" x14ac:dyDescent="0.45">
      <c r="B340" t="s">
        <v>704</v>
      </c>
      <c r="C340" t="s">
        <v>17</v>
      </c>
      <c r="D340">
        <v>0</v>
      </c>
      <c r="E340" t="s">
        <v>6</v>
      </c>
      <c r="G340" t="s">
        <v>705</v>
      </c>
      <c r="H340" t="s">
        <v>17</v>
      </c>
      <c r="I340">
        <v>4.3694768210122886E-2</v>
      </c>
      <c r="J340" t="s">
        <v>6</v>
      </c>
      <c r="L340" t="s">
        <v>706</v>
      </c>
      <c r="M340" t="s">
        <v>17</v>
      </c>
      <c r="N340">
        <v>4.1864848074396506E-2</v>
      </c>
      <c r="O340" t="s">
        <v>6</v>
      </c>
    </row>
    <row r="341" spans="2:15" x14ac:dyDescent="0.45">
      <c r="B341" t="s">
        <v>704</v>
      </c>
      <c r="C341" t="s">
        <v>18</v>
      </c>
      <c r="D341">
        <v>0</v>
      </c>
      <c r="E341" t="s">
        <v>6</v>
      </c>
      <c r="G341" t="s">
        <v>705</v>
      </c>
      <c r="H341" t="s">
        <v>18</v>
      </c>
      <c r="I341">
        <v>4.9170127642212395E-2</v>
      </c>
      <c r="J341" t="s">
        <v>6</v>
      </c>
      <c r="L341" t="s">
        <v>706</v>
      </c>
      <c r="M341" t="s">
        <v>18</v>
      </c>
      <c r="N341">
        <v>6.0950661741332346E-2</v>
      </c>
      <c r="O341" t="s">
        <v>6</v>
      </c>
    </row>
    <row r="342" spans="2:15" x14ac:dyDescent="0.45">
      <c r="B342" t="s">
        <v>704</v>
      </c>
      <c r="C342" t="s">
        <v>19</v>
      </c>
      <c r="D342">
        <v>0</v>
      </c>
      <c r="E342" t="s">
        <v>6</v>
      </c>
      <c r="G342" t="s">
        <v>705</v>
      </c>
      <c r="H342" t="s">
        <v>19</v>
      </c>
      <c r="I342">
        <v>2.0141817469891944E-2</v>
      </c>
      <c r="J342" t="s">
        <v>6</v>
      </c>
      <c r="L342" t="s">
        <v>706</v>
      </c>
      <c r="M342" t="s">
        <v>19</v>
      </c>
      <c r="N342">
        <v>2.5258257773143455E-2</v>
      </c>
      <c r="O342" t="s">
        <v>6</v>
      </c>
    </row>
    <row r="343" spans="2:15" x14ac:dyDescent="0.45">
      <c r="B343" t="s">
        <v>704</v>
      </c>
      <c r="C343" t="s">
        <v>20</v>
      </c>
      <c r="D343">
        <v>2.269320171769583E-3</v>
      </c>
      <c r="E343" t="s">
        <v>6</v>
      </c>
      <c r="G343" t="s">
        <v>705</v>
      </c>
      <c r="H343" t="s">
        <v>20</v>
      </c>
      <c r="I343">
        <v>1.9890100983221963E-2</v>
      </c>
      <c r="J343" t="s">
        <v>6</v>
      </c>
      <c r="L343" t="s">
        <v>706</v>
      </c>
      <c r="M343" t="s">
        <v>20</v>
      </c>
      <c r="N343">
        <v>2.5170568695461571E-2</v>
      </c>
      <c r="O343" t="s">
        <v>6</v>
      </c>
    </row>
    <row r="344" spans="2:15" x14ac:dyDescent="0.45">
      <c r="B344" t="s">
        <v>704</v>
      </c>
      <c r="C344" t="s">
        <v>21</v>
      </c>
      <c r="D344">
        <v>2.7011092324537717E-2</v>
      </c>
      <c r="E344" t="s">
        <v>6</v>
      </c>
      <c r="G344" t="s">
        <v>705</v>
      </c>
      <c r="H344" t="s">
        <v>21</v>
      </c>
      <c r="I344">
        <v>2.2824592397471907E-2</v>
      </c>
      <c r="J344" t="s">
        <v>6</v>
      </c>
      <c r="L344" t="s">
        <v>706</v>
      </c>
      <c r="M344" t="s">
        <v>21</v>
      </c>
      <c r="N344">
        <v>2.448940535309484E-2</v>
      </c>
      <c r="O344" t="s">
        <v>6</v>
      </c>
    </row>
    <row r="345" spans="2:15" x14ac:dyDescent="0.45">
      <c r="B345" t="s">
        <v>704</v>
      </c>
      <c r="C345" t="s">
        <v>22</v>
      </c>
      <c r="D345">
        <v>5.5660014177580937E-2</v>
      </c>
      <c r="E345" t="s">
        <v>6</v>
      </c>
      <c r="G345" t="s">
        <v>705</v>
      </c>
      <c r="H345" t="s">
        <v>22</v>
      </c>
      <c r="I345">
        <v>2.5287543995104345E-2</v>
      </c>
      <c r="J345" t="s">
        <v>6</v>
      </c>
      <c r="L345" t="s">
        <v>706</v>
      </c>
      <c r="M345" t="s">
        <v>22</v>
      </c>
      <c r="N345">
        <v>2.3717100196064506E-2</v>
      </c>
      <c r="O345" t="s">
        <v>6</v>
      </c>
    </row>
    <row r="346" spans="2:15" x14ac:dyDescent="0.45">
      <c r="B346" t="s">
        <v>704</v>
      </c>
      <c r="C346" t="s">
        <v>23</v>
      </c>
      <c r="D346">
        <v>6.7627203306191361E-2</v>
      </c>
      <c r="E346" t="s">
        <v>6</v>
      </c>
      <c r="G346" t="s">
        <v>705</v>
      </c>
      <c r="H346" t="s">
        <v>23</v>
      </c>
      <c r="I346">
        <v>3.060027024468133E-2</v>
      </c>
      <c r="J346" t="s">
        <v>6</v>
      </c>
      <c r="L346" t="s">
        <v>706</v>
      </c>
      <c r="M346" t="s">
        <v>23</v>
      </c>
      <c r="N346">
        <v>2.2539403075265967E-2</v>
      </c>
      <c r="O346" t="s">
        <v>6</v>
      </c>
    </row>
    <row r="347" spans="2:15" x14ac:dyDescent="0.45">
      <c r="B347" t="s">
        <v>704</v>
      </c>
      <c r="C347" t="s">
        <v>24</v>
      </c>
      <c r="D347">
        <v>6.1861523952198329E-2</v>
      </c>
      <c r="E347" t="s">
        <v>6</v>
      </c>
      <c r="G347" t="s">
        <v>705</v>
      </c>
      <c r="H347" t="s">
        <v>24</v>
      </c>
      <c r="I347">
        <v>3.242542244105967E-2</v>
      </c>
      <c r="J347" t="s">
        <v>6</v>
      </c>
      <c r="L347" t="s">
        <v>706</v>
      </c>
      <c r="M347" t="s">
        <v>24</v>
      </c>
      <c r="N347">
        <v>2.2016047137793694E-2</v>
      </c>
      <c r="O347" t="s">
        <v>6</v>
      </c>
    </row>
    <row r="348" spans="2:15" x14ac:dyDescent="0.45">
      <c r="B348" t="s">
        <v>704</v>
      </c>
      <c r="C348" t="s">
        <v>25</v>
      </c>
      <c r="D348">
        <v>3.8689414895451531E-2</v>
      </c>
      <c r="E348" t="s">
        <v>6</v>
      </c>
      <c r="G348" t="s">
        <v>705</v>
      </c>
      <c r="H348" t="s">
        <v>25</v>
      </c>
      <c r="I348">
        <v>3.0016146101924532E-2</v>
      </c>
      <c r="J348" t="s">
        <v>6</v>
      </c>
      <c r="L348" t="s">
        <v>706</v>
      </c>
      <c r="M348" t="s">
        <v>25</v>
      </c>
      <c r="N348">
        <v>2.204315585436183E-2</v>
      </c>
      <c r="O348" t="s">
        <v>6</v>
      </c>
    </row>
    <row r="349" spans="2:15" x14ac:dyDescent="0.45">
      <c r="B349" t="s">
        <v>704</v>
      </c>
      <c r="C349" t="s">
        <v>26</v>
      </c>
      <c r="D349">
        <v>8.5744584698004382E-3</v>
      </c>
      <c r="E349" t="s">
        <v>6</v>
      </c>
      <c r="G349" t="s">
        <v>705</v>
      </c>
      <c r="H349" t="s">
        <v>26</v>
      </c>
      <c r="I349">
        <v>2.5326405535483067E-2</v>
      </c>
      <c r="J349" t="s">
        <v>6</v>
      </c>
      <c r="L349" t="s">
        <v>706</v>
      </c>
      <c r="M349" t="s">
        <v>26</v>
      </c>
      <c r="N349">
        <v>2.2287703988675137E-2</v>
      </c>
      <c r="O349" t="s">
        <v>6</v>
      </c>
    </row>
    <row r="350" spans="2:15" x14ac:dyDescent="0.45">
      <c r="B350" t="s">
        <v>704</v>
      </c>
      <c r="C350" t="s">
        <v>27</v>
      </c>
      <c r="D350">
        <v>2.1138234314420981E-5</v>
      </c>
      <c r="E350" t="s">
        <v>6</v>
      </c>
      <c r="G350" t="s">
        <v>705</v>
      </c>
      <c r="H350" t="s">
        <v>27</v>
      </c>
      <c r="I350">
        <v>3.1857559581569925E-2</v>
      </c>
      <c r="J350" t="s">
        <v>6</v>
      </c>
      <c r="L350" t="s">
        <v>706</v>
      </c>
      <c r="M350" t="s">
        <v>27</v>
      </c>
      <c r="N350">
        <v>3.5436146147864535E-2</v>
      </c>
      <c r="O350" t="s">
        <v>6</v>
      </c>
    </row>
    <row r="351" spans="2:15" x14ac:dyDescent="0.45">
      <c r="B351" t="s">
        <v>704</v>
      </c>
      <c r="C351" t="s">
        <v>28</v>
      </c>
      <c r="D351">
        <v>0</v>
      </c>
      <c r="E351" t="s">
        <v>6</v>
      </c>
      <c r="G351" t="s">
        <v>705</v>
      </c>
      <c r="H351" t="s">
        <v>28</v>
      </c>
      <c r="I351">
        <v>1.6079077238441666E-2</v>
      </c>
      <c r="J351" t="s">
        <v>6</v>
      </c>
      <c r="L351" t="s">
        <v>706</v>
      </c>
      <c r="M351" t="s">
        <v>28</v>
      </c>
      <c r="N351">
        <v>2.6955735344458227E-2</v>
      </c>
      <c r="O351" t="s">
        <v>6</v>
      </c>
    </row>
    <row r="352" spans="2:15" x14ac:dyDescent="0.45">
      <c r="B352" t="s">
        <v>704</v>
      </c>
      <c r="C352" t="s">
        <v>29</v>
      </c>
      <c r="D352">
        <v>0</v>
      </c>
      <c r="E352" t="s">
        <v>6</v>
      </c>
      <c r="G352" t="s">
        <v>705</v>
      </c>
      <c r="H352" t="s">
        <v>29</v>
      </c>
      <c r="I352">
        <v>5.8525647683083798E-3</v>
      </c>
      <c r="J352" t="s">
        <v>6</v>
      </c>
      <c r="L352" t="s">
        <v>706</v>
      </c>
      <c r="M352" t="s">
        <v>29</v>
      </c>
      <c r="N352">
        <v>1.2613324895263336E-2</v>
      </c>
      <c r="O352" t="s">
        <v>6</v>
      </c>
    </row>
    <row r="353" spans="2:15" x14ac:dyDescent="0.45">
      <c r="B353" t="s">
        <v>704</v>
      </c>
      <c r="C353" t="s">
        <v>30</v>
      </c>
      <c r="D353">
        <v>4.0878881365257356E-3</v>
      </c>
      <c r="E353" t="s">
        <v>6</v>
      </c>
      <c r="G353" t="s">
        <v>705</v>
      </c>
      <c r="H353" t="s">
        <v>30</v>
      </c>
      <c r="I353">
        <v>5.3685583871732586E-3</v>
      </c>
      <c r="J353" t="s">
        <v>6</v>
      </c>
      <c r="L353" t="s">
        <v>706</v>
      </c>
      <c r="M353" t="s">
        <v>30</v>
      </c>
      <c r="N353">
        <v>1.3271368996725864E-2</v>
      </c>
      <c r="O353" t="s">
        <v>6</v>
      </c>
    </row>
    <row r="354" spans="2:15" x14ac:dyDescent="0.45">
      <c r="B354" t="s">
        <v>704</v>
      </c>
      <c r="C354" t="s">
        <v>31</v>
      </c>
      <c r="D354">
        <v>3.8100660655623807E-2</v>
      </c>
      <c r="E354" t="s">
        <v>6</v>
      </c>
      <c r="G354" t="s">
        <v>705</v>
      </c>
      <c r="H354" t="s">
        <v>31</v>
      </c>
      <c r="I354">
        <v>5.8538644980803195E-3</v>
      </c>
      <c r="J354" t="s">
        <v>6</v>
      </c>
      <c r="L354" t="s">
        <v>706</v>
      </c>
      <c r="M354" t="s">
        <v>31</v>
      </c>
      <c r="N354">
        <v>1.2789616674560788E-2</v>
      </c>
      <c r="O354" t="s">
        <v>6</v>
      </c>
    </row>
    <row r="355" spans="2:15" x14ac:dyDescent="0.45">
      <c r="B355" t="s">
        <v>704</v>
      </c>
      <c r="C355" t="s">
        <v>32</v>
      </c>
      <c r="D355">
        <v>7.2341728196114577E-2</v>
      </c>
      <c r="E355" t="s">
        <v>6</v>
      </c>
      <c r="G355" t="s">
        <v>705</v>
      </c>
      <c r="H355" t="s">
        <v>32</v>
      </c>
      <c r="I355">
        <v>7.4943511117860004E-3</v>
      </c>
      <c r="J355" t="s">
        <v>6</v>
      </c>
      <c r="L355" t="s">
        <v>706</v>
      </c>
      <c r="M355" t="s">
        <v>32</v>
      </c>
      <c r="N355">
        <v>1.211329403261837E-2</v>
      </c>
      <c r="O355" t="s">
        <v>6</v>
      </c>
    </row>
    <row r="356" spans="2:15" x14ac:dyDescent="0.45">
      <c r="B356" t="s">
        <v>704</v>
      </c>
      <c r="C356" t="s">
        <v>33</v>
      </c>
      <c r="D356">
        <v>8.6511447666043684E-2</v>
      </c>
      <c r="E356" t="s">
        <v>6</v>
      </c>
      <c r="G356" t="s">
        <v>705</v>
      </c>
      <c r="H356" t="s">
        <v>33</v>
      </c>
      <c r="I356">
        <v>1.1099639067376866E-2</v>
      </c>
      <c r="J356" t="s">
        <v>6</v>
      </c>
      <c r="L356" t="s">
        <v>706</v>
      </c>
      <c r="M356" t="s">
        <v>33</v>
      </c>
      <c r="N356">
        <v>1.0773455593921231E-2</v>
      </c>
      <c r="O356" t="s">
        <v>6</v>
      </c>
    </row>
    <row r="357" spans="2:15" x14ac:dyDescent="0.45">
      <c r="B357" t="s">
        <v>704</v>
      </c>
      <c r="C357" t="s">
        <v>34</v>
      </c>
      <c r="D357">
        <v>7.8604076195151334E-2</v>
      </c>
      <c r="E357" t="s">
        <v>6</v>
      </c>
      <c r="G357" t="s">
        <v>705</v>
      </c>
      <c r="H357" t="s">
        <v>34</v>
      </c>
      <c r="I357">
        <v>1.3194136719219674E-2</v>
      </c>
      <c r="J357" t="s">
        <v>6</v>
      </c>
      <c r="L357" t="s">
        <v>706</v>
      </c>
      <c r="M357" t="s">
        <v>34</v>
      </c>
      <c r="N357">
        <v>9.3992622690726411E-3</v>
      </c>
      <c r="O357" t="s">
        <v>6</v>
      </c>
    </row>
    <row r="358" spans="2:15" x14ac:dyDescent="0.45">
      <c r="B358" t="s">
        <v>704</v>
      </c>
      <c r="C358" t="s">
        <v>35</v>
      </c>
      <c r="D358">
        <v>5.2537051842033992E-2</v>
      </c>
      <c r="E358" t="s">
        <v>6</v>
      </c>
      <c r="G358" t="s">
        <v>705</v>
      </c>
      <c r="H358" t="s">
        <v>35</v>
      </c>
      <c r="I358">
        <v>1.4255299446718299E-2</v>
      </c>
      <c r="J358" t="s">
        <v>6</v>
      </c>
      <c r="L358" t="s">
        <v>706</v>
      </c>
      <c r="M358" t="s">
        <v>35</v>
      </c>
      <c r="N358">
        <v>8.3710723444512906E-3</v>
      </c>
      <c r="O358" t="s">
        <v>6</v>
      </c>
    </row>
    <row r="359" spans="2:15" x14ac:dyDescent="0.45">
      <c r="B359" t="s">
        <v>704</v>
      </c>
      <c r="C359" t="s">
        <v>36</v>
      </c>
      <c r="D359">
        <v>1.4764730162804739E-2</v>
      </c>
      <c r="E359" t="s">
        <v>6</v>
      </c>
      <c r="G359" t="s">
        <v>705</v>
      </c>
      <c r="H359" t="s">
        <v>36</v>
      </c>
      <c r="I359">
        <v>1.2817395920170451E-2</v>
      </c>
      <c r="J359" t="s">
        <v>6</v>
      </c>
      <c r="L359" t="s">
        <v>706</v>
      </c>
      <c r="M359" t="s">
        <v>36</v>
      </c>
      <c r="N359">
        <v>8.6970086412422199E-3</v>
      </c>
      <c r="O359" t="s">
        <v>6</v>
      </c>
    </row>
    <row r="360" spans="2:15" x14ac:dyDescent="0.45">
      <c r="B360" t="s">
        <v>704</v>
      </c>
      <c r="C360" t="s">
        <v>37</v>
      </c>
      <c r="D360">
        <v>2.3006247408492719E-4</v>
      </c>
      <c r="E360" t="s">
        <v>6</v>
      </c>
      <c r="G360" t="s">
        <v>705</v>
      </c>
      <c r="H360" t="s">
        <v>37</v>
      </c>
      <c r="I360">
        <v>1.4573948840643227E-2</v>
      </c>
      <c r="J360" t="s">
        <v>6</v>
      </c>
      <c r="L360" t="s">
        <v>706</v>
      </c>
      <c r="M360" t="s">
        <v>37</v>
      </c>
      <c r="N360">
        <v>1.3587967275601945E-2</v>
      </c>
      <c r="O360" t="s">
        <v>6</v>
      </c>
    </row>
    <row r="361" spans="2:15" x14ac:dyDescent="0.45">
      <c r="B361" t="s">
        <v>704</v>
      </c>
      <c r="C361" t="s">
        <v>38</v>
      </c>
      <c r="D361">
        <v>0</v>
      </c>
      <c r="E361" t="s">
        <v>6</v>
      </c>
      <c r="G361" t="s">
        <v>705</v>
      </c>
      <c r="H361" t="s">
        <v>38</v>
      </c>
      <c r="I361">
        <v>4.5223280940608734E-2</v>
      </c>
      <c r="J361" t="s">
        <v>6</v>
      </c>
      <c r="L361" t="s">
        <v>706</v>
      </c>
      <c r="M361" t="s">
        <v>38</v>
      </c>
      <c r="N361">
        <v>5.6460626866434112E-2</v>
      </c>
      <c r="O361" t="s">
        <v>6</v>
      </c>
    </row>
    <row r="362" spans="2:15" x14ac:dyDescent="0.45">
      <c r="B362" t="s">
        <v>704</v>
      </c>
      <c r="C362" t="s">
        <v>39</v>
      </c>
      <c r="D362">
        <v>0</v>
      </c>
      <c r="E362" t="s">
        <v>6</v>
      </c>
      <c r="G362" t="s">
        <v>705</v>
      </c>
      <c r="H362" t="s">
        <v>39</v>
      </c>
      <c r="I362">
        <v>1.7964353771590197E-2</v>
      </c>
      <c r="J362" t="s">
        <v>6</v>
      </c>
      <c r="L362" t="s">
        <v>706</v>
      </c>
      <c r="M362" t="s">
        <v>39</v>
      </c>
      <c r="N362">
        <v>2.2866764920890733E-2</v>
      </c>
      <c r="O362" t="s">
        <v>6</v>
      </c>
    </row>
    <row r="363" spans="2:15" x14ac:dyDescent="0.45">
      <c r="B363" t="s">
        <v>704</v>
      </c>
      <c r="C363" t="s">
        <v>40</v>
      </c>
      <c r="D363">
        <v>3.8385991832112402E-4</v>
      </c>
      <c r="E363" t="s">
        <v>6</v>
      </c>
      <c r="G363" t="s">
        <v>705</v>
      </c>
      <c r="H363" t="s">
        <v>40</v>
      </c>
      <c r="I363">
        <v>1.8541167677429814E-2</v>
      </c>
      <c r="J363" t="s">
        <v>6</v>
      </c>
      <c r="L363" t="s">
        <v>706</v>
      </c>
      <c r="M363" t="s">
        <v>40</v>
      </c>
      <c r="N363">
        <v>2.3571850402522229E-2</v>
      </c>
      <c r="O363" t="s">
        <v>6</v>
      </c>
    </row>
    <row r="364" spans="2:15" x14ac:dyDescent="0.45">
      <c r="B364" t="s">
        <v>704</v>
      </c>
      <c r="C364" t="s">
        <v>41</v>
      </c>
      <c r="D364">
        <v>2.1077686951997958E-2</v>
      </c>
      <c r="E364" t="s">
        <v>6</v>
      </c>
      <c r="G364" t="s">
        <v>705</v>
      </c>
      <c r="H364" t="s">
        <v>41</v>
      </c>
      <c r="I364">
        <v>1.8809255484494077E-2</v>
      </c>
      <c r="J364" t="s">
        <v>6</v>
      </c>
      <c r="L364" t="s">
        <v>706</v>
      </c>
      <c r="M364" t="s">
        <v>41</v>
      </c>
      <c r="N364">
        <v>2.3041181942138108E-2</v>
      </c>
      <c r="O364" t="s">
        <v>6</v>
      </c>
    </row>
    <row r="365" spans="2:15" x14ac:dyDescent="0.45">
      <c r="B365" t="s">
        <v>704</v>
      </c>
      <c r="C365" t="s">
        <v>42</v>
      </c>
      <c r="D365">
        <v>5.3900975688704361E-2</v>
      </c>
      <c r="E365" t="s">
        <v>6</v>
      </c>
      <c r="G365" t="s">
        <v>705</v>
      </c>
      <c r="H365" t="s">
        <v>42</v>
      </c>
      <c r="I365">
        <v>2.1523385256058798E-2</v>
      </c>
      <c r="J365" t="s">
        <v>6</v>
      </c>
      <c r="L365" t="s">
        <v>706</v>
      </c>
      <c r="M365" t="s">
        <v>42</v>
      </c>
      <c r="N365">
        <v>2.2778958647939E-2</v>
      </c>
      <c r="O365" t="s">
        <v>6</v>
      </c>
    </row>
    <row r="366" spans="2:15" x14ac:dyDescent="0.45">
      <c r="B366" t="s">
        <v>704</v>
      </c>
      <c r="C366" t="s">
        <v>43</v>
      </c>
      <c r="D366">
        <v>6.6487470363116336E-2</v>
      </c>
      <c r="E366" t="s">
        <v>6</v>
      </c>
      <c r="G366" t="s">
        <v>705</v>
      </c>
      <c r="H366" t="s">
        <v>43</v>
      </c>
      <c r="I366">
        <v>2.6492778295930892E-2</v>
      </c>
      <c r="J366" t="s">
        <v>6</v>
      </c>
      <c r="L366" t="s">
        <v>706</v>
      </c>
      <c r="M366" t="s">
        <v>43</v>
      </c>
      <c r="N366">
        <v>2.2575192289582675E-2</v>
      </c>
      <c r="O366" t="s">
        <v>6</v>
      </c>
    </row>
    <row r="367" spans="2:15" x14ac:dyDescent="0.45">
      <c r="B367" t="s">
        <v>704</v>
      </c>
      <c r="C367" t="s">
        <v>44</v>
      </c>
      <c r="D367">
        <v>5.5712462901644146E-2</v>
      </c>
      <c r="E367" t="s">
        <v>6</v>
      </c>
      <c r="G367" t="s">
        <v>705</v>
      </c>
      <c r="H367" t="s">
        <v>44</v>
      </c>
      <c r="I367">
        <v>2.7737230947205722E-2</v>
      </c>
      <c r="J367" t="s">
        <v>6</v>
      </c>
      <c r="L367" t="s">
        <v>706</v>
      </c>
      <c r="M367" t="s">
        <v>44</v>
      </c>
      <c r="N367">
        <v>2.2300903757065553E-2</v>
      </c>
      <c r="O367" t="s">
        <v>6</v>
      </c>
    </row>
    <row r="368" spans="2:15" x14ac:dyDescent="0.45">
      <c r="B368" t="s">
        <v>704</v>
      </c>
      <c r="C368" t="s">
        <v>45</v>
      </c>
      <c r="D368">
        <v>2.790766330667346E-2</v>
      </c>
      <c r="E368" t="s">
        <v>6</v>
      </c>
      <c r="G368" t="s">
        <v>705</v>
      </c>
      <c r="H368" t="s">
        <v>45</v>
      </c>
      <c r="I368">
        <v>2.413334272422317E-2</v>
      </c>
      <c r="J368" t="s">
        <v>6</v>
      </c>
      <c r="L368" t="s">
        <v>706</v>
      </c>
      <c r="M368" t="s">
        <v>45</v>
      </c>
      <c r="N368">
        <v>2.1984392658232644E-2</v>
      </c>
      <c r="O368" t="s">
        <v>6</v>
      </c>
    </row>
    <row r="369" spans="2:15" x14ac:dyDescent="0.45">
      <c r="B369" t="s">
        <v>704</v>
      </c>
      <c r="C369" t="s">
        <v>46</v>
      </c>
      <c r="D369">
        <v>2.3816954330668524E-3</v>
      </c>
      <c r="E369" t="s">
        <v>6</v>
      </c>
      <c r="G369" t="s">
        <v>705</v>
      </c>
      <c r="H369" t="s">
        <v>46</v>
      </c>
      <c r="I369">
        <v>2.1360339833799799E-2</v>
      </c>
      <c r="J369" t="s">
        <v>6</v>
      </c>
      <c r="L369" t="s">
        <v>706</v>
      </c>
      <c r="M369" t="s">
        <v>46</v>
      </c>
      <c r="N369">
        <v>2.1426351779056982E-2</v>
      </c>
      <c r="O369" t="s">
        <v>6</v>
      </c>
    </row>
    <row r="370" spans="2:15" x14ac:dyDescent="0.45">
      <c r="B370" t="s">
        <v>704</v>
      </c>
      <c r="C370" t="s">
        <v>47</v>
      </c>
      <c r="D370">
        <v>0</v>
      </c>
      <c r="E370" t="s">
        <v>6</v>
      </c>
      <c r="G370" t="s">
        <v>705</v>
      </c>
      <c r="H370" t="s">
        <v>47</v>
      </c>
      <c r="I370">
        <v>2.8744455020949911E-2</v>
      </c>
      <c r="J370" t="s">
        <v>6</v>
      </c>
      <c r="L370" t="s">
        <v>706</v>
      </c>
      <c r="M370" t="s">
        <v>47</v>
      </c>
      <c r="N370">
        <v>3.2729552667513373E-2</v>
      </c>
      <c r="O370" t="s">
        <v>6</v>
      </c>
    </row>
    <row r="371" spans="2:15" x14ac:dyDescent="0.45">
      <c r="B371" t="s">
        <v>707</v>
      </c>
      <c r="C371" t="s">
        <v>5</v>
      </c>
      <c r="D371">
        <v>0</v>
      </c>
      <c r="E371" t="s">
        <v>6</v>
      </c>
      <c r="G371" t="s">
        <v>708</v>
      </c>
      <c r="H371" t="s">
        <v>5</v>
      </c>
      <c r="I371">
        <v>7.4165447060727183E-2</v>
      </c>
      <c r="J371" t="s">
        <v>6</v>
      </c>
      <c r="L371" t="s">
        <v>709</v>
      </c>
      <c r="M371" t="s">
        <v>5</v>
      </c>
      <c r="N371">
        <v>6.7582621851895106E-2</v>
      </c>
      <c r="O371" t="s">
        <v>6</v>
      </c>
    </row>
    <row r="372" spans="2:15" x14ac:dyDescent="0.45">
      <c r="B372" t="s">
        <v>707</v>
      </c>
      <c r="C372" t="s">
        <v>9</v>
      </c>
      <c r="D372">
        <v>0</v>
      </c>
      <c r="E372" t="s">
        <v>6</v>
      </c>
      <c r="G372" t="s">
        <v>708</v>
      </c>
      <c r="H372" t="s">
        <v>9</v>
      </c>
      <c r="I372">
        <v>3.1163256081018963E-2</v>
      </c>
      <c r="J372" t="s">
        <v>6</v>
      </c>
      <c r="L372" t="s">
        <v>709</v>
      </c>
      <c r="M372" t="s">
        <v>9</v>
      </c>
      <c r="N372">
        <v>2.6633338069454678E-2</v>
      </c>
      <c r="O372" t="s">
        <v>6</v>
      </c>
    </row>
    <row r="373" spans="2:15" x14ac:dyDescent="0.45">
      <c r="B373" t="s">
        <v>707</v>
      </c>
      <c r="C373" t="s">
        <v>10</v>
      </c>
      <c r="D373">
        <v>0</v>
      </c>
      <c r="E373" t="s">
        <v>6</v>
      </c>
      <c r="G373" t="s">
        <v>708</v>
      </c>
      <c r="H373" t="s">
        <v>10</v>
      </c>
      <c r="I373">
        <v>3.1679355288897558E-2</v>
      </c>
      <c r="J373" t="s">
        <v>6</v>
      </c>
      <c r="L373" t="s">
        <v>709</v>
      </c>
      <c r="M373" t="s">
        <v>10</v>
      </c>
      <c r="N373">
        <v>2.7279509165490309E-2</v>
      </c>
      <c r="O373" t="s">
        <v>6</v>
      </c>
    </row>
    <row r="374" spans="2:15" x14ac:dyDescent="0.45">
      <c r="B374" t="s">
        <v>707</v>
      </c>
      <c r="C374" t="s">
        <v>11</v>
      </c>
      <c r="D374">
        <v>1.0577082533048393E-2</v>
      </c>
      <c r="E374" t="s">
        <v>6</v>
      </c>
      <c r="G374" t="s">
        <v>708</v>
      </c>
      <c r="H374" t="s">
        <v>11</v>
      </c>
      <c r="I374">
        <v>3.0771846995519523E-2</v>
      </c>
      <c r="J374" t="s">
        <v>6</v>
      </c>
      <c r="L374" t="s">
        <v>709</v>
      </c>
      <c r="M374" t="s">
        <v>11</v>
      </c>
      <c r="N374">
        <v>2.7733482923247271E-2</v>
      </c>
      <c r="O374" t="s">
        <v>6</v>
      </c>
    </row>
    <row r="375" spans="2:15" x14ac:dyDescent="0.45">
      <c r="B375" t="s">
        <v>707</v>
      </c>
      <c r="C375" t="s">
        <v>12</v>
      </c>
      <c r="D375">
        <v>4.2997491942601641E-2</v>
      </c>
      <c r="E375" t="s">
        <v>6</v>
      </c>
      <c r="G375" t="s">
        <v>708</v>
      </c>
      <c r="H375" t="s">
        <v>12</v>
      </c>
      <c r="I375">
        <v>2.8000046508082643E-2</v>
      </c>
      <c r="J375" t="s">
        <v>6</v>
      </c>
      <c r="L375" t="s">
        <v>709</v>
      </c>
      <c r="M375" t="s">
        <v>12</v>
      </c>
      <c r="N375">
        <v>2.8477952250229765E-2</v>
      </c>
      <c r="O375" t="s">
        <v>6</v>
      </c>
    </row>
    <row r="376" spans="2:15" x14ac:dyDescent="0.45">
      <c r="B376" t="s">
        <v>707</v>
      </c>
      <c r="C376" t="s">
        <v>13</v>
      </c>
      <c r="D376">
        <v>5.8150189908993066E-2</v>
      </c>
      <c r="E376" t="s">
        <v>6</v>
      </c>
      <c r="G376" t="s">
        <v>708</v>
      </c>
      <c r="H376" t="s">
        <v>13</v>
      </c>
      <c r="I376">
        <v>3.3027442173238566E-2</v>
      </c>
      <c r="J376" t="s">
        <v>6</v>
      </c>
      <c r="L376" t="s">
        <v>709</v>
      </c>
      <c r="M376" t="s">
        <v>13</v>
      </c>
      <c r="N376">
        <v>2.7472682240823255E-2</v>
      </c>
      <c r="O376" t="s">
        <v>6</v>
      </c>
    </row>
    <row r="377" spans="2:15" x14ac:dyDescent="0.45">
      <c r="B377" t="s">
        <v>707</v>
      </c>
      <c r="C377" t="s">
        <v>14</v>
      </c>
      <c r="D377">
        <v>5.1118020063659418E-2</v>
      </c>
      <c r="E377" t="s">
        <v>6</v>
      </c>
      <c r="G377" t="s">
        <v>708</v>
      </c>
      <c r="H377" t="s">
        <v>14</v>
      </c>
      <c r="I377">
        <v>3.2377099167192953E-2</v>
      </c>
      <c r="J377" t="s">
        <v>6</v>
      </c>
      <c r="L377" t="s">
        <v>709</v>
      </c>
      <c r="M377" t="s">
        <v>14</v>
      </c>
      <c r="N377">
        <v>2.6108932621132123E-2</v>
      </c>
      <c r="O377" t="s">
        <v>6</v>
      </c>
    </row>
    <row r="378" spans="2:15" x14ac:dyDescent="0.45">
      <c r="B378" t="s">
        <v>707</v>
      </c>
      <c r="C378" t="s">
        <v>15</v>
      </c>
      <c r="D378">
        <v>2.4810535100138698E-2</v>
      </c>
      <c r="E378" t="s">
        <v>6</v>
      </c>
      <c r="G378" t="s">
        <v>708</v>
      </c>
      <c r="H378" t="s">
        <v>15</v>
      </c>
      <c r="I378">
        <v>3.0533974165557223E-2</v>
      </c>
      <c r="J378" t="s">
        <v>6</v>
      </c>
      <c r="L378" t="s">
        <v>709</v>
      </c>
      <c r="M378" t="s">
        <v>15</v>
      </c>
      <c r="N378">
        <v>2.4950573108122209E-2</v>
      </c>
      <c r="O378" t="s">
        <v>6</v>
      </c>
    </row>
    <row r="379" spans="2:15" x14ac:dyDescent="0.45">
      <c r="B379" t="s">
        <v>707</v>
      </c>
      <c r="C379" t="s">
        <v>16</v>
      </c>
      <c r="D379">
        <v>1.3306501726448382E-3</v>
      </c>
      <c r="E379" t="s">
        <v>6</v>
      </c>
      <c r="G379" t="s">
        <v>708</v>
      </c>
      <c r="H379" t="s">
        <v>16</v>
      </c>
      <c r="I379">
        <v>2.9061940338075201E-2</v>
      </c>
      <c r="J379" t="s">
        <v>6</v>
      </c>
      <c r="L379" t="s">
        <v>709</v>
      </c>
      <c r="M379" t="s">
        <v>16</v>
      </c>
      <c r="N379">
        <v>2.5640360464743776E-2</v>
      </c>
      <c r="O379" t="s">
        <v>6</v>
      </c>
    </row>
    <row r="380" spans="2:15" x14ac:dyDescent="0.45">
      <c r="B380" t="s">
        <v>707</v>
      </c>
      <c r="C380" t="s">
        <v>17</v>
      </c>
      <c r="D380">
        <v>0</v>
      </c>
      <c r="E380" t="s">
        <v>6</v>
      </c>
      <c r="G380" t="s">
        <v>708</v>
      </c>
      <c r="H380" t="s">
        <v>17</v>
      </c>
      <c r="I380">
        <v>4.3072632242670571E-2</v>
      </c>
      <c r="J380" t="s">
        <v>6</v>
      </c>
      <c r="L380" t="s">
        <v>709</v>
      </c>
      <c r="M380" t="s">
        <v>17</v>
      </c>
      <c r="N380">
        <v>4.1556310379352174E-2</v>
      </c>
      <c r="O380" t="s">
        <v>6</v>
      </c>
    </row>
    <row r="381" spans="2:15" x14ac:dyDescent="0.45">
      <c r="B381" t="s">
        <v>707</v>
      </c>
      <c r="C381" t="s">
        <v>18</v>
      </c>
      <c r="D381">
        <v>0</v>
      </c>
      <c r="E381" t="s">
        <v>6</v>
      </c>
      <c r="G381" t="s">
        <v>708</v>
      </c>
      <c r="H381" t="s">
        <v>18</v>
      </c>
      <c r="I381">
        <v>4.9715383853095117E-2</v>
      </c>
      <c r="J381" t="s">
        <v>6</v>
      </c>
      <c r="L381" t="s">
        <v>709</v>
      </c>
      <c r="M381" t="s">
        <v>18</v>
      </c>
      <c r="N381">
        <v>6.3585983534238277E-2</v>
      </c>
      <c r="O381" t="s">
        <v>6</v>
      </c>
    </row>
    <row r="382" spans="2:15" x14ac:dyDescent="0.45">
      <c r="B382" t="s">
        <v>707</v>
      </c>
      <c r="C382" t="s">
        <v>19</v>
      </c>
      <c r="D382">
        <v>0</v>
      </c>
      <c r="E382" t="s">
        <v>6</v>
      </c>
      <c r="G382" t="s">
        <v>708</v>
      </c>
      <c r="H382" t="s">
        <v>19</v>
      </c>
      <c r="I382">
        <v>2.1755931366650726E-2</v>
      </c>
      <c r="J382" t="s">
        <v>6</v>
      </c>
      <c r="L382" t="s">
        <v>709</v>
      </c>
      <c r="M382" t="s">
        <v>19</v>
      </c>
      <c r="N382">
        <v>2.430837998279169E-2</v>
      </c>
      <c r="O382" t="s">
        <v>6</v>
      </c>
    </row>
    <row r="383" spans="2:15" x14ac:dyDescent="0.45">
      <c r="B383" t="s">
        <v>707</v>
      </c>
      <c r="C383" t="s">
        <v>20</v>
      </c>
      <c r="D383">
        <v>2.4216880163023644E-3</v>
      </c>
      <c r="E383" t="s">
        <v>6</v>
      </c>
      <c r="G383" t="s">
        <v>708</v>
      </c>
      <c r="H383" t="s">
        <v>20</v>
      </c>
      <c r="I383">
        <v>2.2532597086185151E-2</v>
      </c>
      <c r="J383" t="s">
        <v>6</v>
      </c>
      <c r="L383" t="s">
        <v>709</v>
      </c>
      <c r="M383" t="s">
        <v>20</v>
      </c>
      <c r="N383">
        <v>2.423619406187083E-2</v>
      </c>
      <c r="O383" t="s">
        <v>6</v>
      </c>
    </row>
    <row r="384" spans="2:15" x14ac:dyDescent="0.45">
      <c r="B384" t="s">
        <v>707</v>
      </c>
      <c r="C384" t="s">
        <v>21</v>
      </c>
      <c r="D384">
        <v>2.8591123091854086E-2</v>
      </c>
      <c r="E384" t="s">
        <v>6</v>
      </c>
      <c r="G384" t="s">
        <v>708</v>
      </c>
      <c r="H384" t="s">
        <v>21</v>
      </c>
      <c r="I384">
        <v>2.5831380330749883E-2</v>
      </c>
      <c r="J384" t="s">
        <v>6</v>
      </c>
      <c r="L384" t="s">
        <v>709</v>
      </c>
      <c r="M384" t="s">
        <v>21</v>
      </c>
      <c r="N384">
        <v>2.3437224039874086E-2</v>
      </c>
      <c r="O384" t="s">
        <v>6</v>
      </c>
    </row>
    <row r="385" spans="2:15" x14ac:dyDescent="0.45">
      <c r="B385" t="s">
        <v>707</v>
      </c>
      <c r="C385" t="s">
        <v>22</v>
      </c>
      <c r="D385">
        <v>5.6589280393775865E-2</v>
      </c>
      <c r="E385" t="s">
        <v>6</v>
      </c>
      <c r="G385" t="s">
        <v>708</v>
      </c>
      <c r="H385" t="s">
        <v>22</v>
      </c>
      <c r="I385">
        <v>2.7573283172635472E-2</v>
      </c>
      <c r="J385" t="s">
        <v>6</v>
      </c>
      <c r="L385" t="s">
        <v>709</v>
      </c>
      <c r="M385" t="s">
        <v>22</v>
      </c>
      <c r="N385">
        <v>2.32963880972221E-2</v>
      </c>
      <c r="O385" t="s">
        <v>6</v>
      </c>
    </row>
    <row r="386" spans="2:15" x14ac:dyDescent="0.45">
      <c r="B386" t="s">
        <v>707</v>
      </c>
      <c r="C386" t="s">
        <v>23</v>
      </c>
      <c r="D386">
        <v>6.6409967884695428E-2</v>
      </c>
      <c r="E386" t="s">
        <v>6</v>
      </c>
      <c r="G386" t="s">
        <v>708</v>
      </c>
      <c r="H386" t="s">
        <v>23</v>
      </c>
      <c r="I386">
        <v>3.217707760034931E-2</v>
      </c>
      <c r="J386" t="s">
        <v>6</v>
      </c>
      <c r="L386" t="s">
        <v>709</v>
      </c>
      <c r="M386" t="s">
        <v>23</v>
      </c>
      <c r="N386">
        <v>2.4279395242939643E-2</v>
      </c>
      <c r="O386" t="s">
        <v>6</v>
      </c>
    </row>
    <row r="387" spans="2:15" x14ac:dyDescent="0.45">
      <c r="B387" t="s">
        <v>707</v>
      </c>
      <c r="C387" t="s">
        <v>24</v>
      </c>
      <c r="D387">
        <v>5.9032211474219498E-2</v>
      </c>
      <c r="E387" t="s">
        <v>6</v>
      </c>
      <c r="G387" t="s">
        <v>708</v>
      </c>
      <c r="H387" t="s">
        <v>24</v>
      </c>
      <c r="I387">
        <v>3.1761884346516112E-2</v>
      </c>
      <c r="J387" t="s">
        <v>6</v>
      </c>
      <c r="L387" t="s">
        <v>709</v>
      </c>
      <c r="M387" t="s">
        <v>24</v>
      </c>
      <c r="N387">
        <v>2.4953575765008697E-2</v>
      </c>
      <c r="O387" t="s">
        <v>6</v>
      </c>
    </row>
    <row r="388" spans="2:15" x14ac:dyDescent="0.45">
      <c r="B388" t="s">
        <v>707</v>
      </c>
      <c r="C388" t="s">
        <v>25</v>
      </c>
      <c r="D388">
        <v>3.68682601533354E-2</v>
      </c>
      <c r="E388" t="s">
        <v>6</v>
      </c>
      <c r="G388" t="s">
        <v>708</v>
      </c>
      <c r="H388" t="s">
        <v>25</v>
      </c>
      <c r="I388">
        <v>2.8958529943406457E-2</v>
      </c>
      <c r="J388" t="s">
        <v>6</v>
      </c>
      <c r="L388" t="s">
        <v>709</v>
      </c>
      <c r="M388" t="s">
        <v>25</v>
      </c>
      <c r="N388">
        <v>2.4505157000591447E-2</v>
      </c>
      <c r="O388" t="s">
        <v>6</v>
      </c>
    </row>
    <row r="389" spans="2:15" x14ac:dyDescent="0.45">
      <c r="B389" t="s">
        <v>707</v>
      </c>
      <c r="C389" t="s">
        <v>26</v>
      </c>
      <c r="D389">
        <v>7.2084577470477376E-3</v>
      </c>
      <c r="E389" t="s">
        <v>6</v>
      </c>
      <c r="G389" t="s">
        <v>708</v>
      </c>
      <c r="H389" t="s">
        <v>26</v>
      </c>
      <c r="I389">
        <v>2.4135654872308086E-2</v>
      </c>
      <c r="J389" t="s">
        <v>6</v>
      </c>
      <c r="L389" t="s">
        <v>709</v>
      </c>
      <c r="M389" t="s">
        <v>26</v>
      </c>
      <c r="N389">
        <v>2.5157482093572058E-2</v>
      </c>
      <c r="O389" t="s">
        <v>6</v>
      </c>
    </row>
    <row r="390" spans="2:15" x14ac:dyDescent="0.45">
      <c r="B390" t="s">
        <v>707</v>
      </c>
      <c r="C390" t="s">
        <v>27</v>
      </c>
      <c r="D390">
        <v>2.2178386771266352E-8</v>
      </c>
      <c r="E390" t="s">
        <v>6</v>
      </c>
      <c r="G390" t="s">
        <v>708</v>
      </c>
      <c r="H390" t="s">
        <v>27</v>
      </c>
      <c r="I390">
        <v>3.0710060119752004E-2</v>
      </c>
      <c r="J390" t="s">
        <v>6</v>
      </c>
      <c r="L390" t="s">
        <v>709</v>
      </c>
      <c r="M390" t="s">
        <v>27</v>
      </c>
      <c r="N390">
        <v>3.8547703026656693E-2</v>
      </c>
      <c r="O390" t="s">
        <v>6</v>
      </c>
    </row>
    <row r="391" spans="2:15" x14ac:dyDescent="0.45">
      <c r="B391" t="s">
        <v>707</v>
      </c>
      <c r="C391" t="s">
        <v>28</v>
      </c>
      <c r="D391">
        <v>0</v>
      </c>
      <c r="E391" t="s">
        <v>6</v>
      </c>
      <c r="G391" t="s">
        <v>708</v>
      </c>
      <c r="H391" t="s">
        <v>28</v>
      </c>
      <c r="I391">
        <v>1.2955929045849907E-2</v>
      </c>
      <c r="J391" t="s">
        <v>6</v>
      </c>
      <c r="L391" t="s">
        <v>709</v>
      </c>
      <c r="M391" t="s">
        <v>28</v>
      </c>
      <c r="N391">
        <v>2.0024810656364685E-2</v>
      </c>
      <c r="O391" t="s">
        <v>6</v>
      </c>
    </row>
    <row r="392" spans="2:15" x14ac:dyDescent="0.45">
      <c r="B392" t="s">
        <v>707</v>
      </c>
      <c r="C392" t="s">
        <v>29</v>
      </c>
      <c r="D392">
        <v>0</v>
      </c>
      <c r="E392" t="s">
        <v>6</v>
      </c>
      <c r="G392" t="s">
        <v>708</v>
      </c>
      <c r="H392" t="s">
        <v>29</v>
      </c>
      <c r="I392">
        <v>5.261342846151559E-3</v>
      </c>
      <c r="J392" t="s">
        <v>6</v>
      </c>
      <c r="L392" t="s">
        <v>709</v>
      </c>
      <c r="M392" t="s">
        <v>29</v>
      </c>
      <c r="N392">
        <v>9.6698773909329582E-3</v>
      </c>
      <c r="O392" t="s">
        <v>6</v>
      </c>
    </row>
    <row r="393" spans="2:15" x14ac:dyDescent="0.45">
      <c r="B393" t="s">
        <v>707</v>
      </c>
      <c r="C393" t="s">
        <v>30</v>
      </c>
      <c r="D393">
        <v>3.9356625691242637E-3</v>
      </c>
      <c r="E393" t="s">
        <v>6</v>
      </c>
      <c r="G393" t="s">
        <v>708</v>
      </c>
      <c r="H393" t="s">
        <v>30</v>
      </c>
      <c r="I393">
        <v>5.0703414671408069E-3</v>
      </c>
      <c r="J393" t="s">
        <v>6</v>
      </c>
      <c r="L393" t="s">
        <v>709</v>
      </c>
      <c r="M393" t="s">
        <v>30</v>
      </c>
      <c r="N393">
        <v>1.0177037017753229E-2</v>
      </c>
      <c r="O393" t="s">
        <v>6</v>
      </c>
    </row>
    <row r="394" spans="2:15" x14ac:dyDescent="0.45">
      <c r="B394" t="s">
        <v>707</v>
      </c>
      <c r="C394" t="s">
        <v>31</v>
      </c>
      <c r="D394">
        <v>3.5926002847649574E-2</v>
      </c>
      <c r="E394" t="s">
        <v>6</v>
      </c>
      <c r="G394" t="s">
        <v>708</v>
      </c>
      <c r="H394" t="s">
        <v>31</v>
      </c>
      <c r="I394">
        <v>5.5348762405247384E-3</v>
      </c>
      <c r="J394" t="s">
        <v>6</v>
      </c>
      <c r="L394" t="s">
        <v>709</v>
      </c>
      <c r="M394" t="s">
        <v>31</v>
      </c>
      <c r="N394">
        <v>1.0275255563539247E-2</v>
      </c>
      <c r="O394" t="s">
        <v>6</v>
      </c>
    </row>
    <row r="395" spans="2:15" x14ac:dyDescent="0.45">
      <c r="B395" t="s">
        <v>707</v>
      </c>
      <c r="C395" t="s">
        <v>32</v>
      </c>
      <c r="D395">
        <v>6.634270176277858E-2</v>
      </c>
      <c r="E395" t="s">
        <v>6</v>
      </c>
      <c r="G395" t="s">
        <v>708</v>
      </c>
      <c r="H395" t="s">
        <v>32</v>
      </c>
      <c r="I395">
        <v>6.6860277408812337E-3</v>
      </c>
      <c r="J395" t="s">
        <v>6</v>
      </c>
      <c r="L395" t="s">
        <v>709</v>
      </c>
      <c r="M395" t="s">
        <v>32</v>
      </c>
      <c r="N395">
        <v>1.0498370100999221E-2</v>
      </c>
      <c r="O395" t="s">
        <v>6</v>
      </c>
    </row>
    <row r="396" spans="2:15" x14ac:dyDescent="0.45">
      <c r="B396" t="s">
        <v>707</v>
      </c>
      <c r="C396" t="s">
        <v>33</v>
      </c>
      <c r="D396">
        <v>7.804742694252656E-2</v>
      </c>
      <c r="E396" t="s">
        <v>6</v>
      </c>
      <c r="G396" t="s">
        <v>708</v>
      </c>
      <c r="H396" t="s">
        <v>33</v>
      </c>
      <c r="I396">
        <v>8.5628708006636189E-3</v>
      </c>
      <c r="J396" t="s">
        <v>6</v>
      </c>
      <c r="L396" t="s">
        <v>709</v>
      </c>
      <c r="M396" t="s">
        <v>33</v>
      </c>
      <c r="N396">
        <v>1.0800008034987199E-2</v>
      </c>
      <c r="O396" t="s">
        <v>6</v>
      </c>
    </row>
    <row r="397" spans="2:15" x14ac:dyDescent="0.45">
      <c r="B397" t="s">
        <v>707</v>
      </c>
      <c r="C397" t="s">
        <v>34</v>
      </c>
      <c r="D397">
        <v>7.1740222014505639E-2</v>
      </c>
      <c r="E397" t="s">
        <v>6</v>
      </c>
      <c r="G397" t="s">
        <v>708</v>
      </c>
      <c r="H397" t="s">
        <v>34</v>
      </c>
      <c r="I397">
        <v>1.0753021890311208E-2</v>
      </c>
      <c r="J397" t="s">
        <v>6</v>
      </c>
      <c r="L397" t="s">
        <v>709</v>
      </c>
      <c r="M397" t="s">
        <v>34</v>
      </c>
      <c r="N397">
        <v>1.0253350649747086E-2</v>
      </c>
      <c r="O397" t="s">
        <v>6</v>
      </c>
    </row>
    <row r="398" spans="2:15" x14ac:dyDescent="0.45">
      <c r="B398" t="s">
        <v>707</v>
      </c>
      <c r="C398" t="s">
        <v>35</v>
      </c>
      <c r="D398">
        <v>4.754710726148853E-2</v>
      </c>
      <c r="E398" t="s">
        <v>6</v>
      </c>
      <c r="G398" t="s">
        <v>708</v>
      </c>
      <c r="H398" t="s">
        <v>35</v>
      </c>
      <c r="I398">
        <v>1.3005118340291033E-2</v>
      </c>
      <c r="J398" t="s">
        <v>6</v>
      </c>
      <c r="L398" t="s">
        <v>709</v>
      </c>
      <c r="M398" t="s">
        <v>35</v>
      </c>
      <c r="N398">
        <v>9.2210281348988014E-3</v>
      </c>
      <c r="O398" t="s">
        <v>6</v>
      </c>
    </row>
    <row r="399" spans="2:15" x14ac:dyDescent="0.45">
      <c r="B399" t="s">
        <v>707</v>
      </c>
      <c r="C399" t="s">
        <v>36</v>
      </c>
      <c r="D399">
        <v>1.2216247837160974E-2</v>
      </c>
      <c r="E399" t="s">
        <v>6</v>
      </c>
      <c r="G399" t="s">
        <v>708</v>
      </c>
      <c r="H399" t="s">
        <v>36</v>
      </c>
      <c r="I399">
        <v>1.1682197092778379E-2</v>
      </c>
      <c r="J399" t="s">
        <v>6</v>
      </c>
      <c r="L399" t="s">
        <v>709</v>
      </c>
      <c r="M399" t="s">
        <v>36</v>
      </c>
      <c r="N399">
        <v>8.4392833425157819E-3</v>
      </c>
      <c r="O399" t="s">
        <v>6</v>
      </c>
    </row>
    <row r="400" spans="2:15" x14ac:dyDescent="0.45">
      <c r="B400" t="s">
        <v>707</v>
      </c>
      <c r="C400" t="s">
        <v>37</v>
      </c>
      <c r="D400">
        <v>6.4629668879208891E-5</v>
      </c>
      <c r="E400" t="s">
        <v>6</v>
      </c>
      <c r="G400" t="s">
        <v>708</v>
      </c>
      <c r="H400" t="s">
        <v>37</v>
      </c>
      <c r="I400">
        <v>1.0324693701135158E-2</v>
      </c>
      <c r="J400" t="s">
        <v>6</v>
      </c>
      <c r="L400" t="s">
        <v>709</v>
      </c>
      <c r="M400" t="s">
        <v>37</v>
      </c>
      <c r="N400">
        <v>1.1603536753350798E-2</v>
      </c>
      <c r="O400" t="s">
        <v>6</v>
      </c>
    </row>
    <row r="401" spans="2:15" x14ac:dyDescent="0.45">
      <c r="B401" t="s">
        <v>707</v>
      </c>
      <c r="C401" t="s">
        <v>38</v>
      </c>
      <c r="D401">
        <v>0</v>
      </c>
      <c r="E401" t="s">
        <v>6</v>
      </c>
      <c r="G401" t="s">
        <v>708</v>
      </c>
      <c r="H401" t="s">
        <v>38</v>
      </c>
      <c r="I401">
        <v>4.8233497659535891E-2</v>
      </c>
      <c r="J401" t="s">
        <v>6</v>
      </c>
      <c r="L401" t="s">
        <v>709</v>
      </c>
      <c r="M401" t="s">
        <v>38</v>
      </c>
      <c r="N401">
        <v>5.4282422547073446E-2</v>
      </c>
      <c r="O401" t="s">
        <v>6</v>
      </c>
    </row>
    <row r="402" spans="2:15" x14ac:dyDescent="0.45">
      <c r="B402" t="s">
        <v>707</v>
      </c>
      <c r="C402" t="s">
        <v>39</v>
      </c>
      <c r="D402">
        <v>0</v>
      </c>
      <c r="E402" t="s">
        <v>6</v>
      </c>
      <c r="G402" t="s">
        <v>708</v>
      </c>
      <c r="H402" t="s">
        <v>39</v>
      </c>
      <c r="I402">
        <v>1.9429466522497791E-2</v>
      </c>
      <c r="J402" t="s">
        <v>6</v>
      </c>
      <c r="L402" t="s">
        <v>709</v>
      </c>
      <c r="M402" t="s">
        <v>39</v>
      </c>
      <c r="N402">
        <v>2.2490538078476813E-2</v>
      </c>
      <c r="O402" t="s">
        <v>6</v>
      </c>
    </row>
    <row r="403" spans="2:15" x14ac:dyDescent="0.45">
      <c r="B403" t="s">
        <v>707</v>
      </c>
      <c r="C403" t="s">
        <v>40</v>
      </c>
      <c r="D403">
        <v>5.140963570515639E-4</v>
      </c>
      <c r="E403" t="s">
        <v>6</v>
      </c>
      <c r="G403" t="s">
        <v>708</v>
      </c>
      <c r="H403" t="s">
        <v>40</v>
      </c>
      <c r="I403">
        <v>1.9851230559972784E-2</v>
      </c>
      <c r="J403" t="s">
        <v>6</v>
      </c>
      <c r="L403" t="s">
        <v>709</v>
      </c>
      <c r="M403" t="s">
        <v>40</v>
      </c>
      <c r="N403">
        <v>2.3202102695640433E-2</v>
      </c>
      <c r="O403" t="s">
        <v>6</v>
      </c>
    </row>
    <row r="404" spans="2:15" x14ac:dyDescent="0.45">
      <c r="B404" t="s">
        <v>707</v>
      </c>
      <c r="C404" t="s">
        <v>41</v>
      </c>
      <c r="D404">
        <v>2.4603435259213269E-2</v>
      </c>
      <c r="E404" t="s">
        <v>6</v>
      </c>
      <c r="G404" t="s">
        <v>708</v>
      </c>
      <c r="H404" t="s">
        <v>41</v>
      </c>
      <c r="I404">
        <v>1.9940429083812057E-2</v>
      </c>
      <c r="J404" t="s">
        <v>6</v>
      </c>
      <c r="L404" t="s">
        <v>709</v>
      </c>
      <c r="M404" t="s">
        <v>41</v>
      </c>
      <c r="N404">
        <v>2.3068562415842601E-2</v>
      </c>
      <c r="O404" t="s">
        <v>6</v>
      </c>
    </row>
    <row r="405" spans="2:15" x14ac:dyDescent="0.45">
      <c r="B405" t="s">
        <v>707</v>
      </c>
      <c r="C405" t="s">
        <v>42</v>
      </c>
      <c r="D405">
        <v>5.6895131800086311E-2</v>
      </c>
      <c r="E405" t="s">
        <v>6</v>
      </c>
      <c r="G405" t="s">
        <v>708</v>
      </c>
      <c r="H405" t="s">
        <v>42</v>
      </c>
      <c r="I405">
        <v>2.0719275614273561E-2</v>
      </c>
      <c r="J405" t="s">
        <v>6</v>
      </c>
      <c r="L405" t="s">
        <v>709</v>
      </c>
      <c r="M405" t="s">
        <v>42</v>
      </c>
      <c r="N405">
        <v>2.2992343259087892E-2</v>
      </c>
      <c r="O405" t="s">
        <v>6</v>
      </c>
    </row>
    <row r="406" spans="2:15" x14ac:dyDescent="0.45">
      <c r="B406" t="s">
        <v>707</v>
      </c>
      <c r="C406" t="s">
        <v>43</v>
      </c>
      <c r="D406">
        <v>6.8147586317082912E-2</v>
      </c>
      <c r="E406" t="s">
        <v>6</v>
      </c>
      <c r="G406" t="s">
        <v>708</v>
      </c>
      <c r="H406" t="s">
        <v>43</v>
      </c>
      <c r="I406">
        <v>2.630658122515735E-2</v>
      </c>
      <c r="J406" t="s">
        <v>6</v>
      </c>
      <c r="L406" t="s">
        <v>709</v>
      </c>
      <c r="M406" t="s">
        <v>43</v>
      </c>
      <c r="N406">
        <v>2.2720975973773823E-2</v>
      </c>
      <c r="O406" t="s">
        <v>6</v>
      </c>
    </row>
    <row r="407" spans="2:15" x14ac:dyDescent="0.45">
      <c r="B407" t="s">
        <v>707</v>
      </c>
      <c r="C407" t="s">
        <v>44</v>
      </c>
      <c r="D407">
        <v>5.7482019191268975E-2</v>
      </c>
      <c r="E407" t="s">
        <v>6</v>
      </c>
      <c r="G407" t="s">
        <v>708</v>
      </c>
      <c r="H407" t="s">
        <v>44</v>
      </c>
      <c r="I407">
        <v>2.6326146480677284E-2</v>
      </c>
      <c r="J407" t="s">
        <v>6</v>
      </c>
      <c r="L407" t="s">
        <v>709</v>
      </c>
      <c r="M407" t="s">
        <v>44</v>
      </c>
      <c r="N407">
        <v>2.2422481831932791E-2</v>
      </c>
      <c r="O407" t="s">
        <v>6</v>
      </c>
    </row>
    <row r="408" spans="2:15" x14ac:dyDescent="0.45">
      <c r="B408" t="s">
        <v>707</v>
      </c>
      <c r="C408" t="s">
        <v>45</v>
      </c>
      <c r="D408">
        <v>2.8420627228110604E-2</v>
      </c>
      <c r="E408" t="s">
        <v>6</v>
      </c>
      <c r="G408" t="s">
        <v>708</v>
      </c>
      <c r="H408" t="s">
        <v>45</v>
      </c>
      <c r="I408">
        <v>2.2757382810486709E-2</v>
      </c>
      <c r="J408" t="s">
        <v>6</v>
      </c>
      <c r="L408" t="s">
        <v>709</v>
      </c>
      <c r="M408" t="s">
        <v>45</v>
      </c>
      <c r="N408">
        <v>2.2371167024864847E-2</v>
      </c>
      <c r="O408" t="s">
        <v>6</v>
      </c>
    </row>
    <row r="409" spans="2:15" x14ac:dyDescent="0.45">
      <c r="B409" t="s">
        <v>707</v>
      </c>
      <c r="C409" t="s">
        <v>46</v>
      </c>
      <c r="D409">
        <v>2.0121222823698661E-3</v>
      </c>
      <c r="E409" t="s">
        <v>6</v>
      </c>
      <c r="G409" t="s">
        <v>708</v>
      </c>
      <c r="H409" t="s">
        <v>46</v>
      </c>
      <c r="I409">
        <v>1.9956082847199543E-2</v>
      </c>
      <c r="J409" t="s">
        <v>6</v>
      </c>
      <c r="L409" t="s">
        <v>709</v>
      </c>
      <c r="M409" t="s">
        <v>46</v>
      </c>
      <c r="N409">
        <v>2.2286392804660046E-2</v>
      </c>
      <c r="O409" t="s">
        <v>6</v>
      </c>
    </row>
    <row r="410" spans="2:15" x14ac:dyDescent="0.45">
      <c r="B410" t="s">
        <v>707</v>
      </c>
      <c r="C410" t="s">
        <v>47</v>
      </c>
      <c r="D410">
        <v>0</v>
      </c>
      <c r="E410" t="s">
        <v>6</v>
      </c>
      <c r="G410" t="s">
        <v>708</v>
      </c>
      <c r="H410" t="s">
        <v>47</v>
      </c>
      <c r="I410">
        <v>2.7638665318031937E-2</v>
      </c>
      <c r="J410" t="s">
        <v>6</v>
      </c>
      <c r="L410" t="s">
        <v>709</v>
      </c>
      <c r="M410" t="s">
        <v>47</v>
      </c>
      <c r="N410">
        <v>3.3457209804303417E-2</v>
      </c>
      <c r="O410" t="s">
        <v>6</v>
      </c>
    </row>
    <row r="411" spans="2:15" x14ac:dyDescent="0.45">
      <c r="B411" t="s">
        <v>710</v>
      </c>
      <c r="C411" t="s">
        <v>5</v>
      </c>
      <c r="D411">
        <v>0</v>
      </c>
      <c r="E411" t="s">
        <v>6</v>
      </c>
      <c r="G411" t="s">
        <v>711</v>
      </c>
      <c r="H411" t="s">
        <v>5</v>
      </c>
      <c r="I411">
        <v>7.3437338366450666E-2</v>
      </c>
      <c r="J411" t="s">
        <v>6</v>
      </c>
      <c r="L411" t="s">
        <v>712</v>
      </c>
      <c r="M411" t="s">
        <v>5</v>
      </c>
      <c r="N411">
        <v>6.0796990512949019E-2</v>
      </c>
      <c r="O411" t="s">
        <v>6</v>
      </c>
    </row>
    <row r="412" spans="2:15" x14ac:dyDescent="0.45">
      <c r="B412" t="s">
        <v>710</v>
      </c>
      <c r="C412" t="s">
        <v>9</v>
      </c>
      <c r="D412">
        <v>0</v>
      </c>
      <c r="E412" t="s">
        <v>6</v>
      </c>
      <c r="G412" t="s">
        <v>711</v>
      </c>
      <c r="H412" t="s">
        <v>9</v>
      </c>
      <c r="I412">
        <v>2.9743721964190627E-2</v>
      </c>
      <c r="J412" t="s">
        <v>6</v>
      </c>
      <c r="L412" t="s">
        <v>712</v>
      </c>
      <c r="M412" t="s">
        <v>9</v>
      </c>
      <c r="N412">
        <v>2.4097972611173326E-2</v>
      </c>
      <c r="O412" t="s">
        <v>6</v>
      </c>
    </row>
    <row r="413" spans="2:15" x14ac:dyDescent="0.45">
      <c r="B413" t="s">
        <v>710</v>
      </c>
      <c r="C413" t="s">
        <v>10</v>
      </c>
      <c r="D413">
        <v>0</v>
      </c>
      <c r="E413" t="s">
        <v>6</v>
      </c>
      <c r="G413" t="s">
        <v>711</v>
      </c>
      <c r="H413" t="s">
        <v>10</v>
      </c>
      <c r="I413">
        <v>3.0447980978162401E-2</v>
      </c>
      <c r="J413" t="s">
        <v>6</v>
      </c>
      <c r="L413" t="s">
        <v>712</v>
      </c>
      <c r="M413" t="s">
        <v>10</v>
      </c>
      <c r="N413">
        <v>2.3637255521208361E-2</v>
      </c>
      <c r="O413" t="s">
        <v>6</v>
      </c>
    </row>
    <row r="414" spans="2:15" x14ac:dyDescent="0.45">
      <c r="B414" t="s">
        <v>710</v>
      </c>
      <c r="C414" t="s">
        <v>11</v>
      </c>
      <c r="D414">
        <v>1.1824807556858101E-2</v>
      </c>
      <c r="E414" t="s">
        <v>6</v>
      </c>
      <c r="G414" t="s">
        <v>711</v>
      </c>
      <c r="H414" t="s">
        <v>11</v>
      </c>
      <c r="I414">
        <v>3.0470725776247796E-2</v>
      </c>
      <c r="J414" t="s">
        <v>6</v>
      </c>
      <c r="L414" t="s">
        <v>712</v>
      </c>
      <c r="M414" t="s">
        <v>11</v>
      </c>
      <c r="N414">
        <v>2.3329483579733429E-2</v>
      </c>
      <c r="O414" t="s">
        <v>6</v>
      </c>
    </row>
    <row r="415" spans="2:15" x14ac:dyDescent="0.45">
      <c r="B415" t="s">
        <v>710</v>
      </c>
      <c r="C415" t="s">
        <v>12</v>
      </c>
      <c r="D415">
        <v>4.384270200281995E-2</v>
      </c>
      <c r="E415" t="s">
        <v>6</v>
      </c>
      <c r="G415" t="s">
        <v>711</v>
      </c>
      <c r="H415" t="s">
        <v>12</v>
      </c>
      <c r="I415">
        <v>2.7853254510745943E-2</v>
      </c>
      <c r="J415" t="s">
        <v>6</v>
      </c>
      <c r="L415" t="s">
        <v>712</v>
      </c>
      <c r="M415" t="s">
        <v>12</v>
      </c>
      <c r="N415">
        <v>2.3464990146661775E-2</v>
      </c>
      <c r="O415" t="s">
        <v>6</v>
      </c>
    </row>
    <row r="416" spans="2:15" x14ac:dyDescent="0.45">
      <c r="B416" t="s">
        <v>710</v>
      </c>
      <c r="C416" t="s">
        <v>13</v>
      </c>
      <c r="D416">
        <v>5.9597361896758051E-2</v>
      </c>
      <c r="E416" t="s">
        <v>6</v>
      </c>
      <c r="G416" t="s">
        <v>711</v>
      </c>
      <c r="H416" t="s">
        <v>13</v>
      </c>
      <c r="I416">
        <v>2.9105606355966561E-2</v>
      </c>
      <c r="J416" t="s">
        <v>6</v>
      </c>
      <c r="L416" t="s">
        <v>712</v>
      </c>
      <c r="M416" t="s">
        <v>13</v>
      </c>
      <c r="N416">
        <v>2.4792604813189963E-2</v>
      </c>
      <c r="O416" t="s">
        <v>6</v>
      </c>
    </row>
    <row r="417" spans="2:15" x14ac:dyDescent="0.45">
      <c r="B417" t="s">
        <v>710</v>
      </c>
      <c r="C417" t="s">
        <v>14</v>
      </c>
      <c r="D417">
        <v>4.9820054139984443E-2</v>
      </c>
      <c r="E417" t="s">
        <v>6</v>
      </c>
      <c r="G417" t="s">
        <v>711</v>
      </c>
      <c r="H417" t="s">
        <v>14</v>
      </c>
      <c r="I417">
        <v>2.8762247118509252E-2</v>
      </c>
      <c r="J417" t="s">
        <v>6</v>
      </c>
      <c r="L417" t="s">
        <v>712</v>
      </c>
      <c r="M417" t="s">
        <v>14</v>
      </c>
      <c r="N417">
        <v>2.6254763477654736E-2</v>
      </c>
      <c r="O417" t="s">
        <v>6</v>
      </c>
    </row>
    <row r="418" spans="2:15" x14ac:dyDescent="0.45">
      <c r="B418" t="s">
        <v>710</v>
      </c>
      <c r="C418" t="s">
        <v>15</v>
      </c>
      <c r="D418">
        <v>2.2045297153618592E-2</v>
      </c>
      <c r="E418" t="s">
        <v>6</v>
      </c>
      <c r="G418" t="s">
        <v>711</v>
      </c>
      <c r="H418" t="s">
        <v>15</v>
      </c>
      <c r="I418">
        <v>2.7797703622243087E-2</v>
      </c>
      <c r="J418" t="s">
        <v>6</v>
      </c>
      <c r="L418" t="s">
        <v>712</v>
      </c>
      <c r="M418" t="s">
        <v>15</v>
      </c>
      <c r="N418">
        <v>2.656709382940722E-2</v>
      </c>
      <c r="O418" t="s">
        <v>6</v>
      </c>
    </row>
    <row r="419" spans="2:15" x14ac:dyDescent="0.45">
      <c r="B419" t="s">
        <v>710</v>
      </c>
      <c r="C419" t="s">
        <v>16</v>
      </c>
      <c r="D419">
        <v>7.9012739536007688E-4</v>
      </c>
      <c r="E419" t="s">
        <v>6</v>
      </c>
      <c r="G419" t="s">
        <v>711</v>
      </c>
      <c r="H419" t="s">
        <v>16</v>
      </c>
      <c r="I419">
        <v>2.6716545396091872E-2</v>
      </c>
      <c r="J419" t="s">
        <v>6</v>
      </c>
      <c r="L419" t="s">
        <v>712</v>
      </c>
      <c r="M419" t="s">
        <v>16</v>
      </c>
      <c r="N419">
        <v>2.5810432046339378E-2</v>
      </c>
      <c r="O419" t="s">
        <v>6</v>
      </c>
    </row>
    <row r="420" spans="2:15" x14ac:dyDescent="0.45">
      <c r="B420" t="s">
        <v>710</v>
      </c>
      <c r="C420" t="s">
        <v>17</v>
      </c>
      <c r="D420">
        <v>0</v>
      </c>
      <c r="E420" t="s">
        <v>6</v>
      </c>
      <c r="G420" t="s">
        <v>711</v>
      </c>
      <c r="H420" t="s">
        <v>17</v>
      </c>
      <c r="I420">
        <v>4.1016990043255985E-2</v>
      </c>
      <c r="J420" t="s">
        <v>6</v>
      </c>
      <c r="L420" t="s">
        <v>712</v>
      </c>
      <c r="M420" t="s">
        <v>17</v>
      </c>
      <c r="N420">
        <v>3.7245271781450102E-2</v>
      </c>
      <c r="O420" t="s">
        <v>6</v>
      </c>
    </row>
    <row r="421" spans="2:15" x14ac:dyDescent="0.45">
      <c r="B421" t="s">
        <v>710</v>
      </c>
      <c r="C421" t="s">
        <v>18</v>
      </c>
      <c r="D421">
        <v>0</v>
      </c>
      <c r="E421" t="s">
        <v>6</v>
      </c>
      <c r="G421" t="s">
        <v>711</v>
      </c>
      <c r="H421" t="s">
        <v>18</v>
      </c>
      <c r="I421">
        <v>5.080055618631938E-2</v>
      </c>
      <c r="J421" t="s">
        <v>6</v>
      </c>
      <c r="L421" t="s">
        <v>712</v>
      </c>
      <c r="M421" t="s">
        <v>18</v>
      </c>
      <c r="N421">
        <v>6.3112103053803631E-2</v>
      </c>
      <c r="O421" t="s">
        <v>6</v>
      </c>
    </row>
    <row r="422" spans="2:15" x14ac:dyDescent="0.45">
      <c r="B422" t="s">
        <v>710</v>
      </c>
      <c r="C422" t="s">
        <v>19</v>
      </c>
      <c r="D422">
        <v>0</v>
      </c>
      <c r="E422" t="s">
        <v>6</v>
      </c>
      <c r="G422" t="s">
        <v>711</v>
      </c>
      <c r="H422" t="s">
        <v>19</v>
      </c>
      <c r="I422">
        <v>2.3502797902924904E-2</v>
      </c>
      <c r="J422" t="s">
        <v>6</v>
      </c>
      <c r="L422" t="s">
        <v>712</v>
      </c>
      <c r="M422" t="s">
        <v>19</v>
      </c>
      <c r="N422">
        <v>2.3830396957858831E-2</v>
      </c>
      <c r="O422" t="s">
        <v>6</v>
      </c>
    </row>
    <row r="423" spans="2:15" x14ac:dyDescent="0.45">
      <c r="B423" t="s">
        <v>710</v>
      </c>
      <c r="C423" t="s">
        <v>20</v>
      </c>
      <c r="D423">
        <v>2.9362299450835954E-3</v>
      </c>
      <c r="E423" t="s">
        <v>6</v>
      </c>
      <c r="G423" t="s">
        <v>711</v>
      </c>
      <c r="H423" t="s">
        <v>20</v>
      </c>
      <c r="I423">
        <v>2.4900132169751319E-2</v>
      </c>
      <c r="J423" t="s">
        <v>6</v>
      </c>
      <c r="L423" t="s">
        <v>712</v>
      </c>
      <c r="M423" t="s">
        <v>20</v>
      </c>
      <c r="N423">
        <v>2.3162390190257995E-2</v>
      </c>
      <c r="O423" t="s">
        <v>6</v>
      </c>
    </row>
    <row r="424" spans="2:15" x14ac:dyDescent="0.45">
      <c r="B424" t="s">
        <v>710</v>
      </c>
      <c r="C424" t="s">
        <v>21</v>
      </c>
      <c r="D424">
        <v>3.0017509151392199E-2</v>
      </c>
      <c r="E424" t="s">
        <v>6</v>
      </c>
      <c r="G424" t="s">
        <v>711</v>
      </c>
      <c r="H424" t="s">
        <v>21</v>
      </c>
      <c r="I424">
        <v>2.6498901179739666E-2</v>
      </c>
      <c r="J424" t="s">
        <v>6</v>
      </c>
      <c r="L424" t="s">
        <v>712</v>
      </c>
      <c r="M424" t="s">
        <v>21</v>
      </c>
      <c r="N424">
        <v>2.3465786974875103E-2</v>
      </c>
      <c r="O424" t="s">
        <v>6</v>
      </c>
    </row>
    <row r="425" spans="2:15" x14ac:dyDescent="0.45">
      <c r="B425" t="s">
        <v>710</v>
      </c>
      <c r="C425" t="s">
        <v>22</v>
      </c>
      <c r="D425">
        <v>5.7744277536321532E-2</v>
      </c>
      <c r="E425" t="s">
        <v>6</v>
      </c>
      <c r="G425" t="s">
        <v>711</v>
      </c>
      <c r="H425" t="s">
        <v>22</v>
      </c>
      <c r="I425">
        <v>2.6294766424276732E-2</v>
      </c>
      <c r="J425" t="s">
        <v>6</v>
      </c>
      <c r="L425" t="s">
        <v>712</v>
      </c>
      <c r="M425" t="s">
        <v>22</v>
      </c>
      <c r="N425">
        <v>2.4677505576788741E-2</v>
      </c>
      <c r="O425" t="s">
        <v>6</v>
      </c>
    </row>
    <row r="426" spans="2:15" x14ac:dyDescent="0.45">
      <c r="B426" t="s">
        <v>710</v>
      </c>
      <c r="C426" t="s">
        <v>23</v>
      </c>
      <c r="D426">
        <v>6.6129341019464535E-2</v>
      </c>
      <c r="E426" t="s">
        <v>6</v>
      </c>
      <c r="G426" t="s">
        <v>711</v>
      </c>
      <c r="H426" t="s">
        <v>23</v>
      </c>
      <c r="I426">
        <v>2.8276482670745631E-2</v>
      </c>
      <c r="J426" t="s">
        <v>6</v>
      </c>
      <c r="L426" t="s">
        <v>712</v>
      </c>
      <c r="M426" t="s">
        <v>23</v>
      </c>
      <c r="N426">
        <v>2.6610046915224526E-2</v>
      </c>
      <c r="O426" t="s">
        <v>6</v>
      </c>
    </row>
    <row r="427" spans="2:15" x14ac:dyDescent="0.45">
      <c r="B427" t="s">
        <v>710</v>
      </c>
      <c r="C427" t="s">
        <v>24</v>
      </c>
      <c r="D427">
        <v>5.6817913064645516E-2</v>
      </c>
      <c r="E427" t="s">
        <v>6</v>
      </c>
      <c r="G427" t="s">
        <v>711</v>
      </c>
      <c r="H427" t="s">
        <v>24</v>
      </c>
      <c r="I427">
        <v>2.8370998720235949E-2</v>
      </c>
      <c r="J427" t="s">
        <v>6</v>
      </c>
      <c r="L427" t="s">
        <v>712</v>
      </c>
      <c r="M427" t="s">
        <v>24</v>
      </c>
      <c r="N427">
        <v>2.7490167932535631E-2</v>
      </c>
      <c r="O427" t="s">
        <v>6</v>
      </c>
    </row>
    <row r="428" spans="2:15" x14ac:dyDescent="0.45">
      <c r="B428" t="s">
        <v>710</v>
      </c>
      <c r="C428" t="s">
        <v>25</v>
      </c>
      <c r="D428">
        <v>3.4574945473294663E-2</v>
      </c>
      <c r="E428" t="s">
        <v>6</v>
      </c>
      <c r="G428" t="s">
        <v>711</v>
      </c>
      <c r="H428" t="s">
        <v>25</v>
      </c>
      <c r="I428">
        <v>2.7180941977027775E-2</v>
      </c>
      <c r="J428" t="s">
        <v>6</v>
      </c>
      <c r="L428" t="s">
        <v>712</v>
      </c>
      <c r="M428" t="s">
        <v>25</v>
      </c>
      <c r="N428">
        <v>2.7673091728509357E-2</v>
      </c>
      <c r="O428" t="s">
        <v>6</v>
      </c>
    </row>
    <row r="429" spans="2:15" x14ac:dyDescent="0.45">
      <c r="B429" t="s">
        <v>710</v>
      </c>
      <c r="C429" t="s">
        <v>26</v>
      </c>
      <c r="D429">
        <v>6.3763001349652808E-3</v>
      </c>
      <c r="E429" t="s">
        <v>6</v>
      </c>
      <c r="G429" t="s">
        <v>711</v>
      </c>
      <c r="H429" t="s">
        <v>26</v>
      </c>
      <c r="I429">
        <v>2.3420955039032222E-2</v>
      </c>
      <c r="J429" t="s">
        <v>6</v>
      </c>
      <c r="L429" t="s">
        <v>712</v>
      </c>
      <c r="M429" t="s">
        <v>26</v>
      </c>
      <c r="N429">
        <v>2.7377360921165991E-2</v>
      </c>
      <c r="O429" t="s">
        <v>6</v>
      </c>
    </row>
    <row r="430" spans="2:15" x14ac:dyDescent="0.45">
      <c r="B430" t="s">
        <v>710</v>
      </c>
      <c r="C430" t="s">
        <v>27</v>
      </c>
      <c r="D430">
        <v>0</v>
      </c>
      <c r="E430" t="s">
        <v>6</v>
      </c>
      <c r="G430" t="s">
        <v>711</v>
      </c>
      <c r="H430" t="s">
        <v>27</v>
      </c>
      <c r="I430">
        <v>3.0434591869781053E-2</v>
      </c>
      <c r="J430" t="s">
        <v>6</v>
      </c>
      <c r="L430" t="s">
        <v>712</v>
      </c>
      <c r="M430" t="s">
        <v>27</v>
      </c>
      <c r="N430">
        <v>3.975817326039658E-2</v>
      </c>
      <c r="O430" t="s">
        <v>6</v>
      </c>
    </row>
    <row r="431" spans="2:15" x14ac:dyDescent="0.45">
      <c r="B431" t="s">
        <v>710</v>
      </c>
      <c r="C431" t="s">
        <v>28</v>
      </c>
      <c r="D431">
        <v>0</v>
      </c>
      <c r="E431" t="s">
        <v>6</v>
      </c>
      <c r="G431" t="s">
        <v>711</v>
      </c>
      <c r="H431" t="s">
        <v>28</v>
      </c>
      <c r="I431">
        <v>1.5225143835578108E-2</v>
      </c>
      <c r="J431" t="s">
        <v>6</v>
      </c>
      <c r="L431" t="s">
        <v>712</v>
      </c>
      <c r="M431" t="s">
        <v>28</v>
      </c>
      <c r="N431">
        <v>3.8878136747649346E-2</v>
      </c>
      <c r="O431" t="s">
        <v>6</v>
      </c>
    </row>
    <row r="432" spans="2:15" x14ac:dyDescent="0.45">
      <c r="B432" t="s">
        <v>710</v>
      </c>
      <c r="C432" t="s">
        <v>29</v>
      </c>
      <c r="D432">
        <v>0</v>
      </c>
      <c r="E432" t="s">
        <v>6</v>
      </c>
      <c r="G432" t="s">
        <v>711</v>
      </c>
      <c r="H432" t="s">
        <v>29</v>
      </c>
      <c r="I432">
        <v>6.2564081064153312E-3</v>
      </c>
      <c r="J432" t="s">
        <v>6</v>
      </c>
      <c r="L432" t="s">
        <v>712</v>
      </c>
      <c r="M432" t="s">
        <v>29</v>
      </c>
      <c r="N432">
        <v>1.5699818432023897E-2</v>
      </c>
      <c r="O432" t="s">
        <v>6</v>
      </c>
    </row>
    <row r="433" spans="2:15" x14ac:dyDescent="0.45">
      <c r="B433" t="s">
        <v>710</v>
      </c>
      <c r="C433" t="s">
        <v>30</v>
      </c>
      <c r="D433">
        <v>4.8497776279930807E-3</v>
      </c>
      <c r="E433" t="s">
        <v>6</v>
      </c>
      <c r="G433" t="s">
        <v>711</v>
      </c>
      <c r="H433" t="s">
        <v>30</v>
      </c>
      <c r="I433">
        <v>6.8566972235933965E-3</v>
      </c>
      <c r="J433" t="s">
        <v>6</v>
      </c>
      <c r="L433" t="s">
        <v>712</v>
      </c>
      <c r="M433" t="s">
        <v>30</v>
      </c>
      <c r="N433">
        <v>1.6211542976733478E-2</v>
      </c>
      <c r="O433" t="s">
        <v>6</v>
      </c>
    </row>
    <row r="434" spans="2:15" x14ac:dyDescent="0.45">
      <c r="B434" t="s">
        <v>710</v>
      </c>
      <c r="C434" t="s">
        <v>31</v>
      </c>
      <c r="D434">
        <v>3.8019160701216866E-2</v>
      </c>
      <c r="E434" t="s">
        <v>6</v>
      </c>
      <c r="G434" t="s">
        <v>711</v>
      </c>
      <c r="H434" t="s">
        <v>31</v>
      </c>
      <c r="I434">
        <v>7.9028911864460639E-3</v>
      </c>
      <c r="J434" t="s">
        <v>6</v>
      </c>
      <c r="L434" t="s">
        <v>712</v>
      </c>
      <c r="M434" t="s">
        <v>31</v>
      </c>
      <c r="N434">
        <v>1.7064733439749319E-2</v>
      </c>
      <c r="O434" t="s">
        <v>6</v>
      </c>
    </row>
    <row r="435" spans="2:15" x14ac:dyDescent="0.45">
      <c r="B435" t="s">
        <v>710</v>
      </c>
      <c r="C435" t="s">
        <v>32</v>
      </c>
      <c r="D435">
        <v>6.7992949362755614E-2</v>
      </c>
      <c r="E435" t="s">
        <v>6</v>
      </c>
      <c r="G435" t="s">
        <v>711</v>
      </c>
      <c r="H435" t="s">
        <v>32</v>
      </c>
      <c r="I435">
        <v>8.552601641182796E-3</v>
      </c>
      <c r="J435" t="s">
        <v>6</v>
      </c>
      <c r="L435" t="s">
        <v>712</v>
      </c>
      <c r="M435" t="s">
        <v>32</v>
      </c>
      <c r="N435">
        <v>1.8495185715945363E-2</v>
      </c>
      <c r="O435" t="s">
        <v>6</v>
      </c>
    </row>
    <row r="436" spans="2:15" x14ac:dyDescent="0.45">
      <c r="B436" t="s">
        <v>710</v>
      </c>
      <c r="C436" t="s">
        <v>33</v>
      </c>
      <c r="D436">
        <v>7.8388124617126215E-2</v>
      </c>
      <c r="E436" t="s">
        <v>6</v>
      </c>
      <c r="G436" t="s">
        <v>711</v>
      </c>
      <c r="H436" t="s">
        <v>33</v>
      </c>
      <c r="I436">
        <v>1.0714917652910357E-2</v>
      </c>
      <c r="J436" t="s">
        <v>6</v>
      </c>
      <c r="L436" t="s">
        <v>712</v>
      </c>
      <c r="M436" t="s">
        <v>33</v>
      </c>
      <c r="N436">
        <v>1.9534347615510695E-2</v>
      </c>
      <c r="O436" t="s">
        <v>6</v>
      </c>
    </row>
    <row r="437" spans="2:15" x14ac:dyDescent="0.45">
      <c r="B437" t="s">
        <v>710</v>
      </c>
      <c r="C437" t="s">
        <v>34</v>
      </c>
      <c r="D437">
        <v>7.0282988400734478E-2</v>
      </c>
      <c r="E437" t="s">
        <v>6</v>
      </c>
      <c r="G437" t="s">
        <v>711</v>
      </c>
      <c r="H437" t="s">
        <v>34</v>
      </c>
      <c r="I437">
        <v>1.3339194757380114E-2</v>
      </c>
      <c r="J437" t="s">
        <v>6</v>
      </c>
      <c r="L437" t="s">
        <v>712</v>
      </c>
      <c r="M437" t="s">
        <v>34</v>
      </c>
      <c r="N437">
        <v>1.9617380433911979E-2</v>
      </c>
      <c r="O437" t="s">
        <v>6</v>
      </c>
    </row>
    <row r="438" spans="2:15" x14ac:dyDescent="0.45">
      <c r="B438" t="s">
        <v>710</v>
      </c>
      <c r="C438" t="s">
        <v>35</v>
      </c>
      <c r="D438">
        <v>4.5335357137746259E-2</v>
      </c>
      <c r="E438" t="s">
        <v>6</v>
      </c>
      <c r="G438" t="s">
        <v>711</v>
      </c>
      <c r="H438" t="s">
        <v>35</v>
      </c>
      <c r="I438">
        <v>1.3453319021026335E-2</v>
      </c>
      <c r="J438" t="s">
        <v>6</v>
      </c>
      <c r="L438" t="s">
        <v>712</v>
      </c>
      <c r="M438" t="s">
        <v>35</v>
      </c>
      <c r="N438">
        <v>1.8946178846561971E-2</v>
      </c>
      <c r="O438" t="s">
        <v>6</v>
      </c>
    </row>
    <row r="439" spans="2:15" x14ac:dyDescent="0.45">
      <c r="B439" t="s">
        <v>710</v>
      </c>
      <c r="C439" t="s">
        <v>36</v>
      </c>
      <c r="D439">
        <v>1.0819816770627733E-2</v>
      </c>
      <c r="E439" t="s">
        <v>6</v>
      </c>
      <c r="G439" t="s">
        <v>711</v>
      </c>
      <c r="H439" t="s">
        <v>36</v>
      </c>
      <c r="I439">
        <v>9.9503305276832342E-3</v>
      </c>
      <c r="J439" t="s">
        <v>6</v>
      </c>
      <c r="L439" t="s">
        <v>712</v>
      </c>
      <c r="M439" t="s">
        <v>36</v>
      </c>
      <c r="N439">
        <v>1.8080239936622246E-2</v>
      </c>
      <c r="O439" t="s">
        <v>6</v>
      </c>
    </row>
    <row r="440" spans="2:15" x14ac:dyDescent="0.45">
      <c r="B440" t="s">
        <v>710</v>
      </c>
      <c r="C440" t="s">
        <v>37</v>
      </c>
      <c r="D440">
        <v>2.8605403935840615E-5</v>
      </c>
      <c r="E440" t="s">
        <v>6</v>
      </c>
      <c r="G440" t="s">
        <v>711</v>
      </c>
      <c r="H440" t="s">
        <v>37</v>
      </c>
      <c r="I440">
        <v>9.7104866186940898E-3</v>
      </c>
      <c r="J440" t="s">
        <v>6</v>
      </c>
      <c r="L440" t="s">
        <v>712</v>
      </c>
      <c r="M440" t="s">
        <v>37</v>
      </c>
      <c r="N440">
        <v>2.560852034000918E-2</v>
      </c>
      <c r="O440" t="s">
        <v>6</v>
      </c>
    </row>
    <row r="441" spans="2:15" x14ac:dyDescent="0.45">
      <c r="B441" t="s">
        <v>710</v>
      </c>
      <c r="C441" t="s">
        <v>38</v>
      </c>
      <c r="D441">
        <v>0</v>
      </c>
      <c r="E441" t="s">
        <v>6</v>
      </c>
      <c r="G441" t="s">
        <v>711</v>
      </c>
      <c r="H441" t="s">
        <v>38</v>
      </c>
      <c r="I441">
        <v>5.2809473276566189E-2</v>
      </c>
      <c r="J441" t="s">
        <v>6</v>
      </c>
      <c r="L441" t="s">
        <v>712</v>
      </c>
      <c r="M441" t="s">
        <v>38</v>
      </c>
      <c r="N441">
        <v>3.7397195372091997E-2</v>
      </c>
      <c r="O441" t="s">
        <v>6</v>
      </c>
    </row>
    <row r="442" spans="2:15" x14ac:dyDescent="0.45">
      <c r="B442" t="s">
        <v>710</v>
      </c>
      <c r="C442" t="s">
        <v>39</v>
      </c>
      <c r="D442">
        <v>0</v>
      </c>
      <c r="E442" t="s">
        <v>6</v>
      </c>
      <c r="G442" t="s">
        <v>711</v>
      </c>
      <c r="H442" t="s">
        <v>39</v>
      </c>
      <c r="I442">
        <v>2.1493301671952538E-2</v>
      </c>
      <c r="J442" t="s">
        <v>6</v>
      </c>
      <c r="L442" t="s">
        <v>712</v>
      </c>
      <c r="M442" t="s">
        <v>39</v>
      </c>
      <c r="N442">
        <v>1.4767742142595087E-2</v>
      </c>
      <c r="O442" t="s">
        <v>6</v>
      </c>
    </row>
    <row r="443" spans="2:15" x14ac:dyDescent="0.45">
      <c r="B443" t="s">
        <v>710</v>
      </c>
      <c r="C443" t="s">
        <v>40</v>
      </c>
      <c r="D443">
        <v>8.2205994765699626E-4</v>
      </c>
      <c r="E443" t="s">
        <v>6</v>
      </c>
      <c r="G443" t="s">
        <v>711</v>
      </c>
      <c r="H443" t="s">
        <v>40</v>
      </c>
      <c r="I443">
        <v>2.2073656864828824E-2</v>
      </c>
      <c r="J443" t="s">
        <v>6</v>
      </c>
      <c r="L443" t="s">
        <v>712</v>
      </c>
      <c r="M443" t="s">
        <v>40</v>
      </c>
      <c r="N443">
        <v>1.4885607265973757E-2</v>
      </c>
      <c r="O443" t="s">
        <v>6</v>
      </c>
    </row>
    <row r="444" spans="2:15" x14ac:dyDescent="0.45">
      <c r="B444" t="s">
        <v>710</v>
      </c>
      <c r="C444" t="s">
        <v>41</v>
      </c>
      <c r="D444">
        <v>2.666323944057658E-2</v>
      </c>
      <c r="E444" t="s">
        <v>6</v>
      </c>
      <c r="G444" t="s">
        <v>711</v>
      </c>
      <c r="H444" t="s">
        <v>41</v>
      </c>
      <c r="I444">
        <v>2.2065923226520602E-2</v>
      </c>
      <c r="J444" t="s">
        <v>6</v>
      </c>
      <c r="L444" t="s">
        <v>712</v>
      </c>
      <c r="M444" t="s">
        <v>41</v>
      </c>
      <c r="N444">
        <v>1.4579788685977361E-2</v>
      </c>
      <c r="O444" t="s">
        <v>6</v>
      </c>
    </row>
    <row r="445" spans="2:15" x14ac:dyDescent="0.45">
      <c r="B445" t="s">
        <v>710</v>
      </c>
      <c r="C445" t="s">
        <v>42</v>
      </c>
      <c r="D445">
        <v>5.8846901634717001E-2</v>
      </c>
      <c r="E445" t="s">
        <v>6</v>
      </c>
      <c r="G445" t="s">
        <v>711</v>
      </c>
      <c r="H445" t="s">
        <v>42</v>
      </c>
      <c r="I445">
        <v>2.0942580219801783E-2</v>
      </c>
      <c r="J445" t="s">
        <v>6</v>
      </c>
      <c r="L445" t="s">
        <v>712</v>
      </c>
      <c r="M445" t="s">
        <v>42</v>
      </c>
      <c r="N445">
        <v>1.4612066456085563E-2</v>
      </c>
      <c r="O445" t="s">
        <v>6</v>
      </c>
    </row>
    <row r="446" spans="2:15" x14ac:dyDescent="0.45">
      <c r="B446" t="s">
        <v>710</v>
      </c>
      <c r="C446" t="s">
        <v>43</v>
      </c>
      <c r="D446">
        <v>6.9627208981128438E-2</v>
      </c>
      <c r="E446" t="s">
        <v>6</v>
      </c>
      <c r="G446" t="s">
        <v>711</v>
      </c>
      <c r="H446" t="s">
        <v>43</v>
      </c>
      <c r="I446">
        <v>2.3249795609915282E-2</v>
      </c>
      <c r="J446" t="s">
        <v>6</v>
      </c>
      <c r="L446" t="s">
        <v>712</v>
      </c>
      <c r="M446" t="s">
        <v>43</v>
      </c>
      <c r="N446">
        <v>1.6408308022025971E-2</v>
      </c>
      <c r="O446" t="s">
        <v>6</v>
      </c>
    </row>
    <row r="447" spans="2:15" x14ac:dyDescent="0.45">
      <c r="B447" t="s">
        <v>710</v>
      </c>
      <c r="C447" t="s">
        <v>44</v>
      </c>
      <c r="D447">
        <v>5.7233842855417848E-2</v>
      </c>
      <c r="E447" t="s">
        <v>6</v>
      </c>
      <c r="G447" t="s">
        <v>711</v>
      </c>
      <c r="H447" t="s">
        <v>44</v>
      </c>
      <c r="I447">
        <v>2.4036311692096971E-2</v>
      </c>
      <c r="J447" t="s">
        <v>6</v>
      </c>
      <c r="L447" t="s">
        <v>712</v>
      </c>
      <c r="M447" t="s">
        <v>44</v>
      </c>
      <c r="N447">
        <v>1.7584805202101303E-2</v>
      </c>
      <c r="O447" t="s">
        <v>6</v>
      </c>
    </row>
    <row r="448" spans="2:15" x14ac:dyDescent="0.45">
      <c r="B448" t="s">
        <v>710</v>
      </c>
      <c r="C448" t="s">
        <v>45</v>
      </c>
      <c r="D448">
        <v>2.6923012567967249E-2</v>
      </c>
      <c r="E448" t="s">
        <v>6</v>
      </c>
      <c r="G448" t="s">
        <v>711</v>
      </c>
      <c r="H448" t="s">
        <v>45</v>
      </c>
      <c r="I448">
        <v>2.2746145210368159E-2</v>
      </c>
      <c r="J448" t="s">
        <v>6</v>
      </c>
      <c r="L448" t="s">
        <v>712</v>
      </c>
      <c r="M448" t="s">
        <v>45</v>
      </c>
      <c r="N448">
        <v>1.7514038766195745E-2</v>
      </c>
      <c r="O448" t="s">
        <v>6</v>
      </c>
    </row>
    <row r="449" spans="2:15" x14ac:dyDescent="0.45">
      <c r="B449" t="s">
        <v>710</v>
      </c>
      <c r="C449" t="s">
        <v>46</v>
      </c>
      <c r="D449">
        <v>1.6500880798351887E-3</v>
      </c>
      <c r="E449" t="s">
        <v>6</v>
      </c>
      <c r="G449" t="s">
        <v>711</v>
      </c>
      <c r="H449" t="s">
        <v>46</v>
      </c>
      <c r="I449">
        <v>2.1779778956198162E-2</v>
      </c>
      <c r="J449" t="s">
        <v>6</v>
      </c>
      <c r="L449" t="s">
        <v>712</v>
      </c>
      <c r="M449" t="s">
        <v>46</v>
      </c>
      <c r="N449">
        <v>1.6833681929212665E-2</v>
      </c>
      <c r="O449" t="s">
        <v>6</v>
      </c>
    </row>
    <row r="450" spans="2:15" x14ac:dyDescent="0.45">
      <c r="B450" t="s">
        <v>710</v>
      </c>
      <c r="C450" t="s">
        <v>47</v>
      </c>
      <c r="D450">
        <v>0</v>
      </c>
      <c r="E450" t="s">
        <v>6</v>
      </c>
      <c r="G450" t="s">
        <v>711</v>
      </c>
      <c r="H450" t="s">
        <v>47</v>
      </c>
      <c r="I450">
        <v>3.1807804429142848E-2</v>
      </c>
      <c r="J450" t="s">
        <v>6</v>
      </c>
      <c r="L450" t="s">
        <v>712</v>
      </c>
      <c r="M450" t="s">
        <v>47</v>
      </c>
      <c r="N450">
        <v>2.412679984184193E-2</v>
      </c>
      <c r="O450" t="s">
        <v>6</v>
      </c>
    </row>
    <row r="451" spans="2:15" x14ac:dyDescent="0.45">
      <c r="B451" t="s">
        <v>713</v>
      </c>
      <c r="C451" t="s">
        <v>5</v>
      </c>
      <c r="D451">
        <v>0</v>
      </c>
      <c r="E451" t="s">
        <v>6</v>
      </c>
      <c r="G451" t="s">
        <v>714</v>
      </c>
      <c r="H451" t="s">
        <v>5</v>
      </c>
      <c r="I451">
        <v>6.4386484706914895E-2</v>
      </c>
      <c r="J451" t="s">
        <v>6</v>
      </c>
      <c r="L451" t="s">
        <v>715</v>
      </c>
      <c r="M451" t="s">
        <v>5</v>
      </c>
      <c r="N451">
        <v>6.6241008101441082E-2</v>
      </c>
      <c r="O451" t="s">
        <v>6</v>
      </c>
    </row>
    <row r="452" spans="2:15" x14ac:dyDescent="0.45">
      <c r="B452" t="s">
        <v>713</v>
      </c>
      <c r="C452" t="s">
        <v>9</v>
      </c>
      <c r="D452">
        <v>0</v>
      </c>
      <c r="E452" t="s">
        <v>6</v>
      </c>
      <c r="G452" t="s">
        <v>714</v>
      </c>
      <c r="H452" t="s">
        <v>9</v>
      </c>
      <c r="I452">
        <v>2.4429959328392769E-2</v>
      </c>
      <c r="J452" t="s">
        <v>6</v>
      </c>
      <c r="L452" t="s">
        <v>715</v>
      </c>
      <c r="M452" t="s">
        <v>9</v>
      </c>
      <c r="N452">
        <v>2.5849272380666182E-2</v>
      </c>
      <c r="O452" t="s">
        <v>6</v>
      </c>
    </row>
    <row r="453" spans="2:15" x14ac:dyDescent="0.45">
      <c r="B453" t="s">
        <v>713</v>
      </c>
      <c r="C453" t="s">
        <v>10</v>
      </c>
      <c r="D453">
        <v>0</v>
      </c>
      <c r="E453" t="s">
        <v>6</v>
      </c>
      <c r="G453" t="s">
        <v>714</v>
      </c>
      <c r="H453" t="s">
        <v>10</v>
      </c>
      <c r="I453">
        <v>2.3621998169186316E-2</v>
      </c>
      <c r="J453" t="s">
        <v>6</v>
      </c>
      <c r="L453" t="s">
        <v>715</v>
      </c>
      <c r="M453" t="s">
        <v>10</v>
      </c>
      <c r="N453">
        <v>2.5287172067935969E-2</v>
      </c>
      <c r="O453" t="s">
        <v>6</v>
      </c>
    </row>
    <row r="454" spans="2:15" x14ac:dyDescent="0.45">
      <c r="B454" t="s">
        <v>713</v>
      </c>
      <c r="C454" t="s">
        <v>11</v>
      </c>
      <c r="D454">
        <v>1.0369674254490525E-2</v>
      </c>
      <c r="E454" t="s">
        <v>6</v>
      </c>
      <c r="G454" t="s">
        <v>714</v>
      </c>
      <c r="H454" t="s">
        <v>11</v>
      </c>
      <c r="I454">
        <v>2.1530461700327547E-2</v>
      </c>
      <c r="J454" t="s">
        <v>6</v>
      </c>
      <c r="L454" t="s">
        <v>715</v>
      </c>
      <c r="M454" t="s">
        <v>11</v>
      </c>
      <c r="N454">
        <v>2.4709853007955498E-2</v>
      </c>
      <c r="O454" t="s">
        <v>6</v>
      </c>
    </row>
    <row r="455" spans="2:15" x14ac:dyDescent="0.45">
      <c r="B455" t="s">
        <v>713</v>
      </c>
      <c r="C455" t="s">
        <v>12</v>
      </c>
      <c r="D455">
        <v>4.3275474100843155E-2</v>
      </c>
      <c r="E455" t="s">
        <v>6</v>
      </c>
      <c r="G455" t="s">
        <v>714</v>
      </c>
      <c r="H455" t="s">
        <v>12</v>
      </c>
      <c r="I455">
        <v>1.982359987065253E-2</v>
      </c>
      <c r="J455" t="s">
        <v>6</v>
      </c>
      <c r="L455" t="s">
        <v>715</v>
      </c>
      <c r="M455" t="s">
        <v>12</v>
      </c>
      <c r="N455">
        <v>2.5232004587998992E-2</v>
      </c>
      <c r="O455" t="s">
        <v>6</v>
      </c>
    </row>
    <row r="456" spans="2:15" x14ac:dyDescent="0.45">
      <c r="B456" t="s">
        <v>713</v>
      </c>
      <c r="C456" t="s">
        <v>13</v>
      </c>
      <c r="D456">
        <v>5.8828090120979719E-2</v>
      </c>
      <c r="E456" t="s">
        <v>6</v>
      </c>
      <c r="G456" t="s">
        <v>714</v>
      </c>
      <c r="H456" t="s">
        <v>13</v>
      </c>
      <c r="I456">
        <v>2.3143993689392871E-2</v>
      </c>
      <c r="J456" t="s">
        <v>6</v>
      </c>
      <c r="L456" t="s">
        <v>715</v>
      </c>
      <c r="M456" t="s">
        <v>13</v>
      </c>
      <c r="N456">
        <v>2.6733298209049738E-2</v>
      </c>
      <c r="O456" t="s">
        <v>6</v>
      </c>
    </row>
    <row r="457" spans="2:15" x14ac:dyDescent="0.45">
      <c r="B457" t="s">
        <v>713</v>
      </c>
      <c r="C457" t="s">
        <v>14</v>
      </c>
      <c r="D457">
        <v>5.2239003998115201E-2</v>
      </c>
      <c r="E457" t="s">
        <v>6</v>
      </c>
      <c r="G457" t="s">
        <v>714</v>
      </c>
      <c r="H457" t="s">
        <v>14</v>
      </c>
      <c r="I457">
        <v>2.5915264702913488E-2</v>
      </c>
      <c r="J457" t="s">
        <v>6</v>
      </c>
      <c r="L457" t="s">
        <v>715</v>
      </c>
      <c r="M457" t="s">
        <v>14</v>
      </c>
      <c r="N457">
        <v>2.7731709289921188E-2</v>
      </c>
      <c r="O457" t="s">
        <v>6</v>
      </c>
    </row>
    <row r="458" spans="2:15" x14ac:dyDescent="0.45">
      <c r="B458" t="s">
        <v>713</v>
      </c>
      <c r="C458" t="s">
        <v>15</v>
      </c>
      <c r="D458">
        <v>2.6701836573874069E-2</v>
      </c>
      <c r="E458" t="s">
        <v>6</v>
      </c>
      <c r="G458" t="s">
        <v>714</v>
      </c>
      <c r="H458" t="s">
        <v>15</v>
      </c>
      <c r="I458">
        <v>2.5635924265931583E-2</v>
      </c>
      <c r="J458" t="s">
        <v>6</v>
      </c>
      <c r="L458" t="s">
        <v>715</v>
      </c>
      <c r="M458" t="s">
        <v>15</v>
      </c>
      <c r="N458">
        <v>2.8378355104845147E-2</v>
      </c>
      <c r="O458" t="s">
        <v>6</v>
      </c>
    </row>
    <row r="459" spans="2:15" x14ac:dyDescent="0.45">
      <c r="B459" t="s">
        <v>713</v>
      </c>
      <c r="C459" t="s">
        <v>16</v>
      </c>
      <c r="D459">
        <v>1.6441580867965308E-3</v>
      </c>
      <c r="E459" t="s">
        <v>6</v>
      </c>
      <c r="G459" t="s">
        <v>714</v>
      </c>
      <c r="H459" t="s">
        <v>16</v>
      </c>
      <c r="I459">
        <v>2.6662005534298518E-2</v>
      </c>
      <c r="J459" t="s">
        <v>6</v>
      </c>
      <c r="L459" t="s">
        <v>715</v>
      </c>
      <c r="M459" t="s">
        <v>16</v>
      </c>
      <c r="N459">
        <v>2.8064544176713984E-2</v>
      </c>
      <c r="O459" t="s">
        <v>6</v>
      </c>
    </row>
    <row r="460" spans="2:15" x14ac:dyDescent="0.45">
      <c r="B460" t="s">
        <v>713</v>
      </c>
      <c r="C460" t="s">
        <v>17</v>
      </c>
      <c r="D460">
        <v>0</v>
      </c>
      <c r="E460" t="s">
        <v>6</v>
      </c>
      <c r="G460" t="s">
        <v>714</v>
      </c>
      <c r="H460" t="s">
        <v>17</v>
      </c>
      <c r="I460">
        <v>3.9372827619174218E-2</v>
      </c>
      <c r="J460" t="s">
        <v>6</v>
      </c>
      <c r="L460" t="s">
        <v>715</v>
      </c>
      <c r="M460" t="s">
        <v>17</v>
      </c>
      <c r="N460">
        <v>4.1126789682944739E-2</v>
      </c>
      <c r="O460" t="s">
        <v>6</v>
      </c>
    </row>
    <row r="461" spans="2:15" x14ac:dyDescent="0.45">
      <c r="B461" t="s">
        <v>713</v>
      </c>
      <c r="C461" t="s">
        <v>18</v>
      </c>
      <c r="D461">
        <v>0</v>
      </c>
      <c r="E461" t="s">
        <v>6</v>
      </c>
      <c r="G461" t="s">
        <v>714</v>
      </c>
      <c r="H461" t="s">
        <v>18</v>
      </c>
      <c r="I461">
        <v>6.0388262701443221E-2</v>
      </c>
      <c r="J461" t="s">
        <v>6</v>
      </c>
      <c r="L461" t="s">
        <v>715</v>
      </c>
      <c r="M461" t="s">
        <v>18</v>
      </c>
      <c r="N461">
        <v>6.0306540881275655E-2</v>
      </c>
      <c r="O461" t="s">
        <v>6</v>
      </c>
    </row>
    <row r="462" spans="2:15" x14ac:dyDescent="0.45">
      <c r="B462" t="s">
        <v>713</v>
      </c>
      <c r="C462" t="s">
        <v>19</v>
      </c>
      <c r="D462">
        <v>0</v>
      </c>
      <c r="E462" t="s">
        <v>6</v>
      </c>
      <c r="G462" t="s">
        <v>714</v>
      </c>
      <c r="H462" t="s">
        <v>19</v>
      </c>
      <c r="I462">
        <v>2.3029766439765547E-2</v>
      </c>
      <c r="J462" t="s">
        <v>6</v>
      </c>
      <c r="L462" t="s">
        <v>715</v>
      </c>
      <c r="M462" t="s">
        <v>19</v>
      </c>
      <c r="N462">
        <v>2.2654805255232911E-2</v>
      </c>
      <c r="O462" t="s">
        <v>6</v>
      </c>
    </row>
    <row r="463" spans="2:15" x14ac:dyDescent="0.45">
      <c r="B463" t="s">
        <v>713</v>
      </c>
      <c r="C463" t="s">
        <v>20</v>
      </c>
      <c r="D463">
        <v>1.9676077464202764E-3</v>
      </c>
      <c r="E463" t="s">
        <v>6</v>
      </c>
      <c r="G463" t="s">
        <v>714</v>
      </c>
      <c r="H463" t="s">
        <v>20</v>
      </c>
      <c r="I463">
        <v>2.2987410469568086E-2</v>
      </c>
      <c r="J463" t="s">
        <v>6</v>
      </c>
      <c r="L463" t="s">
        <v>715</v>
      </c>
      <c r="M463" t="s">
        <v>20</v>
      </c>
      <c r="N463">
        <v>2.2246593527784592E-2</v>
      </c>
      <c r="O463" t="s">
        <v>6</v>
      </c>
    </row>
    <row r="464" spans="2:15" x14ac:dyDescent="0.45">
      <c r="B464" t="s">
        <v>713</v>
      </c>
      <c r="C464" t="s">
        <v>21</v>
      </c>
      <c r="D464">
        <v>2.7189261756695199E-2</v>
      </c>
      <c r="E464" t="s">
        <v>6</v>
      </c>
      <c r="G464" t="s">
        <v>714</v>
      </c>
      <c r="H464" t="s">
        <v>21</v>
      </c>
      <c r="I464">
        <v>2.2734307126109049E-2</v>
      </c>
      <c r="J464" t="s">
        <v>6</v>
      </c>
      <c r="L464" t="s">
        <v>715</v>
      </c>
      <c r="M464" t="s">
        <v>21</v>
      </c>
      <c r="N464">
        <v>2.230131044442319E-2</v>
      </c>
      <c r="O464" t="s">
        <v>6</v>
      </c>
    </row>
    <row r="465" spans="2:15" x14ac:dyDescent="0.45">
      <c r="B465" t="s">
        <v>713</v>
      </c>
      <c r="C465" t="s">
        <v>22</v>
      </c>
      <c r="D465">
        <v>5.6960451111828632E-2</v>
      </c>
      <c r="E465" t="s">
        <v>6</v>
      </c>
      <c r="G465" t="s">
        <v>714</v>
      </c>
      <c r="H465" t="s">
        <v>22</v>
      </c>
      <c r="I465">
        <v>2.4598174076179667E-2</v>
      </c>
      <c r="J465" t="s">
        <v>6</v>
      </c>
      <c r="L465" t="s">
        <v>715</v>
      </c>
      <c r="M465" t="s">
        <v>22</v>
      </c>
      <c r="N465">
        <v>2.4078751538350873E-2</v>
      </c>
      <c r="O465" t="s">
        <v>6</v>
      </c>
    </row>
    <row r="466" spans="2:15" x14ac:dyDescent="0.45">
      <c r="B466" t="s">
        <v>713</v>
      </c>
      <c r="C466" t="s">
        <v>23</v>
      </c>
      <c r="D466">
        <v>6.9143422815545932E-2</v>
      </c>
      <c r="E466" t="s">
        <v>6</v>
      </c>
      <c r="G466" t="s">
        <v>714</v>
      </c>
      <c r="H466" t="s">
        <v>23</v>
      </c>
      <c r="I466">
        <v>2.8009456601755179E-2</v>
      </c>
      <c r="J466" t="s">
        <v>6</v>
      </c>
      <c r="L466" t="s">
        <v>715</v>
      </c>
      <c r="M466" t="s">
        <v>23</v>
      </c>
      <c r="N466">
        <v>2.6263517390206458E-2</v>
      </c>
      <c r="O466" t="s">
        <v>6</v>
      </c>
    </row>
    <row r="467" spans="2:15" x14ac:dyDescent="0.45">
      <c r="B467" t="s">
        <v>713</v>
      </c>
      <c r="C467" t="s">
        <v>24</v>
      </c>
      <c r="D467">
        <v>6.2061951498986807E-2</v>
      </c>
      <c r="E467" t="s">
        <v>6</v>
      </c>
      <c r="G467" t="s">
        <v>714</v>
      </c>
      <c r="H467" t="s">
        <v>24</v>
      </c>
      <c r="I467">
        <v>3.0961427545990274E-2</v>
      </c>
      <c r="J467" t="s">
        <v>6</v>
      </c>
      <c r="L467" t="s">
        <v>715</v>
      </c>
      <c r="M467" t="s">
        <v>24</v>
      </c>
      <c r="N467">
        <v>2.7372145932253799E-2</v>
      </c>
      <c r="O467" t="s">
        <v>6</v>
      </c>
    </row>
    <row r="468" spans="2:15" x14ac:dyDescent="0.45">
      <c r="B468" t="s">
        <v>713</v>
      </c>
      <c r="C468" t="s">
        <v>25</v>
      </c>
      <c r="D468">
        <v>3.9211081520784681E-2</v>
      </c>
      <c r="E468" t="s">
        <v>6</v>
      </c>
      <c r="G468" t="s">
        <v>714</v>
      </c>
      <c r="H468" t="s">
        <v>25</v>
      </c>
      <c r="I468">
        <v>3.2261530261194458E-2</v>
      </c>
      <c r="J468" t="s">
        <v>6</v>
      </c>
      <c r="L468" t="s">
        <v>715</v>
      </c>
      <c r="M468" t="s">
        <v>25</v>
      </c>
      <c r="N468">
        <v>2.7560323354747118E-2</v>
      </c>
      <c r="O468" t="s">
        <v>6</v>
      </c>
    </row>
    <row r="469" spans="2:15" x14ac:dyDescent="0.45">
      <c r="B469" t="s">
        <v>713</v>
      </c>
      <c r="C469" t="s">
        <v>26</v>
      </c>
      <c r="D469">
        <v>7.9871733996945624E-3</v>
      </c>
      <c r="E469" t="s">
        <v>6</v>
      </c>
      <c r="G469" t="s">
        <v>714</v>
      </c>
      <c r="H469" t="s">
        <v>26</v>
      </c>
      <c r="I469">
        <v>2.88535699056095E-2</v>
      </c>
      <c r="J469" t="s">
        <v>6</v>
      </c>
      <c r="L469" t="s">
        <v>715</v>
      </c>
      <c r="M469" t="s">
        <v>26</v>
      </c>
      <c r="N469">
        <v>2.7385114058986183E-2</v>
      </c>
      <c r="O469" t="s">
        <v>6</v>
      </c>
    </row>
    <row r="470" spans="2:15" x14ac:dyDescent="0.45">
      <c r="B470" t="s">
        <v>713</v>
      </c>
      <c r="C470" t="s">
        <v>27</v>
      </c>
      <c r="D470">
        <v>0</v>
      </c>
      <c r="E470" t="s">
        <v>6</v>
      </c>
      <c r="G470" t="s">
        <v>714</v>
      </c>
      <c r="H470" t="s">
        <v>27</v>
      </c>
      <c r="I470">
        <v>3.9909376301827511E-2</v>
      </c>
      <c r="J470" t="s">
        <v>6</v>
      </c>
      <c r="L470" t="s">
        <v>715</v>
      </c>
      <c r="M470" t="s">
        <v>27</v>
      </c>
      <c r="N470">
        <v>3.887637514714664E-2</v>
      </c>
      <c r="O470" t="s">
        <v>6</v>
      </c>
    </row>
    <row r="471" spans="2:15" x14ac:dyDescent="0.45">
      <c r="B471" t="s">
        <v>713</v>
      </c>
      <c r="C471" t="s">
        <v>28</v>
      </c>
      <c r="D471">
        <v>0</v>
      </c>
      <c r="E471" t="s">
        <v>6</v>
      </c>
      <c r="G471" t="s">
        <v>714</v>
      </c>
      <c r="H471" t="s">
        <v>28</v>
      </c>
      <c r="I471">
        <v>4.6839003200915441E-2</v>
      </c>
      <c r="J471" t="s">
        <v>6</v>
      </c>
      <c r="L471" t="s">
        <v>715</v>
      </c>
      <c r="M471" t="s">
        <v>28</v>
      </c>
      <c r="N471">
        <v>3.6879246723428287E-2</v>
      </c>
      <c r="O471" t="s">
        <v>6</v>
      </c>
    </row>
    <row r="472" spans="2:15" x14ac:dyDescent="0.45">
      <c r="B472" t="s">
        <v>713</v>
      </c>
      <c r="C472" t="s">
        <v>29</v>
      </c>
      <c r="D472">
        <v>0</v>
      </c>
      <c r="E472" t="s">
        <v>6</v>
      </c>
      <c r="G472" t="s">
        <v>714</v>
      </c>
      <c r="H472" t="s">
        <v>29</v>
      </c>
      <c r="I472">
        <v>1.4878442403236132E-2</v>
      </c>
      <c r="J472" t="s">
        <v>6</v>
      </c>
      <c r="L472" t="s">
        <v>715</v>
      </c>
      <c r="M472" t="s">
        <v>29</v>
      </c>
      <c r="N472">
        <v>1.510220382320639E-2</v>
      </c>
      <c r="O472" t="s">
        <v>6</v>
      </c>
    </row>
    <row r="473" spans="2:15" x14ac:dyDescent="0.45">
      <c r="B473" t="s">
        <v>713</v>
      </c>
      <c r="C473" t="s">
        <v>30</v>
      </c>
      <c r="D473">
        <v>3.2028043953494807E-3</v>
      </c>
      <c r="E473" t="s">
        <v>6</v>
      </c>
      <c r="G473" t="s">
        <v>714</v>
      </c>
      <c r="H473" t="s">
        <v>30</v>
      </c>
      <c r="I473">
        <v>1.1426093090520442E-2</v>
      </c>
      <c r="J473" t="s">
        <v>6</v>
      </c>
      <c r="L473" t="s">
        <v>715</v>
      </c>
      <c r="M473" t="s">
        <v>30</v>
      </c>
      <c r="N473">
        <v>1.5784399459526668E-2</v>
      </c>
      <c r="O473" t="s">
        <v>6</v>
      </c>
    </row>
    <row r="474" spans="2:15" x14ac:dyDescent="0.45">
      <c r="B474" t="s">
        <v>713</v>
      </c>
      <c r="C474" t="s">
        <v>31</v>
      </c>
      <c r="D474">
        <v>3.3023411494102636E-2</v>
      </c>
      <c r="E474" t="s">
        <v>6</v>
      </c>
      <c r="G474" t="s">
        <v>714</v>
      </c>
      <c r="H474" t="s">
        <v>31</v>
      </c>
      <c r="I474">
        <v>6.716683776213578E-3</v>
      </c>
      <c r="J474" t="s">
        <v>6</v>
      </c>
      <c r="L474" t="s">
        <v>715</v>
      </c>
      <c r="M474" t="s">
        <v>31</v>
      </c>
      <c r="N474">
        <v>1.6325575743868923E-2</v>
      </c>
      <c r="O474" t="s">
        <v>6</v>
      </c>
    </row>
    <row r="475" spans="2:15" x14ac:dyDescent="0.45">
      <c r="B475" t="s">
        <v>713</v>
      </c>
      <c r="C475" t="s">
        <v>32</v>
      </c>
      <c r="D475">
        <v>6.3575817778875054E-2</v>
      </c>
      <c r="E475" t="s">
        <v>6</v>
      </c>
      <c r="G475" t="s">
        <v>714</v>
      </c>
      <c r="H475" t="s">
        <v>32</v>
      </c>
      <c r="I475">
        <v>6.0022178639376972E-3</v>
      </c>
      <c r="J475" t="s">
        <v>6</v>
      </c>
      <c r="L475" t="s">
        <v>715</v>
      </c>
      <c r="M475" t="s">
        <v>32</v>
      </c>
      <c r="N475">
        <v>1.6476091404835459E-2</v>
      </c>
      <c r="O475" t="s">
        <v>6</v>
      </c>
    </row>
    <row r="476" spans="2:15" x14ac:dyDescent="0.45">
      <c r="B476" t="s">
        <v>713</v>
      </c>
      <c r="C476" t="s">
        <v>33</v>
      </c>
      <c r="D476">
        <v>7.697691523145192E-2</v>
      </c>
      <c r="E476" t="s">
        <v>6</v>
      </c>
      <c r="G476" t="s">
        <v>714</v>
      </c>
      <c r="H476" t="s">
        <v>33</v>
      </c>
      <c r="I476">
        <v>7.0189921244046419E-3</v>
      </c>
      <c r="J476" t="s">
        <v>6</v>
      </c>
      <c r="L476" t="s">
        <v>715</v>
      </c>
      <c r="M476" t="s">
        <v>33</v>
      </c>
      <c r="N476">
        <v>1.6601243236429843E-2</v>
      </c>
      <c r="O476" t="s">
        <v>6</v>
      </c>
    </row>
    <row r="477" spans="2:15" x14ac:dyDescent="0.45">
      <c r="B477" t="s">
        <v>713</v>
      </c>
      <c r="C477" t="s">
        <v>34</v>
      </c>
      <c r="D477">
        <v>7.152057063928105E-2</v>
      </c>
      <c r="E477" t="s">
        <v>6</v>
      </c>
      <c r="G477" t="s">
        <v>714</v>
      </c>
      <c r="H477" t="s">
        <v>34</v>
      </c>
      <c r="I477">
        <v>9.1930473530476963E-3</v>
      </c>
      <c r="J477" t="s">
        <v>6</v>
      </c>
      <c r="L477" t="s">
        <v>715</v>
      </c>
      <c r="M477" t="s">
        <v>34</v>
      </c>
      <c r="N477">
        <v>1.605472660982224E-2</v>
      </c>
      <c r="O477" t="s">
        <v>6</v>
      </c>
    </row>
    <row r="478" spans="2:15" x14ac:dyDescent="0.45">
      <c r="B478" t="s">
        <v>713</v>
      </c>
      <c r="C478" t="s">
        <v>35</v>
      </c>
      <c r="D478">
        <v>4.8217771994723914E-2</v>
      </c>
      <c r="E478" t="s">
        <v>6</v>
      </c>
      <c r="G478" t="s">
        <v>714</v>
      </c>
      <c r="H478" t="s">
        <v>35</v>
      </c>
      <c r="I478">
        <v>1.1680832548217284E-2</v>
      </c>
      <c r="J478" t="s">
        <v>6</v>
      </c>
      <c r="L478" t="s">
        <v>715</v>
      </c>
      <c r="M478" t="s">
        <v>35</v>
      </c>
      <c r="N478">
        <v>1.5507090812172369E-2</v>
      </c>
      <c r="O478" t="s">
        <v>6</v>
      </c>
    </row>
    <row r="479" spans="2:15" x14ac:dyDescent="0.45">
      <c r="B479" t="s">
        <v>713</v>
      </c>
      <c r="C479" t="s">
        <v>36</v>
      </c>
      <c r="D479">
        <v>1.2700256372272171E-2</v>
      </c>
      <c r="E479" t="s">
        <v>6</v>
      </c>
      <c r="G479" t="s">
        <v>714</v>
      </c>
      <c r="H479" t="s">
        <v>36</v>
      </c>
      <c r="I479">
        <v>1.3449765951957281E-2</v>
      </c>
      <c r="J479" t="s">
        <v>6</v>
      </c>
      <c r="L479" t="s">
        <v>715</v>
      </c>
      <c r="M479" t="s">
        <v>36</v>
      </c>
      <c r="N479">
        <v>1.5366790952786251E-2</v>
      </c>
      <c r="O479" t="s">
        <v>6</v>
      </c>
    </row>
    <row r="480" spans="2:15" x14ac:dyDescent="0.45">
      <c r="B480" t="s">
        <v>713</v>
      </c>
      <c r="C480" t="s">
        <v>37</v>
      </c>
      <c r="D480">
        <v>6.1200552765255305E-5</v>
      </c>
      <c r="E480" t="s">
        <v>6</v>
      </c>
      <c r="G480" t="s">
        <v>714</v>
      </c>
      <c r="H480" t="s">
        <v>37</v>
      </c>
      <c r="I480">
        <v>2.8837023774352245E-2</v>
      </c>
      <c r="J480" t="s">
        <v>6</v>
      </c>
      <c r="L480" t="s">
        <v>715</v>
      </c>
      <c r="M480" t="s">
        <v>37</v>
      </c>
      <c r="N480">
        <v>2.2762925930946649E-2</v>
      </c>
      <c r="O480" t="s">
        <v>6</v>
      </c>
    </row>
    <row r="481" spans="2:15" x14ac:dyDescent="0.45">
      <c r="B481" t="s">
        <v>713</v>
      </c>
      <c r="C481" t="s">
        <v>38</v>
      </c>
      <c r="D481">
        <v>0</v>
      </c>
      <c r="E481" t="s">
        <v>6</v>
      </c>
      <c r="G481" t="s">
        <v>714</v>
      </c>
      <c r="H481" t="s">
        <v>38</v>
      </c>
      <c r="I481">
        <v>5.3137895637401449E-2</v>
      </c>
      <c r="J481" t="s">
        <v>6</v>
      </c>
      <c r="L481" t="s">
        <v>715</v>
      </c>
      <c r="M481" t="s">
        <v>38</v>
      </c>
      <c r="N481">
        <v>3.8758893630532608E-2</v>
      </c>
      <c r="O481" t="s">
        <v>6</v>
      </c>
    </row>
    <row r="482" spans="2:15" x14ac:dyDescent="0.45">
      <c r="B482" t="s">
        <v>713</v>
      </c>
      <c r="C482" t="s">
        <v>39</v>
      </c>
      <c r="D482">
        <v>0</v>
      </c>
      <c r="E482" t="s">
        <v>6</v>
      </c>
      <c r="G482" t="s">
        <v>714</v>
      </c>
      <c r="H482" t="s">
        <v>39</v>
      </c>
      <c r="I482">
        <v>2.0495457752929425E-2</v>
      </c>
      <c r="J482" t="s">
        <v>6</v>
      </c>
      <c r="L482" t="s">
        <v>715</v>
      </c>
      <c r="M482" t="s">
        <v>39</v>
      </c>
      <c r="N482">
        <v>1.5296580215935714E-2</v>
      </c>
      <c r="O482" t="s">
        <v>6</v>
      </c>
    </row>
    <row r="483" spans="2:15" x14ac:dyDescent="0.45">
      <c r="B483" t="s">
        <v>713</v>
      </c>
      <c r="C483" t="s">
        <v>40</v>
      </c>
      <c r="D483">
        <v>3.4622998040748294E-4</v>
      </c>
      <c r="E483" t="s">
        <v>6</v>
      </c>
      <c r="G483" t="s">
        <v>714</v>
      </c>
      <c r="H483" t="s">
        <v>40</v>
      </c>
      <c r="I483">
        <v>1.9524754006076814E-2</v>
      </c>
      <c r="J483" t="s">
        <v>6</v>
      </c>
      <c r="L483" t="s">
        <v>715</v>
      </c>
      <c r="M483" t="s">
        <v>40</v>
      </c>
      <c r="N483">
        <v>1.5621757766711195E-2</v>
      </c>
      <c r="O483" t="s">
        <v>6</v>
      </c>
    </row>
    <row r="484" spans="2:15" x14ac:dyDescent="0.45">
      <c r="B484" t="s">
        <v>713</v>
      </c>
      <c r="C484" t="s">
        <v>41</v>
      </c>
      <c r="D484">
        <v>2.2434710140623069E-2</v>
      </c>
      <c r="E484" t="s">
        <v>6</v>
      </c>
      <c r="G484" t="s">
        <v>714</v>
      </c>
      <c r="H484" t="s">
        <v>41</v>
      </c>
      <c r="I484">
        <v>1.6890284021194666E-2</v>
      </c>
      <c r="J484" t="s">
        <v>6</v>
      </c>
      <c r="L484" t="s">
        <v>715</v>
      </c>
      <c r="M484" t="s">
        <v>41</v>
      </c>
      <c r="N484">
        <v>1.5534436915950784E-2</v>
      </c>
      <c r="O484" t="s">
        <v>6</v>
      </c>
    </row>
    <row r="485" spans="2:15" x14ac:dyDescent="0.45">
      <c r="B485" t="s">
        <v>713</v>
      </c>
      <c r="C485" t="s">
        <v>42</v>
      </c>
      <c r="D485">
        <v>5.4492592665962972E-2</v>
      </c>
      <c r="E485" t="s">
        <v>6</v>
      </c>
      <c r="G485" t="s">
        <v>714</v>
      </c>
      <c r="H485" t="s">
        <v>42</v>
      </c>
      <c r="I485">
        <v>1.498751508689484E-2</v>
      </c>
      <c r="J485" t="s">
        <v>6</v>
      </c>
      <c r="L485" t="s">
        <v>715</v>
      </c>
      <c r="M485" t="s">
        <v>42</v>
      </c>
      <c r="N485">
        <v>1.5820765858047432E-2</v>
      </c>
      <c r="O485" t="s">
        <v>6</v>
      </c>
    </row>
    <row r="486" spans="2:15" x14ac:dyDescent="0.45">
      <c r="B486" t="s">
        <v>713</v>
      </c>
      <c r="C486" t="s">
        <v>43</v>
      </c>
      <c r="D486">
        <v>6.6948410767868949E-2</v>
      </c>
      <c r="E486" t="s">
        <v>6</v>
      </c>
      <c r="G486" t="s">
        <v>714</v>
      </c>
      <c r="H486" t="s">
        <v>43</v>
      </c>
      <c r="I486">
        <v>1.7924486756475816E-2</v>
      </c>
      <c r="J486" t="s">
        <v>6</v>
      </c>
      <c r="L486" t="s">
        <v>715</v>
      </c>
      <c r="M486" t="s">
        <v>43</v>
      </c>
      <c r="N486">
        <v>1.6450675350600109E-2</v>
      </c>
      <c r="O486" t="s">
        <v>6</v>
      </c>
    </row>
    <row r="487" spans="2:15" x14ac:dyDescent="0.45">
      <c r="B487" t="s">
        <v>713</v>
      </c>
      <c r="C487" t="s">
        <v>44</v>
      </c>
      <c r="D487">
        <v>5.7531750617574165E-2</v>
      </c>
      <c r="E487" t="s">
        <v>6</v>
      </c>
      <c r="G487" t="s">
        <v>714</v>
      </c>
      <c r="H487" t="s">
        <v>44</v>
      </c>
      <c r="I487">
        <v>1.8698615181374813E-2</v>
      </c>
      <c r="J487" t="s">
        <v>6</v>
      </c>
      <c r="L487" t="s">
        <v>715</v>
      </c>
      <c r="M487" t="s">
        <v>44</v>
      </c>
      <c r="N487">
        <v>1.6970575535427634E-2</v>
      </c>
      <c r="O487" t="s">
        <v>6</v>
      </c>
    </row>
    <row r="488" spans="2:15" x14ac:dyDescent="0.45">
      <c r="B488" t="s">
        <v>713</v>
      </c>
      <c r="C488" t="s">
        <v>45</v>
      </c>
      <c r="D488">
        <v>2.9150352367274625E-2</v>
      </c>
      <c r="E488" t="s">
        <v>6</v>
      </c>
      <c r="G488" t="s">
        <v>714</v>
      </c>
      <c r="H488" t="s">
        <v>45</v>
      </c>
      <c r="I488">
        <v>1.8198516596175385E-2</v>
      </c>
      <c r="J488" t="s">
        <v>6</v>
      </c>
      <c r="L488" t="s">
        <v>715</v>
      </c>
      <c r="M488" t="s">
        <v>45</v>
      </c>
      <c r="N488">
        <v>1.7386470754622716E-2</v>
      </c>
      <c r="O488" t="s">
        <v>6</v>
      </c>
    </row>
    <row r="489" spans="2:15" x14ac:dyDescent="0.45">
      <c r="B489" t="s">
        <v>713</v>
      </c>
      <c r="C489" t="s">
        <v>46</v>
      </c>
      <c r="D489">
        <v>2.2380180164138924E-3</v>
      </c>
      <c r="E489" t="s">
        <v>6</v>
      </c>
      <c r="G489" t="s">
        <v>714</v>
      </c>
      <c r="H489" t="s">
        <v>46</v>
      </c>
      <c r="I489">
        <v>2.1073675544828946E-2</v>
      </c>
      <c r="J489" t="s">
        <v>6</v>
      </c>
      <c r="L489" t="s">
        <v>715</v>
      </c>
      <c r="M489" t="s">
        <v>46</v>
      </c>
      <c r="N489">
        <v>1.7585507897486339E-2</v>
      </c>
      <c r="O489" t="s">
        <v>6</v>
      </c>
    </row>
    <row r="490" spans="2:15" x14ac:dyDescent="0.45">
      <c r="B490" t="s">
        <v>713</v>
      </c>
      <c r="C490" t="s">
        <v>47</v>
      </c>
      <c r="D490">
        <v>0</v>
      </c>
      <c r="E490" t="s">
        <v>6</v>
      </c>
      <c r="G490" t="s">
        <v>714</v>
      </c>
      <c r="H490" t="s">
        <v>47</v>
      </c>
      <c r="I490">
        <v>3.4770896313220438E-2</v>
      </c>
      <c r="J490" t="s">
        <v>6</v>
      </c>
      <c r="L490" t="s">
        <v>715</v>
      </c>
      <c r="M490" t="s">
        <v>47</v>
      </c>
      <c r="N490">
        <v>2.5314557237786653E-2</v>
      </c>
      <c r="O490" t="s">
        <v>6</v>
      </c>
    </row>
    <row r="491" spans="2:15" x14ac:dyDescent="0.45">
      <c r="B491" t="s">
        <v>716</v>
      </c>
      <c r="C491" t="s">
        <v>5</v>
      </c>
      <c r="D491">
        <v>0</v>
      </c>
      <c r="E491" t="s">
        <v>6</v>
      </c>
      <c r="G491" t="s">
        <v>717</v>
      </c>
      <c r="H491" t="s">
        <v>5</v>
      </c>
      <c r="I491">
        <v>7.2583570936172528E-2</v>
      </c>
      <c r="J491" t="s">
        <v>6</v>
      </c>
      <c r="L491" t="s">
        <v>718</v>
      </c>
      <c r="M491" t="s">
        <v>5</v>
      </c>
      <c r="N491">
        <v>6.4409677582526817E-2</v>
      </c>
      <c r="O491" t="s">
        <v>6</v>
      </c>
    </row>
    <row r="492" spans="2:15" x14ac:dyDescent="0.45">
      <c r="B492" t="s">
        <v>716</v>
      </c>
      <c r="C492" t="s">
        <v>9</v>
      </c>
      <c r="D492">
        <v>0</v>
      </c>
      <c r="E492" t="s">
        <v>6</v>
      </c>
      <c r="G492" t="s">
        <v>717</v>
      </c>
      <c r="H492" t="s">
        <v>9</v>
      </c>
      <c r="I492">
        <v>2.8474423230773874E-2</v>
      </c>
      <c r="J492" t="s">
        <v>6</v>
      </c>
      <c r="L492" t="s">
        <v>718</v>
      </c>
      <c r="M492" t="s">
        <v>9</v>
      </c>
      <c r="N492">
        <v>2.5514841793197233E-2</v>
      </c>
      <c r="O492" t="s">
        <v>6</v>
      </c>
    </row>
    <row r="493" spans="2:15" x14ac:dyDescent="0.45">
      <c r="B493" t="s">
        <v>716</v>
      </c>
      <c r="C493" t="s">
        <v>10</v>
      </c>
      <c r="D493">
        <v>0</v>
      </c>
      <c r="E493" t="s">
        <v>6</v>
      </c>
      <c r="G493" t="s">
        <v>717</v>
      </c>
      <c r="H493" t="s">
        <v>10</v>
      </c>
      <c r="I493">
        <v>2.6929863389515109E-2</v>
      </c>
      <c r="J493" t="s">
        <v>6</v>
      </c>
      <c r="L493" t="s">
        <v>718</v>
      </c>
      <c r="M493" t="s">
        <v>10</v>
      </c>
      <c r="N493">
        <v>2.5052340845644887E-2</v>
      </c>
      <c r="O493" t="s">
        <v>6</v>
      </c>
    </row>
    <row r="494" spans="2:15" x14ac:dyDescent="0.45">
      <c r="B494" t="s">
        <v>716</v>
      </c>
      <c r="C494" t="s">
        <v>11</v>
      </c>
      <c r="D494">
        <v>9.5344201515580353E-3</v>
      </c>
      <c r="E494" t="s">
        <v>6</v>
      </c>
      <c r="G494" t="s">
        <v>717</v>
      </c>
      <c r="H494" t="s">
        <v>11</v>
      </c>
      <c r="I494">
        <v>2.4317742788816984E-2</v>
      </c>
      <c r="J494" t="s">
        <v>6</v>
      </c>
      <c r="L494" t="s">
        <v>718</v>
      </c>
      <c r="M494" t="s">
        <v>11</v>
      </c>
      <c r="N494">
        <v>2.286463266300064E-2</v>
      </c>
      <c r="O494" t="s">
        <v>6</v>
      </c>
    </row>
    <row r="495" spans="2:15" x14ac:dyDescent="0.45">
      <c r="B495" t="s">
        <v>716</v>
      </c>
      <c r="C495" t="s">
        <v>12</v>
      </c>
      <c r="D495">
        <v>4.2658845669892392E-2</v>
      </c>
      <c r="E495" t="s">
        <v>6</v>
      </c>
      <c r="G495" t="s">
        <v>717</v>
      </c>
      <c r="H495" t="s">
        <v>12</v>
      </c>
      <c r="I495">
        <v>2.3447851005870938E-2</v>
      </c>
      <c r="J495" t="s">
        <v>6</v>
      </c>
      <c r="L495" t="s">
        <v>718</v>
      </c>
      <c r="M495" t="s">
        <v>12</v>
      </c>
      <c r="N495">
        <v>2.0314104728528209E-2</v>
      </c>
      <c r="O495" t="s">
        <v>6</v>
      </c>
    </row>
    <row r="496" spans="2:15" x14ac:dyDescent="0.45">
      <c r="B496" t="s">
        <v>716</v>
      </c>
      <c r="C496" t="s">
        <v>13</v>
      </c>
      <c r="D496">
        <v>5.8723793122253641E-2</v>
      </c>
      <c r="E496" t="s">
        <v>6</v>
      </c>
      <c r="G496" t="s">
        <v>717</v>
      </c>
      <c r="H496" t="s">
        <v>13</v>
      </c>
      <c r="I496">
        <v>2.8039253567901969E-2</v>
      </c>
      <c r="J496" t="s">
        <v>6</v>
      </c>
      <c r="L496" t="s">
        <v>718</v>
      </c>
      <c r="M496" t="s">
        <v>13</v>
      </c>
      <c r="N496">
        <v>1.9253285256560216E-2</v>
      </c>
      <c r="O496" t="s">
        <v>6</v>
      </c>
    </row>
    <row r="497" spans="2:15" x14ac:dyDescent="0.45">
      <c r="B497" t="s">
        <v>716</v>
      </c>
      <c r="C497" t="s">
        <v>14</v>
      </c>
      <c r="D497">
        <v>5.2297594794044375E-2</v>
      </c>
      <c r="E497" t="s">
        <v>6</v>
      </c>
      <c r="G497" t="s">
        <v>717</v>
      </c>
      <c r="H497" t="s">
        <v>14</v>
      </c>
      <c r="I497">
        <v>2.8577600726748642E-2</v>
      </c>
      <c r="J497" t="s">
        <v>6</v>
      </c>
      <c r="L497" t="s">
        <v>718</v>
      </c>
      <c r="M497" t="s">
        <v>14</v>
      </c>
      <c r="N497">
        <v>1.9851098036274266E-2</v>
      </c>
      <c r="O497" t="s">
        <v>6</v>
      </c>
    </row>
    <row r="498" spans="2:15" x14ac:dyDescent="0.45">
      <c r="B498" t="s">
        <v>716</v>
      </c>
      <c r="C498" t="s">
        <v>15</v>
      </c>
      <c r="D498">
        <v>2.6769680067246605E-2</v>
      </c>
      <c r="E498" t="s">
        <v>6</v>
      </c>
      <c r="G498" t="s">
        <v>717</v>
      </c>
      <c r="H498" t="s">
        <v>15</v>
      </c>
      <c r="I498">
        <v>2.7311101057051493E-2</v>
      </c>
      <c r="J498" t="s">
        <v>6</v>
      </c>
      <c r="L498" t="s">
        <v>718</v>
      </c>
      <c r="M498" t="s">
        <v>15</v>
      </c>
      <c r="N498">
        <v>2.1847461590956272E-2</v>
      </c>
      <c r="O498" t="s">
        <v>6</v>
      </c>
    </row>
    <row r="499" spans="2:15" x14ac:dyDescent="0.45">
      <c r="B499" t="s">
        <v>716</v>
      </c>
      <c r="C499" t="s">
        <v>16</v>
      </c>
      <c r="D499">
        <v>1.7769965572691495E-3</v>
      </c>
      <c r="E499" t="s">
        <v>6</v>
      </c>
      <c r="G499" t="s">
        <v>717</v>
      </c>
      <c r="H499" t="s">
        <v>16</v>
      </c>
      <c r="I499">
        <v>2.8415907952895621E-2</v>
      </c>
      <c r="J499" t="s">
        <v>6</v>
      </c>
      <c r="L499" t="s">
        <v>718</v>
      </c>
      <c r="M499" t="s">
        <v>16</v>
      </c>
      <c r="N499">
        <v>2.3980659934551764E-2</v>
      </c>
      <c r="O499" t="s">
        <v>6</v>
      </c>
    </row>
    <row r="500" spans="2:15" x14ac:dyDescent="0.45">
      <c r="B500" t="s">
        <v>716</v>
      </c>
      <c r="C500" t="s">
        <v>17</v>
      </c>
      <c r="D500">
        <v>0</v>
      </c>
      <c r="E500" t="s">
        <v>6</v>
      </c>
      <c r="G500" t="s">
        <v>717</v>
      </c>
      <c r="H500" t="s">
        <v>17</v>
      </c>
      <c r="I500">
        <v>4.3756122491549039E-2</v>
      </c>
      <c r="J500" t="s">
        <v>6</v>
      </c>
      <c r="L500" t="s">
        <v>718</v>
      </c>
      <c r="M500" t="s">
        <v>17</v>
      </c>
      <c r="N500">
        <v>3.8126825630791346E-2</v>
      </c>
      <c r="O500" t="s">
        <v>6</v>
      </c>
    </row>
    <row r="501" spans="2:15" x14ac:dyDescent="0.45">
      <c r="B501" t="s">
        <v>716</v>
      </c>
      <c r="C501" t="s">
        <v>18</v>
      </c>
      <c r="D501">
        <v>0</v>
      </c>
      <c r="E501" t="s">
        <v>6</v>
      </c>
      <c r="G501" t="s">
        <v>717</v>
      </c>
      <c r="H501" t="s">
        <v>18</v>
      </c>
      <c r="I501">
        <v>6.0213004429436612E-2</v>
      </c>
      <c r="J501" t="s">
        <v>6</v>
      </c>
      <c r="L501" t="s">
        <v>718</v>
      </c>
      <c r="M501" t="s">
        <v>18</v>
      </c>
      <c r="N501">
        <v>7.237679389081457E-2</v>
      </c>
      <c r="O501" t="s">
        <v>6</v>
      </c>
    </row>
    <row r="502" spans="2:15" x14ac:dyDescent="0.45">
      <c r="B502" t="s">
        <v>716</v>
      </c>
      <c r="C502" t="s">
        <v>19</v>
      </c>
      <c r="D502">
        <v>0</v>
      </c>
      <c r="E502" t="s">
        <v>6</v>
      </c>
      <c r="G502" t="s">
        <v>717</v>
      </c>
      <c r="H502" t="s">
        <v>19</v>
      </c>
      <c r="I502">
        <v>2.090319768400949E-2</v>
      </c>
      <c r="J502" t="s">
        <v>6</v>
      </c>
      <c r="L502" t="s">
        <v>718</v>
      </c>
      <c r="M502" t="s">
        <v>19</v>
      </c>
      <c r="N502">
        <v>2.589170761737879E-2</v>
      </c>
      <c r="O502" t="s">
        <v>6</v>
      </c>
    </row>
    <row r="503" spans="2:15" x14ac:dyDescent="0.45">
      <c r="B503" t="s">
        <v>716</v>
      </c>
      <c r="C503" t="s">
        <v>20</v>
      </c>
      <c r="D503">
        <v>1.906785806740753E-3</v>
      </c>
      <c r="E503" t="s">
        <v>6</v>
      </c>
      <c r="G503" t="s">
        <v>717</v>
      </c>
      <c r="H503" t="s">
        <v>20</v>
      </c>
      <c r="I503">
        <v>1.9697287102612912E-2</v>
      </c>
      <c r="J503" t="s">
        <v>6</v>
      </c>
      <c r="L503" t="s">
        <v>718</v>
      </c>
      <c r="M503" t="s">
        <v>20</v>
      </c>
      <c r="N503">
        <v>2.3453757476879913E-2</v>
      </c>
      <c r="O503" t="s">
        <v>6</v>
      </c>
    </row>
    <row r="504" spans="2:15" x14ac:dyDescent="0.45">
      <c r="B504" t="s">
        <v>716</v>
      </c>
      <c r="C504" t="s">
        <v>21</v>
      </c>
      <c r="D504">
        <v>2.6883557726519198E-2</v>
      </c>
      <c r="E504" t="s">
        <v>6</v>
      </c>
      <c r="G504" t="s">
        <v>717</v>
      </c>
      <c r="H504" t="s">
        <v>21</v>
      </c>
      <c r="I504">
        <v>1.9672579915985096E-2</v>
      </c>
      <c r="J504" t="s">
        <v>6</v>
      </c>
      <c r="L504" t="s">
        <v>718</v>
      </c>
      <c r="M504" t="s">
        <v>21</v>
      </c>
      <c r="N504">
        <v>2.0376671058635935E-2</v>
      </c>
      <c r="O504" t="s">
        <v>6</v>
      </c>
    </row>
    <row r="505" spans="2:15" x14ac:dyDescent="0.45">
      <c r="B505" t="s">
        <v>716</v>
      </c>
      <c r="C505" t="s">
        <v>22</v>
      </c>
      <c r="D505">
        <v>5.5483073953767219E-2</v>
      </c>
      <c r="E505" t="s">
        <v>6</v>
      </c>
      <c r="G505" t="s">
        <v>717</v>
      </c>
      <c r="H505" t="s">
        <v>22</v>
      </c>
      <c r="I505">
        <v>2.2780901289378111E-2</v>
      </c>
      <c r="J505" t="s">
        <v>6</v>
      </c>
      <c r="L505" t="s">
        <v>718</v>
      </c>
      <c r="M505" t="s">
        <v>22</v>
      </c>
      <c r="N505">
        <v>2.0131745400056154E-2</v>
      </c>
      <c r="O505" t="s">
        <v>6</v>
      </c>
    </row>
    <row r="506" spans="2:15" x14ac:dyDescent="0.45">
      <c r="B506" t="s">
        <v>716</v>
      </c>
      <c r="C506" t="s">
        <v>23</v>
      </c>
      <c r="D506">
        <v>6.6856385002894675E-2</v>
      </c>
      <c r="E506" t="s">
        <v>6</v>
      </c>
      <c r="G506" t="s">
        <v>717</v>
      </c>
      <c r="H506" t="s">
        <v>23</v>
      </c>
      <c r="I506">
        <v>2.8172224155347137E-2</v>
      </c>
      <c r="J506" t="s">
        <v>6</v>
      </c>
      <c r="L506" t="s">
        <v>718</v>
      </c>
      <c r="M506" t="s">
        <v>23</v>
      </c>
      <c r="N506">
        <v>2.5975465561907978E-2</v>
      </c>
      <c r="O506" t="s">
        <v>6</v>
      </c>
    </row>
    <row r="507" spans="2:15" x14ac:dyDescent="0.45">
      <c r="B507" t="s">
        <v>716</v>
      </c>
      <c r="C507" t="s">
        <v>24</v>
      </c>
      <c r="D507">
        <v>6.1520544230152477E-2</v>
      </c>
      <c r="E507" t="s">
        <v>6</v>
      </c>
      <c r="G507" t="s">
        <v>717</v>
      </c>
      <c r="H507" t="s">
        <v>24</v>
      </c>
      <c r="I507">
        <v>3.199988250252047E-2</v>
      </c>
      <c r="J507" t="s">
        <v>6</v>
      </c>
      <c r="L507" t="s">
        <v>718</v>
      </c>
      <c r="M507" t="s">
        <v>24</v>
      </c>
      <c r="N507">
        <v>3.2488159153850303E-2</v>
      </c>
      <c r="O507" t="s">
        <v>6</v>
      </c>
    </row>
    <row r="508" spans="2:15" x14ac:dyDescent="0.45">
      <c r="B508" t="s">
        <v>716</v>
      </c>
      <c r="C508" t="s">
        <v>25</v>
      </c>
      <c r="D508">
        <v>3.8897720398576884E-2</v>
      </c>
      <c r="E508" t="s">
        <v>6</v>
      </c>
      <c r="G508" t="s">
        <v>717</v>
      </c>
      <c r="H508" t="s">
        <v>25</v>
      </c>
      <c r="I508">
        <v>3.1725617695147292E-2</v>
      </c>
      <c r="J508" t="s">
        <v>6</v>
      </c>
      <c r="L508" t="s">
        <v>718</v>
      </c>
      <c r="M508" t="s">
        <v>25</v>
      </c>
      <c r="N508">
        <v>3.40362082252385E-2</v>
      </c>
      <c r="O508" t="s">
        <v>6</v>
      </c>
    </row>
    <row r="509" spans="2:15" x14ac:dyDescent="0.45">
      <c r="B509" t="s">
        <v>716</v>
      </c>
      <c r="C509" t="s">
        <v>26</v>
      </c>
      <c r="D509">
        <v>8.3704179836263277E-3</v>
      </c>
      <c r="E509" t="s">
        <v>6</v>
      </c>
      <c r="G509" t="s">
        <v>717</v>
      </c>
      <c r="H509" t="s">
        <v>26</v>
      </c>
      <c r="I509">
        <v>2.7892519547423143E-2</v>
      </c>
      <c r="J509" t="s">
        <v>6</v>
      </c>
      <c r="L509" t="s">
        <v>718</v>
      </c>
      <c r="M509" t="s">
        <v>26</v>
      </c>
      <c r="N509">
        <v>3.3140959448758743E-2</v>
      </c>
      <c r="O509" t="s">
        <v>6</v>
      </c>
    </row>
    <row r="510" spans="2:15" x14ac:dyDescent="0.45">
      <c r="B510" t="s">
        <v>716</v>
      </c>
      <c r="C510" t="s">
        <v>27</v>
      </c>
      <c r="D510">
        <v>2.7567092172583214E-6</v>
      </c>
      <c r="E510" t="s">
        <v>6</v>
      </c>
      <c r="G510" t="s">
        <v>717</v>
      </c>
      <c r="H510" t="s">
        <v>27</v>
      </c>
      <c r="I510">
        <v>4.0349430106519361E-2</v>
      </c>
      <c r="J510" t="s">
        <v>6</v>
      </c>
      <c r="L510" t="s">
        <v>718</v>
      </c>
      <c r="M510" t="s">
        <v>27</v>
      </c>
      <c r="N510">
        <v>4.5916161608066233E-2</v>
      </c>
      <c r="O510" t="s">
        <v>6</v>
      </c>
    </row>
    <row r="511" spans="2:15" x14ac:dyDescent="0.45">
      <c r="B511" t="s">
        <v>716</v>
      </c>
      <c r="C511" t="s">
        <v>28</v>
      </c>
      <c r="D511">
        <v>0</v>
      </c>
      <c r="E511" t="s">
        <v>6</v>
      </c>
      <c r="G511" t="s">
        <v>717</v>
      </c>
      <c r="H511" t="s">
        <v>28</v>
      </c>
      <c r="I511">
        <v>3.8032507609210335E-2</v>
      </c>
      <c r="J511" t="s">
        <v>6</v>
      </c>
      <c r="L511" t="s">
        <v>718</v>
      </c>
      <c r="M511" t="s">
        <v>28</v>
      </c>
      <c r="N511">
        <v>4.4622846348308133E-2</v>
      </c>
      <c r="O511" t="s">
        <v>6</v>
      </c>
    </row>
    <row r="512" spans="2:15" x14ac:dyDescent="0.45">
      <c r="B512" t="s">
        <v>716</v>
      </c>
      <c r="C512" t="s">
        <v>29</v>
      </c>
      <c r="D512">
        <v>0</v>
      </c>
      <c r="E512" t="s">
        <v>6</v>
      </c>
      <c r="G512" t="s">
        <v>717</v>
      </c>
      <c r="H512" t="s">
        <v>29</v>
      </c>
      <c r="I512">
        <v>1.0407699170116028E-2</v>
      </c>
      <c r="J512" t="s">
        <v>6</v>
      </c>
      <c r="L512" t="s">
        <v>718</v>
      </c>
      <c r="M512" t="s">
        <v>29</v>
      </c>
      <c r="N512">
        <v>1.4581891206050001E-2</v>
      </c>
      <c r="O512" t="s">
        <v>6</v>
      </c>
    </row>
    <row r="513" spans="2:15" x14ac:dyDescent="0.45">
      <c r="B513" t="s">
        <v>716</v>
      </c>
      <c r="C513" t="s">
        <v>30</v>
      </c>
      <c r="D513">
        <v>3.0134376461102039E-3</v>
      </c>
      <c r="E513" t="s">
        <v>6</v>
      </c>
      <c r="G513" t="s">
        <v>717</v>
      </c>
      <c r="H513" t="s">
        <v>30</v>
      </c>
      <c r="I513">
        <v>7.6696962109865739E-3</v>
      </c>
      <c r="J513" t="s">
        <v>6</v>
      </c>
      <c r="L513" t="s">
        <v>718</v>
      </c>
      <c r="M513" t="s">
        <v>30</v>
      </c>
      <c r="N513">
        <v>1.1277269648244923E-2</v>
      </c>
      <c r="O513" t="s">
        <v>6</v>
      </c>
    </row>
    <row r="514" spans="2:15" x14ac:dyDescent="0.45">
      <c r="B514" t="s">
        <v>716</v>
      </c>
      <c r="C514" t="s">
        <v>31</v>
      </c>
      <c r="D514">
        <v>3.3528868820939084E-2</v>
      </c>
      <c r="E514" t="s">
        <v>6</v>
      </c>
      <c r="G514" t="s">
        <v>717</v>
      </c>
      <c r="H514" t="s">
        <v>31</v>
      </c>
      <c r="I514">
        <v>4.8990838322832434E-3</v>
      </c>
      <c r="J514" t="s">
        <v>6</v>
      </c>
      <c r="L514" t="s">
        <v>718</v>
      </c>
      <c r="M514" t="s">
        <v>31</v>
      </c>
      <c r="N514">
        <v>6.6631619222811116E-3</v>
      </c>
      <c r="O514" t="s">
        <v>6</v>
      </c>
    </row>
    <row r="515" spans="2:15" x14ac:dyDescent="0.45">
      <c r="B515" t="s">
        <v>716</v>
      </c>
      <c r="C515" t="s">
        <v>32</v>
      </c>
      <c r="D515">
        <v>6.5108534250316041E-2</v>
      </c>
      <c r="E515" t="s">
        <v>6</v>
      </c>
      <c r="G515" t="s">
        <v>717</v>
      </c>
      <c r="H515" t="s">
        <v>32</v>
      </c>
      <c r="I515">
        <v>5.008626531699787E-3</v>
      </c>
      <c r="J515" t="s">
        <v>6</v>
      </c>
      <c r="L515" t="s">
        <v>718</v>
      </c>
      <c r="M515" t="s">
        <v>32</v>
      </c>
      <c r="N515">
        <v>5.0803160906453789E-3</v>
      </c>
      <c r="O515" t="s">
        <v>6</v>
      </c>
    </row>
    <row r="516" spans="2:15" x14ac:dyDescent="0.45">
      <c r="B516" t="s">
        <v>716</v>
      </c>
      <c r="C516" t="s">
        <v>33</v>
      </c>
      <c r="D516">
        <v>7.8520336331750873E-2</v>
      </c>
      <c r="E516" t="s">
        <v>6</v>
      </c>
      <c r="G516" t="s">
        <v>717</v>
      </c>
      <c r="H516" t="s">
        <v>33</v>
      </c>
      <c r="I516">
        <v>7.3900258097890472E-3</v>
      </c>
      <c r="J516" t="s">
        <v>6</v>
      </c>
      <c r="L516" t="s">
        <v>718</v>
      </c>
      <c r="M516" t="s">
        <v>33</v>
      </c>
      <c r="N516">
        <v>9.9389142124867592E-3</v>
      </c>
      <c r="O516" t="s">
        <v>6</v>
      </c>
    </row>
    <row r="517" spans="2:15" x14ac:dyDescent="0.45">
      <c r="B517" t="s">
        <v>716</v>
      </c>
      <c r="C517" t="s">
        <v>34</v>
      </c>
      <c r="D517">
        <v>7.2675428480271961E-2</v>
      </c>
      <c r="E517" t="s">
        <v>6</v>
      </c>
      <c r="G517" t="s">
        <v>717</v>
      </c>
      <c r="H517" t="s">
        <v>34</v>
      </c>
      <c r="I517">
        <v>9.7534093948760236E-3</v>
      </c>
      <c r="J517" t="s">
        <v>6</v>
      </c>
      <c r="L517" t="s">
        <v>718</v>
      </c>
      <c r="M517" t="s">
        <v>34</v>
      </c>
      <c r="N517">
        <v>1.822711343112363E-2</v>
      </c>
      <c r="O517" t="s">
        <v>6</v>
      </c>
    </row>
    <row r="518" spans="2:15" x14ac:dyDescent="0.45">
      <c r="B518" t="s">
        <v>716</v>
      </c>
      <c r="C518" t="s">
        <v>35</v>
      </c>
      <c r="D518">
        <v>4.9263294182933987E-2</v>
      </c>
      <c r="E518" t="s">
        <v>6</v>
      </c>
      <c r="G518" t="s">
        <v>717</v>
      </c>
      <c r="H518" t="s">
        <v>35</v>
      </c>
      <c r="I518">
        <v>1.2253671789221628E-2</v>
      </c>
      <c r="J518" t="s">
        <v>6</v>
      </c>
      <c r="L518" t="s">
        <v>718</v>
      </c>
      <c r="M518" t="s">
        <v>35</v>
      </c>
      <c r="N518">
        <v>2.3440400103736041E-2</v>
      </c>
      <c r="O518" t="s">
        <v>6</v>
      </c>
    </row>
    <row r="519" spans="2:15" x14ac:dyDescent="0.45">
      <c r="B519" t="s">
        <v>716</v>
      </c>
      <c r="C519" t="s">
        <v>36</v>
      </c>
      <c r="D519">
        <v>1.3592772421220069E-2</v>
      </c>
      <c r="E519" t="s">
        <v>6</v>
      </c>
      <c r="G519" t="s">
        <v>717</v>
      </c>
      <c r="H519" t="s">
        <v>36</v>
      </c>
      <c r="I519">
        <v>1.6150389015927167E-2</v>
      </c>
      <c r="J519" t="s">
        <v>6</v>
      </c>
      <c r="L519" t="s">
        <v>718</v>
      </c>
      <c r="M519" t="s">
        <v>36</v>
      </c>
      <c r="N519">
        <v>2.3680705027217551E-2</v>
      </c>
      <c r="O519" t="s">
        <v>6</v>
      </c>
    </row>
    <row r="520" spans="2:15" x14ac:dyDescent="0.45">
      <c r="B520" t="s">
        <v>716</v>
      </c>
      <c r="C520" t="s">
        <v>37</v>
      </c>
      <c r="D520">
        <v>1.138133012575341E-4</v>
      </c>
      <c r="E520" t="s">
        <v>6</v>
      </c>
      <c r="G520" t="s">
        <v>717</v>
      </c>
      <c r="H520" t="s">
        <v>37</v>
      </c>
      <c r="I520">
        <v>3.447100766767594E-2</v>
      </c>
      <c r="J520" t="s">
        <v>6</v>
      </c>
      <c r="L520" t="s">
        <v>718</v>
      </c>
      <c r="M520" t="s">
        <v>37</v>
      </c>
      <c r="N520">
        <v>3.1678598064747238E-2</v>
      </c>
      <c r="O520" t="s">
        <v>6</v>
      </c>
    </row>
    <row r="521" spans="2:15" x14ac:dyDescent="0.45">
      <c r="B521" t="s">
        <v>716</v>
      </c>
      <c r="C521" t="s">
        <v>38</v>
      </c>
      <c r="D521">
        <v>0</v>
      </c>
      <c r="E521" t="s">
        <v>6</v>
      </c>
      <c r="G521" t="s">
        <v>717</v>
      </c>
      <c r="H521" t="s">
        <v>38</v>
      </c>
      <c r="I521">
        <v>4.4275590629578129E-2</v>
      </c>
      <c r="J521" t="s">
        <v>6</v>
      </c>
      <c r="L521" t="s">
        <v>718</v>
      </c>
      <c r="M521" t="s">
        <v>38</v>
      </c>
      <c r="N521">
        <v>4.3189711260228268E-2</v>
      </c>
      <c r="O521" t="s">
        <v>6</v>
      </c>
    </row>
    <row r="522" spans="2:15" x14ac:dyDescent="0.45">
      <c r="B522" t="s">
        <v>716</v>
      </c>
      <c r="C522" t="s">
        <v>39</v>
      </c>
      <c r="D522">
        <v>0</v>
      </c>
      <c r="E522" t="s">
        <v>6</v>
      </c>
      <c r="G522" t="s">
        <v>717</v>
      </c>
      <c r="H522" t="s">
        <v>39</v>
      </c>
      <c r="I522">
        <v>1.6050252471120706E-2</v>
      </c>
      <c r="J522" t="s">
        <v>6</v>
      </c>
      <c r="L522" t="s">
        <v>718</v>
      </c>
      <c r="M522" t="s">
        <v>39</v>
      </c>
      <c r="N522">
        <v>1.6810084721066695E-2</v>
      </c>
      <c r="O522" t="s">
        <v>6</v>
      </c>
    </row>
    <row r="523" spans="2:15" x14ac:dyDescent="0.45">
      <c r="B523" t="s">
        <v>716</v>
      </c>
      <c r="C523" t="s">
        <v>40</v>
      </c>
      <c r="D523">
        <v>2.8485012037000282E-4</v>
      </c>
      <c r="E523" t="s">
        <v>6</v>
      </c>
      <c r="G523" t="s">
        <v>717</v>
      </c>
      <c r="H523" t="s">
        <v>40</v>
      </c>
      <c r="I523">
        <v>1.5739975263465818E-2</v>
      </c>
      <c r="J523" t="s">
        <v>6</v>
      </c>
      <c r="L523" t="s">
        <v>718</v>
      </c>
      <c r="M523" t="s">
        <v>40</v>
      </c>
      <c r="N523">
        <v>1.6243029284878151E-2</v>
      </c>
      <c r="O523" t="s">
        <v>6</v>
      </c>
    </row>
    <row r="524" spans="2:15" x14ac:dyDescent="0.45">
      <c r="B524" t="s">
        <v>716</v>
      </c>
      <c r="C524" t="s">
        <v>41</v>
      </c>
      <c r="D524">
        <v>2.2031516787603116E-2</v>
      </c>
      <c r="E524" t="s">
        <v>6</v>
      </c>
      <c r="G524" t="s">
        <v>717</v>
      </c>
      <c r="H524" t="s">
        <v>41</v>
      </c>
      <c r="I524">
        <v>1.3953162175782321E-2</v>
      </c>
      <c r="J524" t="s">
        <v>6</v>
      </c>
      <c r="L524" t="s">
        <v>718</v>
      </c>
      <c r="M524" t="s">
        <v>41</v>
      </c>
      <c r="N524">
        <v>1.509507093508106E-2</v>
      </c>
      <c r="O524" t="s">
        <v>6</v>
      </c>
    </row>
    <row r="525" spans="2:15" x14ac:dyDescent="0.45">
      <c r="B525" t="s">
        <v>716</v>
      </c>
      <c r="C525" t="s">
        <v>42</v>
      </c>
      <c r="D525">
        <v>5.4000037855736698E-2</v>
      </c>
      <c r="E525" t="s">
        <v>6</v>
      </c>
      <c r="G525" t="s">
        <v>717</v>
      </c>
      <c r="H525" t="s">
        <v>42</v>
      </c>
      <c r="I525">
        <v>1.4575324104620115E-2</v>
      </c>
      <c r="J525" t="s">
        <v>6</v>
      </c>
      <c r="L525" t="s">
        <v>718</v>
      </c>
      <c r="M525" t="s">
        <v>42</v>
      </c>
      <c r="N525">
        <v>1.349442859391255E-2</v>
      </c>
      <c r="O525" t="s">
        <v>6</v>
      </c>
    </row>
    <row r="526" spans="2:15" x14ac:dyDescent="0.45">
      <c r="B526" t="s">
        <v>716</v>
      </c>
      <c r="C526" t="s">
        <v>43</v>
      </c>
      <c r="D526">
        <v>6.6679316401791866E-2</v>
      </c>
      <c r="E526" t="s">
        <v>6</v>
      </c>
      <c r="G526" t="s">
        <v>717</v>
      </c>
      <c r="H526" t="s">
        <v>43</v>
      </c>
      <c r="I526">
        <v>1.9803756814228947E-2</v>
      </c>
      <c r="J526" t="s">
        <v>6</v>
      </c>
      <c r="L526" t="s">
        <v>718</v>
      </c>
      <c r="M526" t="s">
        <v>43</v>
      </c>
      <c r="N526">
        <v>1.3167566246310942E-2</v>
      </c>
      <c r="O526" t="s">
        <v>6</v>
      </c>
    </row>
    <row r="527" spans="2:15" x14ac:dyDescent="0.45">
      <c r="B527" t="s">
        <v>716</v>
      </c>
      <c r="C527" t="s">
        <v>44</v>
      </c>
      <c r="D527">
        <v>5.7698210855739382E-2</v>
      </c>
      <c r="E527" t="s">
        <v>6</v>
      </c>
      <c r="G527" t="s">
        <v>717</v>
      </c>
      <c r="H527" t="s">
        <v>44</v>
      </c>
      <c r="I527">
        <v>2.1808383951905208E-2</v>
      </c>
      <c r="J527" t="s">
        <v>6</v>
      </c>
      <c r="L527" t="s">
        <v>718</v>
      </c>
      <c r="M527" t="s">
        <v>44</v>
      </c>
      <c r="N527">
        <v>1.4617161788835984E-2</v>
      </c>
      <c r="O527" t="s">
        <v>6</v>
      </c>
    </row>
    <row r="528" spans="2:15" x14ac:dyDescent="0.45">
      <c r="B528" t="s">
        <v>716</v>
      </c>
      <c r="C528" t="s">
        <v>45</v>
      </c>
      <c r="D528">
        <v>2.9441086684739805E-2</v>
      </c>
      <c r="E528" t="s">
        <v>6</v>
      </c>
      <c r="G528" t="s">
        <v>717</v>
      </c>
      <c r="H528" t="s">
        <v>45</v>
      </c>
      <c r="I528">
        <v>2.0128659148687399E-2</v>
      </c>
      <c r="J528" t="s">
        <v>6</v>
      </c>
      <c r="L528" t="s">
        <v>718</v>
      </c>
      <c r="M528" t="s">
        <v>45</v>
      </c>
      <c r="N528">
        <v>1.6583090110399781E-2</v>
      </c>
      <c r="O528" t="s">
        <v>6</v>
      </c>
    </row>
    <row r="529" spans="2:15" x14ac:dyDescent="0.45">
      <c r="B529" t="s">
        <v>716</v>
      </c>
      <c r="C529" t="s">
        <v>46</v>
      </c>
      <c r="D529">
        <v>2.3659236854611369E-3</v>
      </c>
      <c r="E529" t="s">
        <v>6</v>
      </c>
      <c r="G529" t="s">
        <v>717</v>
      </c>
      <c r="H529" t="s">
        <v>46</v>
      </c>
      <c r="I529">
        <v>2.070287830851486E-2</v>
      </c>
      <c r="J529" t="s">
        <v>6</v>
      </c>
      <c r="L529" t="s">
        <v>718</v>
      </c>
      <c r="M529" t="s">
        <v>46</v>
      </c>
      <c r="N529">
        <v>1.8444378815476451E-2</v>
      </c>
      <c r="O529" t="s">
        <v>6</v>
      </c>
    </row>
    <row r="530" spans="2:15" x14ac:dyDescent="0.45">
      <c r="B530" t="s">
        <v>716</v>
      </c>
      <c r="C530" t="s">
        <v>47</v>
      </c>
      <c r="D530">
        <v>0</v>
      </c>
      <c r="E530" t="s">
        <v>6</v>
      </c>
      <c r="G530" t="s">
        <v>717</v>
      </c>
      <c r="H530" t="s">
        <v>47</v>
      </c>
      <c r="I530">
        <v>3.1665818524629671E-2</v>
      </c>
      <c r="J530" t="s">
        <v>6</v>
      </c>
      <c r="L530" t="s">
        <v>718</v>
      </c>
      <c r="M530" t="s">
        <v>47</v>
      </c>
      <c r="N530">
        <v>2.8161704685348957E-2</v>
      </c>
      <c r="O530" t="s">
        <v>6</v>
      </c>
    </row>
    <row r="531" spans="2:15" x14ac:dyDescent="0.45">
      <c r="B531" t="s">
        <v>719</v>
      </c>
      <c r="C531" t="s">
        <v>5</v>
      </c>
      <c r="D531">
        <v>0</v>
      </c>
      <c r="E531" t="s">
        <v>6</v>
      </c>
      <c r="G531" t="s">
        <v>720</v>
      </c>
      <c r="H531" t="s">
        <v>5</v>
      </c>
      <c r="I531">
        <v>6.4431286091393883E-2</v>
      </c>
      <c r="J531" t="s">
        <v>6</v>
      </c>
      <c r="L531" t="s">
        <v>721</v>
      </c>
      <c r="M531" t="s">
        <v>5</v>
      </c>
      <c r="N531">
        <v>5.7956244892272399E-2</v>
      </c>
      <c r="O531" t="s">
        <v>6</v>
      </c>
    </row>
    <row r="532" spans="2:15" x14ac:dyDescent="0.45">
      <c r="B532" t="s">
        <v>719</v>
      </c>
      <c r="C532" t="s">
        <v>9</v>
      </c>
      <c r="D532">
        <v>0</v>
      </c>
      <c r="E532" t="s">
        <v>6</v>
      </c>
      <c r="G532" t="s">
        <v>720</v>
      </c>
      <c r="H532" t="s">
        <v>9</v>
      </c>
      <c r="I532">
        <v>2.5007058647610155E-2</v>
      </c>
      <c r="J532" t="s">
        <v>6</v>
      </c>
      <c r="L532" t="s">
        <v>721</v>
      </c>
      <c r="M532" t="s">
        <v>9</v>
      </c>
      <c r="N532">
        <v>2.30562756562929E-2</v>
      </c>
      <c r="O532" t="s">
        <v>6</v>
      </c>
    </row>
    <row r="533" spans="2:15" x14ac:dyDescent="0.45">
      <c r="B533" t="s">
        <v>719</v>
      </c>
      <c r="C533" t="s">
        <v>10</v>
      </c>
      <c r="D533">
        <v>0</v>
      </c>
      <c r="E533" t="s">
        <v>6</v>
      </c>
      <c r="G533" t="s">
        <v>720</v>
      </c>
      <c r="H533" t="s">
        <v>10</v>
      </c>
      <c r="I533">
        <v>2.4388222878832116E-2</v>
      </c>
      <c r="J533" t="s">
        <v>6</v>
      </c>
      <c r="L533" t="s">
        <v>721</v>
      </c>
      <c r="M533" t="s">
        <v>10</v>
      </c>
      <c r="N533">
        <v>2.20991573440594E-2</v>
      </c>
      <c r="O533" t="s">
        <v>6</v>
      </c>
    </row>
    <row r="534" spans="2:15" x14ac:dyDescent="0.45">
      <c r="B534" t="s">
        <v>719</v>
      </c>
      <c r="C534" t="s">
        <v>11</v>
      </c>
      <c r="D534">
        <v>7.9486748029752724E-3</v>
      </c>
      <c r="E534" t="s">
        <v>6</v>
      </c>
      <c r="G534" t="s">
        <v>720</v>
      </c>
      <c r="H534" t="s">
        <v>11</v>
      </c>
      <c r="I534">
        <v>2.2899129116512585E-2</v>
      </c>
      <c r="J534" t="s">
        <v>6</v>
      </c>
      <c r="L534" t="s">
        <v>721</v>
      </c>
      <c r="M534" t="s">
        <v>11</v>
      </c>
      <c r="N534">
        <v>2.1067056076403929E-2</v>
      </c>
      <c r="O534" t="s">
        <v>6</v>
      </c>
    </row>
    <row r="535" spans="2:15" x14ac:dyDescent="0.45">
      <c r="B535" t="s">
        <v>719</v>
      </c>
      <c r="C535" t="s">
        <v>12</v>
      </c>
      <c r="D535">
        <v>3.8855870119232236E-2</v>
      </c>
      <c r="E535" t="s">
        <v>6</v>
      </c>
      <c r="G535" t="s">
        <v>720</v>
      </c>
      <c r="H535" t="s">
        <v>12</v>
      </c>
      <c r="I535">
        <v>2.1139268297978374E-2</v>
      </c>
      <c r="J535" t="s">
        <v>6</v>
      </c>
      <c r="L535" t="s">
        <v>721</v>
      </c>
      <c r="M535" t="s">
        <v>12</v>
      </c>
      <c r="N535">
        <v>2.0274791763883741E-2</v>
      </c>
      <c r="O535" t="s">
        <v>6</v>
      </c>
    </row>
    <row r="536" spans="2:15" x14ac:dyDescent="0.45">
      <c r="B536" t="s">
        <v>719</v>
      </c>
      <c r="C536" t="s">
        <v>13</v>
      </c>
      <c r="D536">
        <v>5.5619202501425567E-2</v>
      </c>
      <c r="E536" t="s">
        <v>6</v>
      </c>
      <c r="G536" t="s">
        <v>720</v>
      </c>
      <c r="H536" t="s">
        <v>13</v>
      </c>
      <c r="I536">
        <v>2.4504131018379526E-2</v>
      </c>
      <c r="J536" t="s">
        <v>6</v>
      </c>
      <c r="L536" t="s">
        <v>721</v>
      </c>
      <c r="M536" t="s">
        <v>13</v>
      </c>
      <c r="N536">
        <v>2.0302345115816068E-2</v>
      </c>
      <c r="O536" t="s">
        <v>6</v>
      </c>
    </row>
    <row r="537" spans="2:15" x14ac:dyDescent="0.45">
      <c r="B537" t="s">
        <v>719</v>
      </c>
      <c r="C537" t="s">
        <v>14</v>
      </c>
      <c r="D537">
        <v>4.9239156141277669E-2</v>
      </c>
      <c r="E537" t="s">
        <v>6</v>
      </c>
      <c r="G537" t="s">
        <v>720</v>
      </c>
      <c r="H537" t="s">
        <v>14</v>
      </c>
      <c r="I537">
        <v>2.5073839917153257E-2</v>
      </c>
      <c r="J537" t="s">
        <v>6</v>
      </c>
      <c r="L537" t="s">
        <v>721</v>
      </c>
      <c r="M537" t="s">
        <v>14</v>
      </c>
      <c r="N537">
        <v>2.1338269890445804E-2</v>
      </c>
      <c r="O537" t="s">
        <v>6</v>
      </c>
    </row>
    <row r="538" spans="2:15" x14ac:dyDescent="0.45">
      <c r="B538" t="s">
        <v>719</v>
      </c>
      <c r="C538" t="s">
        <v>15</v>
      </c>
      <c r="D538">
        <v>2.3771285320469918E-2</v>
      </c>
      <c r="E538" t="s">
        <v>6</v>
      </c>
      <c r="G538" t="s">
        <v>720</v>
      </c>
      <c r="H538" t="s">
        <v>15</v>
      </c>
      <c r="I538">
        <v>2.4522677244089217E-2</v>
      </c>
      <c r="J538" t="s">
        <v>6</v>
      </c>
      <c r="L538" t="s">
        <v>721</v>
      </c>
      <c r="M538" t="s">
        <v>15</v>
      </c>
      <c r="N538">
        <v>2.2619305467349565E-2</v>
      </c>
      <c r="O538" t="s">
        <v>6</v>
      </c>
    </row>
    <row r="539" spans="2:15" x14ac:dyDescent="0.45">
      <c r="B539" t="s">
        <v>719</v>
      </c>
      <c r="C539" t="s">
        <v>16</v>
      </c>
      <c r="D539">
        <v>1.2928087738687121E-3</v>
      </c>
      <c r="E539" t="s">
        <v>6</v>
      </c>
      <c r="G539" t="s">
        <v>720</v>
      </c>
      <c r="H539" t="s">
        <v>16</v>
      </c>
      <c r="I539">
        <v>2.5329906111802542E-2</v>
      </c>
      <c r="J539" t="s">
        <v>6</v>
      </c>
      <c r="L539" t="s">
        <v>721</v>
      </c>
      <c r="M539" t="s">
        <v>16</v>
      </c>
      <c r="N539">
        <v>2.3716758438692913E-2</v>
      </c>
      <c r="O539" t="s">
        <v>6</v>
      </c>
    </row>
    <row r="540" spans="2:15" x14ac:dyDescent="0.45">
      <c r="B540" t="s">
        <v>719</v>
      </c>
      <c r="C540" t="s">
        <v>17</v>
      </c>
      <c r="D540">
        <v>0</v>
      </c>
      <c r="E540" t="s">
        <v>6</v>
      </c>
      <c r="G540" t="s">
        <v>720</v>
      </c>
      <c r="H540" t="s">
        <v>17</v>
      </c>
      <c r="I540">
        <v>3.8401833351680896E-2</v>
      </c>
      <c r="J540" t="s">
        <v>6</v>
      </c>
      <c r="L540" t="s">
        <v>721</v>
      </c>
      <c r="M540" t="s">
        <v>17</v>
      </c>
      <c r="N540">
        <v>3.5311950908144554E-2</v>
      </c>
      <c r="O540" t="s">
        <v>6</v>
      </c>
    </row>
    <row r="541" spans="2:15" x14ac:dyDescent="0.45">
      <c r="B541" t="s">
        <v>719</v>
      </c>
      <c r="C541" t="s">
        <v>18</v>
      </c>
      <c r="D541">
        <v>0</v>
      </c>
      <c r="E541" t="s">
        <v>6</v>
      </c>
      <c r="G541" t="s">
        <v>720</v>
      </c>
      <c r="H541" t="s">
        <v>18</v>
      </c>
      <c r="I541">
        <v>6.2043023834817697E-2</v>
      </c>
      <c r="J541" t="s">
        <v>6</v>
      </c>
      <c r="L541" t="s">
        <v>721</v>
      </c>
      <c r="M541" t="s">
        <v>18</v>
      </c>
      <c r="N541">
        <v>5.8612859699812829E-2</v>
      </c>
      <c r="O541" t="s">
        <v>6</v>
      </c>
    </row>
    <row r="542" spans="2:15" x14ac:dyDescent="0.45">
      <c r="B542" t="s">
        <v>719</v>
      </c>
      <c r="C542" t="s">
        <v>19</v>
      </c>
      <c r="D542">
        <v>0</v>
      </c>
      <c r="E542" t="s">
        <v>6</v>
      </c>
      <c r="G542" t="s">
        <v>720</v>
      </c>
      <c r="H542" t="s">
        <v>19</v>
      </c>
      <c r="I542">
        <v>2.1407039926851643E-2</v>
      </c>
      <c r="J542" t="s">
        <v>6</v>
      </c>
      <c r="L542" t="s">
        <v>721</v>
      </c>
      <c r="M542" t="s">
        <v>19</v>
      </c>
      <c r="N542">
        <v>2.2203214181606271E-2</v>
      </c>
      <c r="O542" t="s">
        <v>6</v>
      </c>
    </row>
    <row r="543" spans="2:15" x14ac:dyDescent="0.45">
      <c r="B543" t="s">
        <v>719</v>
      </c>
      <c r="C543" t="s">
        <v>20</v>
      </c>
      <c r="D543">
        <v>2.1193023558499203E-3</v>
      </c>
      <c r="E543" t="s">
        <v>6</v>
      </c>
      <c r="G543" t="s">
        <v>720</v>
      </c>
      <c r="H543" t="s">
        <v>20</v>
      </c>
      <c r="I543">
        <v>2.0115481004065253E-2</v>
      </c>
      <c r="J543" t="s">
        <v>6</v>
      </c>
      <c r="L543" t="s">
        <v>721</v>
      </c>
      <c r="M543" t="s">
        <v>20</v>
      </c>
      <c r="N543">
        <v>2.1191590987988597E-2</v>
      </c>
      <c r="O543" t="s">
        <v>6</v>
      </c>
    </row>
    <row r="544" spans="2:15" x14ac:dyDescent="0.45">
      <c r="B544" t="s">
        <v>719</v>
      </c>
      <c r="C544" t="s">
        <v>21</v>
      </c>
      <c r="D544">
        <v>2.6494565853742547E-2</v>
      </c>
      <c r="E544" t="s">
        <v>6</v>
      </c>
      <c r="G544" t="s">
        <v>720</v>
      </c>
      <c r="H544" t="s">
        <v>21</v>
      </c>
      <c r="I544">
        <v>2.0611582670691402E-2</v>
      </c>
      <c r="J544" t="s">
        <v>6</v>
      </c>
      <c r="L544" t="s">
        <v>721</v>
      </c>
      <c r="M544" t="s">
        <v>21</v>
      </c>
      <c r="N544">
        <v>1.991386012345582E-2</v>
      </c>
      <c r="O544" t="s">
        <v>6</v>
      </c>
    </row>
    <row r="545" spans="2:15" x14ac:dyDescent="0.45">
      <c r="B545" t="s">
        <v>719</v>
      </c>
      <c r="C545" t="s">
        <v>22</v>
      </c>
      <c r="D545">
        <v>5.52667160783692E-2</v>
      </c>
      <c r="E545" t="s">
        <v>6</v>
      </c>
      <c r="G545" t="s">
        <v>720</v>
      </c>
      <c r="H545" t="s">
        <v>22</v>
      </c>
      <c r="I545">
        <v>2.1608000382823032E-2</v>
      </c>
      <c r="J545" t="s">
        <v>6</v>
      </c>
      <c r="L545" t="s">
        <v>721</v>
      </c>
      <c r="M545" t="s">
        <v>22</v>
      </c>
      <c r="N545">
        <v>1.9891165761331701E-2</v>
      </c>
      <c r="O545" t="s">
        <v>6</v>
      </c>
    </row>
    <row r="546" spans="2:15" x14ac:dyDescent="0.45">
      <c r="B546" t="s">
        <v>719</v>
      </c>
      <c r="C546" t="s">
        <v>23</v>
      </c>
      <c r="D546">
        <v>6.6958568139292227E-2</v>
      </c>
      <c r="E546" t="s">
        <v>6</v>
      </c>
      <c r="G546" t="s">
        <v>720</v>
      </c>
      <c r="H546" t="s">
        <v>23</v>
      </c>
      <c r="I546">
        <v>2.4903356607674721E-2</v>
      </c>
      <c r="J546" t="s">
        <v>6</v>
      </c>
      <c r="L546" t="s">
        <v>721</v>
      </c>
      <c r="M546" t="s">
        <v>23</v>
      </c>
      <c r="N546">
        <v>2.1581486416957146E-2</v>
      </c>
      <c r="O546" t="s">
        <v>6</v>
      </c>
    </row>
    <row r="547" spans="2:15" x14ac:dyDescent="0.45">
      <c r="B547" t="s">
        <v>719</v>
      </c>
      <c r="C547" t="s">
        <v>24</v>
      </c>
      <c r="D547">
        <v>5.9627949411400309E-2</v>
      </c>
      <c r="E547" t="s">
        <v>6</v>
      </c>
      <c r="G547" t="s">
        <v>720</v>
      </c>
      <c r="H547" t="s">
        <v>24</v>
      </c>
      <c r="I547">
        <v>2.6920296581698613E-2</v>
      </c>
      <c r="J547" t="s">
        <v>6</v>
      </c>
      <c r="L547" t="s">
        <v>721</v>
      </c>
      <c r="M547" t="s">
        <v>24</v>
      </c>
      <c r="N547">
        <v>2.3565381696178923E-2</v>
      </c>
      <c r="O547" t="s">
        <v>6</v>
      </c>
    </row>
    <row r="548" spans="2:15" x14ac:dyDescent="0.45">
      <c r="B548" t="s">
        <v>719</v>
      </c>
      <c r="C548" t="s">
        <v>25</v>
      </c>
      <c r="D548">
        <v>3.751908805484494E-2</v>
      </c>
      <c r="E548" t="s">
        <v>6</v>
      </c>
      <c r="G548" t="s">
        <v>720</v>
      </c>
      <c r="H548" t="s">
        <v>25</v>
      </c>
      <c r="I548">
        <v>2.7022620586593306E-2</v>
      </c>
      <c r="J548" t="s">
        <v>6</v>
      </c>
      <c r="L548" t="s">
        <v>721</v>
      </c>
      <c r="M548" t="s">
        <v>25</v>
      </c>
      <c r="N548">
        <v>2.5013999316180972E-2</v>
      </c>
      <c r="O548" t="s">
        <v>6</v>
      </c>
    </row>
    <row r="549" spans="2:15" x14ac:dyDescent="0.45">
      <c r="B549" t="s">
        <v>719</v>
      </c>
      <c r="C549" t="s">
        <v>26</v>
      </c>
      <c r="D549">
        <v>8.398644609508581E-3</v>
      </c>
      <c r="E549" t="s">
        <v>6</v>
      </c>
      <c r="G549" t="s">
        <v>720</v>
      </c>
      <c r="H549" t="s">
        <v>26</v>
      </c>
      <c r="I549">
        <v>2.5312369842873095E-2</v>
      </c>
      <c r="J549" t="s">
        <v>6</v>
      </c>
      <c r="L549" t="s">
        <v>721</v>
      </c>
      <c r="M549" t="s">
        <v>26</v>
      </c>
      <c r="N549">
        <v>2.5365010056319109E-2</v>
      </c>
      <c r="O549" t="s">
        <v>6</v>
      </c>
    </row>
    <row r="550" spans="2:15" x14ac:dyDescent="0.45">
      <c r="B550" t="s">
        <v>719</v>
      </c>
      <c r="C550" t="s">
        <v>27</v>
      </c>
      <c r="D550">
        <v>1.3104958369104753E-5</v>
      </c>
      <c r="E550" t="s">
        <v>6</v>
      </c>
      <c r="G550" t="s">
        <v>720</v>
      </c>
      <c r="H550" t="s">
        <v>27</v>
      </c>
      <c r="I550">
        <v>4.0572336602632306E-2</v>
      </c>
      <c r="J550" t="s">
        <v>6</v>
      </c>
      <c r="L550" t="s">
        <v>721</v>
      </c>
      <c r="M550" t="s">
        <v>27</v>
      </c>
      <c r="N550">
        <v>3.5758971393467488E-2</v>
      </c>
      <c r="O550" t="s">
        <v>6</v>
      </c>
    </row>
    <row r="551" spans="2:15" x14ac:dyDescent="0.45">
      <c r="B551" t="s">
        <v>719</v>
      </c>
      <c r="C551" t="s">
        <v>28</v>
      </c>
      <c r="D551">
        <v>0</v>
      </c>
      <c r="E551" t="s">
        <v>6</v>
      </c>
      <c r="G551" t="s">
        <v>720</v>
      </c>
      <c r="H551" t="s">
        <v>28</v>
      </c>
      <c r="I551">
        <v>4.8094545927727175E-2</v>
      </c>
      <c r="J551" t="s">
        <v>6</v>
      </c>
      <c r="L551" t="s">
        <v>721</v>
      </c>
      <c r="M551" t="s">
        <v>28</v>
      </c>
      <c r="N551">
        <v>5.3926620764252295E-2</v>
      </c>
      <c r="O551" t="s">
        <v>6</v>
      </c>
    </row>
    <row r="552" spans="2:15" x14ac:dyDescent="0.45">
      <c r="B552" t="s">
        <v>719</v>
      </c>
      <c r="C552" t="s">
        <v>29</v>
      </c>
      <c r="D552">
        <v>0</v>
      </c>
      <c r="E552" t="s">
        <v>6</v>
      </c>
      <c r="G552" t="s">
        <v>720</v>
      </c>
      <c r="H552" t="s">
        <v>29</v>
      </c>
      <c r="I552">
        <v>1.4424833609567778E-2</v>
      </c>
      <c r="J552" t="s">
        <v>6</v>
      </c>
      <c r="L552" t="s">
        <v>721</v>
      </c>
      <c r="M552" t="s">
        <v>29</v>
      </c>
      <c r="N552">
        <v>2.07458412272832E-2</v>
      </c>
      <c r="O552" t="s">
        <v>6</v>
      </c>
    </row>
    <row r="553" spans="2:15" x14ac:dyDescent="0.45">
      <c r="B553" t="s">
        <v>719</v>
      </c>
      <c r="C553" t="s">
        <v>30</v>
      </c>
      <c r="D553">
        <v>3.5754495889480302E-3</v>
      </c>
      <c r="E553" t="s">
        <v>6</v>
      </c>
      <c r="G553" t="s">
        <v>720</v>
      </c>
      <c r="H553" t="s">
        <v>30</v>
      </c>
      <c r="I553">
        <v>1.0827048708757985E-2</v>
      </c>
      <c r="J553" t="s">
        <v>6</v>
      </c>
      <c r="L553" t="s">
        <v>721</v>
      </c>
      <c r="M553" t="s">
        <v>30</v>
      </c>
      <c r="N553">
        <v>1.965104395784641E-2</v>
      </c>
      <c r="O553" t="s">
        <v>6</v>
      </c>
    </row>
    <row r="554" spans="2:15" x14ac:dyDescent="0.45">
      <c r="B554" t="s">
        <v>719</v>
      </c>
      <c r="C554" t="s">
        <v>31</v>
      </c>
      <c r="D554">
        <v>3.6485887092512735E-2</v>
      </c>
      <c r="E554" t="s">
        <v>6</v>
      </c>
      <c r="G554" t="s">
        <v>720</v>
      </c>
      <c r="H554" t="s">
        <v>31</v>
      </c>
      <c r="I554">
        <v>7.3920227964330149E-3</v>
      </c>
      <c r="J554" t="s">
        <v>6</v>
      </c>
      <c r="L554" t="s">
        <v>721</v>
      </c>
      <c r="M554" t="s">
        <v>31</v>
      </c>
      <c r="N554">
        <v>1.7323996642303077E-2</v>
      </c>
      <c r="O554" t="s">
        <v>6</v>
      </c>
    </row>
    <row r="555" spans="2:15" x14ac:dyDescent="0.45">
      <c r="B555" t="s">
        <v>719</v>
      </c>
      <c r="C555" t="s">
        <v>32</v>
      </c>
      <c r="D555">
        <v>6.9648096497512746E-2</v>
      </c>
      <c r="E555" t="s">
        <v>6</v>
      </c>
      <c r="G555" t="s">
        <v>720</v>
      </c>
      <c r="H555" t="s">
        <v>32</v>
      </c>
      <c r="I555">
        <v>6.8312202312123755E-3</v>
      </c>
      <c r="J555" t="s">
        <v>6</v>
      </c>
      <c r="L555" t="s">
        <v>721</v>
      </c>
      <c r="M555" t="s">
        <v>32</v>
      </c>
      <c r="N555">
        <v>1.6103815781675124E-2</v>
      </c>
      <c r="O555" t="s">
        <v>6</v>
      </c>
    </row>
    <row r="556" spans="2:15" x14ac:dyDescent="0.45">
      <c r="B556" t="s">
        <v>719</v>
      </c>
      <c r="C556" t="s">
        <v>33</v>
      </c>
      <c r="D556">
        <v>8.3350075955687747E-2</v>
      </c>
      <c r="E556" t="s">
        <v>6</v>
      </c>
      <c r="G556" t="s">
        <v>720</v>
      </c>
      <c r="H556" t="s">
        <v>33</v>
      </c>
      <c r="I556">
        <v>8.2403311757940963E-3</v>
      </c>
      <c r="J556" t="s">
        <v>6</v>
      </c>
      <c r="L556" t="s">
        <v>721</v>
      </c>
      <c r="M556" t="s">
        <v>33</v>
      </c>
      <c r="N556">
        <v>1.7120728971462364E-2</v>
      </c>
      <c r="O556" t="s">
        <v>6</v>
      </c>
    </row>
    <row r="557" spans="2:15" x14ac:dyDescent="0.45">
      <c r="B557" t="s">
        <v>719</v>
      </c>
      <c r="C557" t="s">
        <v>34</v>
      </c>
      <c r="D557">
        <v>7.5940367956560131E-2</v>
      </c>
      <c r="E557" t="s">
        <v>6</v>
      </c>
      <c r="G557" t="s">
        <v>720</v>
      </c>
      <c r="H557" t="s">
        <v>34</v>
      </c>
      <c r="I557">
        <v>1.0225698974187592E-2</v>
      </c>
      <c r="J557" t="s">
        <v>6</v>
      </c>
      <c r="L557" t="s">
        <v>721</v>
      </c>
      <c r="M557" t="s">
        <v>34</v>
      </c>
      <c r="N557">
        <v>1.9955946241299958E-2</v>
      </c>
      <c r="O557" t="s">
        <v>6</v>
      </c>
    </row>
    <row r="558" spans="2:15" x14ac:dyDescent="0.45">
      <c r="B558" t="s">
        <v>719</v>
      </c>
      <c r="C558" t="s">
        <v>35</v>
      </c>
      <c r="D558">
        <v>5.0757661299494591E-2</v>
      </c>
      <c r="E558" t="s">
        <v>6</v>
      </c>
      <c r="G558" t="s">
        <v>720</v>
      </c>
      <c r="H558" t="s">
        <v>35</v>
      </c>
      <c r="I558">
        <v>1.3570300471533186E-2</v>
      </c>
      <c r="J558" t="s">
        <v>6</v>
      </c>
      <c r="L558" t="s">
        <v>721</v>
      </c>
      <c r="M558" t="s">
        <v>35</v>
      </c>
      <c r="N558">
        <v>2.2659718100016785E-2</v>
      </c>
      <c r="O558" t="s">
        <v>6</v>
      </c>
    </row>
    <row r="559" spans="2:15" x14ac:dyDescent="0.45">
      <c r="B559" t="s">
        <v>719</v>
      </c>
      <c r="C559" t="s">
        <v>36</v>
      </c>
      <c r="D559">
        <v>1.4434158237696192E-2</v>
      </c>
      <c r="E559" t="s">
        <v>6</v>
      </c>
      <c r="G559" t="s">
        <v>720</v>
      </c>
      <c r="H559" t="s">
        <v>36</v>
      </c>
      <c r="I559">
        <v>1.8727043488763247E-2</v>
      </c>
      <c r="J559" t="s">
        <v>6</v>
      </c>
      <c r="L559" t="s">
        <v>721</v>
      </c>
      <c r="M559" t="s">
        <v>36</v>
      </c>
      <c r="N559">
        <v>2.4125217509110505E-2</v>
      </c>
      <c r="O559" t="s">
        <v>6</v>
      </c>
    </row>
    <row r="560" spans="2:15" x14ac:dyDescent="0.45">
      <c r="B560" t="s">
        <v>719</v>
      </c>
      <c r="C560" t="s">
        <v>37</v>
      </c>
      <c r="D560">
        <v>1.9193240803598056E-4</v>
      </c>
      <c r="E560" t="s">
        <v>6</v>
      </c>
      <c r="G560" t="s">
        <v>720</v>
      </c>
      <c r="H560" t="s">
        <v>37</v>
      </c>
      <c r="I560">
        <v>3.9439989988722939E-2</v>
      </c>
      <c r="J560" t="s">
        <v>6</v>
      </c>
      <c r="L560" t="s">
        <v>721</v>
      </c>
      <c r="M560" t="s">
        <v>37</v>
      </c>
      <c r="N560">
        <v>3.4046792891047506E-2</v>
      </c>
      <c r="O560" t="s">
        <v>6</v>
      </c>
    </row>
    <row r="561" spans="2:15" x14ac:dyDescent="0.45">
      <c r="B561" t="s">
        <v>719</v>
      </c>
      <c r="C561" t="s">
        <v>38</v>
      </c>
      <c r="D561">
        <v>0</v>
      </c>
      <c r="E561" t="s">
        <v>6</v>
      </c>
      <c r="G561" t="s">
        <v>720</v>
      </c>
      <c r="H561" t="s">
        <v>38</v>
      </c>
      <c r="I561">
        <v>5.0883075395845925E-2</v>
      </c>
      <c r="J561" t="s">
        <v>6</v>
      </c>
      <c r="L561" t="s">
        <v>721</v>
      </c>
      <c r="M561" t="s">
        <v>38</v>
      </c>
      <c r="N561">
        <v>4.6450521160998202E-2</v>
      </c>
      <c r="O561" t="s">
        <v>6</v>
      </c>
    </row>
    <row r="562" spans="2:15" x14ac:dyDescent="0.45">
      <c r="B562" t="s">
        <v>719</v>
      </c>
      <c r="C562" t="s">
        <v>39</v>
      </c>
      <c r="D562">
        <v>0</v>
      </c>
      <c r="E562" t="s">
        <v>6</v>
      </c>
      <c r="G562" t="s">
        <v>720</v>
      </c>
      <c r="H562" t="s">
        <v>39</v>
      </c>
      <c r="I562">
        <v>1.8723296159991108E-2</v>
      </c>
      <c r="J562" t="s">
        <v>6</v>
      </c>
      <c r="L562" t="s">
        <v>721</v>
      </c>
      <c r="M562" t="s">
        <v>39</v>
      </c>
      <c r="N562">
        <v>1.7931715133373875E-2</v>
      </c>
      <c r="O562" t="s">
        <v>6</v>
      </c>
    </row>
    <row r="563" spans="2:15" x14ac:dyDescent="0.45">
      <c r="B563" t="s">
        <v>719</v>
      </c>
      <c r="C563" t="s">
        <v>40</v>
      </c>
      <c r="D563">
        <v>3.4403691533981603E-4</v>
      </c>
      <c r="E563" t="s">
        <v>6</v>
      </c>
      <c r="G563" t="s">
        <v>720</v>
      </c>
      <c r="H563" t="s">
        <v>40</v>
      </c>
      <c r="I563">
        <v>1.8617900741433088E-2</v>
      </c>
      <c r="J563" t="s">
        <v>6</v>
      </c>
      <c r="L563" t="s">
        <v>721</v>
      </c>
      <c r="M563" t="s">
        <v>40</v>
      </c>
      <c r="N563">
        <v>1.7428637045361534E-2</v>
      </c>
      <c r="O563" t="s">
        <v>6</v>
      </c>
    </row>
    <row r="564" spans="2:15" x14ac:dyDescent="0.45">
      <c r="B564" t="s">
        <v>719</v>
      </c>
      <c r="C564" t="s">
        <v>41</v>
      </c>
      <c r="D564">
        <v>2.1256852305360733E-2</v>
      </c>
      <c r="E564" t="s">
        <v>6</v>
      </c>
      <c r="G564" t="s">
        <v>720</v>
      </c>
      <c r="H564" t="s">
        <v>41</v>
      </c>
      <c r="I564">
        <v>1.6460239940707826E-2</v>
      </c>
      <c r="J564" t="s">
        <v>6</v>
      </c>
      <c r="L564" t="s">
        <v>721</v>
      </c>
      <c r="M564" t="s">
        <v>41</v>
      </c>
      <c r="N564">
        <v>1.6405253441916415E-2</v>
      </c>
      <c r="O564" t="s">
        <v>6</v>
      </c>
    </row>
    <row r="565" spans="2:15" x14ac:dyDescent="0.45">
      <c r="B565" t="s">
        <v>719</v>
      </c>
      <c r="C565" t="s">
        <v>42</v>
      </c>
      <c r="D565">
        <v>5.4432748684156679E-2</v>
      </c>
      <c r="E565" t="s">
        <v>6</v>
      </c>
      <c r="G565" t="s">
        <v>720</v>
      </c>
      <c r="H565" t="s">
        <v>42</v>
      </c>
      <c r="I565">
        <v>1.6367511495302686E-2</v>
      </c>
      <c r="J565" t="s">
        <v>6</v>
      </c>
      <c r="L565" t="s">
        <v>721</v>
      </c>
      <c r="M565" t="s">
        <v>42</v>
      </c>
      <c r="N565">
        <v>1.5774743568729072E-2</v>
      </c>
      <c r="O565" t="s">
        <v>6</v>
      </c>
    </row>
    <row r="566" spans="2:15" x14ac:dyDescent="0.45">
      <c r="B566" t="s">
        <v>719</v>
      </c>
      <c r="C566" t="s">
        <v>43</v>
      </c>
      <c r="D566">
        <v>6.7561155417674226E-2</v>
      </c>
      <c r="E566" t="s">
        <v>6</v>
      </c>
      <c r="G566" t="s">
        <v>720</v>
      </c>
      <c r="H566" t="s">
        <v>43</v>
      </c>
      <c r="I566">
        <v>1.963070608951651E-2</v>
      </c>
      <c r="J566" t="s">
        <v>6</v>
      </c>
      <c r="L566" t="s">
        <v>721</v>
      </c>
      <c r="M566" t="s">
        <v>43</v>
      </c>
      <c r="N566">
        <v>1.6158240899864208E-2</v>
      </c>
      <c r="O566" t="s">
        <v>6</v>
      </c>
    </row>
    <row r="567" spans="2:15" x14ac:dyDescent="0.45">
      <c r="B567" t="s">
        <v>719</v>
      </c>
      <c r="C567" t="s">
        <v>44</v>
      </c>
      <c r="D567">
        <v>5.7466435088897462E-2</v>
      </c>
      <c r="E567" t="s">
        <v>6</v>
      </c>
      <c r="G567" t="s">
        <v>720</v>
      </c>
      <c r="H567" t="s">
        <v>44</v>
      </c>
      <c r="I567">
        <v>2.087881433020803E-2</v>
      </c>
      <c r="J567" t="s">
        <v>6</v>
      </c>
      <c r="L567" t="s">
        <v>721</v>
      </c>
      <c r="M567" t="s">
        <v>44</v>
      </c>
      <c r="N567">
        <v>1.7245185017023594E-2</v>
      </c>
      <c r="O567" t="s">
        <v>6</v>
      </c>
    </row>
    <row r="568" spans="2:15" x14ac:dyDescent="0.45">
      <c r="B568" t="s">
        <v>719</v>
      </c>
      <c r="C568" t="s">
        <v>45</v>
      </c>
      <c r="D568">
        <v>2.8997735703774515E-2</v>
      </c>
      <c r="E568" t="s">
        <v>6</v>
      </c>
      <c r="G568" t="s">
        <v>720</v>
      </c>
      <c r="H568" t="s">
        <v>45</v>
      </c>
      <c r="I568">
        <v>1.9226417699393605E-2</v>
      </c>
      <c r="J568" t="s">
        <v>6</v>
      </c>
      <c r="L568" t="s">
        <v>721</v>
      </c>
      <c r="M568" t="s">
        <v>45</v>
      </c>
      <c r="N568">
        <v>1.8286339048724634E-2</v>
      </c>
      <c r="O568" t="s">
        <v>6</v>
      </c>
    </row>
    <row r="569" spans="2:15" x14ac:dyDescent="0.45">
      <c r="B569" t="s">
        <v>719</v>
      </c>
      <c r="C569" t="s">
        <v>46</v>
      </c>
      <c r="D569">
        <v>2.4324697277244138E-3</v>
      </c>
      <c r="E569" t="s">
        <v>6</v>
      </c>
      <c r="G569" t="s">
        <v>720</v>
      </c>
      <c r="H569" t="s">
        <v>46</v>
      </c>
      <c r="I569">
        <v>2.086927128024187E-2</v>
      </c>
      <c r="J569" t="s">
        <v>6</v>
      </c>
      <c r="L569" t="s">
        <v>721</v>
      </c>
      <c r="M569" t="s">
        <v>46</v>
      </c>
      <c r="N569">
        <v>1.914481502599585E-2</v>
      </c>
      <c r="O569" t="s">
        <v>6</v>
      </c>
    </row>
    <row r="570" spans="2:15" x14ac:dyDescent="0.45">
      <c r="B570" t="s">
        <v>719</v>
      </c>
      <c r="C570" t="s">
        <v>47</v>
      </c>
      <c r="D570">
        <v>0</v>
      </c>
      <c r="E570" t="s">
        <v>6</v>
      </c>
      <c r="G570" t="s">
        <v>720</v>
      </c>
      <c r="H570" t="s">
        <v>47</v>
      </c>
      <c r="I570">
        <v>3.4356270778502777E-2</v>
      </c>
      <c r="J570" t="s">
        <v>6</v>
      </c>
      <c r="L570" t="s">
        <v>721</v>
      </c>
      <c r="M570" t="s">
        <v>47</v>
      </c>
      <c r="N570">
        <v>2.8675132385055119E-2</v>
      </c>
      <c r="O570" t="s">
        <v>6</v>
      </c>
    </row>
    <row r="571" spans="2:15" x14ac:dyDescent="0.45">
      <c r="B571" t="s">
        <v>722</v>
      </c>
      <c r="C571" t="s">
        <v>5</v>
      </c>
      <c r="D571">
        <v>0</v>
      </c>
      <c r="E571" t="s">
        <v>6</v>
      </c>
      <c r="G571" t="s">
        <v>723</v>
      </c>
      <c r="H571" t="s">
        <v>5</v>
      </c>
      <c r="I571">
        <v>5.6558380482245964E-2</v>
      </c>
      <c r="J571" t="s">
        <v>6</v>
      </c>
      <c r="L571" t="s">
        <v>724</v>
      </c>
      <c r="M571" t="s">
        <v>5</v>
      </c>
      <c r="N571">
        <v>5.3042084488577869E-2</v>
      </c>
      <c r="O571" t="s">
        <v>6</v>
      </c>
    </row>
    <row r="572" spans="2:15" x14ac:dyDescent="0.45">
      <c r="B572" t="s">
        <v>722</v>
      </c>
      <c r="C572" t="s">
        <v>9</v>
      </c>
      <c r="D572">
        <v>0</v>
      </c>
      <c r="E572" t="s">
        <v>6</v>
      </c>
      <c r="G572" t="s">
        <v>723</v>
      </c>
      <c r="H572" t="s">
        <v>9</v>
      </c>
      <c r="I572">
        <v>2.2444792110524747E-2</v>
      </c>
      <c r="J572" t="s">
        <v>6</v>
      </c>
      <c r="L572" t="s">
        <v>724</v>
      </c>
      <c r="M572" t="s">
        <v>9</v>
      </c>
      <c r="N572">
        <v>2.0004988920309497E-2</v>
      </c>
      <c r="O572" t="s">
        <v>6</v>
      </c>
    </row>
    <row r="573" spans="2:15" x14ac:dyDescent="0.45">
      <c r="B573" t="s">
        <v>722</v>
      </c>
      <c r="C573" t="s">
        <v>10</v>
      </c>
      <c r="D573">
        <v>0</v>
      </c>
      <c r="E573" t="s">
        <v>6</v>
      </c>
      <c r="G573" t="s">
        <v>723</v>
      </c>
      <c r="H573" t="s">
        <v>10</v>
      </c>
      <c r="I573">
        <v>2.2223959496063064E-2</v>
      </c>
      <c r="J573" t="s">
        <v>6</v>
      </c>
      <c r="L573" t="s">
        <v>724</v>
      </c>
      <c r="M573" t="s">
        <v>10</v>
      </c>
      <c r="N573">
        <v>1.9594376790199479E-2</v>
      </c>
      <c r="O573" t="s">
        <v>6</v>
      </c>
    </row>
    <row r="574" spans="2:15" x14ac:dyDescent="0.45">
      <c r="B574" t="s">
        <v>722</v>
      </c>
      <c r="C574" t="s">
        <v>11</v>
      </c>
      <c r="D574">
        <v>8.6319044681150373E-3</v>
      </c>
      <c r="E574" t="s">
        <v>6</v>
      </c>
      <c r="G574" t="s">
        <v>723</v>
      </c>
      <c r="H574" t="s">
        <v>11</v>
      </c>
      <c r="I574">
        <v>2.19942404254987E-2</v>
      </c>
      <c r="J574" t="s">
        <v>6</v>
      </c>
      <c r="L574" t="s">
        <v>724</v>
      </c>
      <c r="M574" t="s">
        <v>11</v>
      </c>
      <c r="N574">
        <v>1.9198775210109795E-2</v>
      </c>
      <c r="O574" t="s">
        <v>6</v>
      </c>
    </row>
    <row r="575" spans="2:15" x14ac:dyDescent="0.45">
      <c r="B575" t="s">
        <v>722</v>
      </c>
      <c r="C575" t="s">
        <v>12</v>
      </c>
      <c r="D575">
        <v>3.9727780974737462E-2</v>
      </c>
      <c r="E575" t="s">
        <v>6</v>
      </c>
      <c r="G575" t="s">
        <v>723</v>
      </c>
      <c r="H575" t="s">
        <v>12</v>
      </c>
      <c r="I575">
        <v>2.0059115930595856E-2</v>
      </c>
      <c r="J575" t="s">
        <v>6</v>
      </c>
      <c r="L575" t="s">
        <v>724</v>
      </c>
      <c r="M575" t="s">
        <v>12</v>
      </c>
      <c r="N575">
        <v>1.9620193352475168E-2</v>
      </c>
      <c r="O575" t="s">
        <v>6</v>
      </c>
    </row>
    <row r="576" spans="2:15" x14ac:dyDescent="0.45">
      <c r="B576" t="s">
        <v>722</v>
      </c>
      <c r="C576" t="s">
        <v>13</v>
      </c>
      <c r="D576">
        <v>5.5494206168121667E-2</v>
      </c>
      <c r="E576" t="s">
        <v>6</v>
      </c>
      <c r="G576" t="s">
        <v>723</v>
      </c>
      <c r="H576" t="s">
        <v>13</v>
      </c>
      <c r="I576">
        <v>2.2419411594561081E-2</v>
      </c>
      <c r="J576" t="s">
        <v>6</v>
      </c>
      <c r="L576" t="s">
        <v>724</v>
      </c>
      <c r="M576" t="s">
        <v>13</v>
      </c>
      <c r="N576">
        <v>2.1443028332869644E-2</v>
      </c>
      <c r="O576" t="s">
        <v>6</v>
      </c>
    </row>
    <row r="577" spans="2:15" x14ac:dyDescent="0.45">
      <c r="B577" t="s">
        <v>722</v>
      </c>
      <c r="C577" t="s">
        <v>14</v>
      </c>
      <c r="D577">
        <v>4.9500262855105434E-2</v>
      </c>
      <c r="E577" t="s">
        <v>6</v>
      </c>
      <c r="G577" t="s">
        <v>723</v>
      </c>
      <c r="H577" t="s">
        <v>14</v>
      </c>
      <c r="I577">
        <v>2.4033591800743163E-2</v>
      </c>
      <c r="J577" t="s">
        <v>6</v>
      </c>
      <c r="L577" t="s">
        <v>724</v>
      </c>
      <c r="M577" t="s">
        <v>14</v>
      </c>
      <c r="N577">
        <v>2.2394947950192267E-2</v>
      </c>
      <c r="O577" t="s">
        <v>6</v>
      </c>
    </row>
    <row r="578" spans="2:15" x14ac:dyDescent="0.45">
      <c r="B578" t="s">
        <v>722</v>
      </c>
      <c r="C578" t="s">
        <v>15</v>
      </c>
      <c r="D578">
        <v>2.4839883191067245E-2</v>
      </c>
      <c r="E578" t="s">
        <v>6</v>
      </c>
      <c r="G578" t="s">
        <v>723</v>
      </c>
      <c r="H578" t="s">
        <v>15</v>
      </c>
      <c r="I578">
        <v>2.51574725971557E-2</v>
      </c>
      <c r="J578" t="s">
        <v>6</v>
      </c>
      <c r="L578" t="s">
        <v>724</v>
      </c>
      <c r="M578" t="s">
        <v>15</v>
      </c>
      <c r="N578">
        <v>2.2495776865412872E-2</v>
      </c>
      <c r="O578" t="s">
        <v>6</v>
      </c>
    </row>
    <row r="579" spans="2:15" x14ac:dyDescent="0.45">
      <c r="B579" t="s">
        <v>722</v>
      </c>
      <c r="C579" t="s">
        <v>16</v>
      </c>
      <c r="D579">
        <v>1.5409967903600428E-3</v>
      </c>
      <c r="E579" t="s">
        <v>6</v>
      </c>
      <c r="G579" t="s">
        <v>723</v>
      </c>
      <c r="H579" t="s">
        <v>16</v>
      </c>
      <c r="I579">
        <v>2.5044752621580246E-2</v>
      </c>
      <c r="J579" t="s">
        <v>6</v>
      </c>
      <c r="L579" t="s">
        <v>724</v>
      </c>
      <c r="M579" t="s">
        <v>16</v>
      </c>
      <c r="N579">
        <v>2.2315509693233832E-2</v>
      </c>
      <c r="O579" t="s">
        <v>6</v>
      </c>
    </row>
    <row r="580" spans="2:15" x14ac:dyDescent="0.45">
      <c r="B580" t="s">
        <v>722</v>
      </c>
      <c r="C580" t="s">
        <v>17</v>
      </c>
      <c r="D580">
        <v>0</v>
      </c>
      <c r="E580" t="s">
        <v>6</v>
      </c>
      <c r="G580" t="s">
        <v>723</v>
      </c>
      <c r="H580" t="s">
        <v>17</v>
      </c>
      <c r="I580">
        <v>3.4668174725983616E-2</v>
      </c>
      <c r="J580" t="s">
        <v>6</v>
      </c>
      <c r="L580" t="s">
        <v>724</v>
      </c>
      <c r="M580" t="s">
        <v>17</v>
      </c>
      <c r="N580">
        <v>3.3074166746018235E-2</v>
      </c>
      <c r="O580" t="s">
        <v>6</v>
      </c>
    </row>
    <row r="581" spans="2:15" x14ac:dyDescent="0.45">
      <c r="B581" t="s">
        <v>722</v>
      </c>
      <c r="C581" t="s">
        <v>18</v>
      </c>
      <c r="D581">
        <v>0</v>
      </c>
      <c r="E581" t="s">
        <v>6</v>
      </c>
      <c r="G581" t="s">
        <v>723</v>
      </c>
      <c r="H581" t="s">
        <v>18</v>
      </c>
      <c r="I581">
        <v>5.0746996460550427E-2</v>
      </c>
      <c r="J581" t="s">
        <v>6</v>
      </c>
      <c r="L581" t="s">
        <v>724</v>
      </c>
      <c r="M581" t="s">
        <v>18</v>
      </c>
      <c r="N581">
        <v>5.904842375454953E-2</v>
      </c>
      <c r="O581" t="s">
        <v>6</v>
      </c>
    </row>
    <row r="582" spans="2:15" x14ac:dyDescent="0.45">
      <c r="B582" t="s">
        <v>722</v>
      </c>
      <c r="C582" t="s">
        <v>19</v>
      </c>
      <c r="D582">
        <v>0</v>
      </c>
      <c r="E582" t="s">
        <v>6</v>
      </c>
      <c r="G582" t="s">
        <v>723</v>
      </c>
      <c r="H582" t="s">
        <v>19</v>
      </c>
      <c r="I582">
        <v>1.8697671344129679E-2</v>
      </c>
      <c r="J582" t="s">
        <v>6</v>
      </c>
      <c r="L582" t="s">
        <v>724</v>
      </c>
      <c r="M582" t="s">
        <v>19</v>
      </c>
      <c r="N582">
        <v>2.2269317626554153E-2</v>
      </c>
      <c r="O582" t="s">
        <v>6</v>
      </c>
    </row>
    <row r="583" spans="2:15" x14ac:dyDescent="0.45">
      <c r="B583" t="s">
        <v>722</v>
      </c>
      <c r="C583" t="s">
        <v>20</v>
      </c>
      <c r="D583">
        <v>1.9619033473961458E-3</v>
      </c>
      <c r="E583" t="s">
        <v>6</v>
      </c>
      <c r="G583" t="s">
        <v>723</v>
      </c>
      <c r="H583" t="s">
        <v>20</v>
      </c>
      <c r="I583">
        <v>1.8645473898703784E-2</v>
      </c>
      <c r="J583" t="s">
        <v>6</v>
      </c>
      <c r="L583" t="s">
        <v>724</v>
      </c>
      <c r="M583" t="s">
        <v>20</v>
      </c>
      <c r="N583">
        <v>2.1732247210594562E-2</v>
      </c>
      <c r="O583" t="s">
        <v>6</v>
      </c>
    </row>
    <row r="584" spans="2:15" x14ac:dyDescent="0.45">
      <c r="B584" t="s">
        <v>722</v>
      </c>
      <c r="C584" t="s">
        <v>21</v>
      </c>
      <c r="D584">
        <v>2.6589264662160491E-2</v>
      </c>
      <c r="E584" t="s">
        <v>6</v>
      </c>
      <c r="G584" t="s">
        <v>723</v>
      </c>
      <c r="H584" t="s">
        <v>21</v>
      </c>
      <c r="I584">
        <v>1.8795875373165693E-2</v>
      </c>
      <c r="J584" t="s">
        <v>6</v>
      </c>
      <c r="L584" t="s">
        <v>724</v>
      </c>
      <c r="M584" t="s">
        <v>21</v>
      </c>
      <c r="N584">
        <v>2.1052964113103839E-2</v>
      </c>
      <c r="O584" t="s">
        <v>6</v>
      </c>
    </row>
    <row r="585" spans="2:15" x14ac:dyDescent="0.45">
      <c r="B585" t="s">
        <v>722</v>
      </c>
      <c r="C585" t="s">
        <v>22</v>
      </c>
      <c r="D585">
        <v>5.6073103996342383E-2</v>
      </c>
      <c r="E585" t="s">
        <v>6</v>
      </c>
      <c r="G585" t="s">
        <v>723</v>
      </c>
      <c r="H585" t="s">
        <v>22</v>
      </c>
      <c r="I585">
        <v>2.1455515924494472E-2</v>
      </c>
      <c r="J585" t="s">
        <v>6</v>
      </c>
      <c r="L585" t="s">
        <v>724</v>
      </c>
      <c r="M585" t="s">
        <v>22</v>
      </c>
      <c r="N585">
        <v>2.1622831315373445E-2</v>
      </c>
      <c r="O585" t="s">
        <v>6</v>
      </c>
    </row>
    <row r="586" spans="2:15" x14ac:dyDescent="0.45">
      <c r="B586" t="s">
        <v>722</v>
      </c>
      <c r="C586" t="s">
        <v>23</v>
      </c>
      <c r="D586">
        <v>6.8918696203805252E-2</v>
      </c>
      <c r="E586" t="s">
        <v>6</v>
      </c>
      <c r="G586" t="s">
        <v>723</v>
      </c>
      <c r="H586" t="s">
        <v>23</v>
      </c>
      <c r="I586">
        <v>2.7607195143315378E-2</v>
      </c>
      <c r="J586" t="s">
        <v>6</v>
      </c>
      <c r="L586" t="s">
        <v>724</v>
      </c>
      <c r="M586" t="s">
        <v>23</v>
      </c>
      <c r="N586">
        <v>2.4528679677500474E-2</v>
      </c>
      <c r="O586" t="s">
        <v>6</v>
      </c>
    </row>
    <row r="587" spans="2:15" x14ac:dyDescent="0.45">
      <c r="B587" t="s">
        <v>722</v>
      </c>
      <c r="C587" t="s">
        <v>24</v>
      </c>
      <c r="D587">
        <v>6.2788848093128236E-2</v>
      </c>
      <c r="E587" t="s">
        <v>6</v>
      </c>
      <c r="G587" t="s">
        <v>723</v>
      </c>
      <c r="H587" t="s">
        <v>24</v>
      </c>
      <c r="I587">
        <v>3.2786402310739447E-2</v>
      </c>
      <c r="J587" t="s">
        <v>6</v>
      </c>
      <c r="L587" t="s">
        <v>724</v>
      </c>
      <c r="M587" t="s">
        <v>24</v>
      </c>
      <c r="N587">
        <v>2.6450117866006762E-2</v>
      </c>
      <c r="O587" t="s">
        <v>6</v>
      </c>
    </row>
    <row r="588" spans="2:15" x14ac:dyDescent="0.45">
      <c r="B588" t="s">
        <v>722</v>
      </c>
      <c r="C588" t="s">
        <v>25</v>
      </c>
      <c r="D588">
        <v>3.8744702065192323E-2</v>
      </c>
      <c r="E588" t="s">
        <v>6</v>
      </c>
      <c r="G588" t="s">
        <v>723</v>
      </c>
      <c r="H588" t="s">
        <v>25</v>
      </c>
      <c r="I588">
        <v>3.294809743563766E-2</v>
      </c>
      <c r="J588" t="s">
        <v>6</v>
      </c>
      <c r="L588" t="s">
        <v>724</v>
      </c>
      <c r="M588" t="s">
        <v>25</v>
      </c>
      <c r="N588">
        <v>2.6762106387857088E-2</v>
      </c>
      <c r="O588" t="s">
        <v>6</v>
      </c>
    </row>
    <row r="589" spans="2:15" x14ac:dyDescent="0.45">
      <c r="B589" t="s">
        <v>722</v>
      </c>
      <c r="C589" t="s">
        <v>26</v>
      </c>
      <c r="D589">
        <v>8.4093008023752788E-3</v>
      </c>
      <c r="E589" t="s">
        <v>6</v>
      </c>
      <c r="G589" t="s">
        <v>723</v>
      </c>
      <c r="H589" t="s">
        <v>26</v>
      </c>
      <c r="I589">
        <v>2.9315284301069292E-2</v>
      </c>
      <c r="J589" t="s">
        <v>6</v>
      </c>
      <c r="L589" t="s">
        <v>724</v>
      </c>
      <c r="M589" t="s">
        <v>26</v>
      </c>
      <c r="N589">
        <v>2.6035718712093911E-2</v>
      </c>
      <c r="O589" t="s">
        <v>6</v>
      </c>
    </row>
    <row r="590" spans="2:15" x14ac:dyDescent="0.45">
      <c r="B590" t="s">
        <v>722</v>
      </c>
      <c r="C590" t="s">
        <v>27</v>
      </c>
      <c r="D590">
        <v>8.6358432339605938E-6</v>
      </c>
      <c r="E590" t="s">
        <v>6</v>
      </c>
      <c r="G590" t="s">
        <v>723</v>
      </c>
      <c r="H590" t="s">
        <v>27</v>
      </c>
      <c r="I590">
        <v>3.7189606055878892E-2</v>
      </c>
      <c r="J590" t="s">
        <v>6</v>
      </c>
      <c r="L590" t="s">
        <v>724</v>
      </c>
      <c r="M590" t="s">
        <v>27</v>
      </c>
      <c r="N590">
        <v>3.7694884735734159E-2</v>
      </c>
      <c r="O590" t="s">
        <v>6</v>
      </c>
    </row>
    <row r="591" spans="2:15" x14ac:dyDescent="0.45">
      <c r="B591" t="s">
        <v>722</v>
      </c>
      <c r="C591" t="s">
        <v>28</v>
      </c>
      <c r="D591">
        <v>0</v>
      </c>
      <c r="E591" t="s">
        <v>6</v>
      </c>
      <c r="G591" t="s">
        <v>723</v>
      </c>
      <c r="H591" t="s">
        <v>28</v>
      </c>
      <c r="I591">
        <v>2.5004842089360164E-2</v>
      </c>
      <c r="J591" t="s">
        <v>6</v>
      </c>
      <c r="L591" t="s">
        <v>724</v>
      </c>
      <c r="M591" t="s">
        <v>28</v>
      </c>
      <c r="N591">
        <v>4.0521556175800603E-2</v>
      </c>
      <c r="O591" t="s">
        <v>6</v>
      </c>
    </row>
    <row r="592" spans="2:15" x14ac:dyDescent="0.45">
      <c r="B592" t="s">
        <v>722</v>
      </c>
      <c r="C592" t="s">
        <v>29</v>
      </c>
      <c r="D592">
        <v>0</v>
      </c>
      <c r="E592" t="s">
        <v>6</v>
      </c>
      <c r="G592" t="s">
        <v>723</v>
      </c>
      <c r="H592" t="s">
        <v>29</v>
      </c>
      <c r="I592">
        <v>8.7121125471172813E-3</v>
      </c>
      <c r="J592" t="s">
        <v>6</v>
      </c>
      <c r="L592" t="s">
        <v>724</v>
      </c>
      <c r="M592" t="s">
        <v>29</v>
      </c>
      <c r="N592">
        <v>1.461559488132283E-2</v>
      </c>
      <c r="O592" t="s">
        <v>6</v>
      </c>
    </row>
    <row r="593" spans="2:15" x14ac:dyDescent="0.45">
      <c r="B593" t="s">
        <v>722</v>
      </c>
      <c r="C593" t="s">
        <v>30</v>
      </c>
      <c r="D593">
        <v>3.1944097357667583E-3</v>
      </c>
      <c r="E593" t="s">
        <v>6</v>
      </c>
      <c r="G593" t="s">
        <v>723</v>
      </c>
      <c r="H593" t="s">
        <v>30</v>
      </c>
      <c r="I593">
        <v>8.3847588414202867E-3</v>
      </c>
      <c r="J593" t="s">
        <v>6</v>
      </c>
      <c r="L593" t="s">
        <v>724</v>
      </c>
      <c r="M593" t="s">
        <v>30</v>
      </c>
      <c r="N593">
        <v>1.3542150387879518E-2</v>
      </c>
      <c r="O593" t="s">
        <v>6</v>
      </c>
    </row>
    <row r="594" spans="2:15" x14ac:dyDescent="0.45">
      <c r="B594" t="s">
        <v>722</v>
      </c>
      <c r="C594" t="s">
        <v>31</v>
      </c>
      <c r="D594">
        <v>3.4620754220272852E-2</v>
      </c>
      <c r="E594" t="s">
        <v>6</v>
      </c>
      <c r="G594" t="s">
        <v>723</v>
      </c>
      <c r="H594" t="s">
        <v>31</v>
      </c>
      <c r="I594">
        <v>9.702461183803808E-3</v>
      </c>
      <c r="J594" t="s">
        <v>6</v>
      </c>
      <c r="L594" t="s">
        <v>724</v>
      </c>
      <c r="M594" t="s">
        <v>31</v>
      </c>
      <c r="N594">
        <v>1.2469721744660043E-2</v>
      </c>
      <c r="O594" t="s">
        <v>6</v>
      </c>
    </row>
    <row r="595" spans="2:15" x14ac:dyDescent="0.45">
      <c r="B595" t="s">
        <v>722</v>
      </c>
      <c r="C595" t="s">
        <v>32</v>
      </c>
      <c r="D595">
        <v>6.682339500366169E-2</v>
      </c>
      <c r="E595" t="s">
        <v>6</v>
      </c>
      <c r="G595" t="s">
        <v>723</v>
      </c>
      <c r="H595" t="s">
        <v>32</v>
      </c>
      <c r="I595">
        <v>1.1383155365026893E-2</v>
      </c>
      <c r="J595" t="s">
        <v>6</v>
      </c>
      <c r="L595" t="s">
        <v>724</v>
      </c>
      <c r="M595" t="s">
        <v>32</v>
      </c>
      <c r="N595">
        <v>1.3460111384035661E-2</v>
      </c>
      <c r="O595" t="s">
        <v>6</v>
      </c>
    </row>
    <row r="596" spans="2:15" x14ac:dyDescent="0.45">
      <c r="B596" t="s">
        <v>722</v>
      </c>
      <c r="C596" t="s">
        <v>33</v>
      </c>
      <c r="D596">
        <v>8.0558144580330504E-2</v>
      </c>
      <c r="E596" t="s">
        <v>6</v>
      </c>
      <c r="G596" t="s">
        <v>723</v>
      </c>
      <c r="H596" t="s">
        <v>33</v>
      </c>
      <c r="I596">
        <v>1.6118255212500369E-2</v>
      </c>
      <c r="J596" t="s">
        <v>6</v>
      </c>
      <c r="L596" t="s">
        <v>724</v>
      </c>
      <c r="M596" t="s">
        <v>33</v>
      </c>
      <c r="N596">
        <v>1.5907064741164351E-2</v>
      </c>
      <c r="O596" t="s">
        <v>6</v>
      </c>
    </row>
    <row r="597" spans="2:15" x14ac:dyDescent="0.45">
      <c r="B597" t="s">
        <v>722</v>
      </c>
      <c r="C597" t="s">
        <v>34</v>
      </c>
      <c r="D597">
        <v>7.4485593433515448E-2</v>
      </c>
      <c r="E597" t="s">
        <v>6</v>
      </c>
      <c r="G597" t="s">
        <v>723</v>
      </c>
      <c r="H597" t="s">
        <v>34</v>
      </c>
      <c r="I597">
        <v>1.8135004762644593E-2</v>
      </c>
      <c r="J597" t="s">
        <v>6</v>
      </c>
      <c r="L597" t="s">
        <v>724</v>
      </c>
      <c r="M597" t="s">
        <v>34</v>
      </c>
      <c r="N597">
        <v>1.846556723688355E-2</v>
      </c>
      <c r="O597" t="s">
        <v>6</v>
      </c>
    </row>
    <row r="598" spans="2:15" x14ac:dyDescent="0.45">
      <c r="B598" t="s">
        <v>722</v>
      </c>
      <c r="C598" t="s">
        <v>35</v>
      </c>
      <c r="D598">
        <v>5.0506090983294755E-2</v>
      </c>
      <c r="E598" t="s">
        <v>6</v>
      </c>
      <c r="G598" t="s">
        <v>723</v>
      </c>
      <c r="H598" t="s">
        <v>35</v>
      </c>
      <c r="I598">
        <v>1.6653146125424869E-2</v>
      </c>
      <c r="J598" t="s">
        <v>6</v>
      </c>
      <c r="L598" t="s">
        <v>724</v>
      </c>
      <c r="M598" t="s">
        <v>35</v>
      </c>
      <c r="N598">
        <v>1.9977592272973618E-2</v>
      </c>
      <c r="O598" t="s">
        <v>6</v>
      </c>
    </row>
    <row r="599" spans="2:15" x14ac:dyDescent="0.45">
      <c r="B599" t="s">
        <v>722</v>
      </c>
      <c r="C599" t="s">
        <v>36</v>
      </c>
      <c r="D599">
        <v>1.4245671542732135E-2</v>
      </c>
      <c r="E599" t="s">
        <v>6</v>
      </c>
      <c r="G599" t="s">
        <v>723</v>
      </c>
      <c r="H599" t="s">
        <v>36</v>
      </c>
      <c r="I599">
        <v>1.4435965996310108E-2</v>
      </c>
      <c r="J599" t="s">
        <v>6</v>
      </c>
      <c r="L599" t="s">
        <v>724</v>
      </c>
      <c r="M599" t="s">
        <v>36</v>
      </c>
      <c r="N599">
        <v>2.0253158543979567E-2</v>
      </c>
      <c r="O599" t="s">
        <v>6</v>
      </c>
    </row>
    <row r="600" spans="2:15" x14ac:dyDescent="0.45">
      <c r="B600" t="s">
        <v>722</v>
      </c>
      <c r="C600" t="s">
        <v>37</v>
      </c>
      <c r="D600">
        <v>1.603725611963041E-4</v>
      </c>
      <c r="E600" t="s">
        <v>6</v>
      </c>
      <c r="G600" t="s">
        <v>723</v>
      </c>
      <c r="H600" t="s">
        <v>37</v>
      </c>
      <c r="I600">
        <v>1.8341537469138955E-2</v>
      </c>
      <c r="J600" t="s">
        <v>6</v>
      </c>
      <c r="L600" t="s">
        <v>724</v>
      </c>
      <c r="M600" t="s">
        <v>37</v>
      </c>
      <c r="N600">
        <v>2.7905546485716488E-2</v>
      </c>
      <c r="O600" t="s">
        <v>6</v>
      </c>
    </row>
    <row r="601" spans="2:15" x14ac:dyDescent="0.45">
      <c r="B601" t="s">
        <v>722</v>
      </c>
      <c r="C601" t="s">
        <v>38</v>
      </c>
      <c r="D601">
        <v>0</v>
      </c>
      <c r="E601" t="s">
        <v>6</v>
      </c>
      <c r="G601" t="s">
        <v>723</v>
      </c>
      <c r="H601" t="s">
        <v>38</v>
      </c>
      <c r="I601">
        <v>5.7602241752665262E-2</v>
      </c>
      <c r="J601" t="s">
        <v>6</v>
      </c>
      <c r="L601" t="s">
        <v>724</v>
      </c>
      <c r="M601" t="s">
        <v>38</v>
      </c>
      <c r="N601">
        <v>5.3676745565059199E-2</v>
      </c>
      <c r="O601" t="s">
        <v>6</v>
      </c>
    </row>
    <row r="602" spans="2:15" x14ac:dyDescent="0.45">
      <c r="B602" t="s">
        <v>722</v>
      </c>
      <c r="C602" t="s">
        <v>39</v>
      </c>
      <c r="D602">
        <v>0</v>
      </c>
      <c r="E602" t="s">
        <v>6</v>
      </c>
      <c r="G602" t="s">
        <v>723</v>
      </c>
      <c r="H602" t="s">
        <v>39</v>
      </c>
      <c r="I602">
        <v>2.3557992759875999E-2</v>
      </c>
      <c r="J602" t="s">
        <v>6</v>
      </c>
      <c r="L602" t="s">
        <v>724</v>
      </c>
      <c r="M602" t="s">
        <v>39</v>
      </c>
      <c r="N602">
        <v>2.0476142561813345E-2</v>
      </c>
      <c r="O602" t="s">
        <v>6</v>
      </c>
    </row>
    <row r="603" spans="2:15" x14ac:dyDescent="0.45">
      <c r="B603" t="s">
        <v>722</v>
      </c>
      <c r="C603" t="s">
        <v>40</v>
      </c>
      <c r="D603">
        <v>3.119302387798734E-4</v>
      </c>
      <c r="E603" t="s">
        <v>6</v>
      </c>
      <c r="G603" t="s">
        <v>723</v>
      </c>
      <c r="H603" t="s">
        <v>40</v>
      </c>
      <c r="I603">
        <v>2.4094218522002768E-2</v>
      </c>
      <c r="J603" t="s">
        <v>6</v>
      </c>
      <c r="L603" t="s">
        <v>724</v>
      </c>
      <c r="M603" t="s">
        <v>40</v>
      </c>
      <c r="N603">
        <v>2.0229453569921715E-2</v>
      </c>
      <c r="O603" t="s">
        <v>6</v>
      </c>
    </row>
    <row r="604" spans="2:15" x14ac:dyDescent="0.45">
      <c r="B604" t="s">
        <v>722</v>
      </c>
      <c r="C604" t="s">
        <v>41</v>
      </c>
      <c r="D604">
        <v>2.156153389382872E-2</v>
      </c>
      <c r="E604" t="s">
        <v>6</v>
      </c>
      <c r="G604" t="s">
        <v>723</v>
      </c>
      <c r="H604" t="s">
        <v>41</v>
      </c>
      <c r="I604">
        <v>2.3273236858655195E-2</v>
      </c>
      <c r="J604" t="s">
        <v>6</v>
      </c>
      <c r="L604" t="s">
        <v>724</v>
      </c>
      <c r="M604" t="s">
        <v>41</v>
      </c>
      <c r="N604">
        <v>1.96226678130575E-2</v>
      </c>
      <c r="O604" t="s">
        <v>6</v>
      </c>
    </row>
    <row r="605" spans="2:15" x14ac:dyDescent="0.45">
      <c r="B605" t="s">
        <v>722</v>
      </c>
      <c r="C605" t="s">
        <v>42</v>
      </c>
      <c r="D605">
        <v>5.3834983001716213E-2</v>
      </c>
      <c r="E605" t="s">
        <v>6</v>
      </c>
      <c r="G605" t="s">
        <v>723</v>
      </c>
      <c r="H605" t="s">
        <v>42</v>
      </c>
      <c r="I605">
        <v>2.1956686161401784E-2</v>
      </c>
      <c r="J605" t="s">
        <v>6</v>
      </c>
      <c r="L605" t="s">
        <v>724</v>
      </c>
      <c r="M605" t="s">
        <v>42</v>
      </c>
      <c r="N605">
        <v>2.0161347331253694E-2</v>
      </c>
      <c r="O605" t="s">
        <v>6</v>
      </c>
    </row>
    <row r="606" spans="2:15" x14ac:dyDescent="0.45">
      <c r="B606" t="s">
        <v>722</v>
      </c>
      <c r="C606" t="s">
        <v>43</v>
      </c>
      <c r="D606">
        <v>6.6807960284983092E-2</v>
      </c>
      <c r="E606" t="s">
        <v>6</v>
      </c>
      <c r="G606" t="s">
        <v>723</v>
      </c>
      <c r="H606" t="s">
        <v>43</v>
      </c>
      <c r="I606">
        <v>2.3643682183363837E-2</v>
      </c>
      <c r="J606" t="s">
        <v>6</v>
      </c>
      <c r="L606" t="s">
        <v>724</v>
      </c>
      <c r="M606" t="s">
        <v>43</v>
      </c>
      <c r="N606">
        <v>2.1557387969951127E-2</v>
      </c>
      <c r="O606" t="s">
        <v>6</v>
      </c>
    </row>
    <row r="607" spans="2:15" x14ac:dyDescent="0.45">
      <c r="B607" t="s">
        <v>722</v>
      </c>
      <c r="C607" t="s">
        <v>44</v>
      </c>
      <c r="D607">
        <v>5.7525230262068176E-2</v>
      </c>
      <c r="E607" t="s">
        <v>6</v>
      </c>
      <c r="G607" t="s">
        <v>723</v>
      </c>
      <c r="H607" t="s">
        <v>44</v>
      </c>
      <c r="I607">
        <v>2.52046681456971E-2</v>
      </c>
      <c r="J607" t="s">
        <v>6</v>
      </c>
      <c r="L607" t="s">
        <v>724</v>
      </c>
      <c r="M607" t="s">
        <v>44</v>
      </c>
      <c r="N607">
        <v>2.2929069668521804E-2</v>
      </c>
      <c r="O607" t="s">
        <v>6</v>
      </c>
    </row>
    <row r="608" spans="2:15" x14ac:dyDescent="0.45">
      <c r="B608" t="s">
        <v>722</v>
      </c>
      <c r="C608" t="s">
        <v>45</v>
      </c>
      <c r="D608">
        <v>2.9617735004075114E-2</v>
      </c>
      <c r="E608" t="s">
        <v>6</v>
      </c>
      <c r="G608" t="s">
        <v>723</v>
      </c>
      <c r="H608" t="s">
        <v>45</v>
      </c>
      <c r="I608">
        <v>2.6166803611883404E-2</v>
      </c>
      <c r="J608" t="s">
        <v>6</v>
      </c>
      <c r="L608" t="s">
        <v>724</v>
      </c>
      <c r="M608" t="s">
        <v>45</v>
      </c>
      <c r="N608">
        <v>2.3799489116424061E-2</v>
      </c>
      <c r="O608" t="s">
        <v>6</v>
      </c>
    </row>
    <row r="609" spans="2:15" x14ac:dyDescent="0.45">
      <c r="B609" t="s">
        <v>722</v>
      </c>
      <c r="C609" t="s">
        <v>46</v>
      </c>
      <c r="D609">
        <v>2.5167057926366843E-3</v>
      </c>
      <c r="E609" t="s">
        <v>6</v>
      </c>
      <c r="G609" t="s">
        <v>723</v>
      </c>
      <c r="H609" t="s">
        <v>46</v>
      </c>
      <c r="I609">
        <v>2.5803488464280391E-2</v>
      </c>
      <c r="J609" t="s">
        <v>6</v>
      </c>
      <c r="L609" t="s">
        <v>724</v>
      </c>
      <c r="M609" t="s">
        <v>46</v>
      </c>
      <c r="N609">
        <v>2.4575934402419564E-2</v>
      </c>
      <c r="O609" t="s">
        <v>6</v>
      </c>
    </row>
    <row r="610" spans="2:15" x14ac:dyDescent="0.45">
      <c r="B610" t="s">
        <v>722</v>
      </c>
      <c r="C610" t="s">
        <v>47</v>
      </c>
      <c r="D610">
        <v>0</v>
      </c>
      <c r="E610" t="s">
        <v>6</v>
      </c>
      <c r="G610" t="s">
        <v>723</v>
      </c>
      <c r="H610" t="s">
        <v>47</v>
      </c>
      <c r="I610">
        <v>3.9033731914790204E-2</v>
      </c>
      <c r="J610" t="s">
        <v>6</v>
      </c>
      <c r="L610" t="s">
        <v>724</v>
      </c>
      <c r="M610" t="s">
        <v>47</v>
      </c>
      <c r="N610">
        <v>3.5472558398394159E-2</v>
      </c>
      <c r="O610" t="s">
        <v>6</v>
      </c>
    </row>
    <row r="611" spans="2:15" x14ac:dyDescent="0.45">
      <c r="B611" t="s">
        <v>725</v>
      </c>
      <c r="C611" t="s">
        <v>5</v>
      </c>
      <c r="D611">
        <v>0</v>
      </c>
      <c r="E611" t="s">
        <v>6</v>
      </c>
      <c r="G611" t="s">
        <v>726</v>
      </c>
      <c r="H611" t="s">
        <v>5</v>
      </c>
      <c r="I611">
        <v>5.643393517800311E-2</v>
      </c>
      <c r="J611" t="s">
        <v>6</v>
      </c>
      <c r="L611" t="s">
        <v>727</v>
      </c>
      <c r="M611" t="s">
        <v>5</v>
      </c>
      <c r="N611">
        <v>6.5947776516815271E-2</v>
      </c>
      <c r="O611" t="s">
        <v>6</v>
      </c>
    </row>
    <row r="612" spans="2:15" x14ac:dyDescent="0.45">
      <c r="B612" t="s">
        <v>725</v>
      </c>
      <c r="C612" t="s">
        <v>9</v>
      </c>
      <c r="D612">
        <v>0</v>
      </c>
      <c r="E612" t="s">
        <v>6</v>
      </c>
      <c r="G612" t="s">
        <v>726</v>
      </c>
      <c r="H612" t="s">
        <v>9</v>
      </c>
      <c r="I612">
        <v>2.1204618251658831E-2</v>
      </c>
      <c r="J612" t="s">
        <v>6</v>
      </c>
      <c r="L612" t="s">
        <v>727</v>
      </c>
      <c r="M612" t="s">
        <v>9</v>
      </c>
      <c r="N612">
        <v>2.5748345833777078E-2</v>
      </c>
      <c r="O612" t="s">
        <v>6</v>
      </c>
    </row>
    <row r="613" spans="2:15" x14ac:dyDescent="0.45">
      <c r="B613" t="s">
        <v>725</v>
      </c>
      <c r="C613" t="s">
        <v>10</v>
      </c>
      <c r="D613">
        <v>0</v>
      </c>
      <c r="E613" t="s">
        <v>6</v>
      </c>
      <c r="G613" t="s">
        <v>726</v>
      </c>
      <c r="H613" t="s">
        <v>10</v>
      </c>
      <c r="I613">
        <v>2.061374832019848E-2</v>
      </c>
      <c r="J613" t="s">
        <v>6</v>
      </c>
      <c r="L613" t="s">
        <v>727</v>
      </c>
      <c r="M613" t="s">
        <v>10</v>
      </c>
      <c r="N613">
        <v>2.5107030693391517E-2</v>
      </c>
      <c r="O613" t="s">
        <v>6</v>
      </c>
    </row>
    <row r="614" spans="2:15" x14ac:dyDescent="0.45">
      <c r="B614" t="s">
        <v>725</v>
      </c>
      <c r="C614" t="s">
        <v>11</v>
      </c>
      <c r="D614">
        <v>1.1788603903543186E-2</v>
      </c>
      <c r="E614" t="s">
        <v>6</v>
      </c>
      <c r="G614" t="s">
        <v>726</v>
      </c>
      <c r="H614" t="s">
        <v>11</v>
      </c>
      <c r="I614">
        <v>2.0633914059641628E-2</v>
      </c>
      <c r="J614" t="s">
        <v>6</v>
      </c>
      <c r="L614" t="s">
        <v>727</v>
      </c>
      <c r="M614" t="s">
        <v>11</v>
      </c>
      <c r="N614">
        <v>2.4427434814831287E-2</v>
      </c>
      <c r="O614" t="s">
        <v>6</v>
      </c>
    </row>
    <row r="615" spans="2:15" x14ac:dyDescent="0.45">
      <c r="B615" t="s">
        <v>725</v>
      </c>
      <c r="C615" t="s">
        <v>12</v>
      </c>
      <c r="D615">
        <v>4.4236888843272912E-2</v>
      </c>
      <c r="E615" t="s">
        <v>6</v>
      </c>
      <c r="G615" t="s">
        <v>726</v>
      </c>
      <c r="H615" t="s">
        <v>12</v>
      </c>
      <c r="I615">
        <v>1.6891439525999589E-2</v>
      </c>
      <c r="J615" t="s">
        <v>6</v>
      </c>
      <c r="L615" t="s">
        <v>727</v>
      </c>
      <c r="M615" t="s">
        <v>12</v>
      </c>
      <c r="N615">
        <v>2.4531791655193067E-2</v>
      </c>
      <c r="O615" t="s">
        <v>6</v>
      </c>
    </row>
    <row r="616" spans="2:15" x14ac:dyDescent="0.45">
      <c r="B616" t="s">
        <v>725</v>
      </c>
      <c r="C616" t="s">
        <v>13</v>
      </c>
      <c r="D616">
        <v>5.8930264881006347E-2</v>
      </c>
      <c r="E616" t="s">
        <v>6</v>
      </c>
      <c r="G616" t="s">
        <v>726</v>
      </c>
      <c r="H616" t="s">
        <v>13</v>
      </c>
      <c r="I616">
        <v>2.22243639311871E-2</v>
      </c>
      <c r="J616" t="s">
        <v>6</v>
      </c>
      <c r="L616" t="s">
        <v>727</v>
      </c>
      <c r="M616" t="s">
        <v>13</v>
      </c>
      <c r="N616">
        <v>2.5054655174101537E-2</v>
      </c>
      <c r="O616" t="s">
        <v>6</v>
      </c>
    </row>
    <row r="617" spans="2:15" x14ac:dyDescent="0.45">
      <c r="B617" t="s">
        <v>725</v>
      </c>
      <c r="C617" t="s">
        <v>14</v>
      </c>
      <c r="D617">
        <v>4.8402225212756812E-2</v>
      </c>
      <c r="E617" t="s">
        <v>6</v>
      </c>
      <c r="G617" t="s">
        <v>726</v>
      </c>
      <c r="H617" t="s">
        <v>14</v>
      </c>
      <c r="I617">
        <v>2.547190368785893E-2</v>
      </c>
      <c r="J617" t="s">
        <v>6</v>
      </c>
      <c r="L617" t="s">
        <v>727</v>
      </c>
      <c r="M617" t="s">
        <v>14</v>
      </c>
      <c r="N617">
        <v>2.5833180313052075E-2</v>
      </c>
      <c r="O617" t="s">
        <v>6</v>
      </c>
    </row>
    <row r="618" spans="2:15" x14ac:dyDescent="0.45">
      <c r="B618" t="s">
        <v>725</v>
      </c>
      <c r="C618" t="s">
        <v>15</v>
      </c>
      <c r="D618">
        <v>2.119527380280704E-2</v>
      </c>
      <c r="E618" t="s">
        <v>6</v>
      </c>
      <c r="G618" t="s">
        <v>726</v>
      </c>
      <c r="H618" t="s">
        <v>15</v>
      </c>
      <c r="I618">
        <v>2.5095386491746193E-2</v>
      </c>
      <c r="J618" t="s">
        <v>6</v>
      </c>
      <c r="L618" t="s">
        <v>727</v>
      </c>
      <c r="M618" t="s">
        <v>15</v>
      </c>
      <c r="N618">
        <v>2.5965187838873645E-2</v>
      </c>
      <c r="O618" t="s">
        <v>6</v>
      </c>
    </row>
    <row r="619" spans="2:15" x14ac:dyDescent="0.45">
      <c r="B619" t="s">
        <v>725</v>
      </c>
      <c r="C619" t="s">
        <v>16</v>
      </c>
      <c r="D619">
        <v>5.3496249269483626E-4</v>
      </c>
      <c r="E619" t="s">
        <v>6</v>
      </c>
      <c r="G619" t="s">
        <v>726</v>
      </c>
      <c r="H619" t="s">
        <v>16</v>
      </c>
      <c r="I619">
        <v>2.2763465507184132E-2</v>
      </c>
      <c r="J619" t="s">
        <v>6</v>
      </c>
      <c r="L619" t="s">
        <v>727</v>
      </c>
      <c r="M619" t="s">
        <v>16</v>
      </c>
      <c r="N619">
        <v>2.5607965050143559E-2</v>
      </c>
      <c r="O619" t="s">
        <v>6</v>
      </c>
    </row>
    <row r="620" spans="2:15" x14ac:dyDescent="0.45">
      <c r="B620" t="s">
        <v>725</v>
      </c>
      <c r="C620" t="s">
        <v>17</v>
      </c>
      <c r="D620">
        <v>0</v>
      </c>
      <c r="E620" t="s">
        <v>6</v>
      </c>
      <c r="G620" t="s">
        <v>726</v>
      </c>
      <c r="H620" t="s">
        <v>17</v>
      </c>
      <c r="I620">
        <v>3.2070618280561347E-2</v>
      </c>
      <c r="J620" t="s">
        <v>6</v>
      </c>
      <c r="L620" t="s">
        <v>727</v>
      </c>
      <c r="M620" t="s">
        <v>17</v>
      </c>
      <c r="N620">
        <v>3.8573564541868305E-2</v>
      </c>
      <c r="O620" t="s">
        <v>6</v>
      </c>
    </row>
    <row r="621" spans="2:15" x14ac:dyDescent="0.45">
      <c r="B621" t="s">
        <v>725</v>
      </c>
      <c r="C621" t="s">
        <v>18</v>
      </c>
      <c r="D621">
        <v>0</v>
      </c>
      <c r="E621" t="s">
        <v>6</v>
      </c>
      <c r="G621" t="s">
        <v>726</v>
      </c>
      <c r="H621" t="s">
        <v>18</v>
      </c>
      <c r="I621">
        <v>5.2486420464256091E-2</v>
      </c>
      <c r="J621" t="s">
        <v>6</v>
      </c>
      <c r="L621" t="s">
        <v>727</v>
      </c>
      <c r="M621" t="s">
        <v>18</v>
      </c>
      <c r="N621">
        <v>5.2163371554634304E-2</v>
      </c>
      <c r="O621" t="s">
        <v>6</v>
      </c>
    </row>
    <row r="622" spans="2:15" x14ac:dyDescent="0.45">
      <c r="B622" t="s">
        <v>725</v>
      </c>
      <c r="C622" t="s">
        <v>19</v>
      </c>
      <c r="D622">
        <v>0</v>
      </c>
      <c r="E622" t="s">
        <v>6</v>
      </c>
      <c r="G622" t="s">
        <v>726</v>
      </c>
      <c r="H622" t="s">
        <v>19</v>
      </c>
      <c r="I622">
        <v>1.9827124152553763E-2</v>
      </c>
      <c r="J622" t="s">
        <v>6</v>
      </c>
      <c r="L622" t="s">
        <v>727</v>
      </c>
      <c r="M622" t="s">
        <v>19</v>
      </c>
      <c r="N622">
        <v>2.1018918920628835E-2</v>
      </c>
      <c r="O622" t="s">
        <v>6</v>
      </c>
    </row>
    <row r="623" spans="2:15" x14ac:dyDescent="0.45">
      <c r="B623" t="s">
        <v>725</v>
      </c>
      <c r="C623" t="s">
        <v>20</v>
      </c>
      <c r="D623">
        <v>3.3553901091820941E-3</v>
      </c>
      <c r="E623" t="s">
        <v>6</v>
      </c>
      <c r="G623" t="s">
        <v>726</v>
      </c>
      <c r="H623" t="s">
        <v>20</v>
      </c>
      <c r="I623">
        <v>1.942784957822178E-2</v>
      </c>
      <c r="J623" t="s">
        <v>6</v>
      </c>
      <c r="L623" t="s">
        <v>727</v>
      </c>
      <c r="M623" t="s">
        <v>20</v>
      </c>
      <c r="N623">
        <v>2.0677093464859318E-2</v>
      </c>
      <c r="O623" t="s">
        <v>6</v>
      </c>
    </row>
    <row r="624" spans="2:15" x14ac:dyDescent="0.45">
      <c r="B624" t="s">
        <v>725</v>
      </c>
      <c r="C624" t="s">
        <v>21</v>
      </c>
      <c r="D624">
        <v>3.0871740995830357E-2</v>
      </c>
      <c r="E624" t="s">
        <v>6</v>
      </c>
      <c r="G624" t="s">
        <v>726</v>
      </c>
      <c r="H624" t="s">
        <v>21</v>
      </c>
      <c r="I624">
        <v>1.9553534126756571E-2</v>
      </c>
      <c r="J624" t="s">
        <v>6</v>
      </c>
      <c r="L624" t="s">
        <v>727</v>
      </c>
      <c r="M624" t="s">
        <v>21</v>
      </c>
      <c r="N624">
        <v>2.0361220963472138E-2</v>
      </c>
      <c r="O624" t="s">
        <v>6</v>
      </c>
    </row>
    <row r="625" spans="2:15" x14ac:dyDescent="0.45">
      <c r="B625" t="s">
        <v>725</v>
      </c>
      <c r="C625" t="s">
        <v>22</v>
      </c>
      <c r="D625">
        <v>5.9575669953210293E-2</v>
      </c>
      <c r="E625" t="s">
        <v>6</v>
      </c>
      <c r="G625" t="s">
        <v>726</v>
      </c>
      <c r="H625" t="s">
        <v>22</v>
      </c>
      <c r="I625">
        <v>2.8087647537250144E-2</v>
      </c>
      <c r="J625" t="s">
        <v>6</v>
      </c>
      <c r="L625" t="s">
        <v>727</v>
      </c>
      <c r="M625" t="s">
        <v>22</v>
      </c>
      <c r="N625">
        <v>2.0701831501181139E-2</v>
      </c>
      <c r="O625" t="s">
        <v>6</v>
      </c>
    </row>
    <row r="626" spans="2:15" x14ac:dyDescent="0.45">
      <c r="B626" t="s">
        <v>725</v>
      </c>
      <c r="C626" t="s">
        <v>23</v>
      </c>
      <c r="D626">
        <v>6.8452167797004262E-2</v>
      </c>
      <c r="E626" t="s">
        <v>6</v>
      </c>
      <c r="G626" t="s">
        <v>726</v>
      </c>
      <c r="H626" t="s">
        <v>23</v>
      </c>
      <c r="I626">
        <v>4.2554175648159262E-2</v>
      </c>
      <c r="J626" t="s">
        <v>6</v>
      </c>
      <c r="L626" t="s">
        <v>727</v>
      </c>
      <c r="M626" t="s">
        <v>23</v>
      </c>
      <c r="N626">
        <v>2.0963413909089759E-2</v>
      </c>
      <c r="O626" t="s">
        <v>6</v>
      </c>
    </row>
    <row r="627" spans="2:15" x14ac:dyDescent="0.45">
      <c r="B627" t="s">
        <v>725</v>
      </c>
      <c r="C627" t="s">
        <v>24</v>
      </c>
      <c r="D627">
        <v>5.811509542578696E-2</v>
      </c>
      <c r="E627" t="s">
        <v>6</v>
      </c>
      <c r="G627" t="s">
        <v>726</v>
      </c>
      <c r="H627" t="s">
        <v>24</v>
      </c>
      <c r="I627">
        <v>5.0155597896688831E-2</v>
      </c>
      <c r="J627" t="s">
        <v>6</v>
      </c>
      <c r="L627" t="s">
        <v>727</v>
      </c>
      <c r="M627" t="s">
        <v>24</v>
      </c>
      <c r="N627">
        <v>2.139006158969407E-2</v>
      </c>
      <c r="O627" t="s">
        <v>6</v>
      </c>
    </row>
    <row r="628" spans="2:15" x14ac:dyDescent="0.45">
      <c r="B628" t="s">
        <v>725</v>
      </c>
      <c r="C628" t="s">
        <v>25</v>
      </c>
      <c r="D628">
        <v>3.4362781116482298E-2</v>
      </c>
      <c r="E628" t="s">
        <v>6</v>
      </c>
      <c r="G628" t="s">
        <v>726</v>
      </c>
      <c r="H628" t="s">
        <v>25</v>
      </c>
      <c r="I628">
        <v>4.8457364162962514E-2</v>
      </c>
      <c r="J628" t="s">
        <v>6</v>
      </c>
      <c r="L628" t="s">
        <v>727</v>
      </c>
      <c r="M628" t="s">
        <v>25</v>
      </c>
      <c r="N628">
        <v>2.0778367046423159E-2</v>
      </c>
      <c r="O628" t="s">
        <v>6</v>
      </c>
    </row>
    <row r="629" spans="2:15" x14ac:dyDescent="0.45">
      <c r="B629" t="s">
        <v>725</v>
      </c>
      <c r="C629" t="s">
        <v>26</v>
      </c>
      <c r="D629">
        <v>6.2481942486854528E-3</v>
      </c>
      <c r="E629" t="s">
        <v>6</v>
      </c>
      <c r="G629" t="s">
        <v>726</v>
      </c>
      <c r="H629" t="s">
        <v>26</v>
      </c>
      <c r="I629">
        <v>3.8436981657331247E-2</v>
      </c>
      <c r="J629" t="s">
        <v>6</v>
      </c>
      <c r="L629" t="s">
        <v>727</v>
      </c>
      <c r="M629" t="s">
        <v>26</v>
      </c>
      <c r="N629">
        <v>2.0126763635325787E-2</v>
      </c>
      <c r="O629" t="s">
        <v>6</v>
      </c>
    </row>
    <row r="630" spans="2:15" x14ac:dyDescent="0.45">
      <c r="B630" t="s">
        <v>725</v>
      </c>
      <c r="C630" t="s">
        <v>27</v>
      </c>
      <c r="D630">
        <v>0</v>
      </c>
      <c r="E630" t="s">
        <v>6</v>
      </c>
      <c r="G630" t="s">
        <v>726</v>
      </c>
      <c r="H630" t="s">
        <v>27</v>
      </c>
      <c r="I630">
        <v>3.9140416777212694E-2</v>
      </c>
      <c r="J630" t="s">
        <v>6</v>
      </c>
      <c r="L630" t="s">
        <v>727</v>
      </c>
      <c r="M630" t="s">
        <v>27</v>
      </c>
      <c r="N630">
        <v>2.9791475415181155E-2</v>
      </c>
      <c r="O630" t="s">
        <v>6</v>
      </c>
    </row>
    <row r="631" spans="2:15" x14ac:dyDescent="0.45">
      <c r="B631" t="s">
        <v>725</v>
      </c>
      <c r="C631" t="s">
        <v>28</v>
      </c>
      <c r="D631">
        <v>0</v>
      </c>
      <c r="E631" t="s">
        <v>6</v>
      </c>
      <c r="G631" t="s">
        <v>726</v>
      </c>
      <c r="H631" t="s">
        <v>28</v>
      </c>
      <c r="I631">
        <v>1.4298414072930046E-2</v>
      </c>
      <c r="J631" t="s">
        <v>6</v>
      </c>
      <c r="L631" t="s">
        <v>727</v>
      </c>
      <c r="M631" t="s">
        <v>28</v>
      </c>
      <c r="N631">
        <v>3.7250801025380115E-2</v>
      </c>
      <c r="O631" t="s">
        <v>6</v>
      </c>
    </row>
    <row r="632" spans="2:15" x14ac:dyDescent="0.45">
      <c r="B632" t="s">
        <v>725</v>
      </c>
      <c r="C632" t="s">
        <v>29</v>
      </c>
      <c r="D632">
        <v>0</v>
      </c>
      <c r="E632" t="s">
        <v>6</v>
      </c>
      <c r="G632" t="s">
        <v>726</v>
      </c>
      <c r="H632" t="s">
        <v>29</v>
      </c>
      <c r="I632">
        <v>5.3103633657284469E-3</v>
      </c>
      <c r="J632" t="s">
        <v>6</v>
      </c>
      <c r="L632" t="s">
        <v>727</v>
      </c>
      <c r="M632" t="s">
        <v>29</v>
      </c>
      <c r="N632">
        <v>1.4182590074398241E-2</v>
      </c>
      <c r="O632" t="s">
        <v>6</v>
      </c>
    </row>
    <row r="633" spans="2:15" x14ac:dyDescent="0.45">
      <c r="B633" t="s">
        <v>725</v>
      </c>
      <c r="C633" t="s">
        <v>30</v>
      </c>
      <c r="D633">
        <v>5.6523946278339565E-3</v>
      </c>
      <c r="E633" t="s">
        <v>6</v>
      </c>
      <c r="G633" t="s">
        <v>726</v>
      </c>
      <c r="H633" t="s">
        <v>30</v>
      </c>
      <c r="I633">
        <v>4.5986233013406924E-3</v>
      </c>
      <c r="J633" t="s">
        <v>6</v>
      </c>
      <c r="L633" t="s">
        <v>727</v>
      </c>
      <c r="M633" t="s">
        <v>30</v>
      </c>
      <c r="N633">
        <v>1.3869048403498806E-2</v>
      </c>
      <c r="O633" t="s">
        <v>6</v>
      </c>
    </row>
    <row r="634" spans="2:15" x14ac:dyDescent="0.45">
      <c r="B634" t="s">
        <v>725</v>
      </c>
      <c r="C634" t="s">
        <v>31</v>
      </c>
      <c r="D634">
        <v>3.9512393369170049E-2</v>
      </c>
      <c r="E634" t="s">
        <v>6</v>
      </c>
      <c r="G634" t="s">
        <v>726</v>
      </c>
      <c r="H634" t="s">
        <v>31</v>
      </c>
      <c r="I634">
        <v>5.4451432581560811E-3</v>
      </c>
      <c r="J634" t="s">
        <v>6</v>
      </c>
      <c r="L634" t="s">
        <v>727</v>
      </c>
      <c r="M634" t="s">
        <v>31</v>
      </c>
      <c r="N634">
        <v>1.4046429306376023E-2</v>
      </c>
      <c r="O634" t="s">
        <v>6</v>
      </c>
    </row>
    <row r="635" spans="2:15" x14ac:dyDescent="0.45">
      <c r="B635" t="s">
        <v>725</v>
      </c>
      <c r="C635" t="s">
        <v>32</v>
      </c>
      <c r="D635">
        <v>6.8966157162347622E-2</v>
      </c>
      <c r="E635" t="s">
        <v>6</v>
      </c>
      <c r="G635" t="s">
        <v>726</v>
      </c>
      <c r="H635" t="s">
        <v>32</v>
      </c>
      <c r="I635">
        <v>1.1062190544840284E-2</v>
      </c>
      <c r="J635" t="s">
        <v>6</v>
      </c>
      <c r="L635" t="s">
        <v>727</v>
      </c>
      <c r="M635" t="s">
        <v>32</v>
      </c>
      <c r="N635">
        <v>1.5153391091629657E-2</v>
      </c>
      <c r="O635" t="s">
        <v>6</v>
      </c>
    </row>
    <row r="636" spans="2:15" x14ac:dyDescent="0.45">
      <c r="B636" t="s">
        <v>725</v>
      </c>
      <c r="C636" t="s">
        <v>33</v>
      </c>
      <c r="D636">
        <v>7.920796860446884E-2</v>
      </c>
      <c r="E636" t="s">
        <v>6</v>
      </c>
      <c r="G636" t="s">
        <v>726</v>
      </c>
      <c r="H636" t="s">
        <v>33</v>
      </c>
      <c r="I636">
        <v>2.0893851168154613E-2</v>
      </c>
      <c r="J636" t="s">
        <v>6</v>
      </c>
      <c r="L636" t="s">
        <v>727</v>
      </c>
      <c r="M636" t="s">
        <v>33</v>
      </c>
      <c r="N636">
        <v>1.7578449757978905E-2</v>
      </c>
      <c r="O636" t="s">
        <v>6</v>
      </c>
    </row>
    <row r="637" spans="2:15" x14ac:dyDescent="0.45">
      <c r="B637" t="s">
        <v>725</v>
      </c>
      <c r="C637" t="s">
        <v>34</v>
      </c>
      <c r="D637">
        <v>7.0402021834844369E-2</v>
      </c>
      <c r="E637" t="s">
        <v>6</v>
      </c>
      <c r="G637" t="s">
        <v>726</v>
      </c>
      <c r="H637" t="s">
        <v>34</v>
      </c>
      <c r="I637">
        <v>2.4020429415046594E-2</v>
      </c>
      <c r="J637" t="s">
        <v>6</v>
      </c>
      <c r="L637" t="s">
        <v>727</v>
      </c>
      <c r="M637" t="s">
        <v>34</v>
      </c>
      <c r="N637">
        <v>1.9361913054369878E-2</v>
      </c>
      <c r="O637" t="s">
        <v>6</v>
      </c>
    </row>
    <row r="638" spans="2:15" x14ac:dyDescent="0.45">
      <c r="B638" t="s">
        <v>725</v>
      </c>
      <c r="C638" t="s">
        <v>35</v>
      </c>
      <c r="D638">
        <v>4.4786370439845506E-2</v>
      </c>
      <c r="E638" t="s">
        <v>6</v>
      </c>
      <c r="G638" t="s">
        <v>726</v>
      </c>
      <c r="H638" t="s">
        <v>35</v>
      </c>
      <c r="I638">
        <v>1.9849622729681667E-2</v>
      </c>
      <c r="J638" t="s">
        <v>6</v>
      </c>
      <c r="L638" t="s">
        <v>727</v>
      </c>
      <c r="M638" t="s">
        <v>35</v>
      </c>
      <c r="N638">
        <v>1.9223379546289363E-2</v>
      </c>
      <c r="O638" t="s">
        <v>6</v>
      </c>
    </row>
    <row r="639" spans="2:15" x14ac:dyDescent="0.45">
      <c r="B639" t="s">
        <v>725</v>
      </c>
      <c r="C639" t="s">
        <v>36</v>
      </c>
      <c r="D639">
        <v>1.0447234425903959E-2</v>
      </c>
      <c r="E639" t="s">
        <v>6</v>
      </c>
      <c r="G639" t="s">
        <v>726</v>
      </c>
      <c r="H639" t="s">
        <v>36</v>
      </c>
      <c r="I639">
        <v>1.2861905314875978E-2</v>
      </c>
      <c r="J639" t="s">
        <v>6</v>
      </c>
      <c r="L639" t="s">
        <v>727</v>
      </c>
      <c r="M639" t="s">
        <v>36</v>
      </c>
      <c r="N639">
        <v>1.7791765951572676E-2</v>
      </c>
      <c r="O639" t="s">
        <v>6</v>
      </c>
    </row>
    <row r="640" spans="2:15" x14ac:dyDescent="0.45">
      <c r="B640" t="s">
        <v>725</v>
      </c>
      <c r="C640" t="s">
        <v>37</v>
      </c>
      <c r="D640">
        <v>3.8140621040661975E-5</v>
      </c>
      <c r="E640" t="s">
        <v>6</v>
      </c>
      <c r="G640" t="s">
        <v>726</v>
      </c>
      <c r="H640" t="s">
        <v>37</v>
      </c>
      <c r="I640">
        <v>1.1060159801900053E-2</v>
      </c>
      <c r="J640" t="s">
        <v>6</v>
      </c>
      <c r="L640" t="s">
        <v>727</v>
      </c>
      <c r="M640" t="s">
        <v>37</v>
      </c>
      <c r="N640">
        <v>2.4553335373596052E-2</v>
      </c>
      <c r="O640" t="s">
        <v>6</v>
      </c>
    </row>
    <row r="641" spans="2:15" x14ac:dyDescent="0.45">
      <c r="B641" t="s">
        <v>725</v>
      </c>
      <c r="C641" t="s">
        <v>38</v>
      </c>
      <c r="D641">
        <v>0</v>
      </c>
      <c r="E641" t="s">
        <v>6</v>
      </c>
      <c r="G641" t="s">
        <v>726</v>
      </c>
      <c r="H641" t="s">
        <v>38</v>
      </c>
      <c r="I641">
        <v>4.753703279101603E-2</v>
      </c>
      <c r="J641" t="s">
        <v>6</v>
      </c>
      <c r="L641" t="s">
        <v>727</v>
      </c>
      <c r="M641" t="s">
        <v>38</v>
      </c>
      <c r="N641">
        <v>4.979501356445306E-2</v>
      </c>
      <c r="O641" t="s">
        <v>6</v>
      </c>
    </row>
    <row r="642" spans="2:15" x14ac:dyDescent="0.45">
      <c r="B642" t="s">
        <v>725</v>
      </c>
      <c r="C642" t="s">
        <v>39</v>
      </c>
      <c r="D642">
        <v>0</v>
      </c>
      <c r="E642" t="s">
        <v>6</v>
      </c>
      <c r="G642" t="s">
        <v>726</v>
      </c>
      <c r="H642" t="s">
        <v>39</v>
      </c>
      <c r="I642">
        <v>1.7581913365382305E-2</v>
      </c>
      <c r="J642" t="s">
        <v>6</v>
      </c>
      <c r="L642" t="s">
        <v>727</v>
      </c>
      <c r="M642" t="s">
        <v>39</v>
      </c>
      <c r="N642">
        <v>2.125163281271996E-2</v>
      </c>
      <c r="O642" t="s">
        <v>6</v>
      </c>
    </row>
    <row r="643" spans="2:15" x14ac:dyDescent="0.45">
      <c r="B643" t="s">
        <v>725</v>
      </c>
      <c r="C643" t="s">
        <v>40</v>
      </c>
      <c r="D643">
        <v>9.7444354172293677E-4</v>
      </c>
      <c r="E643" t="s">
        <v>6</v>
      </c>
      <c r="G643" t="s">
        <v>726</v>
      </c>
      <c r="H643" t="s">
        <v>40</v>
      </c>
      <c r="I643">
        <v>1.806762425692026E-2</v>
      </c>
      <c r="J643" t="s">
        <v>6</v>
      </c>
      <c r="L643" t="s">
        <v>727</v>
      </c>
      <c r="M643" t="s">
        <v>40</v>
      </c>
      <c r="N643">
        <v>2.1731174096652671E-2</v>
      </c>
      <c r="O643" t="s">
        <v>6</v>
      </c>
    </row>
    <row r="644" spans="2:15" x14ac:dyDescent="0.45">
      <c r="B644" t="s">
        <v>725</v>
      </c>
      <c r="C644" t="s">
        <v>41</v>
      </c>
      <c r="D644">
        <v>2.5771406032900068E-2</v>
      </c>
      <c r="E644" t="s">
        <v>6</v>
      </c>
      <c r="G644" t="s">
        <v>726</v>
      </c>
      <c r="H644" t="s">
        <v>41</v>
      </c>
      <c r="I644">
        <v>1.6665141448118231E-2</v>
      </c>
      <c r="J644" t="s">
        <v>6</v>
      </c>
      <c r="L644" t="s">
        <v>727</v>
      </c>
      <c r="M644" t="s">
        <v>41</v>
      </c>
      <c r="N644">
        <v>2.1458519452256981E-2</v>
      </c>
      <c r="O644" t="s">
        <v>6</v>
      </c>
    </row>
    <row r="645" spans="2:15" x14ac:dyDescent="0.45">
      <c r="B645" t="s">
        <v>725</v>
      </c>
      <c r="C645" t="s">
        <v>42</v>
      </c>
      <c r="D645">
        <v>5.6767272107665183E-2</v>
      </c>
      <c r="E645" t="s">
        <v>6</v>
      </c>
      <c r="G645" t="s">
        <v>726</v>
      </c>
      <c r="H645" t="s">
        <v>42</v>
      </c>
      <c r="I645">
        <v>1.6916933438118131E-2</v>
      </c>
      <c r="J645" t="s">
        <v>6</v>
      </c>
      <c r="L645" t="s">
        <v>727</v>
      </c>
      <c r="M645" t="s">
        <v>42</v>
      </c>
      <c r="N645">
        <v>2.1551308318398823E-2</v>
      </c>
      <c r="O645" t="s">
        <v>6</v>
      </c>
    </row>
    <row r="646" spans="2:15" x14ac:dyDescent="0.45">
      <c r="B646" t="s">
        <v>725</v>
      </c>
      <c r="C646" t="s">
        <v>43</v>
      </c>
      <c r="D646">
        <v>6.8048963712588673E-2</v>
      </c>
      <c r="E646" t="s">
        <v>6</v>
      </c>
      <c r="G646" t="s">
        <v>726</v>
      </c>
      <c r="H646" t="s">
        <v>43</v>
      </c>
      <c r="I646">
        <v>2.4278472897300663E-2</v>
      </c>
      <c r="J646" t="s">
        <v>6</v>
      </c>
      <c r="L646" t="s">
        <v>727</v>
      </c>
      <c r="M646" t="s">
        <v>43</v>
      </c>
      <c r="N646">
        <v>2.1734126119635131E-2</v>
      </c>
      <c r="O646" t="s">
        <v>6</v>
      </c>
    </row>
    <row r="647" spans="2:15" x14ac:dyDescent="0.45">
      <c r="B647" t="s">
        <v>725</v>
      </c>
      <c r="C647" t="s">
        <v>44</v>
      </c>
      <c r="D647">
        <v>5.5941722277279157E-2</v>
      </c>
      <c r="E647" t="s">
        <v>6</v>
      </c>
      <c r="G647" t="s">
        <v>726</v>
      </c>
      <c r="H647" t="s">
        <v>44</v>
      </c>
      <c r="I647">
        <v>2.8227350337661088E-2</v>
      </c>
      <c r="J647" t="s">
        <v>6</v>
      </c>
      <c r="L647" t="s">
        <v>727</v>
      </c>
      <c r="M647" t="s">
        <v>44</v>
      </c>
      <c r="N647">
        <v>2.1755121929419342E-2</v>
      </c>
      <c r="O647" t="s">
        <v>6</v>
      </c>
    </row>
    <row r="648" spans="2:15" x14ac:dyDescent="0.45">
      <c r="B648" t="s">
        <v>725</v>
      </c>
      <c r="C648" t="s">
        <v>45</v>
      </c>
      <c r="D648">
        <v>2.5915232416039744E-2</v>
      </c>
      <c r="E648" t="s">
        <v>6</v>
      </c>
      <c r="G648" t="s">
        <v>726</v>
      </c>
      <c r="H648" t="s">
        <v>45</v>
      </c>
      <c r="I648">
        <v>2.6207188825761753E-2</v>
      </c>
      <c r="J648" t="s">
        <v>6</v>
      </c>
      <c r="L648" t="s">
        <v>727</v>
      </c>
      <c r="M648" t="s">
        <v>45</v>
      </c>
      <c r="N648">
        <v>2.1441303514342567E-2</v>
      </c>
      <c r="O648" t="s">
        <v>6</v>
      </c>
    </row>
    <row r="649" spans="2:15" x14ac:dyDescent="0.45">
      <c r="B649" t="s">
        <v>725</v>
      </c>
      <c r="C649" t="s">
        <v>46</v>
      </c>
      <c r="D649">
        <v>1.4990200440887285E-3</v>
      </c>
      <c r="E649" t="s">
        <v>6</v>
      </c>
      <c r="G649" t="s">
        <v>726</v>
      </c>
      <c r="H649" t="s">
        <v>46</v>
      </c>
      <c r="I649">
        <v>2.1730545047783427E-2</v>
      </c>
      <c r="J649" t="s">
        <v>6</v>
      </c>
      <c r="L649" t="s">
        <v>727</v>
      </c>
      <c r="M649" t="s">
        <v>46</v>
      </c>
      <c r="N649">
        <v>2.0815012315217259E-2</v>
      </c>
      <c r="O649" t="s">
        <v>6</v>
      </c>
    </row>
    <row r="650" spans="2:15" x14ac:dyDescent="0.45">
      <c r="B650" t="s">
        <v>725</v>
      </c>
      <c r="C650" t="s">
        <v>47</v>
      </c>
      <c r="D650">
        <v>0</v>
      </c>
      <c r="E650" t="s">
        <v>6</v>
      </c>
      <c r="G650" t="s">
        <v>726</v>
      </c>
      <c r="H650" t="s">
        <v>47</v>
      </c>
      <c r="I650">
        <v>3.1856589383851414E-2</v>
      </c>
      <c r="J650" t="s">
        <v>6</v>
      </c>
      <c r="L650" t="s">
        <v>727</v>
      </c>
      <c r="M650" t="s">
        <v>47</v>
      </c>
      <c r="N650">
        <v>3.0686233859282711E-2</v>
      </c>
      <c r="O650" t="s">
        <v>6</v>
      </c>
    </row>
    <row r="651" spans="2:15" x14ac:dyDescent="0.45">
      <c r="B651" t="s">
        <v>728</v>
      </c>
      <c r="C651" t="s">
        <v>5</v>
      </c>
      <c r="D651">
        <v>0</v>
      </c>
      <c r="E651" t="s">
        <v>6</v>
      </c>
      <c r="G651" t="s">
        <v>729</v>
      </c>
      <c r="H651" t="s">
        <v>5</v>
      </c>
      <c r="I651">
        <v>6.5283996402008354E-2</v>
      </c>
      <c r="J651" t="s">
        <v>6</v>
      </c>
      <c r="L651" t="s">
        <v>730</v>
      </c>
      <c r="M651" t="s">
        <v>5</v>
      </c>
      <c r="N651">
        <v>5.4776932642351457E-2</v>
      </c>
      <c r="O651" t="s">
        <v>6</v>
      </c>
    </row>
    <row r="652" spans="2:15" x14ac:dyDescent="0.45">
      <c r="B652" t="s">
        <v>728</v>
      </c>
      <c r="C652" t="s">
        <v>9</v>
      </c>
      <c r="D652">
        <v>0</v>
      </c>
      <c r="E652" t="s">
        <v>6</v>
      </c>
      <c r="G652" t="s">
        <v>729</v>
      </c>
      <c r="H652" t="s">
        <v>9</v>
      </c>
      <c r="I652">
        <v>2.6106428699672755E-2</v>
      </c>
      <c r="J652" t="s">
        <v>6</v>
      </c>
      <c r="L652" t="s">
        <v>730</v>
      </c>
      <c r="M652" t="s">
        <v>9</v>
      </c>
      <c r="N652">
        <v>2.0630278669030014E-2</v>
      </c>
      <c r="O652" t="s">
        <v>6</v>
      </c>
    </row>
    <row r="653" spans="2:15" x14ac:dyDescent="0.45">
      <c r="B653" t="s">
        <v>728</v>
      </c>
      <c r="C653" t="s">
        <v>10</v>
      </c>
      <c r="D653">
        <v>0</v>
      </c>
      <c r="E653" t="s">
        <v>6</v>
      </c>
      <c r="G653" t="s">
        <v>729</v>
      </c>
      <c r="H653" t="s">
        <v>10</v>
      </c>
      <c r="I653">
        <v>2.5012267152787048E-2</v>
      </c>
      <c r="J653" t="s">
        <v>6</v>
      </c>
      <c r="L653" t="s">
        <v>730</v>
      </c>
      <c r="M653" t="s">
        <v>10</v>
      </c>
      <c r="N653">
        <v>2.0171019854974291E-2</v>
      </c>
      <c r="O653" t="s">
        <v>6</v>
      </c>
    </row>
    <row r="654" spans="2:15" x14ac:dyDescent="0.45">
      <c r="B654" t="s">
        <v>728</v>
      </c>
      <c r="C654" t="s">
        <v>11</v>
      </c>
      <c r="D654">
        <v>9.8695705684852392E-3</v>
      </c>
      <c r="E654" t="s">
        <v>6</v>
      </c>
      <c r="G654" t="s">
        <v>729</v>
      </c>
      <c r="H654" t="s">
        <v>11</v>
      </c>
      <c r="I654">
        <v>2.3203872484413652E-2</v>
      </c>
      <c r="J654" t="s">
        <v>6</v>
      </c>
      <c r="L654" t="s">
        <v>730</v>
      </c>
      <c r="M654" t="s">
        <v>11</v>
      </c>
      <c r="N654">
        <v>1.991854579016069E-2</v>
      </c>
      <c r="O654" t="s">
        <v>6</v>
      </c>
    </row>
    <row r="655" spans="2:15" x14ac:dyDescent="0.45">
      <c r="B655" t="s">
        <v>728</v>
      </c>
      <c r="C655" t="s">
        <v>12</v>
      </c>
      <c r="D655">
        <v>4.286982053318824E-2</v>
      </c>
      <c r="E655" t="s">
        <v>6</v>
      </c>
      <c r="G655" t="s">
        <v>729</v>
      </c>
      <c r="H655" t="s">
        <v>12</v>
      </c>
      <c r="I655">
        <v>2.3219822682073728E-2</v>
      </c>
      <c r="J655" t="s">
        <v>6</v>
      </c>
      <c r="L655" t="s">
        <v>730</v>
      </c>
      <c r="M655" t="s">
        <v>12</v>
      </c>
      <c r="N655">
        <v>2.0488614056581648E-2</v>
      </c>
      <c r="O655" t="s">
        <v>6</v>
      </c>
    </row>
    <row r="656" spans="2:15" x14ac:dyDescent="0.45">
      <c r="B656" t="s">
        <v>728</v>
      </c>
      <c r="C656" t="s">
        <v>13</v>
      </c>
      <c r="D656">
        <v>5.8261413835914239E-2</v>
      </c>
      <c r="E656" t="s">
        <v>6</v>
      </c>
      <c r="G656" t="s">
        <v>729</v>
      </c>
      <c r="H656" t="s">
        <v>13</v>
      </c>
      <c r="I656">
        <v>2.9336812521049502E-2</v>
      </c>
      <c r="J656" t="s">
        <v>6</v>
      </c>
      <c r="L656" t="s">
        <v>730</v>
      </c>
      <c r="M656" t="s">
        <v>13</v>
      </c>
      <c r="N656">
        <v>2.1659963340376055E-2</v>
      </c>
      <c r="O656" t="s">
        <v>6</v>
      </c>
    </row>
    <row r="657" spans="2:15" x14ac:dyDescent="0.45">
      <c r="B657" t="s">
        <v>728</v>
      </c>
      <c r="C657" t="s">
        <v>14</v>
      </c>
      <c r="D657">
        <v>4.9549339304089092E-2</v>
      </c>
      <c r="E657" t="s">
        <v>6</v>
      </c>
      <c r="G657" t="s">
        <v>729</v>
      </c>
      <c r="H657" t="s">
        <v>14</v>
      </c>
      <c r="I657">
        <v>3.0204335103376771E-2</v>
      </c>
      <c r="J657" t="s">
        <v>6</v>
      </c>
      <c r="L657" t="s">
        <v>730</v>
      </c>
      <c r="M657" t="s">
        <v>14</v>
      </c>
      <c r="N657">
        <v>2.2253399258075929E-2</v>
      </c>
      <c r="O657" t="s">
        <v>6</v>
      </c>
    </row>
    <row r="658" spans="2:15" x14ac:dyDescent="0.45">
      <c r="B658" t="s">
        <v>728</v>
      </c>
      <c r="C658" t="s">
        <v>15</v>
      </c>
      <c r="D658">
        <v>2.3121649580495868E-2</v>
      </c>
      <c r="E658" t="s">
        <v>6</v>
      </c>
      <c r="G658" t="s">
        <v>729</v>
      </c>
      <c r="H658" t="s">
        <v>15</v>
      </c>
      <c r="I658">
        <v>2.751939669054031E-2</v>
      </c>
      <c r="J658" t="s">
        <v>6</v>
      </c>
      <c r="L658" t="s">
        <v>730</v>
      </c>
      <c r="M658" t="s">
        <v>15</v>
      </c>
      <c r="N658">
        <v>2.2414357443417667E-2</v>
      </c>
      <c r="O658" t="s">
        <v>6</v>
      </c>
    </row>
    <row r="659" spans="2:15" x14ac:dyDescent="0.45">
      <c r="B659" t="s">
        <v>728</v>
      </c>
      <c r="C659" t="s">
        <v>16</v>
      </c>
      <c r="D659">
        <v>9.1087508210771322E-4</v>
      </c>
      <c r="E659" t="s">
        <v>6</v>
      </c>
      <c r="G659" t="s">
        <v>729</v>
      </c>
      <c r="H659" t="s">
        <v>16</v>
      </c>
      <c r="I659">
        <v>2.7245153231428801E-2</v>
      </c>
      <c r="J659" t="s">
        <v>6</v>
      </c>
      <c r="L659" t="s">
        <v>730</v>
      </c>
      <c r="M659" t="s">
        <v>16</v>
      </c>
      <c r="N659">
        <v>2.2426456649193367E-2</v>
      </c>
      <c r="O659" t="s">
        <v>6</v>
      </c>
    </row>
    <row r="660" spans="2:15" x14ac:dyDescent="0.45">
      <c r="B660" t="s">
        <v>728</v>
      </c>
      <c r="C660" t="s">
        <v>17</v>
      </c>
      <c r="D660">
        <v>0</v>
      </c>
      <c r="E660" t="s">
        <v>6</v>
      </c>
      <c r="G660" t="s">
        <v>729</v>
      </c>
      <c r="H660" t="s">
        <v>17</v>
      </c>
      <c r="I660">
        <v>4.1535005725848111E-2</v>
      </c>
      <c r="J660" t="s">
        <v>6</v>
      </c>
      <c r="L660" t="s">
        <v>730</v>
      </c>
      <c r="M660" t="s">
        <v>17</v>
      </c>
      <c r="N660">
        <v>3.3952921687257713E-2</v>
      </c>
      <c r="O660" t="s">
        <v>6</v>
      </c>
    </row>
    <row r="661" spans="2:15" x14ac:dyDescent="0.45">
      <c r="B661" t="s">
        <v>728</v>
      </c>
      <c r="C661" t="s">
        <v>18</v>
      </c>
      <c r="D661">
        <v>0</v>
      </c>
      <c r="E661" t="s">
        <v>6</v>
      </c>
      <c r="G661" t="s">
        <v>729</v>
      </c>
      <c r="H661" t="s">
        <v>18</v>
      </c>
      <c r="I661">
        <v>5.5426319045156394E-2</v>
      </c>
      <c r="J661" t="s">
        <v>6</v>
      </c>
      <c r="L661" t="s">
        <v>730</v>
      </c>
      <c r="M661" t="s">
        <v>18</v>
      </c>
      <c r="N661">
        <v>5.194650504972928E-2</v>
      </c>
      <c r="O661" t="s">
        <v>6</v>
      </c>
    </row>
    <row r="662" spans="2:15" x14ac:dyDescent="0.45">
      <c r="B662" t="s">
        <v>728</v>
      </c>
      <c r="C662" t="s">
        <v>19</v>
      </c>
      <c r="D662">
        <v>0</v>
      </c>
      <c r="E662" t="s">
        <v>6</v>
      </c>
      <c r="G662" t="s">
        <v>729</v>
      </c>
      <c r="H662" t="s">
        <v>19</v>
      </c>
      <c r="I662">
        <v>2.0361864304397501E-2</v>
      </c>
      <c r="J662" t="s">
        <v>6</v>
      </c>
      <c r="L662" t="s">
        <v>730</v>
      </c>
      <c r="M662" t="s">
        <v>19</v>
      </c>
      <c r="N662">
        <v>2.0390093574796094E-2</v>
      </c>
      <c r="O662" t="s">
        <v>6</v>
      </c>
    </row>
    <row r="663" spans="2:15" x14ac:dyDescent="0.45">
      <c r="B663" t="s">
        <v>728</v>
      </c>
      <c r="C663" t="s">
        <v>20</v>
      </c>
      <c r="D663">
        <v>2.7191630971353424E-3</v>
      </c>
      <c r="E663" t="s">
        <v>6</v>
      </c>
      <c r="G663" t="s">
        <v>729</v>
      </c>
      <c r="H663" t="s">
        <v>20</v>
      </c>
      <c r="I663">
        <v>1.8460944597223562E-2</v>
      </c>
      <c r="J663" t="s">
        <v>6</v>
      </c>
      <c r="L663" t="s">
        <v>730</v>
      </c>
      <c r="M663" t="s">
        <v>20</v>
      </c>
      <c r="N663">
        <v>2.0321473905201629E-2</v>
      </c>
      <c r="O663" t="s">
        <v>6</v>
      </c>
    </row>
    <row r="664" spans="2:15" x14ac:dyDescent="0.45">
      <c r="B664" t="s">
        <v>728</v>
      </c>
      <c r="C664" t="s">
        <v>21</v>
      </c>
      <c r="D664">
        <v>2.9185830387039393E-2</v>
      </c>
      <c r="E664" t="s">
        <v>6</v>
      </c>
      <c r="G664" t="s">
        <v>729</v>
      </c>
      <c r="H664" t="s">
        <v>21</v>
      </c>
      <c r="I664">
        <v>1.9070355961670112E-2</v>
      </c>
      <c r="J664" t="s">
        <v>6</v>
      </c>
      <c r="L664" t="s">
        <v>730</v>
      </c>
      <c r="M664" t="s">
        <v>21</v>
      </c>
      <c r="N664">
        <v>1.9790853491591393E-2</v>
      </c>
      <c r="O664" t="s">
        <v>6</v>
      </c>
    </row>
    <row r="665" spans="2:15" x14ac:dyDescent="0.45">
      <c r="B665" t="s">
        <v>728</v>
      </c>
      <c r="C665" t="s">
        <v>22</v>
      </c>
      <c r="D665">
        <v>5.7112997854515853E-2</v>
      </c>
      <c r="E665" t="s">
        <v>6</v>
      </c>
      <c r="G665" t="s">
        <v>729</v>
      </c>
      <c r="H665" t="s">
        <v>22</v>
      </c>
      <c r="I665">
        <v>2.3449389184450987E-2</v>
      </c>
      <c r="J665" t="s">
        <v>6</v>
      </c>
      <c r="L665" t="s">
        <v>730</v>
      </c>
      <c r="M665" t="s">
        <v>22</v>
      </c>
      <c r="N665">
        <v>1.9560869211141769E-2</v>
      </c>
      <c r="O665" t="s">
        <v>6</v>
      </c>
    </row>
    <row r="666" spans="2:15" x14ac:dyDescent="0.45">
      <c r="B666" t="s">
        <v>728</v>
      </c>
      <c r="C666" t="s">
        <v>23</v>
      </c>
      <c r="D666">
        <v>6.7295549457952061E-2</v>
      </c>
      <c r="E666" t="s">
        <v>6</v>
      </c>
      <c r="G666" t="s">
        <v>729</v>
      </c>
      <c r="H666" t="s">
        <v>23</v>
      </c>
      <c r="I666">
        <v>3.0986124814696377E-2</v>
      </c>
      <c r="J666" t="s">
        <v>6</v>
      </c>
      <c r="L666" t="s">
        <v>730</v>
      </c>
      <c r="M666" t="s">
        <v>23</v>
      </c>
      <c r="N666">
        <v>2.0380476085588198E-2</v>
      </c>
      <c r="O666" t="s">
        <v>6</v>
      </c>
    </row>
    <row r="667" spans="2:15" x14ac:dyDescent="0.45">
      <c r="B667" t="s">
        <v>728</v>
      </c>
      <c r="C667" t="s">
        <v>24</v>
      </c>
      <c r="D667">
        <v>5.9032729250010262E-2</v>
      </c>
      <c r="E667" t="s">
        <v>6</v>
      </c>
      <c r="G667" t="s">
        <v>729</v>
      </c>
      <c r="H667" t="s">
        <v>24</v>
      </c>
      <c r="I667">
        <v>3.5817969677080376E-2</v>
      </c>
      <c r="J667" t="s">
        <v>6</v>
      </c>
      <c r="L667" t="s">
        <v>730</v>
      </c>
      <c r="M667" t="s">
        <v>24</v>
      </c>
      <c r="N667">
        <v>2.1562902536532015E-2</v>
      </c>
      <c r="O667" t="s">
        <v>6</v>
      </c>
    </row>
    <row r="668" spans="2:15" x14ac:dyDescent="0.45">
      <c r="B668" t="s">
        <v>728</v>
      </c>
      <c r="C668" t="s">
        <v>25</v>
      </c>
      <c r="D668">
        <v>3.5846890118438231E-2</v>
      </c>
      <c r="E668" t="s">
        <v>6</v>
      </c>
      <c r="G668" t="s">
        <v>729</v>
      </c>
      <c r="H668" t="s">
        <v>25</v>
      </c>
      <c r="I668">
        <v>3.4841628612690412E-2</v>
      </c>
      <c r="J668" t="s">
        <v>6</v>
      </c>
      <c r="L668" t="s">
        <v>730</v>
      </c>
      <c r="M668" t="s">
        <v>25</v>
      </c>
      <c r="N668">
        <v>2.2119228745484429E-2</v>
      </c>
      <c r="O668" t="s">
        <v>6</v>
      </c>
    </row>
    <row r="669" spans="2:15" x14ac:dyDescent="0.45">
      <c r="B669" t="s">
        <v>728</v>
      </c>
      <c r="C669" t="s">
        <v>26</v>
      </c>
      <c r="D669">
        <v>7.1502063372919662E-3</v>
      </c>
      <c r="E669" t="s">
        <v>6</v>
      </c>
      <c r="G669" t="s">
        <v>729</v>
      </c>
      <c r="H669" t="s">
        <v>26</v>
      </c>
      <c r="I669">
        <v>2.8928492525746276E-2</v>
      </c>
      <c r="J669" t="s">
        <v>6</v>
      </c>
      <c r="L669" t="s">
        <v>730</v>
      </c>
      <c r="M669" t="s">
        <v>26</v>
      </c>
      <c r="N669">
        <v>2.2017883213765028E-2</v>
      </c>
      <c r="O669" t="s">
        <v>6</v>
      </c>
    </row>
    <row r="670" spans="2:15" x14ac:dyDescent="0.45">
      <c r="B670" t="s">
        <v>728</v>
      </c>
      <c r="C670" t="s">
        <v>27</v>
      </c>
      <c r="D670">
        <v>1.0014554465069717E-6</v>
      </c>
      <c r="E670" t="s">
        <v>6</v>
      </c>
      <c r="G670" t="s">
        <v>729</v>
      </c>
      <c r="H670" t="s">
        <v>27</v>
      </c>
      <c r="I670">
        <v>3.8399246386033814E-2</v>
      </c>
      <c r="J670" t="s">
        <v>6</v>
      </c>
      <c r="L670" t="s">
        <v>730</v>
      </c>
      <c r="M670" t="s">
        <v>27</v>
      </c>
      <c r="N670">
        <v>3.2278871143735906E-2</v>
      </c>
      <c r="O670" t="s">
        <v>6</v>
      </c>
    </row>
    <row r="671" spans="2:15" x14ac:dyDescent="0.45">
      <c r="B671" t="s">
        <v>728</v>
      </c>
      <c r="C671" t="s">
        <v>28</v>
      </c>
      <c r="D671">
        <v>0</v>
      </c>
      <c r="E671" t="s">
        <v>6</v>
      </c>
      <c r="G671" t="s">
        <v>729</v>
      </c>
      <c r="H671" t="s">
        <v>28</v>
      </c>
      <c r="I671">
        <v>4.6113402020851485E-2</v>
      </c>
      <c r="J671" t="s">
        <v>6</v>
      </c>
      <c r="L671" t="s">
        <v>730</v>
      </c>
      <c r="M671" t="s">
        <v>28</v>
      </c>
      <c r="N671">
        <v>4.6158475058051651E-2</v>
      </c>
      <c r="O671" t="s">
        <v>6</v>
      </c>
    </row>
    <row r="672" spans="2:15" x14ac:dyDescent="0.45">
      <c r="B672" t="s">
        <v>728</v>
      </c>
      <c r="C672" t="s">
        <v>29</v>
      </c>
      <c r="D672">
        <v>0</v>
      </c>
      <c r="E672" t="s">
        <v>6</v>
      </c>
      <c r="G672" t="s">
        <v>729</v>
      </c>
      <c r="H672" t="s">
        <v>29</v>
      </c>
      <c r="I672">
        <v>1.3163155740638484E-2</v>
      </c>
      <c r="J672" t="s">
        <v>6</v>
      </c>
      <c r="L672" t="s">
        <v>730</v>
      </c>
      <c r="M672" t="s">
        <v>29</v>
      </c>
      <c r="N672">
        <v>1.8446532417002802E-2</v>
      </c>
      <c r="O672" t="s">
        <v>6</v>
      </c>
    </row>
    <row r="673" spans="2:15" x14ac:dyDescent="0.45">
      <c r="B673" t="s">
        <v>728</v>
      </c>
      <c r="C673" t="s">
        <v>30</v>
      </c>
      <c r="D673">
        <v>4.542938967078196E-3</v>
      </c>
      <c r="E673" t="s">
        <v>6</v>
      </c>
      <c r="G673" t="s">
        <v>729</v>
      </c>
      <c r="H673" t="s">
        <v>30</v>
      </c>
      <c r="I673">
        <v>9.4177057550502517E-3</v>
      </c>
      <c r="J673" t="s">
        <v>6</v>
      </c>
      <c r="L673" t="s">
        <v>730</v>
      </c>
      <c r="M673" t="s">
        <v>30</v>
      </c>
      <c r="N673">
        <v>1.8491803945093341E-2</v>
      </c>
      <c r="O673" t="s">
        <v>6</v>
      </c>
    </row>
    <row r="674" spans="2:15" x14ac:dyDescent="0.45">
      <c r="B674" t="s">
        <v>728</v>
      </c>
      <c r="C674" t="s">
        <v>31</v>
      </c>
      <c r="D674">
        <v>3.7622997904715245E-2</v>
      </c>
      <c r="E674" t="s">
        <v>6</v>
      </c>
      <c r="G674" t="s">
        <v>729</v>
      </c>
      <c r="H674" t="s">
        <v>31</v>
      </c>
      <c r="I674">
        <v>6.5883550004750754E-3</v>
      </c>
      <c r="J674" t="s">
        <v>6</v>
      </c>
      <c r="L674" t="s">
        <v>730</v>
      </c>
      <c r="M674" t="s">
        <v>31</v>
      </c>
      <c r="N674">
        <v>1.8526744225710632E-2</v>
      </c>
      <c r="O674" t="s">
        <v>6</v>
      </c>
    </row>
    <row r="675" spans="2:15" x14ac:dyDescent="0.45">
      <c r="B675" t="s">
        <v>728</v>
      </c>
      <c r="C675" t="s">
        <v>32</v>
      </c>
      <c r="D675">
        <v>6.812392846644609E-2</v>
      </c>
      <c r="E675" t="s">
        <v>6</v>
      </c>
      <c r="G675" t="s">
        <v>729</v>
      </c>
      <c r="H675" t="s">
        <v>32</v>
      </c>
      <c r="I675">
        <v>6.9618435717375146E-3</v>
      </c>
      <c r="J675" t="s">
        <v>6</v>
      </c>
      <c r="L675" t="s">
        <v>730</v>
      </c>
      <c r="M675" t="s">
        <v>32</v>
      </c>
      <c r="N675">
        <v>1.9265679336872305E-2</v>
      </c>
      <c r="O675" t="s">
        <v>6</v>
      </c>
    </row>
    <row r="676" spans="2:15" x14ac:dyDescent="0.45">
      <c r="B676" t="s">
        <v>728</v>
      </c>
      <c r="C676" t="s">
        <v>33</v>
      </c>
      <c r="D676">
        <v>8.0381956859127135E-2</v>
      </c>
      <c r="E676" t="s">
        <v>6</v>
      </c>
      <c r="G676" t="s">
        <v>729</v>
      </c>
      <c r="H676" t="s">
        <v>33</v>
      </c>
      <c r="I676">
        <v>1.0995550867531791E-2</v>
      </c>
      <c r="J676" t="s">
        <v>6</v>
      </c>
      <c r="L676" t="s">
        <v>730</v>
      </c>
      <c r="M676" t="s">
        <v>33</v>
      </c>
      <c r="N676">
        <v>2.065940427480982E-2</v>
      </c>
      <c r="O676" t="s">
        <v>6</v>
      </c>
    </row>
    <row r="677" spans="2:15" x14ac:dyDescent="0.45">
      <c r="B677" t="s">
        <v>728</v>
      </c>
      <c r="C677" t="s">
        <v>34</v>
      </c>
      <c r="D677">
        <v>7.2490948123183158E-2</v>
      </c>
      <c r="E677" t="s">
        <v>6</v>
      </c>
      <c r="G677" t="s">
        <v>729</v>
      </c>
      <c r="H677" t="s">
        <v>34</v>
      </c>
      <c r="I677">
        <v>1.3066077686218947E-2</v>
      </c>
      <c r="J677" t="s">
        <v>6</v>
      </c>
      <c r="L677" t="s">
        <v>730</v>
      </c>
      <c r="M677" t="s">
        <v>34</v>
      </c>
      <c r="N677">
        <v>2.1566763929263814E-2</v>
      </c>
      <c r="O677" t="s">
        <v>6</v>
      </c>
    </row>
    <row r="678" spans="2:15" x14ac:dyDescent="0.45">
      <c r="B678" t="s">
        <v>728</v>
      </c>
      <c r="C678" t="s">
        <v>35</v>
      </c>
      <c r="D678">
        <v>4.7265949629133906E-2</v>
      </c>
      <c r="E678" t="s">
        <v>6</v>
      </c>
      <c r="G678" t="s">
        <v>729</v>
      </c>
      <c r="H678" t="s">
        <v>35</v>
      </c>
      <c r="I678">
        <v>1.386677785947737E-2</v>
      </c>
      <c r="J678" t="s">
        <v>6</v>
      </c>
      <c r="L678" t="s">
        <v>730</v>
      </c>
      <c r="M678" t="s">
        <v>35</v>
      </c>
      <c r="N678">
        <v>2.153254003674401E-2</v>
      </c>
      <c r="O678" t="s">
        <v>6</v>
      </c>
    </row>
    <row r="679" spans="2:15" x14ac:dyDescent="0.45">
      <c r="B679" t="s">
        <v>728</v>
      </c>
      <c r="C679" t="s">
        <v>36</v>
      </c>
      <c r="D679">
        <v>1.2218815976081819E-2</v>
      </c>
      <c r="E679" t="s">
        <v>6</v>
      </c>
      <c r="G679" t="s">
        <v>729</v>
      </c>
      <c r="H679" t="s">
        <v>36</v>
      </c>
      <c r="I679">
        <v>1.3550450167529102E-2</v>
      </c>
      <c r="J679" t="s">
        <v>6</v>
      </c>
      <c r="L679" t="s">
        <v>730</v>
      </c>
      <c r="M679" t="s">
        <v>36</v>
      </c>
      <c r="N679">
        <v>2.0958215066213169E-2</v>
      </c>
      <c r="O679" t="s">
        <v>6</v>
      </c>
    </row>
    <row r="680" spans="2:15" x14ac:dyDescent="0.45">
      <c r="B680" t="s">
        <v>728</v>
      </c>
      <c r="C680" t="s">
        <v>37</v>
      </c>
      <c r="D680">
        <v>9.6838163498815137E-5</v>
      </c>
      <c r="E680" t="s">
        <v>6</v>
      </c>
      <c r="G680" t="s">
        <v>729</v>
      </c>
      <c r="H680" t="s">
        <v>37</v>
      </c>
      <c r="I680">
        <v>2.9798688878534711E-2</v>
      </c>
      <c r="J680" t="s">
        <v>6</v>
      </c>
      <c r="L680" t="s">
        <v>730</v>
      </c>
      <c r="M680" t="s">
        <v>37</v>
      </c>
      <c r="N680">
        <v>2.9466845345198805E-2</v>
      </c>
      <c r="O680" t="s">
        <v>6</v>
      </c>
    </row>
    <row r="681" spans="2:15" x14ac:dyDescent="0.45">
      <c r="B681" t="s">
        <v>728</v>
      </c>
      <c r="C681" t="s">
        <v>38</v>
      </c>
      <c r="D681">
        <v>0</v>
      </c>
      <c r="E681" t="s">
        <v>6</v>
      </c>
      <c r="G681" t="s">
        <v>729</v>
      </c>
      <c r="H681" t="s">
        <v>38</v>
      </c>
      <c r="I681">
        <v>4.7023084172114003E-2</v>
      </c>
      <c r="J681" t="s">
        <v>6</v>
      </c>
      <c r="L681" t="s">
        <v>730</v>
      </c>
      <c r="M681" t="s">
        <v>38</v>
      </c>
      <c r="N681">
        <v>5.3043941771561735E-2</v>
      </c>
      <c r="O681" t="s">
        <v>6</v>
      </c>
    </row>
    <row r="682" spans="2:15" x14ac:dyDescent="0.45">
      <c r="B682" t="s">
        <v>728</v>
      </c>
      <c r="C682" t="s">
        <v>39</v>
      </c>
      <c r="D682">
        <v>0</v>
      </c>
      <c r="E682" t="s">
        <v>6</v>
      </c>
      <c r="G682" t="s">
        <v>729</v>
      </c>
      <c r="H682" t="s">
        <v>39</v>
      </c>
      <c r="I682">
        <v>1.6378626510514589E-2</v>
      </c>
      <c r="J682" t="s">
        <v>6</v>
      </c>
      <c r="L682" t="s">
        <v>730</v>
      </c>
      <c r="M682" t="s">
        <v>39</v>
      </c>
      <c r="N682">
        <v>2.1424657687399467E-2</v>
      </c>
      <c r="O682" t="s">
        <v>6</v>
      </c>
    </row>
    <row r="683" spans="2:15" x14ac:dyDescent="0.45">
      <c r="B683" t="s">
        <v>728</v>
      </c>
      <c r="C683" t="s">
        <v>40</v>
      </c>
      <c r="D683">
        <v>6.3140241953923125E-4</v>
      </c>
      <c r="E683" t="s">
        <v>6</v>
      </c>
      <c r="G683" t="s">
        <v>729</v>
      </c>
      <c r="H683" t="s">
        <v>40</v>
      </c>
      <c r="I683">
        <v>1.4975628729972493E-2</v>
      </c>
      <c r="J683" t="s">
        <v>6</v>
      </c>
      <c r="L683" t="s">
        <v>730</v>
      </c>
      <c r="M683" t="s">
        <v>40</v>
      </c>
      <c r="N683">
        <v>2.1067437229213861E-2</v>
      </c>
      <c r="O683" t="s">
        <v>6</v>
      </c>
    </row>
    <row r="684" spans="2:15" x14ac:dyDescent="0.45">
      <c r="B684" t="s">
        <v>728</v>
      </c>
      <c r="C684" t="s">
        <v>41</v>
      </c>
      <c r="D684">
        <v>2.3992150334187799E-2</v>
      </c>
      <c r="E684" t="s">
        <v>6</v>
      </c>
      <c r="G684" t="s">
        <v>729</v>
      </c>
      <c r="H684" t="s">
        <v>41</v>
      </c>
      <c r="I684">
        <v>1.1658307936203672E-2</v>
      </c>
      <c r="J684" t="s">
        <v>6</v>
      </c>
      <c r="L684" t="s">
        <v>730</v>
      </c>
      <c r="M684" t="s">
        <v>41</v>
      </c>
      <c r="N684">
        <v>2.0824224778683363E-2</v>
      </c>
      <c r="O684" t="s">
        <v>6</v>
      </c>
    </row>
    <row r="685" spans="2:15" x14ac:dyDescent="0.45">
      <c r="B685" t="s">
        <v>728</v>
      </c>
      <c r="C685" t="s">
        <v>42</v>
      </c>
      <c r="D685">
        <v>5.5242023023158927E-2</v>
      </c>
      <c r="E685" t="s">
        <v>6</v>
      </c>
      <c r="G685" t="s">
        <v>729</v>
      </c>
      <c r="H685" t="s">
        <v>42</v>
      </c>
      <c r="I685">
        <v>1.1600350219454806E-2</v>
      </c>
      <c r="J685" t="s">
        <v>6</v>
      </c>
      <c r="L685" t="s">
        <v>730</v>
      </c>
      <c r="M685" t="s">
        <v>42</v>
      </c>
      <c r="N685">
        <v>2.1122609988757174E-2</v>
      </c>
      <c r="O685" t="s">
        <v>6</v>
      </c>
    </row>
    <row r="686" spans="2:15" x14ac:dyDescent="0.45">
      <c r="B686" t="s">
        <v>728</v>
      </c>
      <c r="C686" t="s">
        <v>43</v>
      </c>
      <c r="D686">
        <v>6.7958705787512189E-2</v>
      </c>
      <c r="E686" t="s">
        <v>6</v>
      </c>
      <c r="G686" t="s">
        <v>729</v>
      </c>
      <c r="H686" t="s">
        <v>43</v>
      </c>
      <c r="I686">
        <v>1.8179200694439891E-2</v>
      </c>
      <c r="J686" t="s">
        <v>6</v>
      </c>
      <c r="L686" t="s">
        <v>730</v>
      </c>
      <c r="M686" t="s">
        <v>43</v>
      </c>
      <c r="N686">
        <v>2.1696216652300242E-2</v>
      </c>
      <c r="O686" t="s">
        <v>6</v>
      </c>
    </row>
    <row r="687" spans="2:15" x14ac:dyDescent="0.45">
      <c r="B687" t="s">
        <v>728</v>
      </c>
      <c r="C687" t="s">
        <v>44</v>
      </c>
      <c r="D687">
        <v>5.6617359676724627E-2</v>
      </c>
      <c r="E687" t="s">
        <v>6</v>
      </c>
      <c r="G687" t="s">
        <v>729</v>
      </c>
      <c r="H687" t="s">
        <v>44</v>
      </c>
      <c r="I687">
        <v>2.1034058276609823E-2</v>
      </c>
      <c r="J687" t="s">
        <v>6</v>
      </c>
      <c r="L687" t="s">
        <v>730</v>
      </c>
      <c r="M687" t="s">
        <v>44</v>
      </c>
      <c r="N687">
        <v>2.1940723474799795E-2</v>
      </c>
      <c r="O687" t="s">
        <v>6</v>
      </c>
    </row>
    <row r="688" spans="2:15" x14ac:dyDescent="0.45">
      <c r="B688" t="s">
        <v>728</v>
      </c>
      <c r="C688" t="s">
        <v>45</v>
      </c>
      <c r="D688">
        <v>2.7923235119465074E-2</v>
      </c>
      <c r="E688" t="s">
        <v>6</v>
      </c>
      <c r="G688" t="s">
        <v>729</v>
      </c>
      <c r="H688" t="s">
        <v>45</v>
      </c>
      <c r="I688">
        <v>2.0530478542177332E-2</v>
      </c>
      <c r="J688" t="s">
        <v>6</v>
      </c>
      <c r="L688" t="s">
        <v>730</v>
      </c>
      <c r="M688" t="s">
        <v>45</v>
      </c>
      <c r="N688">
        <v>2.171946553784157E-2</v>
      </c>
      <c r="O688" t="s">
        <v>6</v>
      </c>
    </row>
    <row r="689" spans="2:15" x14ac:dyDescent="0.45">
      <c r="B689" t="s">
        <v>728</v>
      </c>
      <c r="C689" t="s">
        <v>46</v>
      </c>
      <c r="D689">
        <v>1.9637126880378201E-3</v>
      </c>
      <c r="E689" t="s">
        <v>6</v>
      </c>
      <c r="G689" t="s">
        <v>729</v>
      </c>
      <c r="H689" t="s">
        <v>46</v>
      </c>
      <c r="I689">
        <v>2.112644574955053E-2</v>
      </c>
      <c r="J689" t="s">
        <v>6</v>
      </c>
      <c r="L689" t="s">
        <v>730</v>
      </c>
      <c r="M689" t="s">
        <v>46</v>
      </c>
      <c r="N689">
        <v>2.1257132128046537E-2</v>
      </c>
      <c r="O689" t="s">
        <v>6</v>
      </c>
    </row>
    <row r="690" spans="2:15" x14ac:dyDescent="0.45">
      <c r="B690" t="s">
        <v>728</v>
      </c>
      <c r="C690" t="s">
        <v>47</v>
      </c>
      <c r="D690">
        <v>0</v>
      </c>
      <c r="E690" t="s">
        <v>6</v>
      </c>
      <c r="G690" t="s">
        <v>729</v>
      </c>
      <c r="H690" t="s">
        <v>47</v>
      </c>
      <c r="I690">
        <v>2.9562385818575121E-2</v>
      </c>
      <c r="J690" t="s">
        <v>6</v>
      </c>
      <c r="L690" t="s">
        <v>730</v>
      </c>
      <c r="M690" t="s">
        <v>47</v>
      </c>
      <c r="N690">
        <v>3.1768940767449495E-2</v>
      </c>
      <c r="O690" t="s">
        <v>6</v>
      </c>
    </row>
    <row r="691" spans="2:15" x14ac:dyDescent="0.45">
      <c r="B691" t="s">
        <v>731</v>
      </c>
      <c r="C691" t="s">
        <v>5</v>
      </c>
      <c r="D691">
        <v>0</v>
      </c>
      <c r="E691" t="s">
        <v>6</v>
      </c>
      <c r="G691" t="s">
        <v>732</v>
      </c>
      <c r="H691" t="s">
        <v>5</v>
      </c>
      <c r="I691">
        <v>7.1730919529399903E-2</v>
      </c>
      <c r="J691" t="s">
        <v>6</v>
      </c>
      <c r="L691" t="s">
        <v>733</v>
      </c>
      <c r="M691" t="s">
        <v>5</v>
      </c>
      <c r="N691">
        <v>7.2180152756161547E-2</v>
      </c>
      <c r="O691" t="s">
        <v>6</v>
      </c>
    </row>
    <row r="692" spans="2:15" x14ac:dyDescent="0.45">
      <c r="B692" t="s">
        <v>731</v>
      </c>
      <c r="C692" t="s">
        <v>9</v>
      </c>
      <c r="D692">
        <v>0</v>
      </c>
      <c r="E692" t="s">
        <v>6</v>
      </c>
      <c r="G692" t="s">
        <v>732</v>
      </c>
      <c r="H692" t="s">
        <v>9</v>
      </c>
      <c r="I692">
        <v>2.9274285662372546E-2</v>
      </c>
      <c r="J692" t="s">
        <v>6</v>
      </c>
      <c r="L692" t="s">
        <v>733</v>
      </c>
      <c r="M692" t="s">
        <v>9</v>
      </c>
      <c r="N692">
        <v>2.8616143864101433E-2</v>
      </c>
      <c r="O692" t="s">
        <v>6</v>
      </c>
    </row>
    <row r="693" spans="2:15" x14ac:dyDescent="0.45">
      <c r="B693" t="s">
        <v>731</v>
      </c>
      <c r="C693" t="s">
        <v>10</v>
      </c>
      <c r="D693">
        <v>0</v>
      </c>
      <c r="E693" t="s">
        <v>6</v>
      </c>
      <c r="G693" t="s">
        <v>732</v>
      </c>
      <c r="H693" t="s">
        <v>10</v>
      </c>
      <c r="I693">
        <v>2.8512078431368586E-2</v>
      </c>
      <c r="J693" t="s">
        <v>6</v>
      </c>
      <c r="L693" t="s">
        <v>733</v>
      </c>
      <c r="M693" t="s">
        <v>10</v>
      </c>
      <c r="N693">
        <v>2.8062015011471691E-2</v>
      </c>
      <c r="O693" t="s">
        <v>6</v>
      </c>
    </row>
    <row r="694" spans="2:15" x14ac:dyDescent="0.45">
      <c r="B694" t="s">
        <v>731</v>
      </c>
      <c r="C694" t="s">
        <v>11</v>
      </c>
      <c r="D694">
        <v>1.4117305031629829E-2</v>
      </c>
      <c r="E694" t="s">
        <v>6</v>
      </c>
      <c r="G694" t="s">
        <v>732</v>
      </c>
      <c r="H694" t="s">
        <v>11</v>
      </c>
      <c r="I694">
        <v>2.7110757105287146E-2</v>
      </c>
      <c r="J694" t="s">
        <v>6</v>
      </c>
      <c r="L694" t="s">
        <v>733</v>
      </c>
      <c r="M694" t="s">
        <v>11</v>
      </c>
      <c r="N694">
        <v>2.684213875433121E-2</v>
      </c>
      <c r="O694" t="s">
        <v>6</v>
      </c>
    </row>
    <row r="695" spans="2:15" x14ac:dyDescent="0.45">
      <c r="B695" t="s">
        <v>731</v>
      </c>
      <c r="C695" t="s">
        <v>12</v>
      </c>
      <c r="D695">
        <v>4.6582920458885388E-2</v>
      </c>
      <c r="E695" t="s">
        <v>6</v>
      </c>
      <c r="G695" t="s">
        <v>732</v>
      </c>
      <c r="H695" t="s">
        <v>12</v>
      </c>
      <c r="I695">
        <v>2.795356751671586E-2</v>
      </c>
      <c r="J695" t="s">
        <v>6</v>
      </c>
      <c r="L695" t="s">
        <v>733</v>
      </c>
      <c r="M695" t="s">
        <v>12</v>
      </c>
      <c r="N695">
        <v>2.5895148681631616E-2</v>
      </c>
      <c r="O695" t="s">
        <v>6</v>
      </c>
    </row>
    <row r="696" spans="2:15" x14ac:dyDescent="0.45">
      <c r="B696" t="s">
        <v>731</v>
      </c>
      <c r="C696" t="s">
        <v>13</v>
      </c>
      <c r="D696">
        <v>6.06140325699141E-2</v>
      </c>
      <c r="E696" t="s">
        <v>6</v>
      </c>
      <c r="G696" t="s">
        <v>732</v>
      </c>
      <c r="H696" t="s">
        <v>13</v>
      </c>
      <c r="I696">
        <v>3.2083644257285278E-2</v>
      </c>
      <c r="J696" t="s">
        <v>6</v>
      </c>
      <c r="L696" t="s">
        <v>733</v>
      </c>
      <c r="M696" t="s">
        <v>13</v>
      </c>
      <c r="N696">
        <v>2.6239101553014482E-2</v>
      </c>
      <c r="O696" t="s">
        <v>6</v>
      </c>
    </row>
    <row r="697" spans="2:15" x14ac:dyDescent="0.45">
      <c r="B697" t="s">
        <v>731</v>
      </c>
      <c r="C697" t="s">
        <v>14</v>
      </c>
      <c r="D697">
        <v>5.042940242091485E-2</v>
      </c>
      <c r="E697" t="s">
        <v>6</v>
      </c>
      <c r="G697" t="s">
        <v>732</v>
      </c>
      <c r="H697" t="s">
        <v>14</v>
      </c>
      <c r="I697">
        <v>3.1476344774846801E-2</v>
      </c>
      <c r="J697" t="s">
        <v>6</v>
      </c>
      <c r="L697" t="s">
        <v>733</v>
      </c>
      <c r="M697" t="s">
        <v>14</v>
      </c>
      <c r="N697">
        <v>2.6860174772424264E-2</v>
      </c>
      <c r="O697" t="s">
        <v>6</v>
      </c>
    </row>
    <row r="698" spans="2:15" x14ac:dyDescent="0.45">
      <c r="B698" t="s">
        <v>731</v>
      </c>
      <c r="C698" t="s">
        <v>15</v>
      </c>
      <c r="D698">
        <v>2.1936779776473941E-2</v>
      </c>
      <c r="E698" t="s">
        <v>6</v>
      </c>
      <c r="G698" t="s">
        <v>732</v>
      </c>
      <c r="H698" t="s">
        <v>15</v>
      </c>
      <c r="I698">
        <v>2.8329128717619244E-2</v>
      </c>
      <c r="J698" t="s">
        <v>6</v>
      </c>
      <c r="L698" t="s">
        <v>733</v>
      </c>
      <c r="M698" t="s">
        <v>15</v>
      </c>
      <c r="N698">
        <v>2.7350645576338001E-2</v>
      </c>
      <c r="O698" t="s">
        <v>6</v>
      </c>
    </row>
    <row r="699" spans="2:15" x14ac:dyDescent="0.45">
      <c r="B699" t="s">
        <v>731</v>
      </c>
      <c r="C699" t="s">
        <v>16</v>
      </c>
      <c r="D699">
        <v>4.9044583088531882E-4</v>
      </c>
      <c r="E699" t="s">
        <v>6</v>
      </c>
      <c r="G699" t="s">
        <v>732</v>
      </c>
      <c r="H699" t="s">
        <v>16</v>
      </c>
      <c r="I699">
        <v>2.8062130324051377E-2</v>
      </c>
      <c r="J699" t="s">
        <v>6</v>
      </c>
      <c r="L699" t="s">
        <v>733</v>
      </c>
      <c r="M699" t="s">
        <v>16</v>
      </c>
      <c r="N699">
        <v>2.8099685898209478E-2</v>
      </c>
      <c r="O699" t="s">
        <v>6</v>
      </c>
    </row>
    <row r="700" spans="2:15" x14ac:dyDescent="0.45">
      <c r="B700" t="s">
        <v>731</v>
      </c>
      <c r="C700" t="s">
        <v>17</v>
      </c>
      <c r="D700">
        <v>0</v>
      </c>
      <c r="E700" t="s">
        <v>6</v>
      </c>
      <c r="G700" t="s">
        <v>732</v>
      </c>
      <c r="H700" t="s">
        <v>17</v>
      </c>
      <c r="I700">
        <v>4.1980222716096291E-2</v>
      </c>
      <c r="J700" t="s">
        <v>6</v>
      </c>
      <c r="L700" t="s">
        <v>733</v>
      </c>
      <c r="M700" t="s">
        <v>17</v>
      </c>
      <c r="N700">
        <v>4.2644719805610742E-2</v>
      </c>
      <c r="O700" t="s">
        <v>6</v>
      </c>
    </row>
    <row r="701" spans="2:15" x14ac:dyDescent="0.45">
      <c r="B701" t="s">
        <v>731</v>
      </c>
      <c r="C701" t="s">
        <v>18</v>
      </c>
      <c r="D701">
        <v>0</v>
      </c>
      <c r="E701" t="s">
        <v>6</v>
      </c>
      <c r="G701" t="s">
        <v>732</v>
      </c>
      <c r="H701" t="s">
        <v>18</v>
      </c>
      <c r="I701">
        <v>5.0719247363211026E-2</v>
      </c>
      <c r="J701" t="s">
        <v>6</v>
      </c>
      <c r="L701" t="s">
        <v>733</v>
      </c>
      <c r="M701" t="s">
        <v>18</v>
      </c>
      <c r="N701">
        <v>5.3780046611352855E-2</v>
      </c>
      <c r="O701" t="s">
        <v>6</v>
      </c>
    </row>
    <row r="702" spans="2:15" x14ac:dyDescent="0.45">
      <c r="B702" t="s">
        <v>731</v>
      </c>
      <c r="C702" t="s">
        <v>19</v>
      </c>
      <c r="D702">
        <v>0</v>
      </c>
      <c r="E702" t="s">
        <v>6</v>
      </c>
      <c r="G702" t="s">
        <v>732</v>
      </c>
      <c r="H702" t="s">
        <v>19</v>
      </c>
      <c r="I702">
        <v>2.0346243141121455E-2</v>
      </c>
      <c r="J702" t="s">
        <v>6</v>
      </c>
      <c r="L702" t="s">
        <v>733</v>
      </c>
      <c r="M702" t="s">
        <v>19</v>
      </c>
      <c r="N702">
        <v>2.1736145365641297E-2</v>
      </c>
      <c r="O702" t="s">
        <v>6</v>
      </c>
    </row>
    <row r="703" spans="2:15" x14ac:dyDescent="0.45">
      <c r="B703" t="s">
        <v>731</v>
      </c>
      <c r="C703" t="s">
        <v>20</v>
      </c>
      <c r="D703">
        <v>3.6280570689099802E-3</v>
      </c>
      <c r="E703" t="s">
        <v>6</v>
      </c>
      <c r="G703" t="s">
        <v>732</v>
      </c>
      <c r="H703" t="s">
        <v>20</v>
      </c>
      <c r="I703">
        <v>2.0302751317919053E-2</v>
      </c>
      <c r="J703" t="s">
        <v>6</v>
      </c>
      <c r="L703" t="s">
        <v>733</v>
      </c>
      <c r="M703" t="s">
        <v>20</v>
      </c>
      <c r="N703">
        <v>2.1563112806041011E-2</v>
      </c>
      <c r="O703" t="s">
        <v>6</v>
      </c>
    </row>
    <row r="704" spans="2:15" x14ac:dyDescent="0.45">
      <c r="B704" t="s">
        <v>731</v>
      </c>
      <c r="C704" t="s">
        <v>21</v>
      </c>
      <c r="D704">
        <v>3.2402409048429004E-2</v>
      </c>
      <c r="E704" t="s">
        <v>6</v>
      </c>
      <c r="G704" t="s">
        <v>732</v>
      </c>
      <c r="H704" t="s">
        <v>21</v>
      </c>
      <c r="I704">
        <v>2.4290700813144484E-2</v>
      </c>
      <c r="J704" t="s">
        <v>6</v>
      </c>
      <c r="L704" t="s">
        <v>733</v>
      </c>
      <c r="M704" t="s">
        <v>21</v>
      </c>
      <c r="N704">
        <v>2.1312764216791381E-2</v>
      </c>
      <c r="O704" t="s">
        <v>6</v>
      </c>
    </row>
    <row r="705" spans="2:15" x14ac:dyDescent="0.45">
      <c r="B705" t="s">
        <v>731</v>
      </c>
      <c r="C705" t="s">
        <v>22</v>
      </c>
      <c r="D705">
        <v>6.0727278580711024E-2</v>
      </c>
      <c r="E705" t="s">
        <v>6</v>
      </c>
      <c r="G705" t="s">
        <v>732</v>
      </c>
      <c r="H705" t="s">
        <v>22</v>
      </c>
      <c r="I705">
        <v>2.5218352954152354E-2</v>
      </c>
      <c r="J705" t="s">
        <v>6</v>
      </c>
      <c r="L705" t="s">
        <v>733</v>
      </c>
      <c r="M705" t="s">
        <v>22</v>
      </c>
      <c r="N705">
        <v>2.2046641244980653E-2</v>
      </c>
      <c r="O705" t="s">
        <v>6</v>
      </c>
    </row>
    <row r="706" spans="2:15" x14ac:dyDescent="0.45">
      <c r="B706" t="s">
        <v>731</v>
      </c>
      <c r="C706" t="s">
        <v>23</v>
      </c>
      <c r="D706">
        <v>6.8728539496555371E-2</v>
      </c>
      <c r="E706" t="s">
        <v>6</v>
      </c>
      <c r="G706" t="s">
        <v>732</v>
      </c>
      <c r="H706" t="s">
        <v>23</v>
      </c>
      <c r="I706">
        <v>2.8701081199046422E-2</v>
      </c>
      <c r="J706" t="s">
        <v>6</v>
      </c>
      <c r="L706" t="s">
        <v>733</v>
      </c>
      <c r="M706" t="s">
        <v>23</v>
      </c>
      <c r="N706">
        <v>2.2521626589949321E-2</v>
      </c>
      <c r="O706" t="s">
        <v>6</v>
      </c>
    </row>
    <row r="707" spans="2:15" x14ac:dyDescent="0.45">
      <c r="B707" t="s">
        <v>731</v>
      </c>
      <c r="C707" t="s">
        <v>24</v>
      </c>
      <c r="D707">
        <v>5.7757279283772452E-2</v>
      </c>
      <c r="E707" t="s">
        <v>6</v>
      </c>
      <c r="G707" t="s">
        <v>732</v>
      </c>
      <c r="H707" t="s">
        <v>24</v>
      </c>
      <c r="I707">
        <v>3.1136389077347233E-2</v>
      </c>
      <c r="J707" t="s">
        <v>6</v>
      </c>
      <c r="L707" t="s">
        <v>733</v>
      </c>
      <c r="M707" t="s">
        <v>24</v>
      </c>
      <c r="N707">
        <v>2.2706026056844922E-2</v>
      </c>
      <c r="O707" t="s">
        <v>6</v>
      </c>
    </row>
    <row r="708" spans="2:15" x14ac:dyDescent="0.45">
      <c r="B708" t="s">
        <v>731</v>
      </c>
      <c r="C708" t="s">
        <v>25</v>
      </c>
      <c r="D708">
        <v>3.2829048831479413E-2</v>
      </c>
      <c r="E708" t="s">
        <v>6</v>
      </c>
      <c r="G708" t="s">
        <v>732</v>
      </c>
      <c r="H708" t="s">
        <v>25</v>
      </c>
      <c r="I708">
        <v>3.0257048902691881E-2</v>
      </c>
      <c r="J708" t="s">
        <v>6</v>
      </c>
      <c r="L708" t="s">
        <v>733</v>
      </c>
      <c r="M708" t="s">
        <v>25</v>
      </c>
      <c r="N708">
        <v>2.2241221646429075E-2</v>
      </c>
      <c r="O708" t="s">
        <v>6</v>
      </c>
    </row>
    <row r="709" spans="2:15" x14ac:dyDescent="0.45">
      <c r="B709" t="s">
        <v>731</v>
      </c>
      <c r="C709" t="s">
        <v>26</v>
      </c>
      <c r="D709">
        <v>5.6490638937363039E-3</v>
      </c>
      <c r="E709" t="s">
        <v>6</v>
      </c>
      <c r="G709" t="s">
        <v>732</v>
      </c>
      <c r="H709" t="s">
        <v>26</v>
      </c>
      <c r="I709">
        <v>2.6222073013434814E-2</v>
      </c>
      <c r="J709" t="s">
        <v>6</v>
      </c>
      <c r="L709" t="s">
        <v>733</v>
      </c>
      <c r="M709" t="s">
        <v>26</v>
      </c>
      <c r="N709">
        <v>2.1637999749576795E-2</v>
      </c>
      <c r="O709" t="s">
        <v>6</v>
      </c>
    </row>
    <row r="710" spans="2:15" x14ac:dyDescent="0.45">
      <c r="B710" t="s">
        <v>731</v>
      </c>
      <c r="C710" t="s">
        <v>27</v>
      </c>
      <c r="D710">
        <v>0</v>
      </c>
      <c r="E710" t="s">
        <v>6</v>
      </c>
      <c r="G710" t="s">
        <v>732</v>
      </c>
      <c r="H710" t="s">
        <v>27</v>
      </c>
      <c r="I710">
        <v>3.4258245061180539E-2</v>
      </c>
      <c r="J710" t="s">
        <v>6</v>
      </c>
      <c r="L710" t="s">
        <v>733</v>
      </c>
      <c r="M710" t="s">
        <v>27</v>
      </c>
      <c r="N710">
        <v>3.1602941661074982E-2</v>
      </c>
      <c r="O710" t="s">
        <v>6</v>
      </c>
    </row>
    <row r="711" spans="2:15" x14ac:dyDescent="0.45">
      <c r="B711" t="s">
        <v>731</v>
      </c>
      <c r="C711" t="s">
        <v>28</v>
      </c>
      <c r="D711">
        <v>0</v>
      </c>
      <c r="E711" t="s">
        <v>6</v>
      </c>
      <c r="G711" t="s">
        <v>732</v>
      </c>
      <c r="H711" t="s">
        <v>28</v>
      </c>
      <c r="I711">
        <v>2.2766961100399621E-2</v>
      </c>
      <c r="J711" t="s">
        <v>6</v>
      </c>
      <c r="L711" t="s">
        <v>733</v>
      </c>
      <c r="M711" t="s">
        <v>28</v>
      </c>
      <c r="N711">
        <v>3.0321541385933719E-2</v>
      </c>
      <c r="O711" t="s">
        <v>6</v>
      </c>
    </row>
    <row r="712" spans="2:15" x14ac:dyDescent="0.45">
      <c r="B712" t="s">
        <v>731</v>
      </c>
      <c r="C712" t="s">
        <v>29</v>
      </c>
      <c r="D712">
        <v>0</v>
      </c>
      <c r="E712" t="s">
        <v>6</v>
      </c>
      <c r="G712" t="s">
        <v>732</v>
      </c>
      <c r="H712" t="s">
        <v>29</v>
      </c>
      <c r="I712">
        <v>6.8868332814462719E-3</v>
      </c>
      <c r="J712" t="s">
        <v>6</v>
      </c>
      <c r="L712" t="s">
        <v>733</v>
      </c>
      <c r="M712" t="s">
        <v>29</v>
      </c>
      <c r="N712">
        <v>1.2561688802670027E-2</v>
      </c>
      <c r="O712" t="s">
        <v>6</v>
      </c>
    </row>
    <row r="713" spans="2:15" x14ac:dyDescent="0.45">
      <c r="B713" t="s">
        <v>731</v>
      </c>
      <c r="C713" t="s">
        <v>30</v>
      </c>
      <c r="D713">
        <v>5.9032435677059724E-3</v>
      </c>
      <c r="E713" t="s">
        <v>6</v>
      </c>
      <c r="G713" t="s">
        <v>732</v>
      </c>
      <c r="H713" t="s">
        <v>30</v>
      </c>
      <c r="I713">
        <v>5.6104135569119444E-3</v>
      </c>
      <c r="J713" t="s">
        <v>6</v>
      </c>
      <c r="L713" t="s">
        <v>733</v>
      </c>
      <c r="M713" t="s">
        <v>30</v>
      </c>
      <c r="N713">
        <v>1.2340501187376366E-2</v>
      </c>
      <c r="O713" t="s">
        <v>6</v>
      </c>
    </row>
    <row r="714" spans="2:15" x14ac:dyDescent="0.45">
      <c r="B714" t="s">
        <v>731</v>
      </c>
      <c r="C714" t="s">
        <v>31</v>
      </c>
      <c r="D714">
        <v>3.9252624243558729E-2</v>
      </c>
      <c r="E714" t="s">
        <v>6</v>
      </c>
      <c r="G714" t="s">
        <v>732</v>
      </c>
      <c r="H714" t="s">
        <v>31</v>
      </c>
      <c r="I714">
        <v>5.4939163309523035E-3</v>
      </c>
      <c r="J714" t="s">
        <v>6</v>
      </c>
      <c r="L714" t="s">
        <v>733</v>
      </c>
      <c r="M714" t="s">
        <v>31</v>
      </c>
      <c r="N714">
        <v>1.2291109413412195E-2</v>
      </c>
      <c r="O714" t="s">
        <v>6</v>
      </c>
    </row>
    <row r="715" spans="2:15" x14ac:dyDescent="0.45">
      <c r="B715" t="s">
        <v>731</v>
      </c>
      <c r="C715" t="s">
        <v>32</v>
      </c>
      <c r="D715">
        <v>6.8168988287870144E-2</v>
      </c>
      <c r="E715" t="s">
        <v>6</v>
      </c>
      <c r="G715" t="s">
        <v>732</v>
      </c>
      <c r="H715" t="s">
        <v>32</v>
      </c>
      <c r="I715">
        <v>5.86727006876146E-3</v>
      </c>
      <c r="J715" t="s">
        <v>6</v>
      </c>
      <c r="L715" t="s">
        <v>733</v>
      </c>
      <c r="M715" t="s">
        <v>32</v>
      </c>
      <c r="N715">
        <v>1.3542154532399575E-2</v>
      </c>
      <c r="O715" t="s">
        <v>6</v>
      </c>
    </row>
    <row r="716" spans="2:15" x14ac:dyDescent="0.45">
      <c r="B716" t="s">
        <v>731</v>
      </c>
      <c r="C716" t="s">
        <v>33</v>
      </c>
      <c r="D716">
        <v>7.767876583504689E-2</v>
      </c>
      <c r="E716" t="s">
        <v>6</v>
      </c>
      <c r="G716" t="s">
        <v>732</v>
      </c>
      <c r="H716" t="s">
        <v>33</v>
      </c>
      <c r="I716">
        <v>8.0899350926272179E-3</v>
      </c>
      <c r="J716" t="s">
        <v>6</v>
      </c>
      <c r="L716" t="s">
        <v>733</v>
      </c>
      <c r="M716" t="s">
        <v>33</v>
      </c>
      <c r="N716">
        <v>1.5569008390705861E-2</v>
      </c>
      <c r="O716" t="s">
        <v>6</v>
      </c>
    </row>
    <row r="717" spans="2:15" x14ac:dyDescent="0.45">
      <c r="B717" t="s">
        <v>731</v>
      </c>
      <c r="C717" t="s">
        <v>34</v>
      </c>
      <c r="D717">
        <v>6.7006711062975052E-2</v>
      </c>
      <c r="E717" t="s">
        <v>6</v>
      </c>
      <c r="G717" t="s">
        <v>732</v>
      </c>
      <c r="H717" t="s">
        <v>34</v>
      </c>
      <c r="I717">
        <v>1.0434725159514264E-2</v>
      </c>
      <c r="J717" t="s">
        <v>6</v>
      </c>
      <c r="L717" t="s">
        <v>733</v>
      </c>
      <c r="M717" t="s">
        <v>34</v>
      </c>
      <c r="N717">
        <v>1.7180602117376525E-2</v>
      </c>
      <c r="O717" t="s">
        <v>6</v>
      </c>
    </row>
    <row r="718" spans="2:15" x14ac:dyDescent="0.45">
      <c r="B718" t="s">
        <v>731</v>
      </c>
      <c r="C718" t="s">
        <v>35</v>
      </c>
      <c r="D718">
        <v>4.0581955542016525E-2</v>
      </c>
      <c r="E718" t="s">
        <v>6</v>
      </c>
      <c r="G718" t="s">
        <v>732</v>
      </c>
      <c r="H718" t="s">
        <v>35</v>
      </c>
      <c r="I718">
        <v>1.3212145079493209E-2</v>
      </c>
      <c r="J718" t="s">
        <v>6</v>
      </c>
      <c r="L718" t="s">
        <v>733</v>
      </c>
      <c r="M718" t="s">
        <v>35</v>
      </c>
      <c r="N718">
        <v>1.6375711633174046E-2</v>
      </c>
      <c r="O718" t="s">
        <v>6</v>
      </c>
    </row>
    <row r="719" spans="2:15" x14ac:dyDescent="0.45">
      <c r="B719" t="s">
        <v>731</v>
      </c>
      <c r="C719" t="s">
        <v>36</v>
      </c>
      <c r="D719">
        <v>9.1060441849773327E-3</v>
      </c>
      <c r="E719" t="s">
        <v>6</v>
      </c>
      <c r="G719" t="s">
        <v>732</v>
      </c>
      <c r="H719" t="s">
        <v>36</v>
      </c>
      <c r="I719">
        <v>1.5993383304667159E-2</v>
      </c>
      <c r="J719" t="s">
        <v>6</v>
      </c>
      <c r="L719" t="s">
        <v>733</v>
      </c>
      <c r="M719" t="s">
        <v>36</v>
      </c>
      <c r="N719">
        <v>1.4701779406379839E-2</v>
      </c>
      <c r="O719" t="s">
        <v>6</v>
      </c>
    </row>
    <row r="720" spans="2:15" x14ac:dyDescent="0.45">
      <c r="B720" t="s">
        <v>731</v>
      </c>
      <c r="C720" t="s">
        <v>37</v>
      </c>
      <c r="D720">
        <v>1.7452832989450338E-6</v>
      </c>
      <c r="E720" t="s">
        <v>6</v>
      </c>
      <c r="G720" t="s">
        <v>732</v>
      </c>
      <c r="H720" t="s">
        <v>37</v>
      </c>
      <c r="I720">
        <v>2.164063514377524E-2</v>
      </c>
      <c r="J720" t="s">
        <v>6</v>
      </c>
      <c r="L720" t="s">
        <v>733</v>
      </c>
      <c r="M720" t="s">
        <v>37</v>
      </c>
      <c r="N720">
        <v>1.9546794655813167E-2</v>
      </c>
      <c r="O720" t="s">
        <v>6</v>
      </c>
    </row>
    <row r="721" spans="2:15" x14ac:dyDescent="0.45">
      <c r="B721" t="s">
        <v>731</v>
      </c>
      <c r="C721" t="s">
        <v>38</v>
      </c>
      <c r="D721">
        <v>0</v>
      </c>
      <c r="E721" t="s">
        <v>6</v>
      </c>
      <c r="G721" t="s">
        <v>732</v>
      </c>
      <c r="H721" t="s">
        <v>38</v>
      </c>
      <c r="I721">
        <v>4.6540154657051885E-2</v>
      </c>
      <c r="J721" t="s">
        <v>6</v>
      </c>
      <c r="L721" t="s">
        <v>733</v>
      </c>
      <c r="M721" t="s">
        <v>38</v>
      </c>
      <c r="N721">
        <v>4.7447545636504669E-2</v>
      </c>
      <c r="O721" t="s">
        <v>6</v>
      </c>
    </row>
    <row r="722" spans="2:15" x14ac:dyDescent="0.45">
      <c r="B722" t="s">
        <v>731</v>
      </c>
      <c r="C722" t="s">
        <v>39</v>
      </c>
      <c r="D722">
        <v>0</v>
      </c>
      <c r="E722" t="s">
        <v>6</v>
      </c>
      <c r="G722" t="s">
        <v>732</v>
      </c>
      <c r="H722" t="s">
        <v>39</v>
      </c>
      <c r="I722">
        <v>1.8430450374428874E-2</v>
      </c>
      <c r="J722" t="s">
        <v>6</v>
      </c>
      <c r="L722" t="s">
        <v>733</v>
      </c>
      <c r="M722" t="s">
        <v>39</v>
      </c>
      <c r="N722">
        <v>1.9523244397587104E-2</v>
      </c>
      <c r="O722" t="s">
        <v>6</v>
      </c>
    </row>
    <row r="723" spans="2:15" x14ac:dyDescent="0.45">
      <c r="B723" t="s">
        <v>731</v>
      </c>
      <c r="C723" t="s">
        <v>40</v>
      </c>
      <c r="D723">
        <v>1.1034881147667856E-3</v>
      </c>
      <c r="E723" t="s">
        <v>6</v>
      </c>
      <c r="G723" t="s">
        <v>732</v>
      </c>
      <c r="H723" t="s">
        <v>40</v>
      </c>
      <c r="I723">
        <v>1.8257865146675118E-2</v>
      </c>
      <c r="J723" t="s">
        <v>6</v>
      </c>
      <c r="L723" t="s">
        <v>733</v>
      </c>
      <c r="M723" t="s">
        <v>40</v>
      </c>
      <c r="N723">
        <v>2.0657563824040388E-2</v>
      </c>
      <c r="O723" t="s">
        <v>6</v>
      </c>
    </row>
    <row r="724" spans="2:15" x14ac:dyDescent="0.45">
      <c r="B724" t="s">
        <v>731</v>
      </c>
      <c r="C724" t="s">
        <v>41</v>
      </c>
      <c r="D724">
        <v>2.7258326141523539E-2</v>
      </c>
      <c r="E724" t="s">
        <v>6</v>
      </c>
      <c r="G724" t="s">
        <v>732</v>
      </c>
      <c r="H724" t="s">
        <v>41</v>
      </c>
      <c r="I724">
        <v>1.7981385343996653E-2</v>
      </c>
      <c r="J724" t="s">
        <v>6</v>
      </c>
      <c r="L724" t="s">
        <v>733</v>
      </c>
      <c r="M724" t="s">
        <v>41</v>
      </c>
      <c r="N724">
        <v>2.0653671010176251E-2</v>
      </c>
      <c r="O724" t="s">
        <v>6</v>
      </c>
    </row>
    <row r="725" spans="2:15" x14ac:dyDescent="0.45">
      <c r="B725" t="s">
        <v>731</v>
      </c>
      <c r="C725" t="s">
        <v>42</v>
      </c>
      <c r="D725">
        <v>5.9288385559332045E-2</v>
      </c>
      <c r="E725" t="s">
        <v>6</v>
      </c>
      <c r="G725" t="s">
        <v>732</v>
      </c>
      <c r="H725" t="s">
        <v>42</v>
      </c>
      <c r="I725">
        <v>2.0300453387613528E-2</v>
      </c>
      <c r="J725" t="s">
        <v>6</v>
      </c>
      <c r="L725" t="s">
        <v>733</v>
      </c>
      <c r="M725" t="s">
        <v>42</v>
      </c>
      <c r="N725">
        <v>2.0834777325590827E-2</v>
      </c>
      <c r="O725" t="s">
        <v>6</v>
      </c>
    </row>
    <row r="726" spans="2:15" x14ac:dyDescent="0.45">
      <c r="B726" t="s">
        <v>731</v>
      </c>
      <c r="C726" t="s">
        <v>43</v>
      </c>
      <c r="D726">
        <v>6.8378909335913104E-2</v>
      </c>
      <c r="E726" t="s">
        <v>6</v>
      </c>
      <c r="G726" t="s">
        <v>732</v>
      </c>
      <c r="H726" t="s">
        <v>43</v>
      </c>
      <c r="I726">
        <v>2.4273162257883667E-2</v>
      </c>
      <c r="J726" t="s">
        <v>6</v>
      </c>
      <c r="L726" t="s">
        <v>733</v>
      </c>
      <c r="M726" t="s">
        <v>43</v>
      </c>
      <c r="N726">
        <v>2.0719636478311796E-2</v>
      </c>
      <c r="O726" t="s">
        <v>6</v>
      </c>
    </row>
    <row r="727" spans="2:15" x14ac:dyDescent="0.45">
      <c r="B727" t="s">
        <v>731</v>
      </c>
      <c r="C727" t="s">
        <v>44</v>
      </c>
      <c r="D727">
        <v>5.4873550597638619E-2</v>
      </c>
      <c r="E727" t="s">
        <v>6</v>
      </c>
      <c r="G727" t="s">
        <v>732</v>
      </c>
      <c r="H727" t="s">
        <v>44</v>
      </c>
      <c r="I727">
        <v>2.4995347978807828E-2</v>
      </c>
      <c r="J727" t="s">
        <v>6</v>
      </c>
      <c r="L727" t="s">
        <v>733</v>
      </c>
      <c r="M727" t="s">
        <v>44</v>
      </c>
      <c r="N727">
        <v>2.0960146393165312E-2</v>
      </c>
      <c r="O727" t="s">
        <v>6</v>
      </c>
    </row>
    <row r="728" spans="2:15" x14ac:dyDescent="0.45">
      <c r="B728" t="s">
        <v>731</v>
      </c>
      <c r="C728" t="s">
        <v>45</v>
      </c>
      <c r="D728">
        <v>2.4300412246184459E-2</v>
      </c>
      <c r="E728" t="s">
        <v>6</v>
      </c>
      <c r="G728" t="s">
        <v>732</v>
      </c>
      <c r="H728" t="s">
        <v>45</v>
      </c>
      <c r="I728">
        <v>2.3048270084168158E-2</v>
      </c>
      <c r="J728" t="s">
        <v>6</v>
      </c>
      <c r="L728" t="s">
        <v>733</v>
      </c>
      <c r="M728" t="s">
        <v>45</v>
      </c>
      <c r="N728">
        <v>2.059965036474275E-2</v>
      </c>
      <c r="O728" t="s">
        <v>6</v>
      </c>
    </row>
    <row r="729" spans="2:15" x14ac:dyDescent="0.45">
      <c r="B729" t="s">
        <v>731</v>
      </c>
      <c r="C729" t="s">
        <v>46</v>
      </c>
      <c r="D729">
        <v>1.2042877048940768E-3</v>
      </c>
      <c r="E729" t="s">
        <v>6</v>
      </c>
      <c r="G729" t="s">
        <v>732</v>
      </c>
      <c r="H729" t="s">
        <v>46</v>
      </c>
      <c r="I729">
        <v>2.2429631471115399E-2</v>
      </c>
      <c r="J729" t="s">
        <v>6</v>
      </c>
      <c r="L729" t="s">
        <v>733</v>
      </c>
      <c r="M729" t="s">
        <v>46</v>
      </c>
      <c r="N729">
        <v>2.0396402492544555E-2</v>
      </c>
      <c r="O729" t="s">
        <v>6</v>
      </c>
    </row>
    <row r="730" spans="2:15" x14ac:dyDescent="0.45">
      <c r="B730" t="s">
        <v>731</v>
      </c>
      <c r="C730" t="s">
        <v>47</v>
      </c>
      <c r="D730">
        <v>0</v>
      </c>
      <c r="E730" t="s">
        <v>6</v>
      </c>
      <c r="G730" t="s">
        <v>732</v>
      </c>
      <c r="H730" t="s">
        <v>47</v>
      </c>
      <c r="I730">
        <v>2.9781849301420249E-2</v>
      </c>
      <c r="J730" t="s">
        <v>6</v>
      </c>
      <c r="L730" t="s">
        <v>733</v>
      </c>
      <c r="M730" t="s">
        <v>47</v>
      </c>
      <c r="N730">
        <v>2.9838017930118473E-2</v>
      </c>
      <c r="O730" t="s">
        <v>6</v>
      </c>
    </row>
    <row r="731" spans="2:15" x14ac:dyDescent="0.45">
      <c r="B731" t="s">
        <v>734</v>
      </c>
      <c r="C731" t="s">
        <v>5</v>
      </c>
      <c r="D731">
        <v>0</v>
      </c>
      <c r="E731" t="s">
        <v>6</v>
      </c>
      <c r="G731" t="s">
        <v>735</v>
      </c>
      <c r="H731" t="s">
        <v>5</v>
      </c>
      <c r="I731">
        <v>8.3563579968854412E-2</v>
      </c>
      <c r="J731" t="s">
        <v>6</v>
      </c>
      <c r="L731" t="s">
        <v>736</v>
      </c>
      <c r="M731" t="s">
        <v>5</v>
      </c>
      <c r="N731">
        <v>7.1195300468644654E-2</v>
      </c>
      <c r="O731" t="s">
        <v>6</v>
      </c>
    </row>
    <row r="732" spans="2:15" x14ac:dyDescent="0.45">
      <c r="B732" t="s">
        <v>734</v>
      </c>
      <c r="C732" t="s">
        <v>9</v>
      </c>
      <c r="D732">
        <v>0</v>
      </c>
      <c r="E732" t="s">
        <v>6</v>
      </c>
      <c r="G732" t="s">
        <v>735</v>
      </c>
      <c r="H732" t="s">
        <v>9</v>
      </c>
      <c r="I732">
        <v>3.2738323413330106E-2</v>
      </c>
      <c r="J732" t="s">
        <v>6</v>
      </c>
      <c r="L732" t="s">
        <v>736</v>
      </c>
      <c r="M732" t="s">
        <v>9</v>
      </c>
      <c r="N732">
        <v>2.787527841312264E-2</v>
      </c>
      <c r="O732" t="s">
        <v>6</v>
      </c>
    </row>
    <row r="733" spans="2:15" x14ac:dyDescent="0.45">
      <c r="B733" t="s">
        <v>734</v>
      </c>
      <c r="C733" t="s">
        <v>10</v>
      </c>
      <c r="D733">
        <v>0</v>
      </c>
      <c r="E733" t="s">
        <v>6</v>
      </c>
      <c r="G733" t="s">
        <v>735</v>
      </c>
      <c r="H733" t="s">
        <v>10</v>
      </c>
      <c r="I733">
        <v>3.1548579710466464E-2</v>
      </c>
      <c r="J733" t="s">
        <v>6</v>
      </c>
      <c r="L733" t="s">
        <v>736</v>
      </c>
      <c r="M733" t="s">
        <v>10</v>
      </c>
      <c r="N733">
        <v>2.7688572779672901E-2</v>
      </c>
      <c r="O733" t="s">
        <v>6</v>
      </c>
    </row>
    <row r="734" spans="2:15" x14ac:dyDescent="0.45">
      <c r="B734" t="s">
        <v>734</v>
      </c>
      <c r="C734" t="s">
        <v>11</v>
      </c>
      <c r="D734">
        <v>1.3990835274664383E-2</v>
      </c>
      <c r="E734" t="s">
        <v>6</v>
      </c>
      <c r="G734" t="s">
        <v>735</v>
      </c>
      <c r="H734" t="s">
        <v>11</v>
      </c>
      <c r="I734">
        <v>2.9448492264955363E-2</v>
      </c>
      <c r="J734" t="s">
        <v>6</v>
      </c>
      <c r="L734" t="s">
        <v>736</v>
      </c>
      <c r="M734" t="s">
        <v>11</v>
      </c>
      <c r="N734">
        <v>2.6401412889617018E-2</v>
      </c>
      <c r="O734" t="s">
        <v>6</v>
      </c>
    </row>
    <row r="735" spans="2:15" x14ac:dyDescent="0.45">
      <c r="B735" t="s">
        <v>734</v>
      </c>
      <c r="C735" t="s">
        <v>12</v>
      </c>
      <c r="D735">
        <v>4.6444276469708383E-2</v>
      </c>
      <c r="E735" t="s">
        <v>6</v>
      </c>
      <c r="G735" t="s">
        <v>735</v>
      </c>
      <c r="H735" t="s">
        <v>12</v>
      </c>
      <c r="I735">
        <v>2.9383757480400761E-2</v>
      </c>
      <c r="J735" t="s">
        <v>6</v>
      </c>
      <c r="L735" t="s">
        <v>736</v>
      </c>
      <c r="M735" t="s">
        <v>12</v>
      </c>
      <c r="N735">
        <v>2.5348362376598453E-2</v>
      </c>
      <c r="O735" t="s">
        <v>6</v>
      </c>
    </row>
    <row r="736" spans="2:15" x14ac:dyDescent="0.45">
      <c r="B736" t="s">
        <v>734</v>
      </c>
      <c r="C736" t="s">
        <v>13</v>
      </c>
      <c r="D736">
        <v>6.1336577670726561E-2</v>
      </c>
      <c r="E736" t="s">
        <v>6</v>
      </c>
      <c r="G736" t="s">
        <v>735</v>
      </c>
      <c r="H736" t="s">
        <v>13</v>
      </c>
      <c r="I736">
        <v>3.476590854179281E-2</v>
      </c>
      <c r="J736" t="s">
        <v>6</v>
      </c>
      <c r="L736" t="s">
        <v>736</v>
      </c>
      <c r="M736" t="s">
        <v>13</v>
      </c>
      <c r="N736">
        <v>2.4767773026016578E-2</v>
      </c>
      <c r="O736" t="s">
        <v>6</v>
      </c>
    </row>
    <row r="737" spans="2:15" x14ac:dyDescent="0.45">
      <c r="B737" t="s">
        <v>734</v>
      </c>
      <c r="C737" t="s">
        <v>14</v>
      </c>
      <c r="D737">
        <v>5.2346404313072734E-2</v>
      </c>
      <c r="E737" t="s">
        <v>6</v>
      </c>
      <c r="G737" t="s">
        <v>735</v>
      </c>
      <c r="H737" t="s">
        <v>14</v>
      </c>
      <c r="I737">
        <v>3.758128152091092E-2</v>
      </c>
      <c r="J737" t="s">
        <v>6</v>
      </c>
      <c r="L737" t="s">
        <v>736</v>
      </c>
      <c r="M737" t="s">
        <v>14</v>
      </c>
      <c r="N737">
        <v>2.4807413373248113E-2</v>
      </c>
      <c r="O737" t="s">
        <v>6</v>
      </c>
    </row>
    <row r="738" spans="2:15" x14ac:dyDescent="0.45">
      <c r="B738" t="s">
        <v>734</v>
      </c>
      <c r="C738" t="s">
        <v>15</v>
      </c>
      <c r="D738">
        <v>2.3791145907355656E-2</v>
      </c>
      <c r="E738" t="s">
        <v>6</v>
      </c>
      <c r="G738" t="s">
        <v>735</v>
      </c>
      <c r="H738" t="s">
        <v>15</v>
      </c>
      <c r="I738">
        <v>3.4693735205990145E-2</v>
      </c>
      <c r="J738" t="s">
        <v>6</v>
      </c>
      <c r="L738" t="s">
        <v>736</v>
      </c>
      <c r="M738" t="s">
        <v>15</v>
      </c>
      <c r="N738">
        <v>2.5434095643447098E-2</v>
      </c>
      <c r="O738" t="s">
        <v>6</v>
      </c>
    </row>
    <row r="739" spans="2:15" x14ac:dyDescent="0.45">
      <c r="B739" t="s">
        <v>734</v>
      </c>
      <c r="C739" t="s">
        <v>16</v>
      </c>
      <c r="D739">
        <v>7.811113876175918E-4</v>
      </c>
      <c r="E739" t="s">
        <v>6</v>
      </c>
      <c r="G739" t="s">
        <v>735</v>
      </c>
      <c r="H739" t="s">
        <v>16</v>
      </c>
      <c r="I739">
        <v>3.295189015645747E-2</v>
      </c>
      <c r="J739" t="s">
        <v>6</v>
      </c>
      <c r="L739" t="s">
        <v>736</v>
      </c>
      <c r="M739" t="s">
        <v>16</v>
      </c>
      <c r="N739">
        <v>2.6562049802429991E-2</v>
      </c>
      <c r="O739" t="s">
        <v>6</v>
      </c>
    </row>
    <row r="740" spans="2:15" x14ac:dyDescent="0.45">
      <c r="B740" t="s">
        <v>734</v>
      </c>
      <c r="C740" t="s">
        <v>17</v>
      </c>
      <c r="D740">
        <v>0</v>
      </c>
      <c r="E740" t="s">
        <v>6</v>
      </c>
      <c r="G740" t="s">
        <v>735</v>
      </c>
      <c r="H740" t="s">
        <v>17</v>
      </c>
      <c r="I740">
        <v>4.9523919922941535E-2</v>
      </c>
      <c r="J740" t="s">
        <v>6</v>
      </c>
      <c r="L740" t="s">
        <v>736</v>
      </c>
      <c r="M740" t="s">
        <v>17</v>
      </c>
      <c r="N740">
        <v>4.2118313820409814E-2</v>
      </c>
      <c r="O740" t="s">
        <v>6</v>
      </c>
    </row>
    <row r="741" spans="2:15" x14ac:dyDescent="0.45">
      <c r="B741" t="s">
        <v>734</v>
      </c>
      <c r="C741" t="s">
        <v>18</v>
      </c>
      <c r="D741">
        <v>0</v>
      </c>
      <c r="E741" t="s">
        <v>6</v>
      </c>
      <c r="G741" t="s">
        <v>735</v>
      </c>
      <c r="H741" t="s">
        <v>18</v>
      </c>
      <c r="I741">
        <v>6.7277043817128609E-2</v>
      </c>
      <c r="J741" t="s">
        <v>6</v>
      </c>
      <c r="L741" t="s">
        <v>736</v>
      </c>
      <c r="M741" t="s">
        <v>18</v>
      </c>
      <c r="N741">
        <v>5.6008902133118724E-2</v>
      </c>
      <c r="O741" t="s">
        <v>6</v>
      </c>
    </row>
    <row r="742" spans="2:15" x14ac:dyDescent="0.45">
      <c r="B742" t="s">
        <v>734</v>
      </c>
      <c r="C742" t="s">
        <v>19</v>
      </c>
      <c r="D742">
        <v>0</v>
      </c>
      <c r="E742" t="s">
        <v>6</v>
      </c>
      <c r="G742" t="s">
        <v>735</v>
      </c>
      <c r="H742" t="s">
        <v>19</v>
      </c>
      <c r="I742">
        <v>2.5329144748509731E-2</v>
      </c>
      <c r="J742" t="s">
        <v>6</v>
      </c>
      <c r="L742" t="s">
        <v>736</v>
      </c>
      <c r="M742" t="s">
        <v>19</v>
      </c>
      <c r="N742">
        <v>2.4264541485068448E-2</v>
      </c>
      <c r="O742" t="s">
        <v>6</v>
      </c>
    </row>
    <row r="743" spans="2:15" x14ac:dyDescent="0.45">
      <c r="B743" t="s">
        <v>734</v>
      </c>
      <c r="C743" t="s">
        <v>20</v>
      </c>
      <c r="D743">
        <v>3.1811223875554554E-3</v>
      </c>
      <c r="E743" t="s">
        <v>6</v>
      </c>
      <c r="G743" t="s">
        <v>735</v>
      </c>
      <c r="H743" t="s">
        <v>20</v>
      </c>
      <c r="I743">
        <v>2.3858092130080766E-2</v>
      </c>
      <c r="J743" t="s">
        <v>6</v>
      </c>
      <c r="L743" t="s">
        <v>736</v>
      </c>
      <c r="M743" t="s">
        <v>20</v>
      </c>
      <c r="N743">
        <v>2.4384200496579436E-2</v>
      </c>
      <c r="O743" t="s">
        <v>6</v>
      </c>
    </row>
    <row r="744" spans="2:15" x14ac:dyDescent="0.45">
      <c r="B744" t="s">
        <v>734</v>
      </c>
      <c r="C744" t="s">
        <v>21</v>
      </c>
      <c r="D744">
        <v>3.1149392999005203E-2</v>
      </c>
      <c r="E744" t="s">
        <v>6</v>
      </c>
      <c r="G744" t="s">
        <v>735</v>
      </c>
      <c r="H744" t="s">
        <v>21</v>
      </c>
      <c r="I744">
        <v>2.508488264723131E-2</v>
      </c>
      <c r="J744" t="s">
        <v>6</v>
      </c>
      <c r="L744" t="s">
        <v>736</v>
      </c>
      <c r="M744" t="s">
        <v>21</v>
      </c>
      <c r="N744">
        <v>2.3276533479533963E-2</v>
      </c>
      <c r="O744" t="s">
        <v>6</v>
      </c>
    </row>
    <row r="745" spans="2:15" x14ac:dyDescent="0.45">
      <c r="B745" t="s">
        <v>734</v>
      </c>
      <c r="C745" t="s">
        <v>22</v>
      </c>
      <c r="D745">
        <v>5.975103550228382E-2</v>
      </c>
      <c r="E745" t="s">
        <v>6</v>
      </c>
      <c r="G745" t="s">
        <v>735</v>
      </c>
      <c r="H745" t="s">
        <v>22</v>
      </c>
      <c r="I745">
        <v>2.883366266193747E-2</v>
      </c>
      <c r="J745" t="s">
        <v>6</v>
      </c>
      <c r="L745" t="s">
        <v>736</v>
      </c>
      <c r="M745" t="s">
        <v>22</v>
      </c>
      <c r="N745">
        <v>2.2381777408076044E-2</v>
      </c>
      <c r="O745" t="s">
        <v>6</v>
      </c>
    </row>
    <row r="746" spans="2:15" x14ac:dyDescent="0.45">
      <c r="B746" t="s">
        <v>734</v>
      </c>
      <c r="C746" t="s">
        <v>23</v>
      </c>
      <c r="D746">
        <v>6.990477531355338E-2</v>
      </c>
      <c r="E746" t="s">
        <v>6</v>
      </c>
      <c r="G746" t="s">
        <v>735</v>
      </c>
      <c r="H746" t="s">
        <v>23</v>
      </c>
      <c r="I746">
        <v>3.56942473636567E-2</v>
      </c>
      <c r="J746" t="s">
        <v>6</v>
      </c>
      <c r="L746" t="s">
        <v>736</v>
      </c>
      <c r="M746" t="s">
        <v>23</v>
      </c>
      <c r="N746">
        <v>2.2682662675885843E-2</v>
      </c>
      <c r="O746" t="s">
        <v>6</v>
      </c>
    </row>
    <row r="747" spans="2:15" x14ac:dyDescent="0.45">
      <c r="B747" t="s">
        <v>734</v>
      </c>
      <c r="C747" t="s">
        <v>24</v>
      </c>
      <c r="D747">
        <v>6.108599473977841E-2</v>
      </c>
      <c r="E747" t="s">
        <v>6</v>
      </c>
      <c r="G747" t="s">
        <v>735</v>
      </c>
      <c r="H747" t="s">
        <v>24</v>
      </c>
      <c r="I747">
        <v>4.0090066755298061E-2</v>
      </c>
      <c r="J747" t="s">
        <v>6</v>
      </c>
      <c r="L747" t="s">
        <v>736</v>
      </c>
      <c r="M747" t="s">
        <v>24</v>
      </c>
      <c r="N747">
        <v>2.4088635064181983E-2</v>
      </c>
      <c r="O747" t="s">
        <v>6</v>
      </c>
    </row>
    <row r="748" spans="2:15" x14ac:dyDescent="0.45">
      <c r="B748" t="s">
        <v>734</v>
      </c>
      <c r="C748" t="s">
        <v>25</v>
      </c>
      <c r="D748">
        <v>3.5676754839785371E-2</v>
      </c>
      <c r="E748" t="s">
        <v>6</v>
      </c>
      <c r="G748" t="s">
        <v>735</v>
      </c>
      <c r="H748" t="s">
        <v>25</v>
      </c>
      <c r="I748">
        <v>3.7965500634219808E-2</v>
      </c>
      <c r="J748" t="s">
        <v>6</v>
      </c>
      <c r="L748" t="s">
        <v>736</v>
      </c>
      <c r="M748" t="s">
        <v>25</v>
      </c>
      <c r="N748">
        <v>2.4202909490926502E-2</v>
      </c>
      <c r="O748" t="s">
        <v>6</v>
      </c>
    </row>
    <row r="749" spans="2:15" x14ac:dyDescent="0.45">
      <c r="B749" t="s">
        <v>734</v>
      </c>
      <c r="C749" t="s">
        <v>26</v>
      </c>
      <c r="D749">
        <v>6.0151116119373741E-3</v>
      </c>
      <c r="E749" t="s">
        <v>6</v>
      </c>
      <c r="G749" t="s">
        <v>735</v>
      </c>
      <c r="H749" t="s">
        <v>26</v>
      </c>
      <c r="I749">
        <v>3.1587506066978716E-2</v>
      </c>
      <c r="J749" t="s">
        <v>6</v>
      </c>
      <c r="L749" t="s">
        <v>736</v>
      </c>
      <c r="M749" t="s">
        <v>26</v>
      </c>
      <c r="N749">
        <v>2.2996912653089872E-2</v>
      </c>
      <c r="O749" t="s">
        <v>6</v>
      </c>
    </row>
    <row r="750" spans="2:15" x14ac:dyDescent="0.45">
      <c r="B750" t="s">
        <v>734</v>
      </c>
      <c r="C750" t="s">
        <v>27</v>
      </c>
      <c r="D750">
        <v>0</v>
      </c>
      <c r="E750" t="s">
        <v>6</v>
      </c>
      <c r="G750" t="s">
        <v>735</v>
      </c>
      <c r="H750" t="s">
        <v>27</v>
      </c>
      <c r="I750">
        <v>4.2536477010877115E-2</v>
      </c>
      <c r="J750" t="s">
        <v>6</v>
      </c>
      <c r="L750" t="s">
        <v>736</v>
      </c>
      <c r="M750" t="s">
        <v>27</v>
      </c>
      <c r="N750">
        <v>3.2360854695602681E-2</v>
      </c>
      <c r="O750" t="s">
        <v>6</v>
      </c>
    </row>
    <row r="751" spans="2:15" x14ac:dyDescent="0.45">
      <c r="B751" t="s">
        <v>734</v>
      </c>
      <c r="C751" t="s">
        <v>28</v>
      </c>
      <c r="D751">
        <v>0</v>
      </c>
      <c r="E751" t="s">
        <v>6</v>
      </c>
      <c r="G751" t="s">
        <v>735</v>
      </c>
      <c r="H751" t="s">
        <v>28</v>
      </c>
      <c r="I751">
        <v>1.704231877579614E-2</v>
      </c>
      <c r="J751" t="s">
        <v>6</v>
      </c>
      <c r="L751" t="s">
        <v>736</v>
      </c>
      <c r="M751" t="s">
        <v>28</v>
      </c>
      <c r="N751">
        <v>2.5859096442356767E-2</v>
      </c>
      <c r="O751" t="s">
        <v>6</v>
      </c>
    </row>
    <row r="752" spans="2:15" x14ac:dyDescent="0.45">
      <c r="B752" t="s">
        <v>734</v>
      </c>
      <c r="C752" t="s">
        <v>29</v>
      </c>
      <c r="D752">
        <v>0</v>
      </c>
      <c r="E752" t="s">
        <v>6</v>
      </c>
      <c r="G752" t="s">
        <v>735</v>
      </c>
      <c r="H752" t="s">
        <v>29</v>
      </c>
      <c r="I752">
        <v>5.8316296116418418E-3</v>
      </c>
      <c r="J752" t="s">
        <v>6</v>
      </c>
      <c r="L752" t="s">
        <v>736</v>
      </c>
      <c r="M752" t="s">
        <v>29</v>
      </c>
      <c r="N752">
        <v>9.7744319019759159E-3</v>
      </c>
      <c r="O752" t="s">
        <v>6</v>
      </c>
    </row>
    <row r="753" spans="2:15" x14ac:dyDescent="0.45">
      <c r="B753" t="s">
        <v>734</v>
      </c>
      <c r="C753" t="s">
        <v>30</v>
      </c>
      <c r="D753">
        <v>5.1651219652575336E-3</v>
      </c>
      <c r="E753" t="s">
        <v>6</v>
      </c>
      <c r="G753" t="s">
        <v>735</v>
      </c>
      <c r="H753" t="s">
        <v>30</v>
      </c>
      <c r="I753">
        <v>4.6449200658432626E-3</v>
      </c>
      <c r="J753" t="s">
        <v>6</v>
      </c>
      <c r="L753" t="s">
        <v>736</v>
      </c>
      <c r="M753" t="s">
        <v>30</v>
      </c>
      <c r="N753">
        <v>9.5883900396197645E-3</v>
      </c>
      <c r="O753" t="s">
        <v>6</v>
      </c>
    </row>
    <row r="754" spans="2:15" x14ac:dyDescent="0.45">
      <c r="B754" t="s">
        <v>734</v>
      </c>
      <c r="C754" t="s">
        <v>31</v>
      </c>
      <c r="D754">
        <v>3.7145587817174745E-2</v>
      </c>
      <c r="E754" t="s">
        <v>6</v>
      </c>
      <c r="G754" t="s">
        <v>735</v>
      </c>
      <c r="H754" t="s">
        <v>31</v>
      </c>
      <c r="I754">
        <v>5.2033142319291353E-3</v>
      </c>
      <c r="J754" t="s">
        <v>6</v>
      </c>
      <c r="L754" t="s">
        <v>736</v>
      </c>
      <c r="M754" t="s">
        <v>31</v>
      </c>
      <c r="N754">
        <v>9.250790321356419E-3</v>
      </c>
      <c r="O754" t="s">
        <v>6</v>
      </c>
    </row>
    <row r="755" spans="2:15" x14ac:dyDescent="0.45">
      <c r="B755" t="s">
        <v>734</v>
      </c>
      <c r="C755" t="s">
        <v>32</v>
      </c>
      <c r="D755">
        <v>6.6055107407753763E-2</v>
      </c>
      <c r="E755" t="s">
        <v>6</v>
      </c>
      <c r="G755" t="s">
        <v>735</v>
      </c>
      <c r="H755" t="s">
        <v>32</v>
      </c>
      <c r="I755">
        <v>6.6312305127654656E-3</v>
      </c>
      <c r="J755" t="s">
        <v>6</v>
      </c>
      <c r="L755" t="s">
        <v>736</v>
      </c>
      <c r="M755" t="s">
        <v>32</v>
      </c>
      <c r="N755">
        <v>9.479640159208224E-3</v>
      </c>
      <c r="O755" t="s">
        <v>6</v>
      </c>
    </row>
    <row r="756" spans="2:15" x14ac:dyDescent="0.45">
      <c r="B756" t="s">
        <v>734</v>
      </c>
      <c r="C756" t="s">
        <v>33</v>
      </c>
      <c r="D756">
        <v>7.6576950402777594E-2</v>
      </c>
      <c r="E756" t="s">
        <v>6</v>
      </c>
      <c r="G756" t="s">
        <v>735</v>
      </c>
      <c r="H756" t="s">
        <v>33</v>
      </c>
      <c r="I756">
        <v>1.0491110382488421E-2</v>
      </c>
      <c r="J756" t="s">
        <v>6</v>
      </c>
      <c r="L756" t="s">
        <v>736</v>
      </c>
      <c r="M756" t="s">
        <v>33</v>
      </c>
      <c r="N756">
        <v>1.2094078369548518E-2</v>
      </c>
      <c r="O756" t="s">
        <v>6</v>
      </c>
    </row>
    <row r="757" spans="2:15" x14ac:dyDescent="0.45">
      <c r="B757" t="s">
        <v>734</v>
      </c>
      <c r="C757" t="s">
        <v>34</v>
      </c>
      <c r="D757">
        <v>6.726234321018057E-2</v>
      </c>
      <c r="E757" t="s">
        <v>6</v>
      </c>
      <c r="G757" t="s">
        <v>735</v>
      </c>
      <c r="H757" t="s">
        <v>34</v>
      </c>
      <c r="I757">
        <v>1.36639875467036E-2</v>
      </c>
      <c r="J757" t="s">
        <v>6</v>
      </c>
      <c r="L757" t="s">
        <v>736</v>
      </c>
      <c r="M757" t="s">
        <v>34</v>
      </c>
      <c r="N757">
        <v>1.50228256003516E-2</v>
      </c>
      <c r="O757" t="s">
        <v>6</v>
      </c>
    </row>
    <row r="758" spans="2:15" x14ac:dyDescent="0.45">
      <c r="B758" t="s">
        <v>734</v>
      </c>
      <c r="C758" t="s">
        <v>35</v>
      </c>
      <c r="D758">
        <v>4.1481037567019187E-2</v>
      </c>
      <c r="E758" t="s">
        <v>6</v>
      </c>
      <c r="G758" t="s">
        <v>735</v>
      </c>
      <c r="H758" t="s">
        <v>35</v>
      </c>
      <c r="I758">
        <v>1.4955405117353949E-2</v>
      </c>
      <c r="J758" t="s">
        <v>6</v>
      </c>
      <c r="L758" t="s">
        <v>736</v>
      </c>
      <c r="M758" t="s">
        <v>35</v>
      </c>
      <c r="N758">
        <v>1.5400361996528026E-2</v>
      </c>
      <c r="O758" t="s">
        <v>6</v>
      </c>
    </row>
    <row r="759" spans="2:15" x14ac:dyDescent="0.45">
      <c r="B759" t="s">
        <v>734</v>
      </c>
      <c r="C759" t="s">
        <v>36</v>
      </c>
      <c r="D759">
        <v>9.2897986833589269E-3</v>
      </c>
      <c r="E759" t="s">
        <v>6</v>
      </c>
      <c r="G759" t="s">
        <v>735</v>
      </c>
      <c r="H759" t="s">
        <v>36</v>
      </c>
      <c r="I759">
        <v>1.4043460000858226E-2</v>
      </c>
      <c r="J759" t="s">
        <v>6</v>
      </c>
      <c r="L759" t="s">
        <v>736</v>
      </c>
      <c r="M759" t="s">
        <v>36</v>
      </c>
      <c r="N759">
        <v>1.4190687813979723E-2</v>
      </c>
      <c r="O759" t="s">
        <v>6</v>
      </c>
    </row>
    <row r="760" spans="2:15" x14ac:dyDescent="0.45">
      <c r="B760" t="s">
        <v>734</v>
      </c>
      <c r="C760" t="s">
        <v>37</v>
      </c>
      <c r="D760">
        <v>2.5767451585245806E-7</v>
      </c>
      <c r="E760" t="s">
        <v>6</v>
      </c>
      <c r="G760" t="s">
        <v>735</v>
      </c>
      <c r="H760" t="s">
        <v>37</v>
      </c>
      <c r="I760">
        <v>1.4462393137057709E-2</v>
      </c>
      <c r="J760" t="s">
        <v>6</v>
      </c>
      <c r="L760" t="s">
        <v>736</v>
      </c>
      <c r="M760" t="s">
        <v>37</v>
      </c>
      <c r="N760">
        <v>1.7849399224633244E-2</v>
      </c>
      <c r="O760" t="s">
        <v>6</v>
      </c>
    </row>
    <row r="761" spans="2:15" x14ac:dyDescent="0.45">
      <c r="B761" t="s">
        <v>734</v>
      </c>
      <c r="C761" t="s">
        <v>38</v>
      </c>
      <c r="D761">
        <v>0</v>
      </c>
      <c r="E761" t="s">
        <v>6</v>
      </c>
      <c r="G761" t="s">
        <v>735</v>
      </c>
      <c r="H761" t="s">
        <v>38</v>
      </c>
      <c r="I761">
        <v>2.5428852623602491E-2</v>
      </c>
      <c r="J761" t="s">
        <v>6</v>
      </c>
      <c r="L761" t="s">
        <v>736</v>
      </c>
      <c r="M761" t="s">
        <v>38</v>
      </c>
      <c r="N761">
        <v>5.4456874851955037E-2</v>
      </c>
      <c r="O761" t="s">
        <v>6</v>
      </c>
    </row>
    <row r="762" spans="2:15" x14ac:dyDescent="0.45">
      <c r="B762" t="s">
        <v>734</v>
      </c>
      <c r="C762" t="s">
        <v>39</v>
      </c>
      <c r="D762">
        <v>0</v>
      </c>
      <c r="E762" t="s">
        <v>6</v>
      </c>
      <c r="G762" t="s">
        <v>735</v>
      </c>
      <c r="H762" t="s">
        <v>39</v>
      </c>
      <c r="I762">
        <v>9.034082781003417E-3</v>
      </c>
      <c r="J762" t="s">
        <v>6</v>
      </c>
      <c r="L762" t="s">
        <v>736</v>
      </c>
      <c r="M762" t="s">
        <v>39</v>
      </c>
      <c r="N762">
        <v>2.2014555640819979E-2</v>
      </c>
      <c r="O762" t="s">
        <v>6</v>
      </c>
    </row>
    <row r="763" spans="2:15" x14ac:dyDescent="0.45">
      <c r="B763" t="s">
        <v>734</v>
      </c>
      <c r="C763" t="s">
        <v>40</v>
      </c>
      <c r="D763">
        <v>9.5926057817962904E-4</v>
      </c>
      <c r="E763" t="s">
        <v>6</v>
      </c>
      <c r="G763" t="s">
        <v>735</v>
      </c>
      <c r="H763" t="s">
        <v>40</v>
      </c>
      <c r="I763">
        <v>8.704332996280607E-3</v>
      </c>
      <c r="J763" t="s">
        <v>6</v>
      </c>
      <c r="L763" t="s">
        <v>736</v>
      </c>
      <c r="M763" t="s">
        <v>40</v>
      </c>
      <c r="N763">
        <v>2.2379197158139415E-2</v>
      </c>
      <c r="O763" t="s">
        <v>6</v>
      </c>
    </row>
    <row r="764" spans="2:15" x14ac:dyDescent="0.45">
      <c r="B764" t="s">
        <v>734</v>
      </c>
      <c r="C764" t="s">
        <v>41</v>
      </c>
      <c r="D764">
        <v>2.6566890748857871E-2</v>
      </c>
      <c r="E764" t="s">
        <v>6</v>
      </c>
      <c r="G764" t="s">
        <v>735</v>
      </c>
      <c r="H764" t="s">
        <v>41</v>
      </c>
      <c r="I764">
        <v>8.2030087523932201E-3</v>
      </c>
      <c r="J764" t="s">
        <v>6</v>
      </c>
      <c r="L764" t="s">
        <v>736</v>
      </c>
      <c r="M764" t="s">
        <v>41</v>
      </c>
      <c r="N764">
        <v>2.1121476527773509E-2</v>
      </c>
      <c r="O764" t="s">
        <v>6</v>
      </c>
    </row>
    <row r="765" spans="2:15" x14ac:dyDescent="0.45">
      <c r="B765" t="s">
        <v>734</v>
      </c>
      <c r="C765" t="s">
        <v>42</v>
      </c>
      <c r="D765">
        <v>5.7624123218457668E-2</v>
      </c>
      <c r="E765" t="s">
        <v>6</v>
      </c>
      <c r="G765" t="s">
        <v>735</v>
      </c>
      <c r="H765" t="s">
        <v>42</v>
      </c>
      <c r="I765">
        <v>1.0485167016009905E-2</v>
      </c>
      <c r="J765" t="s">
        <v>6</v>
      </c>
      <c r="L765" t="s">
        <v>736</v>
      </c>
      <c r="M765" t="s">
        <v>42</v>
      </c>
      <c r="N765">
        <v>1.9820096691218616E-2</v>
      </c>
      <c r="O765" t="s">
        <v>6</v>
      </c>
    </row>
    <row r="766" spans="2:15" x14ac:dyDescent="0.45">
      <c r="B766" t="s">
        <v>734</v>
      </c>
      <c r="C766" t="s">
        <v>43</v>
      </c>
      <c r="D766">
        <v>6.6874486914801995E-2</v>
      </c>
      <c r="E766" t="s">
        <v>6</v>
      </c>
      <c r="G766" t="s">
        <v>735</v>
      </c>
      <c r="H766" t="s">
        <v>43</v>
      </c>
      <c r="I766">
        <v>1.4301329041303677E-2</v>
      </c>
      <c r="J766" t="s">
        <v>6</v>
      </c>
      <c r="L766" t="s">
        <v>736</v>
      </c>
      <c r="M766" t="s">
        <v>43</v>
      </c>
      <c r="N766">
        <v>2.0622340797524109E-2</v>
      </c>
      <c r="O766" t="s">
        <v>6</v>
      </c>
    </row>
    <row r="767" spans="2:15" x14ac:dyDescent="0.45">
      <c r="B767" t="s">
        <v>734</v>
      </c>
      <c r="C767" t="s">
        <v>44</v>
      </c>
      <c r="D767">
        <v>5.4118256011220528E-2</v>
      </c>
      <c r="E767" t="s">
        <v>6</v>
      </c>
      <c r="G767" t="s">
        <v>735</v>
      </c>
      <c r="H767" t="s">
        <v>44</v>
      </c>
      <c r="I767">
        <v>1.5939806735380983E-2</v>
      </c>
      <c r="J767" t="s">
        <v>6</v>
      </c>
      <c r="L767" t="s">
        <v>736</v>
      </c>
      <c r="M767" t="s">
        <v>44</v>
      </c>
      <c r="N767">
        <v>2.183679448352838E-2</v>
      </c>
      <c r="O767" t="s">
        <v>6</v>
      </c>
    </row>
    <row r="768" spans="2:15" x14ac:dyDescent="0.45">
      <c r="B768" t="s">
        <v>734</v>
      </c>
      <c r="C768" t="s">
        <v>45</v>
      </c>
      <c r="D768">
        <v>2.4184354040192042E-2</v>
      </c>
      <c r="E768" t="s">
        <v>6</v>
      </c>
      <c r="G768" t="s">
        <v>735</v>
      </c>
      <c r="H768" t="s">
        <v>45</v>
      </c>
      <c r="I768">
        <v>1.5537467628797196E-2</v>
      </c>
      <c r="J768" t="s">
        <v>6</v>
      </c>
      <c r="L768" t="s">
        <v>736</v>
      </c>
      <c r="M768" t="s">
        <v>45</v>
      </c>
      <c r="N768">
        <v>2.2787569776690098E-2</v>
      </c>
      <c r="O768" t="s">
        <v>6</v>
      </c>
    </row>
    <row r="769" spans="2:15" x14ac:dyDescent="0.45">
      <c r="B769" t="s">
        <v>734</v>
      </c>
      <c r="C769" t="s">
        <v>46</v>
      </c>
      <c r="D769">
        <v>1.2418853432088631E-3</v>
      </c>
      <c r="E769" t="s">
        <v>6</v>
      </c>
      <c r="G769" t="s">
        <v>735</v>
      </c>
      <c r="H769" t="s">
        <v>46</v>
      </c>
      <c r="I769">
        <v>1.3341371672315583E-2</v>
      </c>
      <c r="J769" t="s">
        <v>6</v>
      </c>
      <c r="L769" t="s">
        <v>736</v>
      </c>
      <c r="M769" t="s">
        <v>46</v>
      </c>
      <c r="N769">
        <v>2.3372387399113115E-2</v>
      </c>
      <c r="O769" t="s">
        <v>6</v>
      </c>
    </row>
    <row r="770" spans="2:15" x14ac:dyDescent="0.45">
      <c r="B770" t="s">
        <v>734</v>
      </c>
      <c r="C770" t="s">
        <v>47</v>
      </c>
      <c r="D770">
        <v>0</v>
      </c>
      <c r="E770" t="s">
        <v>6</v>
      </c>
      <c r="G770" t="s">
        <v>735</v>
      </c>
      <c r="H770" t="s">
        <v>47</v>
      </c>
      <c r="I770">
        <v>1.7598719348455909E-2</v>
      </c>
      <c r="J770" t="s">
        <v>6</v>
      </c>
      <c r="L770" t="s">
        <v>736</v>
      </c>
      <c r="M770" t="s">
        <v>47</v>
      </c>
      <c r="N770">
        <v>3.4232502628413333E-2</v>
      </c>
      <c r="O770" t="s">
        <v>6</v>
      </c>
    </row>
    <row r="771" spans="2:15" x14ac:dyDescent="0.45">
      <c r="B771" t="s">
        <v>737</v>
      </c>
      <c r="C771" t="s">
        <v>5</v>
      </c>
      <c r="D771">
        <v>0</v>
      </c>
      <c r="E771" t="s">
        <v>6</v>
      </c>
      <c r="G771" t="s">
        <v>738</v>
      </c>
      <c r="H771" t="s">
        <v>5</v>
      </c>
      <c r="I771">
        <v>9.3628099026640876E-2</v>
      </c>
      <c r="J771" t="s">
        <v>6</v>
      </c>
    </row>
    <row r="772" spans="2:15" x14ac:dyDescent="0.45">
      <c r="B772" t="s">
        <v>737</v>
      </c>
      <c r="C772" t="s">
        <v>9</v>
      </c>
      <c r="D772">
        <v>0</v>
      </c>
      <c r="E772" t="s">
        <v>6</v>
      </c>
      <c r="G772" t="s">
        <v>738</v>
      </c>
      <c r="H772" t="s">
        <v>9</v>
      </c>
      <c r="I772">
        <v>4.0132841222256473E-2</v>
      </c>
      <c r="J772" t="s">
        <v>6</v>
      </c>
    </row>
    <row r="773" spans="2:15" x14ac:dyDescent="0.45">
      <c r="B773" t="s">
        <v>737</v>
      </c>
      <c r="C773" t="s">
        <v>10</v>
      </c>
      <c r="D773">
        <v>0</v>
      </c>
      <c r="E773" t="s">
        <v>6</v>
      </c>
      <c r="G773" t="s">
        <v>738</v>
      </c>
      <c r="H773" t="s">
        <v>10</v>
      </c>
      <c r="I773">
        <v>4.035632478272675E-2</v>
      </c>
      <c r="J773" t="s">
        <v>6</v>
      </c>
    </row>
    <row r="774" spans="2:15" x14ac:dyDescent="0.45">
      <c r="B774" t="s">
        <v>737</v>
      </c>
      <c r="C774" t="s">
        <v>11</v>
      </c>
      <c r="D774">
        <v>1.6273391271324846E-2</v>
      </c>
      <c r="E774" t="s">
        <v>6</v>
      </c>
      <c r="G774" t="s">
        <v>738</v>
      </c>
      <c r="H774" t="s">
        <v>11</v>
      </c>
      <c r="I774">
        <v>3.8139963882728847E-2</v>
      </c>
      <c r="J774" t="s">
        <v>6</v>
      </c>
    </row>
    <row r="775" spans="2:15" x14ac:dyDescent="0.45">
      <c r="B775" t="s">
        <v>737</v>
      </c>
      <c r="C775" t="s">
        <v>12</v>
      </c>
      <c r="D775">
        <v>4.96225683361564E-2</v>
      </c>
      <c r="E775" t="s">
        <v>6</v>
      </c>
      <c r="G775" t="s">
        <v>738</v>
      </c>
      <c r="H775" t="s">
        <v>12</v>
      </c>
      <c r="I775">
        <v>3.4437229462682586E-2</v>
      </c>
      <c r="J775" t="s">
        <v>6</v>
      </c>
    </row>
    <row r="776" spans="2:15" x14ac:dyDescent="0.45">
      <c r="B776" t="s">
        <v>737</v>
      </c>
      <c r="C776" t="s">
        <v>13</v>
      </c>
      <c r="D776">
        <v>6.2498539808340546E-2</v>
      </c>
      <c r="E776" t="s">
        <v>6</v>
      </c>
      <c r="G776" t="s">
        <v>738</v>
      </c>
      <c r="H776" t="s">
        <v>13</v>
      </c>
      <c r="I776">
        <v>3.4825343544925891E-2</v>
      </c>
      <c r="J776" t="s">
        <v>6</v>
      </c>
    </row>
    <row r="777" spans="2:15" x14ac:dyDescent="0.45">
      <c r="B777" t="s">
        <v>737</v>
      </c>
      <c r="C777" t="s">
        <v>14</v>
      </c>
      <c r="D777">
        <v>5.1359575885877654E-2</v>
      </c>
      <c r="E777" t="s">
        <v>6</v>
      </c>
      <c r="G777" t="s">
        <v>738</v>
      </c>
      <c r="H777" t="s">
        <v>14</v>
      </c>
      <c r="I777">
        <v>3.3561870540332515E-2</v>
      </c>
      <c r="J777" t="s">
        <v>6</v>
      </c>
    </row>
    <row r="778" spans="2:15" x14ac:dyDescent="0.45">
      <c r="B778" t="s">
        <v>737</v>
      </c>
      <c r="C778" t="s">
        <v>15</v>
      </c>
      <c r="D778">
        <v>2.1857603994328834E-2</v>
      </c>
      <c r="E778" t="s">
        <v>6</v>
      </c>
      <c r="G778" t="s">
        <v>738</v>
      </c>
      <c r="H778" t="s">
        <v>15</v>
      </c>
      <c r="I778">
        <v>3.1628110445987206E-2</v>
      </c>
      <c r="J778" t="s">
        <v>6</v>
      </c>
    </row>
    <row r="779" spans="2:15" x14ac:dyDescent="0.45">
      <c r="B779" t="s">
        <v>737</v>
      </c>
      <c r="C779" t="s">
        <v>16</v>
      </c>
      <c r="D779">
        <v>3.7815845992346652E-4</v>
      </c>
      <c r="E779" t="s">
        <v>6</v>
      </c>
      <c r="G779" t="s">
        <v>738</v>
      </c>
      <c r="H779" t="s">
        <v>16</v>
      </c>
      <c r="I779">
        <v>3.1572366066874934E-2</v>
      </c>
      <c r="J779" t="s">
        <v>6</v>
      </c>
    </row>
    <row r="780" spans="2:15" x14ac:dyDescent="0.45">
      <c r="B780" t="s">
        <v>737</v>
      </c>
      <c r="C780" t="s">
        <v>17</v>
      </c>
      <c r="D780">
        <v>0</v>
      </c>
      <c r="E780" t="s">
        <v>6</v>
      </c>
      <c r="G780" t="s">
        <v>738</v>
      </c>
      <c r="H780" t="s">
        <v>17</v>
      </c>
      <c r="I780">
        <v>4.9791512047470149E-2</v>
      </c>
      <c r="J780" t="s">
        <v>6</v>
      </c>
    </row>
    <row r="781" spans="2:15" x14ac:dyDescent="0.45">
      <c r="B781" t="s">
        <v>737</v>
      </c>
      <c r="C781" t="s">
        <v>18</v>
      </c>
      <c r="D781">
        <v>0</v>
      </c>
      <c r="E781" t="s">
        <v>6</v>
      </c>
      <c r="G781" t="s">
        <v>738</v>
      </c>
      <c r="H781" t="s">
        <v>18</v>
      </c>
      <c r="I781">
        <v>5.9308671098209316E-2</v>
      </c>
      <c r="J781" t="s">
        <v>6</v>
      </c>
    </row>
    <row r="782" spans="2:15" x14ac:dyDescent="0.45">
      <c r="B782" t="s">
        <v>737</v>
      </c>
      <c r="C782" t="s">
        <v>19</v>
      </c>
      <c r="D782">
        <v>0</v>
      </c>
      <c r="E782" t="s">
        <v>6</v>
      </c>
      <c r="G782" t="s">
        <v>738</v>
      </c>
      <c r="H782" t="s">
        <v>19</v>
      </c>
      <c r="I782">
        <v>2.519977401644409E-2</v>
      </c>
      <c r="J782" t="s">
        <v>6</v>
      </c>
    </row>
    <row r="783" spans="2:15" x14ac:dyDescent="0.45">
      <c r="B783" t="s">
        <v>737</v>
      </c>
      <c r="C783" t="s">
        <v>20</v>
      </c>
      <c r="D783">
        <v>4.1560419859774786E-3</v>
      </c>
      <c r="E783" t="s">
        <v>6</v>
      </c>
      <c r="G783" t="s">
        <v>738</v>
      </c>
      <c r="H783" t="s">
        <v>20</v>
      </c>
      <c r="I783">
        <v>2.5253377853914932E-2</v>
      </c>
      <c r="J783" t="s">
        <v>6</v>
      </c>
    </row>
    <row r="784" spans="2:15" x14ac:dyDescent="0.45">
      <c r="B784" t="s">
        <v>737</v>
      </c>
      <c r="C784" t="s">
        <v>21</v>
      </c>
      <c r="D784">
        <v>3.4810368732657006E-2</v>
      </c>
      <c r="E784" t="s">
        <v>6</v>
      </c>
      <c r="G784" t="s">
        <v>738</v>
      </c>
      <c r="H784" t="s">
        <v>21</v>
      </c>
      <c r="I784">
        <v>2.5462237233967597E-2</v>
      </c>
      <c r="J784" t="s">
        <v>6</v>
      </c>
    </row>
    <row r="785" spans="2:10" x14ac:dyDescent="0.45">
      <c r="B785" t="s">
        <v>737</v>
      </c>
      <c r="C785" t="s">
        <v>22</v>
      </c>
      <c r="D785">
        <v>6.2674936988070667E-2</v>
      </c>
      <c r="E785" t="s">
        <v>6</v>
      </c>
      <c r="G785" t="s">
        <v>738</v>
      </c>
      <c r="H785" t="s">
        <v>22</v>
      </c>
      <c r="I785">
        <v>2.5008520437751487E-2</v>
      </c>
      <c r="J785" t="s">
        <v>6</v>
      </c>
    </row>
    <row r="786" spans="2:10" x14ac:dyDescent="0.45">
      <c r="B786" t="s">
        <v>737</v>
      </c>
      <c r="C786" t="s">
        <v>23</v>
      </c>
      <c r="D786">
        <v>6.9628294355566556E-2</v>
      </c>
      <c r="E786" t="s">
        <v>6</v>
      </c>
      <c r="G786" t="s">
        <v>738</v>
      </c>
      <c r="H786" t="s">
        <v>23</v>
      </c>
      <c r="I786">
        <v>2.9380164710024671E-2</v>
      </c>
      <c r="J786" t="s">
        <v>6</v>
      </c>
    </row>
    <row r="787" spans="2:10" x14ac:dyDescent="0.45">
      <c r="B787" t="s">
        <v>737</v>
      </c>
      <c r="C787" t="s">
        <v>24</v>
      </c>
      <c r="D787">
        <v>5.9471030874246621E-2</v>
      </c>
      <c r="E787" t="s">
        <v>6</v>
      </c>
      <c r="G787" t="s">
        <v>738</v>
      </c>
      <c r="H787" t="s">
        <v>24</v>
      </c>
      <c r="I787">
        <v>3.2482607395886161E-2</v>
      </c>
      <c r="J787" t="s">
        <v>6</v>
      </c>
    </row>
    <row r="788" spans="2:10" x14ac:dyDescent="0.45">
      <c r="B788" t="s">
        <v>737</v>
      </c>
      <c r="C788" t="s">
        <v>25</v>
      </c>
      <c r="D788">
        <v>3.3324398785000341E-2</v>
      </c>
      <c r="E788" t="s">
        <v>6</v>
      </c>
      <c r="G788" t="s">
        <v>738</v>
      </c>
      <c r="H788" t="s">
        <v>25</v>
      </c>
      <c r="I788">
        <v>3.1448042592631203E-2</v>
      </c>
      <c r="J788" t="s">
        <v>6</v>
      </c>
    </row>
    <row r="789" spans="2:10" x14ac:dyDescent="0.45">
      <c r="B789" t="s">
        <v>737</v>
      </c>
      <c r="C789" t="s">
        <v>26</v>
      </c>
      <c r="D789">
        <v>5.0949651985986218E-3</v>
      </c>
      <c r="E789" t="s">
        <v>6</v>
      </c>
      <c r="G789" t="s">
        <v>738</v>
      </c>
      <c r="H789" t="s">
        <v>26</v>
      </c>
      <c r="I789">
        <v>2.5928275017637722E-2</v>
      </c>
      <c r="J789" t="s">
        <v>6</v>
      </c>
    </row>
    <row r="790" spans="2:10" x14ac:dyDescent="0.45">
      <c r="B790" t="s">
        <v>737</v>
      </c>
      <c r="C790" t="s">
        <v>27</v>
      </c>
      <c r="D790">
        <v>0</v>
      </c>
      <c r="E790" t="s">
        <v>6</v>
      </c>
      <c r="G790" t="s">
        <v>738</v>
      </c>
      <c r="H790" t="s">
        <v>27</v>
      </c>
      <c r="I790">
        <v>3.4183485067345032E-2</v>
      </c>
      <c r="J790" t="s">
        <v>6</v>
      </c>
    </row>
    <row r="791" spans="2:10" x14ac:dyDescent="0.45">
      <c r="B791" t="s">
        <v>737</v>
      </c>
      <c r="C791" t="s">
        <v>28</v>
      </c>
      <c r="D791">
        <v>0</v>
      </c>
      <c r="E791" t="s">
        <v>6</v>
      </c>
      <c r="G791" t="s">
        <v>738</v>
      </c>
      <c r="H791" t="s">
        <v>28</v>
      </c>
      <c r="I791">
        <v>1.0086044652212779E-2</v>
      </c>
      <c r="J791" t="s">
        <v>6</v>
      </c>
    </row>
    <row r="792" spans="2:10" x14ac:dyDescent="0.45">
      <c r="B792" t="s">
        <v>737</v>
      </c>
      <c r="C792" t="s">
        <v>29</v>
      </c>
      <c r="D792">
        <v>0</v>
      </c>
      <c r="E792" t="s">
        <v>6</v>
      </c>
      <c r="G792" t="s">
        <v>738</v>
      </c>
      <c r="H792" t="s">
        <v>29</v>
      </c>
      <c r="I792">
        <v>3.8353111867532072E-3</v>
      </c>
      <c r="J792" t="s">
        <v>6</v>
      </c>
    </row>
    <row r="793" spans="2:10" x14ac:dyDescent="0.45">
      <c r="B793" t="s">
        <v>737</v>
      </c>
      <c r="C793" t="s">
        <v>30</v>
      </c>
      <c r="D793">
        <v>6.2041473031047905E-3</v>
      </c>
      <c r="E793" t="s">
        <v>6</v>
      </c>
      <c r="G793" t="s">
        <v>738</v>
      </c>
      <c r="H793" t="s">
        <v>30</v>
      </c>
      <c r="I793">
        <v>3.2041436098490727E-3</v>
      </c>
      <c r="J793" t="s">
        <v>6</v>
      </c>
    </row>
    <row r="794" spans="2:10" x14ac:dyDescent="0.45">
      <c r="B794" t="s">
        <v>737</v>
      </c>
      <c r="C794" t="s">
        <v>31</v>
      </c>
      <c r="D794">
        <v>3.8322898984175964E-2</v>
      </c>
      <c r="E794" t="s">
        <v>6</v>
      </c>
      <c r="G794" t="s">
        <v>738</v>
      </c>
      <c r="H794" t="s">
        <v>31</v>
      </c>
      <c r="I794">
        <v>3.2182359260100549E-3</v>
      </c>
      <c r="J794" t="s">
        <v>6</v>
      </c>
    </row>
    <row r="795" spans="2:10" x14ac:dyDescent="0.45">
      <c r="B795" t="s">
        <v>737</v>
      </c>
      <c r="C795" t="s">
        <v>32</v>
      </c>
      <c r="D795">
        <v>6.6366080270283512E-2</v>
      </c>
      <c r="E795" t="s">
        <v>6</v>
      </c>
      <c r="G795" t="s">
        <v>738</v>
      </c>
      <c r="H795" t="s">
        <v>32</v>
      </c>
      <c r="I795">
        <v>4.4108461627856005E-3</v>
      </c>
      <c r="J795" t="s">
        <v>6</v>
      </c>
    </row>
    <row r="796" spans="2:10" x14ac:dyDescent="0.45">
      <c r="B796" t="s">
        <v>737</v>
      </c>
      <c r="C796" t="s">
        <v>33</v>
      </c>
      <c r="D796">
        <v>7.5898014913387754E-2</v>
      </c>
      <c r="E796" t="s">
        <v>6</v>
      </c>
      <c r="G796" t="s">
        <v>738</v>
      </c>
      <c r="H796" t="s">
        <v>33</v>
      </c>
      <c r="I796">
        <v>8.5193279173663584E-3</v>
      </c>
      <c r="J796" t="s">
        <v>6</v>
      </c>
    </row>
    <row r="797" spans="2:10" x14ac:dyDescent="0.45">
      <c r="B797" t="s">
        <v>737</v>
      </c>
      <c r="C797" t="s">
        <v>34</v>
      </c>
      <c r="D797">
        <v>6.5199471967022027E-2</v>
      </c>
      <c r="E797" t="s">
        <v>6</v>
      </c>
      <c r="G797" t="s">
        <v>738</v>
      </c>
      <c r="H797" t="s">
        <v>34</v>
      </c>
      <c r="I797">
        <v>1.4120804143159828E-2</v>
      </c>
      <c r="J797" t="s">
        <v>6</v>
      </c>
    </row>
    <row r="798" spans="2:10" x14ac:dyDescent="0.45">
      <c r="B798" t="s">
        <v>737</v>
      </c>
      <c r="C798" t="s">
        <v>35</v>
      </c>
      <c r="D798">
        <v>3.8483409164040562E-2</v>
      </c>
      <c r="E798" t="s">
        <v>6</v>
      </c>
      <c r="G798" t="s">
        <v>738</v>
      </c>
      <c r="H798" t="s">
        <v>35</v>
      </c>
      <c r="I798">
        <v>1.5853533026702882E-2</v>
      </c>
      <c r="J798" t="s">
        <v>6</v>
      </c>
    </row>
    <row r="799" spans="2:10" x14ac:dyDescent="0.45">
      <c r="B799" t="s">
        <v>737</v>
      </c>
      <c r="C799" t="s">
        <v>36</v>
      </c>
      <c r="D799">
        <v>8.2317810370100431E-3</v>
      </c>
      <c r="E799" t="s">
        <v>6</v>
      </c>
      <c r="G799" t="s">
        <v>738</v>
      </c>
      <c r="H799" t="s">
        <v>36</v>
      </c>
      <c r="I799">
        <v>1.0560682650346608E-2</v>
      </c>
      <c r="J799" t="s">
        <v>6</v>
      </c>
    </row>
    <row r="800" spans="2:10" x14ac:dyDescent="0.45">
      <c r="B800" t="s">
        <v>737</v>
      </c>
      <c r="C800" t="s">
        <v>37</v>
      </c>
      <c r="D800">
        <v>0</v>
      </c>
      <c r="E800" t="s">
        <v>6</v>
      </c>
      <c r="G800" t="s">
        <v>738</v>
      </c>
      <c r="H800" t="s">
        <v>37</v>
      </c>
      <c r="I800">
        <v>7.5683386651308072E-3</v>
      </c>
      <c r="J800" t="s">
        <v>6</v>
      </c>
    </row>
    <row r="801" spans="2:10" x14ac:dyDescent="0.45">
      <c r="B801" t="s">
        <v>737</v>
      </c>
      <c r="C801" t="s">
        <v>38</v>
      </c>
      <c r="D801">
        <v>0</v>
      </c>
      <c r="E801" t="s">
        <v>6</v>
      </c>
      <c r="G801" t="s">
        <v>738</v>
      </c>
      <c r="H801" t="s">
        <v>38</v>
      </c>
      <c r="I801">
        <v>3.7352122747376884E-2</v>
      </c>
      <c r="J801" t="s">
        <v>6</v>
      </c>
    </row>
    <row r="802" spans="2:10" x14ac:dyDescent="0.45">
      <c r="B802" t="s">
        <v>737</v>
      </c>
      <c r="C802" t="s">
        <v>39</v>
      </c>
      <c r="D802">
        <v>0</v>
      </c>
      <c r="E802" t="s">
        <v>6</v>
      </c>
      <c r="G802" t="s">
        <v>738</v>
      </c>
      <c r="H802" t="s">
        <v>39</v>
      </c>
      <c r="I802">
        <v>1.5645427136551125E-2</v>
      </c>
      <c r="J802" t="s">
        <v>6</v>
      </c>
    </row>
    <row r="803" spans="2:10" x14ac:dyDescent="0.45">
      <c r="B803" t="s">
        <v>737</v>
      </c>
      <c r="C803" t="s">
        <v>40</v>
      </c>
      <c r="D803">
        <v>1.2557062611286644E-3</v>
      </c>
      <c r="E803" t="s">
        <v>6</v>
      </c>
      <c r="G803" t="s">
        <v>738</v>
      </c>
      <c r="H803" t="s">
        <v>40</v>
      </c>
      <c r="I803">
        <v>1.5311469488922768E-2</v>
      </c>
      <c r="J803" t="s">
        <v>6</v>
      </c>
    </row>
    <row r="804" spans="2:10" x14ac:dyDescent="0.45">
      <c r="B804" t="s">
        <v>737</v>
      </c>
      <c r="C804" t="s">
        <v>41</v>
      </c>
      <c r="D804">
        <v>2.7392590503884068E-2</v>
      </c>
      <c r="E804" t="s">
        <v>6</v>
      </c>
      <c r="G804" t="s">
        <v>738</v>
      </c>
      <c r="H804" t="s">
        <v>41</v>
      </c>
      <c r="I804">
        <v>1.2805073048630725E-2</v>
      </c>
      <c r="J804" t="s">
        <v>6</v>
      </c>
    </row>
    <row r="805" spans="2:10" x14ac:dyDescent="0.45">
      <c r="B805" t="s">
        <v>737</v>
      </c>
      <c r="C805" t="s">
        <v>42</v>
      </c>
      <c r="D805">
        <v>5.823065932552357E-2</v>
      </c>
      <c r="E805" t="s">
        <v>6</v>
      </c>
      <c r="G805" t="s">
        <v>738</v>
      </c>
      <c r="H805" t="s">
        <v>42</v>
      </c>
      <c r="I805">
        <v>1.2160568133816637E-2</v>
      </c>
      <c r="J805" t="s">
        <v>6</v>
      </c>
    </row>
    <row r="806" spans="2:10" x14ac:dyDescent="0.45">
      <c r="B806" t="s">
        <v>737</v>
      </c>
      <c r="C806" t="s">
        <v>43</v>
      </c>
      <c r="D806">
        <v>6.662852879285891E-2</v>
      </c>
      <c r="E806" t="s">
        <v>6</v>
      </c>
      <c r="G806" t="s">
        <v>738</v>
      </c>
      <c r="H806" t="s">
        <v>43</v>
      </c>
      <c r="I806">
        <v>1.3229217095996242E-2</v>
      </c>
      <c r="J806" t="s">
        <v>6</v>
      </c>
    </row>
    <row r="807" spans="2:10" x14ac:dyDescent="0.45">
      <c r="B807" t="s">
        <v>737</v>
      </c>
      <c r="C807" t="s">
        <v>44</v>
      </c>
      <c r="D807">
        <v>5.3137352850391249E-2</v>
      </c>
      <c r="E807" t="s">
        <v>6</v>
      </c>
      <c r="G807" t="s">
        <v>738</v>
      </c>
      <c r="H807" t="s">
        <v>44</v>
      </c>
      <c r="I807">
        <v>1.5463030766986283E-2</v>
      </c>
      <c r="J807" t="s">
        <v>6</v>
      </c>
    </row>
    <row r="808" spans="2:10" x14ac:dyDescent="0.45">
      <c r="B808" t="s">
        <v>737</v>
      </c>
      <c r="C808" t="s">
        <v>45</v>
      </c>
      <c r="D808">
        <v>2.2556117814694725E-2</v>
      </c>
      <c r="E808" t="s">
        <v>6</v>
      </c>
      <c r="G808" t="s">
        <v>738</v>
      </c>
      <c r="H808" t="s">
        <v>45</v>
      </c>
      <c r="I808">
        <v>1.7070126975592629E-2</v>
      </c>
      <c r="J808" t="s">
        <v>6</v>
      </c>
    </row>
    <row r="809" spans="2:10" x14ac:dyDescent="0.45">
      <c r="B809" t="s">
        <v>737</v>
      </c>
      <c r="C809" t="s">
        <v>46</v>
      </c>
      <c r="D809">
        <v>9.4336613642635812E-4</v>
      </c>
      <c r="E809" t="s">
        <v>6</v>
      </c>
      <c r="G809" t="s">
        <v>738</v>
      </c>
      <c r="H809" t="s">
        <v>46</v>
      </c>
      <c r="I809">
        <v>1.5882232287393706E-2</v>
      </c>
      <c r="J809" t="s">
        <v>6</v>
      </c>
    </row>
    <row r="810" spans="2:10" x14ac:dyDescent="0.45">
      <c r="B810" t="s">
        <v>737</v>
      </c>
      <c r="C810" t="s">
        <v>47</v>
      </c>
      <c r="D810">
        <v>0</v>
      </c>
      <c r="E810" t="s">
        <v>6</v>
      </c>
      <c r="G810" t="s">
        <v>738</v>
      </c>
      <c r="H810" t="s">
        <v>47</v>
      </c>
      <c r="I810">
        <v>2.1974647931984233E-2</v>
      </c>
      <c r="J810" t="s">
        <v>6</v>
      </c>
    </row>
    <row r="811" spans="2:10" x14ac:dyDescent="0.45">
      <c r="B811" t="s">
        <v>739</v>
      </c>
      <c r="C811" t="s">
        <v>5</v>
      </c>
      <c r="D811">
        <v>0</v>
      </c>
      <c r="E811" t="s">
        <v>6</v>
      </c>
      <c r="G811" t="s">
        <v>740</v>
      </c>
      <c r="H811" t="s">
        <v>5</v>
      </c>
      <c r="I811">
        <v>8.3208018103126169E-2</v>
      </c>
      <c r="J811" t="s">
        <v>6</v>
      </c>
    </row>
    <row r="812" spans="2:10" x14ac:dyDescent="0.45">
      <c r="B812" t="s">
        <v>739</v>
      </c>
      <c r="C812" t="s">
        <v>9</v>
      </c>
      <c r="D812">
        <v>0</v>
      </c>
      <c r="E812" t="s">
        <v>6</v>
      </c>
      <c r="G812" t="s">
        <v>740</v>
      </c>
      <c r="H812" t="s">
        <v>9</v>
      </c>
      <c r="I812">
        <v>3.5914381273728598E-2</v>
      </c>
      <c r="J812" t="s">
        <v>6</v>
      </c>
    </row>
    <row r="813" spans="2:10" x14ac:dyDescent="0.45">
      <c r="B813" t="s">
        <v>739</v>
      </c>
      <c r="C813" t="s">
        <v>10</v>
      </c>
      <c r="D813">
        <v>0</v>
      </c>
      <c r="E813" t="s">
        <v>6</v>
      </c>
      <c r="G813" t="s">
        <v>740</v>
      </c>
      <c r="H813" t="s">
        <v>10</v>
      </c>
      <c r="I813">
        <v>3.6146461823020608E-2</v>
      </c>
      <c r="J813" t="s">
        <v>6</v>
      </c>
    </row>
    <row r="814" spans="2:10" x14ac:dyDescent="0.45">
      <c r="B814" t="s">
        <v>739</v>
      </c>
      <c r="C814" t="s">
        <v>11</v>
      </c>
      <c r="D814">
        <v>1.4511358565829391E-2</v>
      </c>
      <c r="E814" t="s">
        <v>6</v>
      </c>
      <c r="G814" t="s">
        <v>740</v>
      </c>
      <c r="H814" t="s">
        <v>11</v>
      </c>
      <c r="I814">
        <v>3.4386239372092259E-2</v>
      </c>
      <c r="J814" t="s">
        <v>6</v>
      </c>
    </row>
    <row r="815" spans="2:10" x14ac:dyDescent="0.45">
      <c r="B815" t="s">
        <v>739</v>
      </c>
      <c r="C815" t="s">
        <v>12</v>
      </c>
      <c r="D815">
        <v>4.7602718560739596E-2</v>
      </c>
      <c r="E815" t="s">
        <v>6</v>
      </c>
      <c r="G815" t="s">
        <v>740</v>
      </c>
      <c r="H815" t="s">
        <v>12</v>
      </c>
      <c r="I815">
        <v>3.356535911003531E-2</v>
      </c>
      <c r="J815" t="s">
        <v>6</v>
      </c>
    </row>
    <row r="816" spans="2:10" x14ac:dyDescent="0.45">
      <c r="B816" t="s">
        <v>739</v>
      </c>
      <c r="C816" t="s">
        <v>13</v>
      </c>
      <c r="D816">
        <v>6.1659930926335232E-2</v>
      </c>
      <c r="E816" t="s">
        <v>6</v>
      </c>
      <c r="G816" t="s">
        <v>740</v>
      </c>
      <c r="H816" t="s">
        <v>13</v>
      </c>
      <c r="I816">
        <v>3.3756184085697166E-2</v>
      </c>
      <c r="J816" t="s">
        <v>6</v>
      </c>
    </row>
    <row r="817" spans="2:10" x14ac:dyDescent="0.45">
      <c r="B817" t="s">
        <v>739</v>
      </c>
      <c r="C817" t="s">
        <v>14</v>
      </c>
      <c r="D817">
        <v>5.1955444534673781E-2</v>
      </c>
      <c r="E817" t="s">
        <v>6</v>
      </c>
      <c r="G817" t="s">
        <v>740</v>
      </c>
      <c r="H817" t="s">
        <v>14</v>
      </c>
      <c r="I817">
        <v>3.3795148658826754E-2</v>
      </c>
      <c r="J817" t="s">
        <v>6</v>
      </c>
    </row>
    <row r="818" spans="2:10" x14ac:dyDescent="0.45">
      <c r="B818" t="s">
        <v>739</v>
      </c>
      <c r="C818" t="s">
        <v>15</v>
      </c>
      <c r="D818">
        <v>2.063098646478884E-2</v>
      </c>
      <c r="E818" t="s">
        <v>6</v>
      </c>
      <c r="G818" t="s">
        <v>740</v>
      </c>
      <c r="H818" t="s">
        <v>15</v>
      </c>
      <c r="I818">
        <v>3.3155857808606096E-2</v>
      </c>
      <c r="J818" t="s">
        <v>6</v>
      </c>
    </row>
    <row r="819" spans="2:10" x14ac:dyDescent="0.45">
      <c r="B819" t="s">
        <v>739</v>
      </c>
      <c r="C819" t="s">
        <v>16</v>
      </c>
      <c r="D819">
        <v>2.8574861684401679E-4</v>
      </c>
      <c r="E819" t="s">
        <v>6</v>
      </c>
      <c r="G819" t="s">
        <v>740</v>
      </c>
      <c r="H819" t="s">
        <v>16</v>
      </c>
      <c r="I819">
        <v>3.2718183574119965E-2</v>
      </c>
      <c r="J819" t="s">
        <v>6</v>
      </c>
    </row>
    <row r="820" spans="2:10" x14ac:dyDescent="0.45">
      <c r="B820" t="s">
        <v>739</v>
      </c>
      <c r="C820" t="s">
        <v>17</v>
      </c>
      <c r="D820">
        <v>0</v>
      </c>
      <c r="E820" t="s">
        <v>6</v>
      </c>
      <c r="G820" t="s">
        <v>740</v>
      </c>
      <c r="H820" t="s">
        <v>17</v>
      </c>
      <c r="I820">
        <v>4.6592458410880319E-2</v>
      </c>
      <c r="J820" t="s">
        <v>6</v>
      </c>
    </row>
    <row r="821" spans="2:10" x14ac:dyDescent="0.45">
      <c r="B821" t="s">
        <v>739</v>
      </c>
      <c r="C821" t="s">
        <v>18</v>
      </c>
      <c r="D821">
        <v>0</v>
      </c>
      <c r="E821" t="s">
        <v>6</v>
      </c>
      <c r="G821" t="s">
        <v>740</v>
      </c>
      <c r="H821" t="s">
        <v>18</v>
      </c>
      <c r="I821">
        <v>4.9918812707245665E-2</v>
      </c>
      <c r="J821" t="s">
        <v>6</v>
      </c>
    </row>
    <row r="822" spans="2:10" x14ac:dyDescent="0.45">
      <c r="B822" t="s">
        <v>739</v>
      </c>
      <c r="C822" t="s">
        <v>19</v>
      </c>
      <c r="D822">
        <v>0</v>
      </c>
      <c r="E822" t="s">
        <v>6</v>
      </c>
      <c r="G822" t="s">
        <v>740</v>
      </c>
      <c r="H822" t="s">
        <v>19</v>
      </c>
      <c r="I822">
        <v>2.0433833094990469E-2</v>
      </c>
      <c r="J822" t="s">
        <v>6</v>
      </c>
    </row>
    <row r="823" spans="2:10" x14ac:dyDescent="0.45">
      <c r="B823" t="s">
        <v>739</v>
      </c>
      <c r="C823" t="s">
        <v>20</v>
      </c>
      <c r="D823">
        <v>4.2432365468279528E-3</v>
      </c>
      <c r="E823" t="s">
        <v>6</v>
      </c>
      <c r="G823" t="s">
        <v>740</v>
      </c>
      <c r="H823" t="s">
        <v>20</v>
      </c>
      <c r="I823">
        <v>2.0840749321407764E-2</v>
      </c>
      <c r="J823" t="s">
        <v>6</v>
      </c>
    </row>
    <row r="824" spans="2:10" x14ac:dyDescent="0.45">
      <c r="B824" t="s">
        <v>739</v>
      </c>
      <c r="C824" t="s">
        <v>21</v>
      </c>
      <c r="D824">
        <v>3.3959215038325948E-2</v>
      </c>
      <c r="E824" t="s">
        <v>6</v>
      </c>
      <c r="G824" t="s">
        <v>740</v>
      </c>
      <c r="H824" t="s">
        <v>21</v>
      </c>
      <c r="I824">
        <v>2.1247274358497648E-2</v>
      </c>
      <c r="J824" t="s">
        <v>6</v>
      </c>
    </row>
    <row r="825" spans="2:10" x14ac:dyDescent="0.45">
      <c r="B825" t="s">
        <v>739</v>
      </c>
      <c r="C825" t="s">
        <v>22</v>
      </c>
      <c r="D825">
        <v>6.316855429705813E-2</v>
      </c>
      <c r="E825" t="s">
        <v>6</v>
      </c>
      <c r="G825" t="s">
        <v>740</v>
      </c>
      <c r="H825" t="s">
        <v>22</v>
      </c>
      <c r="I825">
        <v>2.2743400146341242E-2</v>
      </c>
      <c r="J825" t="s">
        <v>6</v>
      </c>
    </row>
    <row r="826" spans="2:10" x14ac:dyDescent="0.45">
      <c r="B826" t="s">
        <v>739</v>
      </c>
      <c r="C826" t="s">
        <v>23</v>
      </c>
      <c r="D826">
        <v>7.1512700284696445E-2</v>
      </c>
      <c r="E826" t="s">
        <v>6</v>
      </c>
      <c r="G826" t="s">
        <v>740</v>
      </c>
      <c r="H826" t="s">
        <v>23</v>
      </c>
      <c r="I826">
        <v>2.8653358455640109E-2</v>
      </c>
      <c r="J826" t="s">
        <v>6</v>
      </c>
    </row>
    <row r="827" spans="2:10" x14ac:dyDescent="0.45">
      <c r="B827" t="s">
        <v>739</v>
      </c>
      <c r="C827" t="s">
        <v>24</v>
      </c>
      <c r="D827">
        <v>6.0201299211730321E-2</v>
      </c>
      <c r="E827" t="s">
        <v>6</v>
      </c>
      <c r="G827" t="s">
        <v>740</v>
      </c>
      <c r="H827" t="s">
        <v>24</v>
      </c>
      <c r="I827">
        <v>3.4934836278636423E-2</v>
      </c>
      <c r="J827" t="s">
        <v>6</v>
      </c>
    </row>
    <row r="828" spans="2:10" x14ac:dyDescent="0.45">
      <c r="B828" t="s">
        <v>739</v>
      </c>
      <c r="C828" t="s">
        <v>25</v>
      </c>
      <c r="D828">
        <v>3.3345888674263587E-2</v>
      </c>
      <c r="E828" t="s">
        <v>6</v>
      </c>
      <c r="G828" t="s">
        <v>740</v>
      </c>
      <c r="H828" t="s">
        <v>25</v>
      </c>
      <c r="I828">
        <v>3.5134556570324611E-2</v>
      </c>
      <c r="J828" t="s">
        <v>6</v>
      </c>
    </row>
    <row r="829" spans="2:10" x14ac:dyDescent="0.45">
      <c r="B829" t="s">
        <v>739</v>
      </c>
      <c r="C829" t="s">
        <v>26</v>
      </c>
      <c r="D829">
        <v>5.0474959634319791E-3</v>
      </c>
      <c r="E829" t="s">
        <v>6</v>
      </c>
      <c r="G829" t="s">
        <v>740</v>
      </c>
      <c r="H829" t="s">
        <v>26</v>
      </c>
      <c r="I829">
        <v>2.8168064526387919E-2</v>
      </c>
      <c r="J829" t="s">
        <v>6</v>
      </c>
    </row>
    <row r="830" spans="2:10" x14ac:dyDescent="0.45">
      <c r="B830" t="s">
        <v>739</v>
      </c>
      <c r="C830" t="s">
        <v>27</v>
      </c>
      <c r="D830">
        <v>0</v>
      </c>
      <c r="E830" t="s">
        <v>6</v>
      </c>
      <c r="G830" t="s">
        <v>740</v>
      </c>
      <c r="H830" t="s">
        <v>27</v>
      </c>
      <c r="I830">
        <v>3.3190967004629472E-2</v>
      </c>
      <c r="J830" t="s">
        <v>6</v>
      </c>
    </row>
    <row r="831" spans="2:10" x14ac:dyDescent="0.45">
      <c r="B831" t="s">
        <v>739</v>
      </c>
      <c r="C831" t="s">
        <v>28</v>
      </c>
      <c r="D831">
        <v>0</v>
      </c>
      <c r="E831" t="s">
        <v>6</v>
      </c>
      <c r="G831" t="s">
        <v>740</v>
      </c>
      <c r="H831" t="s">
        <v>28</v>
      </c>
      <c r="I831">
        <v>1.3860111158576199E-2</v>
      </c>
      <c r="J831" t="s">
        <v>6</v>
      </c>
    </row>
    <row r="832" spans="2:10" x14ac:dyDescent="0.45">
      <c r="B832" t="s">
        <v>739</v>
      </c>
      <c r="C832" t="s">
        <v>29</v>
      </c>
      <c r="D832">
        <v>0</v>
      </c>
      <c r="E832" t="s">
        <v>6</v>
      </c>
      <c r="G832" t="s">
        <v>740</v>
      </c>
      <c r="H832" t="s">
        <v>29</v>
      </c>
      <c r="I832">
        <v>6.0105139639277409E-3</v>
      </c>
      <c r="J832" t="s">
        <v>6</v>
      </c>
    </row>
    <row r="833" spans="2:10" x14ac:dyDescent="0.45">
      <c r="B833" t="s">
        <v>739</v>
      </c>
      <c r="C833" t="s">
        <v>30</v>
      </c>
      <c r="D833">
        <v>6.798160036130982E-3</v>
      </c>
      <c r="E833" t="s">
        <v>6</v>
      </c>
      <c r="G833" t="s">
        <v>740</v>
      </c>
      <c r="H833" t="s">
        <v>30</v>
      </c>
      <c r="I833">
        <v>5.7005115743790739E-3</v>
      </c>
      <c r="J833" t="s">
        <v>6</v>
      </c>
    </row>
    <row r="834" spans="2:10" x14ac:dyDescent="0.45">
      <c r="B834" t="s">
        <v>739</v>
      </c>
      <c r="C834" t="s">
        <v>31</v>
      </c>
      <c r="D834">
        <v>4.047547850041941E-2</v>
      </c>
      <c r="E834" t="s">
        <v>6</v>
      </c>
      <c r="G834" t="s">
        <v>740</v>
      </c>
      <c r="H834" t="s">
        <v>31</v>
      </c>
      <c r="I834">
        <v>6.3409514216828536E-3</v>
      </c>
      <c r="J834" t="s">
        <v>6</v>
      </c>
    </row>
    <row r="835" spans="2:10" x14ac:dyDescent="0.45">
      <c r="B835" t="s">
        <v>739</v>
      </c>
      <c r="C835" t="s">
        <v>32</v>
      </c>
      <c r="D835">
        <v>6.8506456980642338E-2</v>
      </c>
      <c r="E835" t="s">
        <v>6</v>
      </c>
      <c r="G835" t="s">
        <v>740</v>
      </c>
      <c r="H835" t="s">
        <v>32</v>
      </c>
      <c r="I835">
        <v>7.9470849473322926E-3</v>
      </c>
      <c r="J835" t="s">
        <v>6</v>
      </c>
    </row>
    <row r="836" spans="2:10" x14ac:dyDescent="0.45">
      <c r="B836" t="s">
        <v>739</v>
      </c>
      <c r="C836" t="s">
        <v>33</v>
      </c>
      <c r="D836">
        <v>7.51499039298376E-2</v>
      </c>
      <c r="E836" t="s">
        <v>6</v>
      </c>
      <c r="G836" t="s">
        <v>740</v>
      </c>
      <c r="H836" t="s">
        <v>33</v>
      </c>
      <c r="I836">
        <v>1.5054996252510952E-2</v>
      </c>
      <c r="J836" t="s">
        <v>6</v>
      </c>
    </row>
    <row r="837" spans="2:10" x14ac:dyDescent="0.45">
      <c r="B837" t="s">
        <v>739</v>
      </c>
      <c r="C837" t="s">
        <v>34</v>
      </c>
      <c r="D837">
        <v>6.3271079277449627E-2</v>
      </c>
      <c r="E837" t="s">
        <v>6</v>
      </c>
      <c r="G837" t="s">
        <v>740</v>
      </c>
      <c r="H837" t="s">
        <v>34</v>
      </c>
      <c r="I837">
        <v>2.0201345205454573E-2</v>
      </c>
      <c r="J837" t="s">
        <v>6</v>
      </c>
    </row>
    <row r="838" spans="2:10" x14ac:dyDescent="0.45">
      <c r="B838" t="s">
        <v>739</v>
      </c>
      <c r="C838" t="s">
        <v>35</v>
      </c>
      <c r="D838">
        <v>3.7393177169957492E-2</v>
      </c>
      <c r="E838" t="s">
        <v>6</v>
      </c>
      <c r="G838" t="s">
        <v>740</v>
      </c>
      <c r="H838" t="s">
        <v>35</v>
      </c>
      <c r="I838">
        <v>1.9457003281943549E-2</v>
      </c>
      <c r="J838" t="s">
        <v>6</v>
      </c>
    </row>
    <row r="839" spans="2:10" x14ac:dyDescent="0.45">
      <c r="B839" t="s">
        <v>739</v>
      </c>
      <c r="C839" t="s">
        <v>36</v>
      </c>
      <c r="D839">
        <v>8.2785304868840705E-3</v>
      </c>
      <c r="E839" t="s">
        <v>6</v>
      </c>
      <c r="G839" t="s">
        <v>740</v>
      </c>
      <c r="H839" t="s">
        <v>36</v>
      </c>
      <c r="I839">
        <v>1.4127631809840165E-2</v>
      </c>
      <c r="J839" t="s">
        <v>6</v>
      </c>
    </row>
    <row r="840" spans="2:10" x14ac:dyDescent="0.45">
      <c r="B840" t="s">
        <v>739</v>
      </c>
      <c r="C840" t="s">
        <v>37</v>
      </c>
      <c r="D840">
        <v>5.7309512065850559E-7</v>
      </c>
      <c r="E840" t="s">
        <v>6</v>
      </c>
      <c r="G840" t="s">
        <v>740</v>
      </c>
      <c r="H840" t="s">
        <v>37</v>
      </c>
      <c r="I840">
        <v>1.1018730661335178E-2</v>
      </c>
      <c r="J840" t="s">
        <v>6</v>
      </c>
    </row>
    <row r="841" spans="2:10" x14ac:dyDescent="0.45">
      <c r="B841" t="s">
        <v>739</v>
      </c>
      <c r="C841" t="s">
        <v>38</v>
      </c>
      <c r="D841">
        <v>0</v>
      </c>
      <c r="E841" t="s">
        <v>6</v>
      </c>
      <c r="G841" t="s">
        <v>740</v>
      </c>
      <c r="H841" t="s">
        <v>38</v>
      </c>
      <c r="I841">
        <v>3.5085469440191315E-2</v>
      </c>
      <c r="J841" t="s">
        <v>6</v>
      </c>
    </row>
    <row r="842" spans="2:10" x14ac:dyDescent="0.45">
      <c r="B842" t="s">
        <v>739</v>
      </c>
      <c r="C842" t="s">
        <v>39</v>
      </c>
      <c r="D842">
        <v>0</v>
      </c>
      <c r="E842" t="s">
        <v>6</v>
      </c>
      <c r="G842" t="s">
        <v>740</v>
      </c>
      <c r="H842" t="s">
        <v>39</v>
      </c>
      <c r="I842">
        <v>1.4850487214079611E-2</v>
      </c>
      <c r="J842" t="s">
        <v>6</v>
      </c>
    </row>
    <row r="843" spans="2:10" x14ac:dyDescent="0.45">
      <c r="B843" t="s">
        <v>739</v>
      </c>
      <c r="C843" t="s">
        <v>40</v>
      </c>
      <c r="D843">
        <v>1.4066208657577965E-3</v>
      </c>
      <c r="E843" t="s">
        <v>6</v>
      </c>
      <c r="G843" t="s">
        <v>740</v>
      </c>
      <c r="H843" t="s">
        <v>40</v>
      </c>
      <c r="I843">
        <v>1.4680816025139007E-2</v>
      </c>
      <c r="J843" t="s">
        <v>6</v>
      </c>
    </row>
    <row r="844" spans="2:10" x14ac:dyDescent="0.45">
      <c r="B844" t="s">
        <v>739</v>
      </c>
      <c r="C844" t="s">
        <v>41</v>
      </c>
      <c r="D844">
        <v>2.6700564360954738E-2</v>
      </c>
      <c r="E844" t="s">
        <v>6</v>
      </c>
      <c r="G844" t="s">
        <v>740</v>
      </c>
      <c r="H844" t="s">
        <v>41</v>
      </c>
      <c r="I844">
        <v>1.3446186651615094E-2</v>
      </c>
      <c r="J844" t="s">
        <v>6</v>
      </c>
    </row>
    <row r="845" spans="2:10" x14ac:dyDescent="0.45">
      <c r="B845" t="s">
        <v>739</v>
      </c>
      <c r="C845" t="s">
        <v>42</v>
      </c>
      <c r="D845">
        <v>5.8692057629668865E-2</v>
      </c>
      <c r="E845" t="s">
        <v>6</v>
      </c>
      <c r="G845" t="s">
        <v>740</v>
      </c>
      <c r="H845" t="s">
        <v>42</v>
      </c>
      <c r="I845">
        <v>1.2763096207058703E-2</v>
      </c>
      <c r="J845" t="s">
        <v>6</v>
      </c>
    </row>
    <row r="846" spans="2:10" x14ac:dyDescent="0.45">
      <c r="B846" t="s">
        <v>739</v>
      </c>
      <c r="C846" t="s">
        <v>43</v>
      </c>
      <c r="D846">
        <v>6.8023611553287233E-2</v>
      </c>
      <c r="E846" t="s">
        <v>6</v>
      </c>
      <c r="G846" t="s">
        <v>740</v>
      </c>
      <c r="H846" t="s">
        <v>43</v>
      </c>
      <c r="I846">
        <v>1.4273715260971691E-2</v>
      </c>
      <c r="J846" t="s">
        <v>6</v>
      </c>
    </row>
    <row r="847" spans="2:10" x14ac:dyDescent="0.45">
      <c r="B847" t="s">
        <v>739</v>
      </c>
      <c r="C847" t="s">
        <v>44</v>
      </c>
      <c r="D847">
        <v>5.376389262998825E-2</v>
      </c>
      <c r="E847" t="s">
        <v>6</v>
      </c>
      <c r="G847" t="s">
        <v>740</v>
      </c>
      <c r="H847" t="s">
        <v>44</v>
      </c>
      <c r="I847">
        <v>1.7432864592485428E-2</v>
      </c>
      <c r="J847" t="s">
        <v>6</v>
      </c>
    </row>
    <row r="848" spans="2:10" x14ac:dyDescent="0.45">
      <c r="B848" t="s">
        <v>739</v>
      </c>
      <c r="C848" t="s">
        <v>45</v>
      </c>
      <c r="D848">
        <v>2.2490985026812627E-2</v>
      </c>
      <c r="E848" t="s">
        <v>6</v>
      </c>
      <c r="G848" t="s">
        <v>740</v>
      </c>
      <c r="H848" t="s">
        <v>45</v>
      </c>
      <c r="I848">
        <v>1.8510756835812121E-2</v>
      </c>
      <c r="J848" t="s">
        <v>6</v>
      </c>
    </row>
    <row r="849" spans="2:10" x14ac:dyDescent="0.45">
      <c r="B849" t="s">
        <v>739</v>
      </c>
      <c r="C849" t="s">
        <v>46</v>
      </c>
      <c r="D849">
        <v>9.243307715429387E-4</v>
      </c>
      <c r="E849" t="s">
        <v>6</v>
      </c>
      <c r="G849" t="s">
        <v>740</v>
      </c>
      <c r="H849" t="s">
        <v>46</v>
      </c>
      <c r="I849">
        <v>1.7798683819007097E-2</v>
      </c>
      <c r="J849" t="s">
        <v>6</v>
      </c>
    </row>
    <row r="850" spans="2:10" x14ac:dyDescent="0.45">
      <c r="B850" t="s">
        <v>739</v>
      </c>
      <c r="C850" t="s">
        <v>47</v>
      </c>
      <c r="D850">
        <v>0</v>
      </c>
      <c r="E850" t="s">
        <v>6</v>
      </c>
      <c r="G850" t="s">
        <v>740</v>
      </c>
      <c r="H850" t="s">
        <v>47</v>
      </c>
      <c r="I850">
        <v>2.2934898992425588E-2</v>
      </c>
      <c r="J850" t="s">
        <v>6</v>
      </c>
    </row>
    <row r="851" spans="2:10" x14ac:dyDescent="0.45">
      <c r="B851" t="s">
        <v>741</v>
      </c>
      <c r="C851" t="s">
        <v>5</v>
      </c>
      <c r="D851">
        <v>0</v>
      </c>
      <c r="E851" t="s">
        <v>6</v>
      </c>
      <c r="G851" t="s">
        <v>742</v>
      </c>
      <c r="H851" t="s">
        <v>5</v>
      </c>
      <c r="I851">
        <v>5.9774853250894246E-2</v>
      </c>
      <c r="J851" t="s">
        <v>6</v>
      </c>
    </row>
    <row r="852" spans="2:10" x14ac:dyDescent="0.45">
      <c r="B852" t="s">
        <v>741</v>
      </c>
      <c r="C852" t="s">
        <v>9</v>
      </c>
      <c r="D852">
        <v>0</v>
      </c>
      <c r="E852" t="s">
        <v>6</v>
      </c>
      <c r="G852" t="s">
        <v>742</v>
      </c>
      <c r="H852" t="s">
        <v>9</v>
      </c>
      <c r="I852">
        <v>2.5394483218851082E-2</v>
      </c>
      <c r="J852" t="s">
        <v>6</v>
      </c>
    </row>
    <row r="853" spans="2:10" x14ac:dyDescent="0.45">
      <c r="B853" t="s">
        <v>741</v>
      </c>
      <c r="C853" t="s">
        <v>10</v>
      </c>
      <c r="D853">
        <v>0</v>
      </c>
      <c r="E853" t="s">
        <v>6</v>
      </c>
      <c r="G853" t="s">
        <v>742</v>
      </c>
      <c r="H853" t="s">
        <v>10</v>
      </c>
      <c r="I853">
        <v>2.5792919340735999E-2</v>
      </c>
      <c r="J853" t="s">
        <v>6</v>
      </c>
    </row>
    <row r="854" spans="2:10" x14ac:dyDescent="0.45">
      <c r="B854" t="s">
        <v>741</v>
      </c>
      <c r="C854" t="s">
        <v>11</v>
      </c>
      <c r="D854">
        <v>1.2587335760613157E-2</v>
      </c>
      <c r="E854" t="s">
        <v>6</v>
      </c>
      <c r="G854" t="s">
        <v>742</v>
      </c>
      <c r="H854" t="s">
        <v>11</v>
      </c>
      <c r="I854">
        <v>2.5072968039576884E-2</v>
      </c>
      <c r="J854" t="s">
        <v>6</v>
      </c>
    </row>
    <row r="855" spans="2:10" x14ac:dyDescent="0.45">
      <c r="B855" t="s">
        <v>741</v>
      </c>
      <c r="C855" t="s">
        <v>12</v>
      </c>
      <c r="D855">
        <v>4.6155291845078474E-2</v>
      </c>
      <c r="E855" t="s">
        <v>6</v>
      </c>
      <c r="G855" t="s">
        <v>742</v>
      </c>
      <c r="H855" t="s">
        <v>12</v>
      </c>
      <c r="I855">
        <v>2.4733695734918123E-2</v>
      </c>
      <c r="J855" t="s">
        <v>6</v>
      </c>
    </row>
    <row r="856" spans="2:10" x14ac:dyDescent="0.45">
      <c r="B856" t="s">
        <v>741</v>
      </c>
      <c r="C856" t="s">
        <v>13</v>
      </c>
      <c r="D856">
        <v>6.0001910655946455E-2</v>
      </c>
      <c r="E856" t="s">
        <v>6</v>
      </c>
      <c r="G856" t="s">
        <v>742</v>
      </c>
      <c r="H856" t="s">
        <v>13</v>
      </c>
      <c r="I856">
        <v>2.7985501878215236E-2</v>
      </c>
      <c r="J856" t="s">
        <v>6</v>
      </c>
    </row>
    <row r="857" spans="2:10" x14ac:dyDescent="0.45">
      <c r="B857" t="s">
        <v>741</v>
      </c>
      <c r="C857" t="s">
        <v>14</v>
      </c>
      <c r="D857">
        <v>4.909485571171078E-2</v>
      </c>
      <c r="E857" t="s">
        <v>6</v>
      </c>
      <c r="G857" t="s">
        <v>742</v>
      </c>
      <c r="H857" t="s">
        <v>14</v>
      </c>
      <c r="I857">
        <v>2.7324723498902054E-2</v>
      </c>
      <c r="J857" t="s">
        <v>6</v>
      </c>
    </row>
    <row r="858" spans="2:10" x14ac:dyDescent="0.45">
      <c r="B858" t="s">
        <v>741</v>
      </c>
      <c r="C858" t="s">
        <v>15</v>
      </c>
      <c r="D858">
        <v>1.8607525085989868E-2</v>
      </c>
      <c r="E858" t="s">
        <v>6</v>
      </c>
      <c r="G858" t="s">
        <v>742</v>
      </c>
      <c r="H858" t="s">
        <v>15</v>
      </c>
      <c r="I858">
        <v>2.5859288906655575E-2</v>
      </c>
      <c r="J858" t="s">
        <v>6</v>
      </c>
    </row>
    <row r="859" spans="2:10" x14ac:dyDescent="0.45">
      <c r="B859" t="s">
        <v>741</v>
      </c>
      <c r="C859" t="s">
        <v>16</v>
      </c>
      <c r="D859">
        <v>2.3690172121282625E-4</v>
      </c>
      <c r="E859" t="s">
        <v>6</v>
      </c>
      <c r="G859" t="s">
        <v>742</v>
      </c>
      <c r="H859" t="s">
        <v>16</v>
      </c>
      <c r="I859">
        <v>2.5125636496284076E-2</v>
      </c>
      <c r="J859" t="s">
        <v>6</v>
      </c>
    </row>
    <row r="860" spans="2:10" x14ac:dyDescent="0.45">
      <c r="B860" t="s">
        <v>741</v>
      </c>
      <c r="C860" t="s">
        <v>17</v>
      </c>
      <c r="D860">
        <v>0</v>
      </c>
      <c r="E860" t="s">
        <v>6</v>
      </c>
      <c r="G860" t="s">
        <v>742</v>
      </c>
      <c r="H860" t="s">
        <v>17</v>
      </c>
      <c r="I860">
        <v>3.5237376676959857E-2</v>
      </c>
      <c r="J860" t="s">
        <v>6</v>
      </c>
    </row>
    <row r="861" spans="2:10" x14ac:dyDescent="0.45">
      <c r="B861" t="s">
        <v>741</v>
      </c>
      <c r="C861" t="s">
        <v>18</v>
      </c>
      <c r="D861">
        <v>0</v>
      </c>
      <c r="E861" t="s">
        <v>6</v>
      </c>
      <c r="G861" t="s">
        <v>742</v>
      </c>
      <c r="H861" t="s">
        <v>18</v>
      </c>
      <c r="I861">
        <v>4.8630077674368194E-2</v>
      </c>
      <c r="J861" t="s">
        <v>6</v>
      </c>
    </row>
    <row r="862" spans="2:10" x14ac:dyDescent="0.45">
      <c r="B862" t="s">
        <v>741</v>
      </c>
      <c r="C862" t="s">
        <v>19</v>
      </c>
      <c r="D862">
        <v>0</v>
      </c>
      <c r="E862" t="s">
        <v>6</v>
      </c>
      <c r="G862" t="s">
        <v>742</v>
      </c>
      <c r="H862" t="s">
        <v>19</v>
      </c>
      <c r="I862">
        <v>1.8272574224269443E-2</v>
      </c>
      <c r="J862" t="s">
        <v>6</v>
      </c>
    </row>
    <row r="863" spans="2:10" x14ac:dyDescent="0.45">
      <c r="B863" t="s">
        <v>741</v>
      </c>
      <c r="C863" t="s">
        <v>20</v>
      </c>
      <c r="D863">
        <v>4.1683007255200761E-3</v>
      </c>
      <c r="E863" t="s">
        <v>6</v>
      </c>
      <c r="G863" t="s">
        <v>742</v>
      </c>
      <c r="H863" t="s">
        <v>20</v>
      </c>
      <c r="I863">
        <v>1.7681969656615146E-2</v>
      </c>
      <c r="J863" t="s">
        <v>6</v>
      </c>
    </row>
    <row r="864" spans="2:10" x14ac:dyDescent="0.45">
      <c r="B864" t="s">
        <v>741</v>
      </c>
      <c r="C864" t="s">
        <v>21</v>
      </c>
      <c r="D864">
        <v>3.2798513633805669E-2</v>
      </c>
      <c r="E864" t="s">
        <v>6</v>
      </c>
      <c r="G864" t="s">
        <v>742</v>
      </c>
      <c r="H864" t="s">
        <v>21</v>
      </c>
      <c r="I864">
        <v>1.9417561464654245E-2</v>
      </c>
      <c r="J864" t="s">
        <v>6</v>
      </c>
    </row>
    <row r="865" spans="2:10" x14ac:dyDescent="0.45">
      <c r="B865" t="s">
        <v>741</v>
      </c>
      <c r="C865" t="s">
        <v>22</v>
      </c>
      <c r="D865">
        <v>6.0700674281430909E-2</v>
      </c>
      <c r="E865" t="s">
        <v>6</v>
      </c>
      <c r="G865" t="s">
        <v>742</v>
      </c>
      <c r="H865" t="s">
        <v>22</v>
      </c>
      <c r="I865">
        <v>2.2170589204318549E-2</v>
      </c>
      <c r="J865" t="s">
        <v>6</v>
      </c>
    </row>
    <row r="866" spans="2:10" x14ac:dyDescent="0.45">
      <c r="B866" t="s">
        <v>741</v>
      </c>
      <c r="C866" t="s">
        <v>23</v>
      </c>
      <c r="D866">
        <v>7.0897093275654327E-2</v>
      </c>
      <c r="E866" t="s">
        <v>6</v>
      </c>
      <c r="G866" t="s">
        <v>742</v>
      </c>
      <c r="H866" t="s">
        <v>23</v>
      </c>
      <c r="I866">
        <v>2.5878274617547197E-2</v>
      </c>
      <c r="J866" t="s">
        <v>6</v>
      </c>
    </row>
    <row r="867" spans="2:10" x14ac:dyDescent="0.45">
      <c r="B867" t="s">
        <v>741</v>
      </c>
      <c r="C867" t="s">
        <v>24</v>
      </c>
      <c r="D867">
        <v>6.0907824368429134E-2</v>
      </c>
      <c r="E867" t="s">
        <v>6</v>
      </c>
      <c r="G867" t="s">
        <v>742</v>
      </c>
      <c r="H867" t="s">
        <v>24</v>
      </c>
      <c r="I867">
        <v>2.7757800847337803E-2</v>
      </c>
      <c r="J867" t="s">
        <v>6</v>
      </c>
    </row>
    <row r="868" spans="2:10" x14ac:dyDescent="0.45">
      <c r="B868" t="s">
        <v>741</v>
      </c>
      <c r="C868" t="s">
        <v>25</v>
      </c>
      <c r="D868">
        <v>3.4088998014964948E-2</v>
      </c>
      <c r="E868" t="s">
        <v>6</v>
      </c>
      <c r="G868" t="s">
        <v>742</v>
      </c>
      <c r="H868" t="s">
        <v>25</v>
      </c>
      <c r="I868">
        <v>2.6112680836626576E-2</v>
      </c>
      <c r="J868" t="s">
        <v>6</v>
      </c>
    </row>
    <row r="869" spans="2:10" x14ac:dyDescent="0.45">
      <c r="B869" t="s">
        <v>741</v>
      </c>
      <c r="C869" t="s">
        <v>26</v>
      </c>
      <c r="D869">
        <v>5.3763528983696183E-3</v>
      </c>
      <c r="E869" t="s">
        <v>6</v>
      </c>
      <c r="G869" t="s">
        <v>742</v>
      </c>
      <c r="H869" t="s">
        <v>26</v>
      </c>
      <c r="I869">
        <v>2.4661885452006985E-2</v>
      </c>
      <c r="J869" t="s">
        <v>6</v>
      </c>
    </row>
    <row r="870" spans="2:10" x14ac:dyDescent="0.45">
      <c r="B870" t="s">
        <v>741</v>
      </c>
      <c r="C870" t="s">
        <v>27</v>
      </c>
      <c r="D870">
        <v>0</v>
      </c>
      <c r="E870" t="s">
        <v>6</v>
      </c>
      <c r="G870" t="s">
        <v>742</v>
      </c>
      <c r="H870" t="s">
        <v>27</v>
      </c>
      <c r="I870">
        <v>3.4900537321299954E-2</v>
      </c>
      <c r="J870" t="s">
        <v>6</v>
      </c>
    </row>
    <row r="871" spans="2:10" x14ac:dyDescent="0.45">
      <c r="B871" t="s">
        <v>741</v>
      </c>
      <c r="C871" t="s">
        <v>28</v>
      </c>
      <c r="D871">
        <v>0</v>
      </c>
      <c r="E871" t="s">
        <v>6</v>
      </c>
      <c r="G871" t="s">
        <v>742</v>
      </c>
      <c r="H871" t="s">
        <v>28</v>
      </c>
      <c r="I871">
        <v>3.7275452988347856E-2</v>
      </c>
      <c r="J871" t="s">
        <v>6</v>
      </c>
    </row>
    <row r="872" spans="2:10" x14ac:dyDescent="0.45">
      <c r="B872" t="s">
        <v>741</v>
      </c>
      <c r="C872" t="s">
        <v>29</v>
      </c>
      <c r="D872">
        <v>0</v>
      </c>
      <c r="E872" t="s">
        <v>6</v>
      </c>
      <c r="G872" t="s">
        <v>742</v>
      </c>
      <c r="H872" t="s">
        <v>29</v>
      </c>
      <c r="I872">
        <v>1.1569373588478912E-2</v>
      </c>
      <c r="J872" t="s">
        <v>6</v>
      </c>
    </row>
    <row r="873" spans="2:10" x14ac:dyDescent="0.45">
      <c r="B873" t="s">
        <v>741</v>
      </c>
      <c r="C873" t="s">
        <v>30</v>
      </c>
      <c r="D873">
        <v>6.8596372193063275E-3</v>
      </c>
      <c r="E873" t="s">
        <v>6</v>
      </c>
      <c r="G873" t="s">
        <v>742</v>
      </c>
      <c r="H873" t="s">
        <v>30</v>
      </c>
      <c r="I873">
        <v>9.147845278652417E-3</v>
      </c>
      <c r="J873" t="s">
        <v>6</v>
      </c>
    </row>
    <row r="874" spans="2:10" x14ac:dyDescent="0.45">
      <c r="B874" t="s">
        <v>741</v>
      </c>
      <c r="C874" t="s">
        <v>31</v>
      </c>
      <c r="D874">
        <v>4.0830763873473397E-2</v>
      </c>
      <c r="E874" t="s">
        <v>6</v>
      </c>
      <c r="G874" t="s">
        <v>742</v>
      </c>
      <c r="H874" t="s">
        <v>31</v>
      </c>
      <c r="I874">
        <v>9.0062462796656525E-3</v>
      </c>
      <c r="J874" t="s">
        <v>6</v>
      </c>
    </row>
    <row r="875" spans="2:10" x14ac:dyDescent="0.45">
      <c r="B875" t="s">
        <v>741</v>
      </c>
      <c r="C875" t="s">
        <v>32</v>
      </c>
      <c r="D875">
        <v>6.9756193288582624E-2</v>
      </c>
      <c r="E875" t="s">
        <v>6</v>
      </c>
      <c r="G875" t="s">
        <v>742</v>
      </c>
      <c r="H875" t="s">
        <v>32</v>
      </c>
      <c r="I875">
        <v>8.8580942393032252E-3</v>
      </c>
      <c r="J875" t="s">
        <v>6</v>
      </c>
    </row>
    <row r="876" spans="2:10" x14ac:dyDescent="0.45">
      <c r="B876" t="s">
        <v>741</v>
      </c>
      <c r="C876" t="s">
        <v>33</v>
      </c>
      <c r="D876">
        <v>7.8746114473298018E-2</v>
      </c>
      <c r="E876" t="s">
        <v>6</v>
      </c>
      <c r="G876" t="s">
        <v>742</v>
      </c>
      <c r="H876" t="s">
        <v>33</v>
      </c>
      <c r="I876">
        <v>1.1157181415286923E-2</v>
      </c>
      <c r="J876" t="s">
        <v>6</v>
      </c>
    </row>
    <row r="877" spans="2:10" x14ac:dyDescent="0.45">
      <c r="B877" t="s">
        <v>741</v>
      </c>
      <c r="C877" t="s">
        <v>34</v>
      </c>
      <c r="D877">
        <v>6.7031633115865866E-2</v>
      </c>
      <c r="E877" t="s">
        <v>6</v>
      </c>
      <c r="G877" t="s">
        <v>742</v>
      </c>
      <c r="H877" t="s">
        <v>34</v>
      </c>
      <c r="I877">
        <v>1.2925876399458264E-2</v>
      </c>
      <c r="J877" t="s">
        <v>6</v>
      </c>
    </row>
    <row r="878" spans="2:10" x14ac:dyDescent="0.45">
      <c r="B878" t="s">
        <v>741</v>
      </c>
      <c r="C878" t="s">
        <v>35</v>
      </c>
      <c r="D878">
        <v>4.0442709436974443E-2</v>
      </c>
      <c r="E878" t="s">
        <v>6</v>
      </c>
      <c r="G878" t="s">
        <v>742</v>
      </c>
      <c r="H878" t="s">
        <v>35</v>
      </c>
      <c r="I878">
        <v>1.6001236285713621E-2</v>
      </c>
      <c r="J878" t="s">
        <v>6</v>
      </c>
    </row>
    <row r="879" spans="2:10" x14ac:dyDescent="0.45">
      <c r="B879" t="s">
        <v>741</v>
      </c>
      <c r="C879" t="s">
        <v>36</v>
      </c>
      <c r="D879">
        <v>8.9805278405235851E-3</v>
      </c>
      <c r="E879" t="s">
        <v>6</v>
      </c>
      <c r="G879" t="s">
        <v>742</v>
      </c>
      <c r="H879" t="s">
        <v>36</v>
      </c>
      <c r="I879">
        <v>1.8585066717579875E-2</v>
      </c>
      <c r="J879" t="s">
        <v>6</v>
      </c>
    </row>
    <row r="880" spans="2:10" x14ac:dyDescent="0.45">
      <c r="B880" t="s">
        <v>741</v>
      </c>
      <c r="C880" t="s">
        <v>37</v>
      </c>
      <c r="D880">
        <v>1.9009125460958717E-5</v>
      </c>
      <c r="E880" t="s">
        <v>6</v>
      </c>
      <c r="G880" t="s">
        <v>742</v>
      </c>
      <c r="H880" t="s">
        <v>37</v>
      </c>
      <c r="I880">
        <v>2.8130386928388526E-2</v>
      </c>
      <c r="J880" t="s">
        <v>6</v>
      </c>
    </row>
    <row r="881" spans="2:10" x14ac:dyDescent="0.45">
      <c r="B881" t="s">
        <v>741</v>
      </c>
      <c r="C881" t="s">
        <v>38</v>
      </c>
      <c r="D881">
        <v>0</v>
      </c>
      <c r="E881" t="s">
        <v>6</v>
      </c>
      <c r="G881" t="s">
        <v>742</v>
      </c>
      <c r="H881" t="s">
        <v>38</v>
      </c>
      <c r="I881">
        <v>5.4180513479261685E-2</v>
      </c>
      <c r="J881" t="s">
        <v>6</v>
      </c>
    </row>
    <row r="882" spans="2:10" x14ac:dyDescent="0.45">
      <c r="B882" t="s">
        <v>741</v>
      </c>
      <c r="C882" t="s">
        <v>39</v>
      </c>
      <c r="D882">
        <v>0</v>
      </c>
      <c r="E882" t="s">
        <v>6</v>
      </c>
      <c r="G882" t="s">
        <v>742</v>
      </c>
      <c r="H882" t="s">
        <v>39</v>
      </c>
      <c r="I882">
        <v>2.1194407989408044E-2</v>
      </c>
      <c r="J882" t="s">
        <v>6</v>
      </c>
    </row>
    <row r="883" spans="2:10" x14ac:dyDescent="0.45">
      <c r="B883" t="s">
        <v>741</v>
      </c>
      <c r="C883" t="s">
        <v>40</v>
      </c>
      <c r="D883">
        <v>1.3944194077784222E-3</v>
      </c>
      <c r="E883" t="s">
        <v>6</v>
      </c>
      <c r="G883" t="s">
        <v>742</v>
      </c>
      <c r="H883" t="s">
        <v>40</v>
      </c>
      <c r="I883">
        <v>2.0839661755699734E-2</v>
      </c>
      <c r="J883" t="s">
        <v>6</v>
      </c>
    </row>
    <row r="884" spans="2:10" x14ac:dyDescent="0.45">
      <c r="B884" t="s">
        <v>741</v>
      </c>
      <c r="C884" t="s">
        <v>41</v>
      </c>
      <c r="D884">
        <v>2.6949723087468555E-2</v>
      </c>
      <c r="E884" t="s">
        <v>6</v>
      </c>
      <c r="G884" t="s">
        <v>742</v>
      </c>
      <c r="H884" t="s">
        <v>41</v>
      </c>
      <c r="I884">
        <v>1.8880254325067701E-2</v>
      </c>
      <c r="J884" t="s">
        <v>6</v>
      </c>
    </row>
    <row r="885" spans="2:10" x14ac:dyDescent="0.45">
      <c r="B885" t="s">
        <v>741</v>
      </c>
      <c r="C885" t="s">
        <v>42</v>
      </c>
      <c r="D885">
        <v>5.7573554579732074E-2</v>
      </c>
      <c r="E885" t="s">
        <v>6</v>
      </c>
      <c r="G885" t="s">
        <v>742</v>
      </c>
      <c r="H885" t="s">
        <v>42</v>
      </c>
      <c r="I885">
        <v>1.8543242250573945E-2</v>
      </c>
      <c r="J885" t="s">
        <v>6</v>
      </c>
    </row>
    <row r="886" spans="2:10" x14ac:dyDescent="0.45">
      <c r="B886" t="s">
        <v>741</v>
      </c>
      <c r="C886" t="s">
        <v>43</v>
      </c>
      <c r="D886">
        <v>6.7042175024818462E-2</v>
      </c>
      <c r="E886" t="s">
        <v>6</v>
      </c>
      <c r="G886" t="s">
        <v>742</v>
      </c>
      <c r="H886" t="s">
        <v>43</v>
      </c>
      <c r="I886">
        <v>2.1141052938638112E-2</v>
      </c>
      <c r="J886" t="s">
        <v>6</v>
      </c>
    </row>
    <row r="887" spans="2:10" x14ac:dyDescent="0.45">
      <c r="B887" t="s">
        <v>741</v>
      </c>
      <c r="C887" t="s">
        <v>44</v>
      </c>
      <c r="D887">
        <v>5.4351428537606966E-2</v>
      </c>
      <c r="E887" t="s">
        <v>6</v>
      </c>
      <c r="G887" t="s">
        <v>742</v>
      </c>
      <c r="H887" t="s">
        <v>44</v>
      </c>
      <c r="I887">
        <v>2.2764110094736851E-2</v>
      </c>
      <c r="J887" t="s">
        <v>6</v>
      </c>
    </row>
    <row r="888" spans="2:10" x14ac:dyDescent="0.45">
      <c r="B888" t="s">
        <v>741</v>
      </c>
      <c r="C888" t="s">
        <v>45</v>
      </c>
      <c r="D888">
        <v>2.3298317364025999E-2</v>
      </c>
      <c r="E888" t="s">
        <v>6</v>
      </c>
      <c r="G888" t="s">
        <v>742</v>
      </c>
      <c r="H888" t="s">
        <v>45</v>
      </c>
      <c r="I888">
        <v>2.5257211053948233E-2</v>
      </c>
      <c r="J888" t="s">
        <v>6</v>
      </c>
    </row>
    <row r="889" spans="2:10" x14ac:dyDescent="0.45">
      <c r="B889" t="s">
        <v>741</v>
      </c>
      <c r="C889" t="s">
        <v>46</v>
      </c>
      <c r="D889">
        <v>1.102215646357443E-3</v>
      </c>
      <c r="E889" t="s">
        <v>6</v>
      </c>
      <c r="G889" t="s">
        <v>742</v>
      </c>
      <c r="H889" t="s">
        <v>46</v>
      </c>
      <c r="I889">
        <v>2.7949352055782032E-2</v>
      </c>
      <c r="J889" t="s">
        <v>6</v>
      </c>
    </row>
    <row r="890" spans="2:10" x14ac:dyDescent="0.45">
      <c r="B890" t="s">
        <v>741</v>
      </c>
      <c r="C890" t="s">
        <v>47</v>
      </c>
      <c r="D890">
        <v>0</v>
      </c>
      <c r="E890" t="s">
        <v>6</v>
      </c>
      <c r="G890" t="s">
        <v>742</v>
      </c>
      <c r="H890" t="s">
        <v>47</v>
      </c>
      <c r="I890">
        <v>3.8808035594970779E-2</v>
      </c>
      <c r="J890" t="s">
        <v>6</v>
      </c>
    </row>
    <row r="891" spans="2:10" x14ac:dyDescent="0.45">
      <c r="B891" t="s">
        <v>743</v>
      </c>
      <c r="C891" t="s">
        <v>5</v>
      </c>
      <c r="D891">
        <v>0</v>
      </c>
      <c r="E891" t="s">
        <v>6</v>
      </c>
      <c r="G891" t="s">
        <v>744</v>
      </c>
      <c r="H891" t="s">
        <v>5</v>
      </c>
      <c r="I891">
        <v>5.775239576271822E-2</v>
      </c>
      <c r="J891" t="s">
        <v>6</v>
      </c>
    </row>
    <row r="892" spans="2:10" x14ac:dyDescent="0.45">
      <c r="B892" t="s">
        <v>743</v>
      </c>
      <c r="C892" t="s">
        <v>9</v>
      </c>
      <c r="D892">
        <v>0</v>
      </c>
      <c r="E892" t="s">
        <v>6</v>
      </c>
      <c r="G892" t="s">
        <v>744</v>
      </c>
      <c r="H892" t="s">
        <v>9</v>
      </c>
      <c r="I892">
        <v>2.4486796743561186E-2</v>
      </c>
      <c r="J892" t="s">
        <v>6</v>
      </c>
    </row>
    <row r="893" spans="2:10" x14ac:dyDescent="0.45">
      <c r="B893" t="s">
        <v>743</v>
      </c>
      <c r="C893" t="s">
        <v>10</v>
      </c>
      <c r="D893">
        <v>0</v>
      </c>
      <c r="E893" t="s">
        <v>6</v>
      </c>
      <c r="G893" t="s">
        <v>744</v>
      </c>
      <c r="H893" t="s">
        <v>10</v>
      </c>
      <c r="I893">
        <v>2.5075654756607384E-2</v>
      </c>
      <c r="J893" t="s">
        <v>6</v>
      </c>
    </row>
    <row r="894" spans="2:10" x14ac:dyDescent="0.45">
      <c r="B894" t="s">
        <v>743</v>
      </c>
      <c r="C894" t="s">
        <v>11</v>
      </c>
      <c r="D894">
        <v>1.7976245295150149E-2</v>
      </c>
      <c r="E894" t="s">
        <v>6</v>
      </c>
      <c r="G894" t="s">
        <v>744</v>
      </c>
      <c r="H894" t="s">
        <v>11</v>
      </c>
      <c r="I894">
        <v>2.4532727727307444E-2</v>
      </c>
      <c r="J894" t="s">
        <v>6</v>
      </c>
    </row>
    <row r="895" spans="2:10" x14ac:dyDescent="0.45">
      <c r="B895" t="s">
        <v>743</v>
      </c>
      <c r="C895" t="s">
        <v>12</v>
      </c>
      <c r="D895">
        <v>5.0563128536084245E-2</v>
      </c>
      <c r="E895" t="s">
        <v>6</v>
      </c>
      <c r="G895" t="s">
        <v>744</v>
      </c>
      <c r="H895" t="s">
        <v>12</v>
      </c>
      <c r="I895">
        <v>2.296511013313034E-2</v>
      </c>
      <c r="J895" t="s">
        <v>6</v>
      </c>
    </row>
    <row r="896" spans="2:10" x14ac:dyDescent="0.45">
      <c r="B896" t="s">
        <v>743</v>
      </c>
      <c r="C896" t="s">
        <v>13</v>
      </c>
      <c r="D896">
        <v>6.1924506057979833E-2</v>
      </c>
      <c r="E896" t="s">
        <v>6</v>
      </c>
      <c r="G896" t="s">
        <v>744</v>
      </c>
      <c r="H896" t="s">
        <v>13</v>
      </c>
      <c r="I896">
        <v>2.7071717565785441E-2</v>
      </c>
      <c r="J896" t="s">
        <v>6</v>
      </c>
    </row>
    <row r="897" spans="2:10" x14ac:dyDescent="0.45">
      <c r="B897" t="s">
        <v>743</v>
      </c>
      <c r="C897" t="s">
        <v>14</v>
      </c>
      <c r="D897">
        <v>4.9257773375689685E-2</v>
      </c>
      <c r="E897" t="s">
        <v>6</v>
      </c>
      <c r="G897" t="s">
        <v>744</v>
      </c>
      <c r="H897" t="s">
        <v>14</v>
      </c>
      <c r="I897">
        <v>2.6915667293140173E-2</v>
      </c>
      <c r="J897" t="s">
        <v>6</v>
      </c>
    </row>
    <row r="898" spans="2:10" x14ac:dyDescent="0.45">
      <c r="B898" t="s">
        <v>743</v>
      </c>
      <c r="C898" t="s">
        <v>15</v>
      </c>
      <c r="D898">
        <v>1.5574112177751408E-2</v>
      </c>
      <c r="E898" t="s">
        <v>6</v>
      </c>
      <c r="G898" t="s">
        <v>744</v>
      </c>
      <c r="H898" t="s">
        <v>15</v>
      </c>
      <c r="I898">
        <v>2.4679568800712905E-2</v>
      </c>
      <c r="J898" t="s">
        <v>6</v>
      </c>
    </row>
    <row r="899" spans="2:10" x14ac:dyDescent="0.45">
      <c r="B899" t="s">
        <v>743</v>
      </c>
      <c r="C899" t="s">
        <v>16</v>
      </c>
      <c r="D899">
        <v>1.2662998180041927E-5</v>
      </c>
      <c r="E899" t="s">
        <v>6</v>
      </c>
      <c r="G899" t="s">
        <v>744</v>
      </c>
      <c r="H899" t="s">
        <v>16</v>
      </c>
      <c r="I899">
        <v>2.3454078804549434E-2</v>
      </c>
      <c r="J899" t="s">
        <v>6</v>
      </c>
    </row>
    <row r="900" spans="2:10" x14ac:dyDescent="0.45">
      <c r="B900" t="s">
        <v>743</v>
      </c>
      <c r="C900" t="s">
        <v>17</v>
      </c>
      <c r="D900">
        <v>0</v>
      </c>
      <c r="E900" t="s">
        <v>6</v>
      </c>
      <c r="G900" t="s">
        <v>744</v>
      </c>
      <c r="H900" t="s">
        <v>17</v>
      </c>
      <c r="I900">
        <v>3.3666482863350444E-2</v>
      </c>
      <c r="J900" t="s">
        <v>6</v>
      </c>
    </row>
    <row r="901" spans="2:10" x14ac:dyDescent="0.45">
      <c r="B901" t="s">
        <v>743</v>
      </c>
      <c r="C901" t="s">
        <v>18</v>
      </c>
      <c r="D901">
        <v>0</v>
      </c>
      <c r="E901" t="s">
        <v>6</v>
      </c>
      <c r="G901" t="s">
        <v>744</v>
      </c>
      <c r="H901" t="s">
        <v>18</v>
      </c>
      <c r="I901">
        <v>4.3986132488438592E-2</v>
      </c>
      <c r="J901" t="s">
        <v>6</v>
      </c>
    </row>
    <row r="902" spans="2:10" x14ac:dyDescent="0.45">
      <c r="B902" t="s">
        <v>743</v>
      </c>
      <c r="C902" t="s">
        <v>19</v>
      </c>
      <c r="D902">
        <v>2.6459225945879992E-6</v>
      </c>
      <c r="E902" t="s">
        <v>6</v>
      </c>
      <c r="G902" t="s">
        <v>744</v>
      </c>
      <c r="H902" t="s">
        <v>19</v>
      </c>
      <c r="I902">
        <v>1.7585758888663375E-2</v>
      </c>
      <c r="J902" t="s">
        <v>6</v>
      </c>
    </row>
    <row r="903" spans="2:10" x14ac:dyDescent="0.45">
      <c r="B903" t="s">
        <v>743</v>
      </c>
      <c r="C903" t="s">
        <v>20</v>
      </c>
      <c r="D903">
        <v>5.8929377153504915E-3</v>
      </c>
      <c r="E903" t="s">
        <v>6</v>
      </c>
      <c r="G903" t="s">
        <v>744</v>
      </c>
      <c r="H903" t="s">
        <v>20</v>
      </c>
      <c r="I903">
        <v>1.8489642160586447E-2</v>
      </c>
      <c r="J903" t="s">
        <v>6</v>
      </c>
    </row>
    <row r="904" spans="2:10" x14ac:dyDescent="0.45">
      <c r="B904" t="s">
        <v>743</v>
      </c>
      <c r="C904" t="s">
        <v>21</v>
      </c>
      <c r="D904">
        <v>3.7662450343468788E-2</v>
      </c>
      <c r="E904" t="s">
        <v>6</v>
      </c>
      <c r="G904" t="s">
        <v>744</v>
      </c>
      <c r="H904" t="s">
        <v>21</v>
      </c>
      <c r="I904">
        <v>2.1914063919283678E-2</v>
      </c>
      <c r="J904" t="s">
        <v>6</v>
      </c>
    </row>
    <row r="905" spans="2:10" x14ac:dyDescent="0.45">
      <c r="B905" t="s">
        <v>743</v>
      </c>
      <c r="C905" t="s">
        <v>22</v>
      </c>
      <c r="D905">
        <v>6.457302830615802E-2</v>
      </c>
      <c r="E905" t="s">
        <v>6</v>
      </c>
      <c r="G905" t="s">
        <v>744</v>
      </c>
      <c r="H905" t="s">
        <v>22</v>
      </c>
      <c r="I905">
        <v>2.3578048774123606E-2</v>
      </c>
      <c r="J905" t="s">
        <v>6</v>
      </c>
    </row>
    <row r="906" spans="2:10" x14ac:dyDescent="0.45">
      <c r="B906" t="s">
        <v>743</v>
      </c>
      <c r="C906" t="s">
        <v>23</v>
      </c>
      <c r="D906">
        <v>7.0861189595707197E-2</v>
      </c>
      <c r="E906" t="s">
        <v>6</v>
      </c>
      <c r="G906" t="s">
        <v>744</v>
      </c>
      <c r="H906" t="s">
        <v>23</v>
      </c>
      <c r="I906">
        <v>2.849588136920455E-2</v>
      </c>
      <c r="J906" t="s">
        <v>6</v>
      </c>
    </row>
    <row r="907" spans="2:10" x14ac:dyDescent="0.45">
      <c r="B907" t="s">
        <v>743</v>
      </c>
      <c r="C907" t="s">
        <v>24</v>
      </c>
      <c r="D907">
        <v>5.8385403113641175E-2</v>
      </c>
      <c r="E907" t="s">
        <v>6</v>
      </c>
      <c r="G907" t="s">
        <v>744</v>
      </c>
      <c r="H907" t="s">
        <v>24</v>
      </c>
      <c r="I907">
        <v>2.9179670156507912E-2</v>
      </c>
      <c r="J907" t="s">
        <v>6</v>
      </c>
    </row>
    <row r="908" spans="2:10" x14ac:dyDescent="0.45">
      <c r="B908" t="s">
        <v>743</v>
      </c>
      <c r="C908" t="s">
        <v>25</v>
      </c>
      <c r="D908">
        <v>3.0275724450746236E-2</v>
      </c>
      <c r="E908" t="s">
        <v>6</v>
      </c>
      <c r="G908" t="s">
        <v>744</v>
      </c>
      <c r="H908" t="s">
        <v>25</v>
      </c>
      <c r="I908">
        <v>2.7689367229536063E-2</v>
      </c>
      <c r="J908" t="s">
        <v>6</v>
      </c>
    </row>
    <row r="909" spans="2:10" x14ac:dyDescent="0.45">
      <c r="B909" t="s">
        <v>743</v>
      </c>
      <c r="C909" t="s">
        <v>26</v>
      </c>
      <c r="D909">
        <v>3.367451100095625E-3</v>
      </c>
      <c r="E909" t="s">
        <v>6</v>
      </c>
      <c r="G909" t="s">
        <v>744</v>
      </c>
      <c r="H909" t="s">
        <v>26</v>
      </c>
      <c r="I909">
        <v>2.3424519271690012E-2</v>
      </c>
      <c r="J909" t="s">
        <v>6</v>
      </c>
    </row>
    <row r="910" spans="2:10" x14ac:dyDescent="0.45">
      <c r="B910" t="s">
        <v>743</v>
      </c>
      <c r="C910" t="s">
        <v>27</v>
      </c>
      <c r="D910">
        <v>0</v>
      </c>
      <c r="E910" t="s">
        <v>6</v>
      </c>
      <c r="G910" t="s">
        <v>744</v>
      </c>
      <c r="H910" t="s">
        <v>27</v>
      </c>
      <c r="I910">
        <v>2.9784664082192838E-2</v>
      </c>
      <c r="J910" t="s">
        <v>6</v>
      </c>
    </row>
    <row r="911" spans="2:10" x14ac:dyDescent="0.45">
      <c r="B911" t="s">
        <v>743</v>
      </c>
      <c r="C911" t="s">
        <v>28</v>
      </c>
      <c r="D911">
        <v>0</v>
      </c>
      <c r="E911" t="s">
        <v>6</v>
      </c>
      <c r="G911" t="s">
        <v>744</v>
      </c>
      <c r="H911" t="s">
        <v>28</v>
      </c>
      <c r="I911">
        <v>2.896933681845909E-2</v>
      </c>
      <c r="J911" t="s">
        <v>6</v>
      </c>
    </row>
    <row r="912" spans="2:10" x14ac:dyDescent="0.45">
      <c r="B912" t="s">
        <v>743</v>
      </c>
      <c r="C912" t="s">
        <v>29</v>
      </c>
      <c r="D912">
        <v>3.7091313519511928E-5</v>
      </c>
      <c r="E912" t="s">
        <v>6</v>
      </c>
      <c r="G912" t="s">
        <v>744</v>
      </c>
      <c r="H912" t="s">
        <v>29</v>
      </c>
      <c r="I912">
        <v>1.0014540492489461E-2</v>
      </c>
      <c r="J912" t="s">
        <v>6</v>
      </c>
    </row>
    <row r="913" spans="2:10" x14ac:dyDescent="0.45">
      <c r="B913" t="s">
        <v>743</v>
      </c>
      <c r="C913" t="s">
        <v>30</v>
      </c>
      <c r="D913">
        <v>9.3444711840250366E-3</v>
      </c>
      <c r="E913" t="s">
        <v>6</v>
      </c>
      <c r="G913" t="s">
        <v>744</v>
      </c>
      <c r="H913" t="s">
        <v>30</v>
      </c>
      <c r="I913">
        <v>9.0428908647340323E-3</v>
      </c>
      <c r="J913" t="s">
        <v>6</v>
      </c>
    </row>
    <row r="914" spans="2:10" x14ac:dyDescent="0.45">
      <c r="B914" t="s">
        <v>743</v>
      </c>
      <c r="C914" t="s">
        <v>31</v>
      </c>
      <c r="D914">
        <v>4.4020619476591909E-2</v>
      </c>
      <c r="E914" t="s">
        <v>6</v>
      </c>
      <c r="G914" t="s">
        <v>744</v>
      </c>
      <c r="H914" t="s">
        <v>31</v>
      </c>
      <c r="I914">
        <v>1.0881624122468112E-2</v>
      </c>
      <c r="J914" t="s">
        <v>6</v>
      </c>
    </row>
    <row r="915" spans="2:10" x14ac:dyDescent="0.45">
      <c r="B915" t="s">
        <v>743</v>
      </c>
      <c r="C915" t="s">
        <v>32</v>
      </c>
      <c r="D915">
        <v>7.1635750158850639E-2</v>
      </c>
      <c r="E915" t="s">
        <v>6</v>
      </c>
      <c r="G915" t="s">
        <v>744</v>
      </c>
      <c r="H915" t="s">
        <v>32</v>
      </c>
      <c r="I915">
        <v>1.1127268119245812E-2</v>
      </c>
      <c r="J915" t="s">
        <v>6</v>
      </c>
    </row>
    <row r="916" spans="2:10" x14ac:dyDescent="0.45">
      <c r="B916" t="s">
        <v>743</v>
      </c>
      <c r="C916" t="s">
        <v>33</v>
      </c>
      <c r="D916">
        <v>7.8093415587897286E-2</v>
      </c>
      <c r="E916" t="s">
        <v>6</v>
      </c>
      <c r="G916" t="s">
        <v>744</v>
      </c>
      <c r="H916" t="s">
        <v>33</v>
      </c>
      <c r="I916">
        <v>1.2961175984178895E-2</v>
      </c>
      <c r="J916" t="s">
        <v>6</v>
      </c>
    </row>
    <row r="917" spans="2:10" x14ac:dyDescent="0.45">
      <c r="B917" t="s">
        <v>743</v>
      </c>
      <c r="C917" t="s">
        <v>34</v>
      </c>
      <c r="D917">
        <v>6.4381544538603327E-2</v>
      </c>
      <c r="E917" t="s">
        <v>6</v>
      </c>
      <c r="G917" t="s">
        <v>744</v>
      </c>
      <c r="H917" t="s">
        <v>34</v>
      </c>
      <c r="I917">
        <v>1.5230223622533033E-2</v>
      </c>
      <c r="J917" t="s">
        <v>6</v>
      </c>
    </row>
    <row r="918" spans="2:10" x14ac:dyDescent="0.45">
      <c r="B918" t="s">
        <v>743</v>
      </c>
      <c r="C918" t="s">
        <v>35</v>
      </c>
      <c r="D918">
        <v>3.6613611624051613E-2</v>
      </c>
      <c r="E918" t="s">
        <v>6</v>
      </c>
      <c r="G918" t="s">
        <v>744</v>
      </c>
      <c r="H918" t="s">
        <v>35</v>
      </c>
      <c r="I918">
        <v>1.8733123534685252E-2</v>
      </c>
      <c r="J918" t="s">
        <v>6</v>
      </c>
    </row>
    <row r="919" spans="2:10" x14ac:dyDescent="0.45">
      <c r="B919" t="s">
        <v>743</v>
      </c>
      <c r="C919" t="s">
        <v>36</v>
      </c>
      <c r="D919">
        <v>6.8073091724588294E-3</v>
      </c>
      <c r="E919" t="s">
        <v>6</v>
      </c>
      <c r="G919" t="s">
        <v>744</v>
      </c>
      <c r="H919" t="s">
        <v>36</v>
      </c>
      <c r="I919">
        <v>1.8863417073105786E-2</v>
      </c>
      <c r="J919" t="s">
        <v>6</v>
      </c>
    </row>
    <row r="920" spans="2:10" x14ac:dyDescent="0.45">
      <c r="B920" t="s">
        <v>743</v>
      </c>
      <c r="C920" t="s">
        <v>37</v>
      </c>
      <c r="D920">
        <v>0</v>
      </c>
      <c r="E920" t="s">
        <v>6</v>
      </c>
      <c r="G920" t="s">
        <v>744</v>
      </c>
      <c r="H920" t="s">
        <v>37</v>
      </c>
      <c r="I920">
        <v>2.3253491576692601E-2</v>
      </c>
      <c r="J920" t="s">
        <v>6</v>
      </c>
    </row>
    <row r="921" spans="2:10" x14ac:dyDescent="0.45">
      <c r="B921" t="s">
        <v>743</v>
      </c>
      <c r="C921" t="s">
        <v>38</v>
      </c>
      <c r="D921">
        <v>0</v>
      </c>
      <c r="E921" t="s">
        <v>6</v>
      </c>
      <c r="G921" t="s">
        <v>744</v>
      </c>
      <c r="H921" t="s">
        <v>38</v>
      </c>
      <c r="I921">
        <v>5.6784984900760282E-2</v>
      </c>
      <c r="J921" t="s">
        <v>6</v>
      </c>
    </row>
    <row r="922" spans="2:10" x14ac:dyDescent="0.45">
      <c r="B922" t="s">
        <v>743</v>
      </c>
      <c r="C922" t="s">
        <v>39</v>
      </c>
      <c r="D922">
        <v>0</v>
      </c>
      <c r="E922" t="s">
        <v>6</v>
      </c>
      <c r="G922" t="s">
        <v>744</v>
      </c>
      <c r="H922" t="s">
        <v>39</v>
      </c>
      <c r="I922">
        <v>2.1891272885365687E-2</v>
      </c>
      <c r="J922" t="s">
        <v>6</v>
      </c>
    </row>
    <row r="923" spans="2:10" x14ac:dyDescent="0.45">
      <c r="B923" t="s">
        <v>743</v>
      </c>
      <c r="C923" t="s">
        <v>40</v>
      </c>
      <c r="D923">
        <v>2.1778543657745802E-3</v>
      </c>
      <c r="E923" t="s">
        <v>6</v>
      </c>
      <c r="G923" t="s">
        <v>744</v>
      </c>
      <c r="H923" t="s">
        <v>40</v>
      </c>
      <c r="I923">
        <v>2.1476458908706367E-2</v>
      </c>
      <c r="J923" t="s">
        <v>6</v>
      </c>
    </row>
    <row r="924" spans="2:10" x14ac:dyDescent="0.45">
      <c r="B924" t="s">
        <v>743</v>
      </c>
      <c r="C924" t="s">
        <v>41</v>
      </c>
      <c r="D924">
        <v>2.9269896953843879E-2</v>
      </c>
      <c r="E924" t="s">
        <v>6</v>
      </c>
      <c r="G924" t="s">
        <v>744</v>
      </c>
      <c r="H924" t="s">
        <v>41</v>
      </c>
      <c r="I924">
        <v>2.1902617085640959E-2</v>
      </c>
      <c r="J924" t="s">
        <v>6</v>
      </c>
    </row>
    <row r="925" spans="2:10" x14ac:dyDescent="0.45">
      <c r="B925" t="s">
        <v>743</v>
      </c>
      <c r="C925" t="s">
        <v>42</v>
      </c>
      <c r="D925">
        <v>5.8874535990890792E-2</v>
      </c>
      <c r="E925" t="s">
        <v>6</v>
      </c>
      <c r="G925" t="s">
        <v>744</v>
      </c>
      <c r="H925" t="s">
        <v>42</v>
      </c>
      <c r="I925">
        <v>2.2615798804125196E-2</v>
      </c>
      <c r="J925" t="s">
        <v>6</v>
      </c>
    </row>
    <row r="926" spans="2:10" x14ac:dyDescent="0.45">
      <c r="B926" t="s">
        <v>743</v>
      </c>
      <c r="C926" t="s">
        <v>43</v>
      </c>
      <c r="D926">
        <v>6.5204576479453297E-2</v>
      </c>
      <c r="E926" t="s">
        <v>6</v>
      </c>
      <c r="G926" t="s">
        <v>744</v>
      </c>
      <c r="H926" t="s">
        <v>43</v>
      </c>
      <c r="I926">
        <v>2.5888221382789862E-2</v>
      </c>
      <c r="J926" t="s">
        <v>6</v>
      </c>
    </row>
    <row r="927" spans="2:10" x14ac:dyDescent="0.45">
      <c r="B927" t="s">
        <v>743</v>
      </c>
      <c r="C927" t="s">
        <v>44</v>
      </c>
      <c r="D927">
        <v>4.9258151002398998E-2</v>
      </c>
      <c r="E927" t="s">
        <v>6</v>
      </c>
      <c r="G927" t="s">
        <v>744</v>
      </c>
      <c r="H927" t="s">
        <v>44</v>
      </c>
      <c r="I927">
        <v>2.7803956600929863E-2</v>
      </c>
      <c r="J927" t="s">
        <v>6</v>
      </c>
    </row>
    <row r="928" spans="2:10" x14ac:dyDescent="0.45">
      <c r="B928" t="s">
        <v>743</v>
      </c>
      <c r="C928" t="s">
        <v>45</v>
      </c>
      <c r="D928">
        <v>1.7498254900103677E-2</v>
      </c>
      <c r="E928" t="s">
        <v>6</v>
      </c>
      <c r="G928" t="s">
        <v>744</v>
      </c>
      <c r="H928" t="s">
        <v>45</v>
      </c>
      <c r="I928">
        <v>2.6116990765662432E-2</v>
      </c>
      <c r="J928" t="s">
        <v>6</v>
      </c>
    </row>
    <row r="929" spans="2:10" x14ac:dyDescent="0.45">
      <c r="B929" t="s">
        <v>743</v>
      </c>
      <c r="C929" t="s">
        <v>46</v>
      </c>
      <c r="D929">
        <v>4.5365826293960277E-4</v>
      </c>
      <c r="E929" t="s">
        <v>6</v>
      </c>
      <c r="G929" t="s">
        <v>744</v>
      </c>
      <c r="H929" t="s">
        <v>46</v>
      </c>
      <c r="I929">
        <v>2.5194595560279753E-2</v>
      </c>
      <c r="J929" t="s">
        <v>6</v>
      </c>
    </row>
    <row r="930" spans="2:10" x14ac:dyDescent="0.45">
      <c r="B930" t="s">
        <v>743</v>
      </c>
      <c r="C930" t="s">
        <v>47</v>
      </c>
      <c r="D930">
        <v>0</v>
      </c>
      <c r="E930" t="s">
        <v>6</v>
      </c>
      <c r="G930" t="s">
        <v>744</v>
      </c>
      <c r="H930" t="s">
        <v>47</v>
      </c>
      <c r="I930">
        <v>3.6520062106055684E-2</v>
      </c>
      <c r="J930" t="s">
        <v>6</v>
      </c>
    </row>
    <row r="931" spans="2:10" x14ac:dyDescent="0.45">
      <c r="B931" t="s">
        <v>745</v>
      </c>
      <c r="C931" t="s">
        <v>5</v>
      </c>
      <c r="D931">
        <v>0</v>
      </c>
      <c r="E931" t="s">
        <v>6</v>
      </c>
      <c r="G931" t="s">
        <v>746</v>
      </c>
      <c r="H931" t="s">
        <v>5</v>
      </c>
      <c r="I931">
        <v>6.4984482352761927E-2</v>
      </c>
      <c r="J931" t="s">
        <v>6</v>
      </c>
    </row>
    <row r="932" spans="2:10" x14ac:dyDescent="0.45">
      <c r="B932" t="s">
        <v>745</v>
      </c>
      <c r="C932" t="s">
        <v>9</v>
      </c>
      <c r="D932">
        <v>0</v>
      </c>
      <c r="E932" t="s">
        <v>6</v>
      </c>
      <c r="G932" t="s">
        <v>746</v>
      </c>
      <c r="H932" t="s">
        <v>9</v>
      </c>
      <c r="I932">
        <v>2.6057227634869329E-2</v>
      </c>
      <c r="J932" t="s">
        <v>6</v>
      </c>
    </row>
    <row r="933" spans="2:10" x14ac:dyDescent="0.45">
      <c r="B933" t="s">
        <v>745</v>
      </c>
      <c r="C933" t="s">
        <v>10</v>
      </c>
      <c r="D933">
        <v>0</v>
      </c>
      <c r="E933" t="s">
        <v>6</v>
      </c>
      <c r="G933" t="s">
        <v>746</v>
      </c>
      <c r="H933" t="s">
        <v>10</v>
      </c>
      <c r="I933">
        <v>2.6301499192327816E-2</v>
      </c>
      <c r="J933" t="s">
        <v>6</v>
      </c>
    </row>
    <row r="934" spans="2:10" x14ac:dyDescent="0.45">
      <c r="B934" t="s">
        <v>745</v>
      </c>
      <c r="C934" t="s">
        <v>11</v>
      </c>
      <c r="D934">
        <v>1.2388039578772884E-2</v>
      </c>
      <c r="E934" t="s">
        <v>6</v>
      </c>
      <c r="G934" t="s">
        <v>746</v>
      </c>
      <c r="H934" t="s">
        <v>11</v>
      </c>
      <c r="I934">
        <v>2.6210134875103524E-2</v>
      </c>
      <c r="J934" t="s">
        <v>6</v>
      </c>
    </row>
    <row r="935" spans="2:10" x14ac:dyDescent="0.45">
      <c r="B935" t="s">
        <v>745</v>
      </c>
      <c r="C935" t="s">
        <v>12</v>
      </c>
      <c r="D935">
        <v>4.6939206138095643E-2</v>
      </c>
      <c r="E935" t="s">
        <v>6</v>
      </c>
      <c r="G935" t="s">
        <v>746</v>
      </c>
      <c r="H935" t="s">
        <v>12</v>
      </c>
      <c r="I935">
        <v>2.500757953880909E-2</v>
      </c>
      <c r="J935" t="s">
        <v>6</v>
      </c>
    </row>
    <row r="936" spans="2:10" x14ac:dyDescent="0.45">
      <c r="B936" t="s">
        <v>745</v>
      </c>
      <c r="C936" t="s">
        <v>13</v>
      </c>
      <c r="D936">
        <v>6.041353948104615E-2</v>
      </c>
      <c r="E936" t="s">
        <v>6</v>
      </c>
      <c r="G936" t="s">
        <v>746</v>
      </c>
      <c r="H936" t="s">
        <v>13</v>
      </c>
      <c r="I936">
        <v>2.8048243092830542E-2</v>
      </c>
      <c r="J936" t="s">
        <v>6</v>
      </c>
    </row>
    <row r="937" spans="2:10" x14ac:dyDescent="0.45">
      <c r="B937" t="s">
        <v>745</v>
      </c>
      <c r="C937" t="s">
        <v>14</v>
      </c>
      <c r="D937">
        <v>4.8825258692218799E-2</v>
      </c>
      <c r="E937" t="s">
        <v>6</v>
      </c>
      <c r="G937" t="s">
        <v>746</v>
      </c>
      <c r="H937" t="s">
        <v>14</v>
      </c>
      <c r="I937">
        <v>2.9379252169901067E-2</v>
      </c>
      <c r="J937" t="s">
        <v>6</v>
      </c>
    </row>
    <row r="938" spans="2:10" x14ac:dyDescent="0.45">
      <c r="B938" t="s">
        <v>745</v>
      </c>
      <c r="C938" t="s">
        <v>15</v>
      </c>
      <c r="D938">
        <v>1.725732040578731E-2</v>
      </c>
      <c r="E938" t="s">
        <v>6</v>
      </c>
      <c r="G938" t="s">
        <v>746</v>
      </c>
      <c r="H938" t="s">
        <v>15</v>
      </c>
      <c r="I938">
        <v>3.0209603250598672E-2</v>
      </c>
      <c r="J938" t="s">
        <v>6</v>
      </c>
    </row>
    <row r="939" spans="2:10" x14ac:dyDescent="0.45">
      <c r="B939" t="s">
        <v>745</v>
      </c>
      <c r="C939" t="s">
        <v>16</v>
      </c>
      <c r="D939">
        <v>2.2840210069660044E-4</v>
      </c>
      <c r="E939" t="s">
        <v>6</v>
      </c>
      <c r="G939" t="s">
        <v>746</v>
      </c>
      <c r="H939" t="s">
        <v>16</v>
      </c>
      <c r="I939">
        <v>3.042351082937237E-2</v>
      </c>
      <c r="J939" t="s">
        <v>6</v>
      </c>
    </row>
    <row r="940" spans="2:10" x14ac:dyDescent="0.45">
      <c r="B940" t="s">
        <v>745</v>
      </c>
      <c r="C940" t="s">
        <v>17</v>
      </c>
      <c r="D940">
        <v>0</v>
      </c>
      <c r="E940" t="s">
        <v>6</v>
      </c>
      <c r="G940" t="s">
        <v>746</v>
      </c>
      <c r="H940" t="s">
        <v>17</v>
      </c>
      <c r="I940">
        <v>4.1317788370027891E-2</v>
      </c>
      <c r="J940" t="s">
        <v>6</v>
      </c>
    </row>
    <row r="941" spans="2:10" x14ac:dyDescent="0.45">
      <c r="B941" t="s">
        <v>745</v>
      </c>
      <c r="C941" t="s">
        <v>18</v>
      </c>
      <c r="D941">
        <v>0</v>
      </c>
      <c r="E941" t="s">
        <v>6</v>
      </c>
      <c r="G941" t="s">
        <v>746</v>
      </c>
      <c r="H941" t="s">
        <v>18</v>
      </c>
      <c r="I941">
        <v>5.2108689350336294E-2</v>
      </c>
      <c r="J941" t="s">
        <v>6</v>
      </c>
    </row>
    <row r="942" spans="2:10" x14ac:dyDescent="0.45">
      <c r="B942" t="s">
        <v>745</v>
      </c>
      <c r="C942" t="s">
        <v>19</v>
      </c>
      <c r="D942">
        <v>0</v>
      </c>
      <c r="E942" t="s">
        <v>6</v>
      </c>
      <c r="G942" t="s">
        <v>746</v>
      </c>
      <c r="H942" t="s">
        <v>19</v>
      </c>
      <c r="I942">
        <v>2.269160522853178E-2</v>
      </c>
      <c r="J942" t="s">
        <v>6</v>
      </c>
    </row>
    <row r="943" spans="2:10" x14ac:dyDescent="0.45">
      <c r="B943" t="s">
        <v>745</v>
      </c>
      <c r="C943" t="s">
        <v>20</v>
      </c>
      <c r="D943">
        <v>4.1344722934933062E-3</v>
      </c>
      <c r="E943" t="s">
        <v>6</v>
      </c>
      <c r="G943" t="s">
        <v>746</v>
      </c>
      <c r="H943" t="s">
        <v>20</v>
      </c>
      <c r="I943">
        <v>2.3150994194680571E-2</v>
      </c>
      <c r="J943" t="s">
        <v>6</v>
      </c>
    </row>
    <row r="944" spans="2:10" x14ac:dyDescent="0.45">
      <c r="B944" t="s">
        <v>745</v>
      </c>
      <c r="C944" t="s">
        <v>21</v>
      </c>
      <c r="D944">
        <v>3.240496124444852E-2</v>
      </c>
      <c r="E944" t="s">
        <v>6</v>
      </c>
      <c r="G944" t="s">
        <v>746</v>
      </c>
      <c r="H944" t="s">
        <v>21</v>
      </c>
      <c r="I944">
        <v>2.2615112137774548E-2</v>
      </c>
      <c r="J944" t="s">
        <v>6</v>
      </c>
    </row>
    <row r="945" spans="2:10" x14ac:dyDescent="0.45">
      <c r="B945" t="s">
        <v>745</v>
      </c>
      <c r="C945" t="s">
        <v>22</v>
      </c>
      <c r="D945">
        <v>6.0173671487935822E-2</v>
      </c>
      <c r="E945" t="s">
        <v>6</v>
      </c>
      <c r="G945" t="s">
        <v>746</v>
      </c>
      <c r="H945" t="s">
        <v>22</v>
      </c>
      <c r="I945">
        <v>2.5181893655384653E-2</v>
      </c>
      <c r="J945" t="s">
        <v>6</v>
      </c>
    </row>
    <row r="946" spans="2:10" x14ac:dyDescent="0.45">
      <c r="B946" t="s">
        <v>745</v>
      </c>
      <c r="C946" t="s">
        <v>23</v>
      </c>
      <c r="D946">
        <v>7.0841155669906328E-2</v>
      </c>
      <c r="E946" t="s">
        <v>6</v>
      </c>
      <c r="G946" t="s">
        <v>746</v>
      </c>
      <c r="H946" t="s">
        <v>23</v>
      </c>
      <c r="I946">
        <v>3.4104632149248221E-2</v>
      </c>
      <c r="J946" t="s">
        <v>6</v>
      </c>
    </row>
    <row r="947" spans="2:10" x14ac:dyDescent="0.45">
      <c r="B947" t="s">
        <v>745</v>
      </c>
      <c r="C947" t="s">
        <v>24</v>
      </c>
      <c r="D947">
        <v>6.1333170997241011E-2</v>
      </c>
      <c r="E947" t="s">
        <v>6</v>
      </c>
      <c r="G947" t="s">
        <v>746</v>
      </c>
      <c r="H947" t="s">
        <v>24</v>
      </c>
      <c r="I947">
        <v>4.0006051859800822E-2</v>
      </c>
      <c r="J947" t="s">
        <v>6</v>
      </c>
    </row>
    <row r="948" spans="2:10" x14ac:dyDescent="0.45">
      <c r="B948" t="s">
        <v>745</v>
      </c>
      <c r="C948" t="s">
        <v>25</v>
      </c>
      <c r="D948">
        <v>3.4319511770284097E-2</v>
      </c>
      <c r="E948" t="s">
        <v>6</v>
      </c>
      <c r="G948" t="s">
        <v>746</v>
      </c>
      <c r="H948" t="s">
        <v>25</v>
      </c>
      <c r="I948">
        <v>3.9005265341457457E-2</v>
      </c>
      <c r="J948" t="s">
        <v>6</v>
      </c>
    </row>
    <row r="949" spans="2:10" x14ac:dyDescent="0.45">
      <c r="B949" t="s">
        <v>745</v>
      </c>
      <c r="C949" t="s">
        <v>26</v>
      </c>
      <c r="D949">
        <v>5.3562282137825041E-3</v>
      </c>
      <c r="E949" t="s">
        <v>6</v>
      </c>
      <c r="G949" t="s">
        <v>746</v>
      </c>
      <c r="H949" t="s">
        <v>26</v>
      </c>
      <c r="I949">
        <v>3.0518760019507752E-2</v>
      </c>
      <c r="J949" t="s">
        <v>6</v>
      </c>
    </row>
    <row r="950" spans="2:10" x14ac:dyDescent="0.45">
      <c r="B950" t="s">
        <v>745</v>
      </c>
      <c r="C950" t="s">
        <v>27</v>
      </c>
      <c r="D950">
        <v>0</v>
      </c>
      <c r="E950" t="s">
        <v>6</v>
      </c>
      <c r="G950" t="s">
        <v>746</v>
      </c>
      <c r="H950" t="s">
        <v>27</v>
      </c>
      <c r="I950">
        <v>3.443882294944127E-2</v>
      </c>
      <c r="J950" t="s">
        <v>6</v>
      </c>
    </row>
    <row r="951" spans="2:10" x14ac:dyDescent="0.45">
      <c r="B951" t="s">
        <v>745</v>
      </c>
      <c r="C951" t="s">
        <v>28</v>
      </c>
      <c r="D951">
        <v>0</v>
      </c>
      <c r="E951" t="s">
        <v>6</v>
      </c>
      <c r="G951" t="s">
        <v>746</v>
      </c>
      <c r="H951" t="s">
        <v>28</v>
      </c>
      <c r="I951">
        <v>1.364413871291963E-2</v>
      </c>
      <c r="J951" t="s">
        <v>6</v>
      </c>
    </row>
    <row r="952" spans="2:10" x14ac:dyDescent="0.45">
      <c r="B952" t="s">
        <v>745</v>
      </c>
      <c r="C952" t="s">
        <v>29</v>
      </c>
      <c r="D952">
        <v>0</v>
      </c>
      <c r="E952" t="s">
        <v>6</v>
      </c>
      <c r="G952" t="s">
        <v>746</v>
      </c>
      <c r="H952" t="s">
        <v>29</v>
      </c>
      <c r="I952">
        <v>5.748840431877838E-3</v>
      </c>
      <c r="J952" t="s">
        <v>6</v>
      </c>
    </row>
    <row r="953" spans="2:10" x14ac:dyDescent="0.45">
      <c r="B953" t="s">
        <v>745</v>
      </c>
      <c r="C953" t="s">
        <v>30</v>
      </c>
      <c r="D953">
        <v>7.0174776844773943E-3</v>
      </c>
      <c r="E953" t="s">
        <v>6</v>
      </c>
      <c r="G953" t="s">
        <v>746</v>
      </c>
      <c r="H953" t="s">
        <v>30</v>
      </c>
      <c r="I953">
        <v>5.2604389679182361E-3</v>
      </c>
      <c r="J953" t="s">
        <v>6</v>
      </c>
    </row>
    <row r="954" spans="2:10" x14ac:dyDescent="0.45">
      <c r="B954" t="s">
        <v>745</v>
      </c>
      <c r="C954" t="s">
        <v>31</v>
      </c>
      <c r="D954">
        <v>4.0726338343189061E-2</v>
      </c>
      <c r="E954" t="s">
        <v>6</v>
      </c>
      <c r="G954" t="s">
        <v>746</v>
      </c>
      <c r="H954" t="s">
        <v>31</v>
      </c>
      <c r="I954">
        <v>5.6238102963975939E-3</v>
      </c>
      <c r="J954" t="s">
        <v>6</v>
      </c>
    </row>
    <row r="955" spans="2:10" x14ac:dyDescent="0.45">
      <c r="B955" t="s">
        <v>745</v>
      </c>
      <c r="C955" t="s">
        <v>32</v>
      </c>
      <c r="D955">
        <v>7.0130366488375839E-2</v>
      </c>
      <c r="E955" t="s">
        <v>6</v>
      </c>
      <c r="G955" t="s">
        <v>746</v>
      </c>
      <c r="H955" t="s">
        <v>32</v>
      </c>
      <c r="I955">
        <v>7.2972650588593764E-3</v>
      </c>
      <c r="J955" t="s">
        <v>6</v>
      </c>
    </row>
    <row r="956" spans="2:10" x14ac:dyDescent="0.45">
      <c r="B956" t="s">
        <v>745</v>
      </c>
      <c r="C956" t="s">
        <v>33</v>
      </c>
      <c r="D956">
        <v>8.0214527347378939E-2</v>
      </c>
      <c r="E956" t="s">
        <v>6</v>
      </c>
      <c r="G956" t="s">
        <v>746</v>
      </c>
      <c r="H956" t="s">
        <v>33</v>
      </c>
      <c r="I956">
        <v>1.3507678168951336E-2</v>
      </c>
      <c r="J956" t="s">
        <v>6</v>
      </c>
    </row>
    <row r="957" spans="2:10" x14ac:dyDescent="0.45">
      <c r="B957" t="s">
        <v>745</v>
      </c>
      <c r="C957" t="s">
        <v>34</v>
      </c>
      <c r="D957">
        <v>7.0098572063919645E-2</v>
      </c>
      <c r="E957" t="s">
        <v>6</v>
      </c>
      <c r="G957" t="s">
        <v>746</v>
      </c>
      <c r="H957" t="s">
        <v>34</v>
      </c>
      <c r="I957">
        <v>1.8578519164583043E-2</v>
      </c>
      <c r="J957" t="s">
        <v>6</v>
      </c>
    </row>
    <row r="958" spans="2:10" x14ac:dyDescent="0.45">
      <c r="B958" t="s">
        <v>745</v>
      </c>
      <c r="C958" t="s">
        <v>35</v>
      </c>
      <c r="D958">
        <v>4.2881635133236805E-2</v>
      </c>
      <c r="E958" t="s">
        <v>6</v>
      </c>
      <c r="G958" t="s">
        <v>746</v>
      </c>
      <c r="H958" t="s">
        <v>35</v>
      </c>
      <c r="I958">
        <v>1.899361887416692E-2</v>
      </c>
      <c r="J958" t="s">
        <v>6</v>
      </c>
    </row>
    <row r="959" spans="2:10" x14ac:dyDescent="0.45">
      <c r="B959" t="s">
        <v>745</v>
      </c>
      <c r="C959" t="s">
        <v>36</v>
      </c>
      <c r="D959">
        <v>9.1584381202247517E-3</v>
      </c>
      <c r="E959" t="s">
        <v>6</v>
      </c>
      <c r="G959" t="s">
        <v>746</v>
      </c>
      <c r="H959" t="s">
        <v>36</v>
      </c>
      <c r="I959">
        <v>1.3523758715178174E-2</v>
      </c>
      <c r="J959" t="s">
        <v>6</v>
      </c>
    </row>
    <row r="960" spans="2:10" x14ac:dyDescent="0.45">
      <c r="B960" t="s">
        <v>745</v>
      </c>
      <c r="C960" t="s">
        <v>37</v>
      </c>
      <c r="D960">
        <v>2.7080093666499058E-5</v>
      </c>
      <c r="E960" t="s">
        <v>6</v>
      </c>
      <c r="G960" t="s">
        <v>746</v>
      </c>
      <c r="H960" t="s">
        <v>37</v>
      </c>
      <c r="I960">
        <v>1.1754308492224965E-2</v>
      </c>
      <c r="J960" t="s">
        <v>6</v>
      </c>
    </row>
    <row r="961" spans="2:10" x14ac:dyDescent="0.45">
      <c r="B961" t="s">
        <v>745</v>
      </c>
      <c r="C961" t="s">
        <v>38</v>
      </c>
      <c r="D961">
        <v>0</v>
      </c>
      <c r="E961" t="s">
        <v>6</v>
      </c>
      <c r="G961" t="s">
        <v>746</v>
      </c>
      <c r="H961" t="s">
        <v>38</v>
      </c>
      <c r="I961">
        <v>4.5397648643712693E-2</v>
      </c>
      <c r="J961" t="s">
        <v>6</v>
      </c>
    </row>
    <row r="962" spans="2:10" x14ac:dyDescent="0.45">
      <c r="B962" t="s">
        <v>745</v>
      </c>
      <c r="C962" t="s">
        <v>39</v>
      </c>
      <c r="D962">
        <v>0</v>
      </c>
      <c r="E962" t="s">
        <v>6</v>
      </c>
      <c r="G962" t="s">
        <v>746</v>
      </c>
      <c r="H962" t="s">
        <v>39</v>
      </c>
      <c r="I962">
        <v>1.7594125067317268E-2</v>
      </c>
      <c r="J962" t="s">
        <v>6</v>
      </c>
    </row>
    <row r="963" spans="2:10" x14ac:dyDescent="0.45">
      <c r="B963" t="s">
        <v>745</v>
      </c>
      <c r="C963" t="s">
        <v>40</v>
      </c>
      <c r="D963">
        <v>1.4216142615527669E-3</v>
      </c>
      <c r="E963" t="s">
        <v>6</v>
      </c>
      <c r="G963" t="s">
        <v>746</v>
      </c>
      <c r="H963" t="s">
        <v>40</v>
      </c>
      <c r="I963">
        <v>1.7242695123021096E-2</v>
      </c>
      <c r="J963" t="s">
        <v>6</v>
      </c>
    </row>
    <row r="964" spans="2:10" x14ac:dyDescent="0.45">
      <c r="B964" t="s">
        <v>745</v>
      </c>
      <c r="C964" t="s">
        <v>41</v>
      </c>
      <c r="D964">
        <v>2.6362476704361232E-2</v>
      </c>
      <c r="E964" t="s">
        <v>6</v>
      </c>
      <c r="G964" t="s">
        <v>746</v>
      </c>
      <c r="H964" t="s">
        <v>41</v>
      </c>
      <c r="I964">
        <v>1.5766110395255273E-2</v>
      </c>
      <c r="J964" t="s">
        <v>6</v>
      </c>
    </row>
    <row r="965" spans="2:10" x14ac:dyDescent="0.45">
      <c r="B965" t="s">
        <v>745</v>
      </c>
      <c r="C965" t="s">
        <v>42</v>
      </c>
      <c r="D965">
        <v>5.6060434092222659E-2</v>
      </c>
      <c r="E965" t="s">
        <v>6</v>
      </c>
      <c r="G965" t="s">
        <v>746</v>
      </c>
      <c r="H965" t="s">
        <v>42</v>
      </c>
      <c r="I965">
        <v>1.5989432042527455E-2</v>
      </c>
      <c r="J965" t="s">
        <v>6</v>
      </c>
    </row>
    <row r="966" spans="2:10" x14ac:dyDescent="0.45">
      <c r="B966" t="s">
        <v>745</v>
      </c>
      <c r="C966" t="s">
        <v>43</v>
      </c>
      <c r="D966">
        <v>6.5576294311416025E-2</v>
      </c>
      <c r="E966" t="s">
        <v>6</v>
      </c>
      <c r="G966" t="s">
        <v>746</v>
      </c>
      <c r="H966" t="s">
        <v>43</v>
      </c>
      <c r="I966">
        <v>2.0492046764341021E-2</v>
      </c>
      <c r="J966" t="s">
        <v>6</v>
      </c>
    </row>
    <row r="967" spans="2:10" x14ac:dyDescent="0.45">
      <c r="B967" t="s">
        <v>745</v>
      </c>
      <c r="C967" t="s">
        <v>44</v>
      </c>
      <c r="D967">
        <v>5.2933380661886131E-2</v>
      </c>
      <c r="E967" t="s">
        <v>6</v>
      </c>
      <c r="G967" t="s">
        <v>746</v>
      </c>
      <c r="H967" t="s">
        <v>44</v>
      </c>
      <c r="I967">
        <v>2.3464447945742307E-2</v>
      </c>
      <c r="J967" t="s">
        <v>6</v>
      </c>
    </row>
    <row r="968" spans="2:10" x14ac:dyDescent="0.45">
      <c r="B968" t="s">
        <v>745</v>
      </c>
      <c r="C968" t="s">
        <v>45</v>
      </c>
      <c r="D968">
        <v>2.1768455573349568E-2</v>
      </c>
      <c r="E968" t="s">
        <v>6</v>
      </c>
      <c r="G968" t="s">
        <v>746</v>
      </c>
      <c r="H968" t="s">
        <v>45</v>
      </c>
      <c r="I968">
        <v>2.552892537585591E-2</v>
      </c>
      <c r="J968" t="s">
        <v>6</v>
      </c>
    </row>
    <row r="969" spans="2:10" x14ac:dyDescent="0.45">
      <c r="B969" t="s">
        <v>745</v>
      </c>
      <c r="C969" t="s">
        <v>46</v>
      </c>
      <c r="D969">
        <v>1.0079710470353733E-3</v>
      </c>
      <c r="E969" t="s">
        <v>6</v>
      </c>
      <c r="G969" t="s">
        <v>746</v>
      </c>
      <c r="H969" t="s">
        <v>46</v>
      </c>
      <c r="I969">
        <v>2.2967930804502348E-2</v>
      </c>
      <c r="J969" t="s">
        <v>6</v>
      </c>
    </row>
    <row r="970" spans="2:10" x14ac:dyDescent="0.45">
      <c r="B970" t="s">
        <v>745</v>
      </c>
      <c r="C970" t="s">
        <v>47</v>
      </c>
      <c r="D970">
        <v>0</v>
      </c>
      <c r="E970" t="s">
        <v>6</v>
      </c>
      <c r="G970" t="s">
        <v>746</v>
      </c>
      <c r="H970" t="s">
        <v>47</v>
      </c>
      <c r="I970">
        <v>2.986311276188406E-2</v>
      </c>
      <c r="J970" t="s">
        <v>6</v>
      </c>
    </row>
    <row r="971" spans="2:10" x14ac:dyDescent="0.45">
      <c r="B971" t="s">
        <v>747</v>
      </c>
      <c r="C971" t="s">
        <v>5</v>
      </c>
      <c r="D971">
        <v>0</v>
      </c>
      <c r="E971" t="s">
        <v>6</v>
      </c>
      <c r="G971" t="s">
        <v>748</v>
      </c>
      <c r="H971" t="s">
        <v>5</v>
      </c>
      <c r="I971">
        <v>8.0713737129582158E-2</v>
      </c>
      <c r="J971" t="s">
        <v>6</v>
      </c>
    </row>
    <row r="972" spans="2:10" x14ac:dyDescent="0.45">
      <c r="B972" t="s">
        <v>747</v>
      </c>
      <c r="C972" t="s">
        <v>9</v>
      </c>
      <c r="D972">
        <v>0</v>
      </c>
      <c r="E972" t="s">
        <v>6</v>
      </c>
      <c r="G972" t="s">
        <v>748</v>
      </c>
      <c r="H972" t="s">
        <v>9</v>
      </c>
      <c r="I972">
        <v>3.55093668343089E-2</v>
      </c>
      <c r="J972" t="s">
        <v>6</v>
      </c>
    </row>
    <row r="973" spans="2:10" x14ac:dyDescent="0.45">
      <c r="B973" t="s">
        <v>747</v>
      </c>
      <c r="C973" t="s">
        <v>10</v>
      </c>
      <c r="D973">
        <v>0</v>
      </c>
      <c r="E973" t="s">
        <v>6</v>
      </c>
      <c r="G973" t="s">
        <v>748</v>
      </c>
      <c r="H973" t="s">
        <v>10</v>
      </c>
      <c r="I973">
        <v>3.5607185860190654E-2</v>
      </c>
      <c r="J973" t="s">
        <v>6</v>
      </c>
    </row>
    <row r="974" spans="2:10" x14ac:dyDescent="0.45">
      <c r="B974" t="s">
        <v>747</v>
      </c>
      <c r="C974" t="s">
        <v>11</v>
      </c>
      <c r="D974">
        <v>1.6262538355505722E-2</v>
      </c>
      <c r="E974" t="s">
        <v>6</v>
      </c>
      <c r="G974" t="s">
        <v>748</v>
      </c>
      <c r="H974" t="s">
        <v>11</v>
      </c>
      <c r="I974">
        <v>3.3865051434630596E-2</v>
      </c>
      <c r="J974" t="s">
        <v>6</v>
      </c>
    </row>
    <row r="975" spans="2:10" x14ac:dyDescent="0.45">
      <c r="B975" t="s">
        <v>747</v>
      </c>
      <c r="C975" t="s">
        <v>12</v>
      </c>
      <c r="D975">
        <v>5.0891370814316654E-2</v>
      </c>
      <c r="E975" t="s">
        <v>6</v>
      </c>
      <c r="G975" t="s">
        <v>748</v>
      </c>
      <c r="H975" t="s">
        <v>12</v>
      </c>
      <c r="I975">
        <v>3.1666424281308614E-2</v>
      </c>
      <c r="J975" t="s">
        <v>6</v>
      </c>
    </row>
    <row r="976" spans="2:10" x14ac:dyDescent="0.45">
      <c r="B976" t="s">
        <v>747</v>
      </c>
      <c r="C976" t="s">
        <v>13</v>
      </c>
      <c r="D976">
        <v>6.5270740869063121E-2</v>
      </c>
      <c r="E976" t="s">
        <v>6</v>
      </c>
      <c r="G976" t="s">
        <v>748</v>
      </c>
      <c r="H976" t="s">
        <v>13</v>
      </c>
      <c r="I976">
        <v>3.3571912206982704E-2</v>
      </c>
      <c r="J976" t="s">
        <v>6</v>
      </c>
    </row>
    <row r="977" spans="2:10" x14ac:dyDescent="0.45">
      <c r="B977" t="s">
        <v>747</v>
      </c>
      <c r="C977" t="s">
        <v>14</v>
      </c>
      <c r="D977">
        <v>5.2867616076497433E-2</v>
      </c>
      <c r="E977" t="s">
        <v>6</v>
      </c>
      <c r="G977" t="s">
        <v>748</v>
      </c>
      <c r="H977" t="s">
        <v>14</v>
      </c>
      <c r="I977">
        <v>3.2141989922200839E-2</v>
      </c>
      <c r="J977" t="s">
        <v>6</v>
      </c>
    </row>
    <row r="978" spans="2:10" x14ac:dyDescent="0.45">
      <c r="B978" t="s">
        <v>747</v>
      </c>
      <c r="C978" t="s">
        <v>15</v>
      </c>
      <c r="D978">
        <v>1.7090934827555894E-2</v>
      </c>
      <c r="E978" t="s">
        <v>6</v>
      </c>
      <c r="G978" t="s">
        <v>748</v>
      </c>
      <c r="H978" t="s">
        <v>15</v>
      </c>
      <c r="I978">
        <v>2.8905516723176743E-2</v>
      </c>
      <c r="J978" t="s">
        <v>6</v>
      </c>
    </row>
    <row r="979" spans="2:10" x14ac:dyDescent="0.45">
      <c r="B979" t="s">
        <v>747</v>
      </c>
      <c r="C979" t="s">
        <v>16</v>
      </c>
      <c r="D979">
        <v>5.7595545824115581E-5</v>
      </c>
      <c r="E979" t="s">
        <v>6</v>
      </c>
      <c r="G979" t="s">
        <v>748</v>
      </c>
      <c r="H979" t="s">
        <v>16</v>
      </c>
      <c r="I979">
        <v>2.7431584690465201E-2</v>
      </c>
      <c r="J979" t="s">
        <v>6</v>
      </c>
    </row>
    <row r="980" spans="2:10" x14ac:dyDescent="0.45">
      <c r="B980" t="s">
        <v>747</v>
      </c>
      <c r="C980" t="s">
        <v>17</v>
      </c>
      <c r="D980">
        <v>0</v>
      </c>
      <c r="E980" t="s">
        <v>6</v>
      </c>
      <c r="G980" t="s">
        <v>748</v>
      </c>
      <c r="H980" t="s">
        <v>17</v>
      </c>
      <c r="I980">
        <v>4.3764450192939855E-2</v>
      </c>
      <c r="J980" t="s">
        <v>6</v>
      </c>
    </row>
    <row r="981" spans="2:10" x14ac:dyDescent="0.45">
      <c r="B981" t="s">
        <v>747</v>
      </c>
      <c r="C981" t="s">
        <v>18</v>
      </c>
      <c r="D981">
        <v>0</v>
      </c>
      <c r="E981" t="s">
        <v>6</v>
      </c>
      <c r="G981" t="s">
        <v>748</v>
      </c>
      <c r="H981" t="s">
        <v>18</v>
      </c>
      <c r="I981">
        <v>5.9457683815248741E-2</v>
      </c>
      <c r="J981" t="s">
        <v>6</v>
      </c>
    </row>
    <row r="982" spans="2:10" x14ac:dyDescent="0.45">
      <c r="B982" t="s">
        <v>747</v>
      </c>
      <c r="C982" t="s">
        <v>19</v>
      </c>
      <c r="D982">
        <v>3.0956696118726503E-7</v>
      </c>
      <c r="E982" t="s">
        <v>6</v>
      </c>
      <c r="G982" t="s">
        <v>748</v>
      </c>
      <c r="H982" t="s">
        <v>19</v>
      </c>
      <c r="I982">
        <v>2.348753152389985E-2</v>
      </c>
      <c r="J982" t="s">
        <v>6</v>
      </c>
    </row>
    <row r="983" spans="2:10" x14ac:dyDescent="0.45">
      <c r="B983" t="s">
        <v>747</v>
      </c>
      <c r="C983" t="s">
        <v>20</v>
      </c>
      <c r="D983">
        <v>5.7241506323750238E-3</v>
      </c>
      <c r="E983" t="s">
        <v>6</v>
      </c>
      <c r="G983" t="s">
        <v>748</v>
      </c>
      <c r="H983" t="s">
        <v>20</v>
      </c>
      <c r="I983">
        <v>2.2325908661533746E-2</v>
      </c>
      <c r="J983" t="s">
        <v>6</v>
      </c>
    </row>
    <row r="984" spans="2:10" x14ac:dyDescent="0.45">
      <c r="B984" t="s">
        <v>747</v>
      </c>
      <c r="C984" t="s">
        <v>21</v>
      </c>
      <c r="D984">
        <v>3.7377119400083474E-2</v>
      </c>
      <c r="E984" t="s">
        <v>6</v>
      </c>
      <c r="G984" t="s">
        <v>748</v>
      </c>
      <c r="H984" t="s">
        <v>21</v>
      </c>
      <c r="I984">
        <v>2.099347163396895E-2</v>
      </c>
      <c r="J984" t="s">
        <v>6</v>
      </c>
    </row>
    <row r="985" spans="2:10" x14ac:dyDescent="0.45">
      <c r="B985" t="s">
        <v>747</v>
      </c>
      <c r="C985" t="s">
        <v>22</v>
      </c>
      <c r="D985">
        <v>6.57399958675631E-2</v>
      </c>
      <c r="E985" t="s">
        <v>6</v>
      </c>
      <c r="G985" t="s">
        <v>748</v>
      </c>
      <c r="H985" t="s">
        <v>22</v>
      </c>
      <c r="I985">
        <v>2.2104943417551398E-2</v>
      </c>
      <c r="J985" t="s">
        <v>6</v>
      </c>
    </row>
    <row r="986" spans="2:10" x14ac:dyDescent="0.45">
      <c r="B986" t="s">
        <v>747</v>
      </c>
      <c r="C986" t="s">
        <v>23</v>
      </c>
      <c r="D986">
        <v>7.2869209224102782E-2</v>
      </c>
      <c r="E986" t="s">
        <v>6</v>
      </c>
      <c r="G986" t="s">
        <v>748</v>
      </c>
      <c r="H986" t="s">
        <v>23</v>
      </c>
      <c r="I986">
        <v>2.8922870019321315E-2</v>
      </c>
      <c r="J986" t="s">
        <v>6</v>
      </c>
    </row>
    <row r="987" spans="2:10" x14ac:dyDescent="0.45">
      <c r="B987" t="s">
        <v>747</v>
      </c>
      <c r="C987" t="s">
        <v>24</v>
      </c>
      <c r="D987">
        <v>5.9473731650342247E-2</v>
      </c>
      <c r="E987" t="s">
        <v>6</v>
      </c>
      <c r="G987" t="s">
        <v>748</v>
      </c>
      <c r="H987" t="s">
        <v>24</v>
      </c>
      <c r="I987">
        <v>3.1987623236873708E-2</v>
      </c>
      <c r="J987" t="s">
        <v>6</v>
      </c>
    </row>
    <row r="988" spans="2:10" x14ac:dyDescent="0.45">
      <c r="B988" t="s">
        <v>747</v>
      </c>
      <c r="C988" t="s">
        <v>25</v>
      </c>
      <c r="D988">
        <v>3.1590017113305072E-2</v>
      </c>
      <c r="E988" t="s">
        <v>6</v>
      </c>
      <c r="G988" t="s">
        <v>748</v>
      </c>
      <c r="H988" t="s">
        <v>25</v>
      </c>
      <c r="I988">
        <v>2.91995389806428E-2</v>
      </c>
      <c r="J988" t="s">
        <v>6</v>
      </c>
    </row>
    <row r="989" spans="2:10" x14ac:dyDescent="0.45">
      <c r="B989" t="s">
        <v>747</v>
      </c>
      <c r="C989" t="s">
        <v>26</v>
      </c>
      <c r="D989">
        <v>4.0175378704656699E-3</v>
      </c>
      <c r="E989" t="s">
        <v>6</v>
      </c>
      <c r="G989" t="s">
        <v>748</v>
      </c>
      <c r="H989" t="s">
        <v>26</v>
      </c>
      <c r="I989">
        <v>2.4147579631705839E-2</v>
      </c>
      <c r="J989" t="s">
        <v>6</v>
      </c>
    </row>
    <row r="990" spans="2:10" x14ac:dyDescent="0.45">
      <c r="B990" t="s">
        <v>747</v>
      </c>
      <c r="C990" t="s">
        <v>27</v>
      </c>
      <c r="D990">
        <v>0</v>
      </c>
      <c r="E990" t="s">
        <v>6</v>
      </c>
      <c r="G990" t="s">
        <v>748</v>
      </c>
      <c r="H990" t="s">
        <v>27</v>
      </c>
      <c r="I990">
        <v>3.4964474731737374E-2</v>
      </c>
      <c r="J990" t="s">
        <v>6</v>
      </c>
    </row>
    <row r="991" spans="2:10" x14ac:dyDescent="0.45">
      <c r="B991" t="s">
        <v>747</v>
      </c>
      <c r="C991" t="s">
        <v>28</v>
      </c>
      <c r="D991">
        <v>0</v>
      </c>
      <c r="E991" t="s">
        <v>6</v>
      </c>
      <c r="G991" t="s">
        <v>748</v>
      </c>
      <c r="H991" t="s">
        <v>28</v>
      </c>
      <c r="I991">
        <v>1.4054020754490722E-2</v>
      </c>
      <c r="J991" t="s">
        <v>6</v>
      </c>
    </row>
    <row r="992" spans="2:10" x14ac:dyDescent="0.45">
      <c r="B992" t="s">
        <v>747</v>
      </c>
      <c r="C992" t="s">
        <v>29</v>
      </c>
      <c r="D992">
        <v>1.4984612123480934E-5</v>
      </c>
      <c r="E992" t="s">
        <v>6</v>
      </c>
      <c r="G992" t="s">
        <v>748</v>
      </c>
      <c r="H992" t="s">
        <v>29</v>
      </c>
      <c r="I992">
        <v>5.3478921672562452E-3</v>
      </c>
      <c r="J992" t="s">
        <v>6</v>
      </c>
    </row>
    <row r="993" spans="2:10" x14ac:dyDescent="0.45">
      <c r="B993" t="s">
        <v>747</v>
      </c>
      <c r="C993" t="s">
        <v>30</v>
      </c>
      <c r="D993">
        <v>8.3799878422614604E-3</v>
      </c>
      <c r="E993" t="s">
        <v>6</v>
      </c>
      <c r="G993" t="s">
        <v>748</v>
      </c>
      <c r="H993" t="s">
        <v>30</v>
      </c>
      <c r="I993">
        <v>4.4167537814485576E-3</v>
      </c>
      <c r="J993" t="s">
        <v>6</v>
      </c>
    </row>
    <row r="994" spans="2:10" x14ac:dyDescent="0.45">
      <c r="B994" t="s">
        <v>747</v>
      </c>
      <c r="C994" t="s">
        <v>31</v>
      </c>
      <c r="D994">
        <v>4.1815418067691033E-2</v>
      </c>
      <c r="E994" t="s">
        <v>6</v>
      </c>
      <c r="G994" t="s">
        <v>748</v>
      </c>
      <c r="H994" t="s">
        <v>31</v>
      </c>
      <c r="I994">
        <v>4.490830302745487E-3</v>
      </c>
      <c r="J994" t="s">
        <v>6</v>
      </c>
    </row>
    <row r="995" spans="2:10" x14ac:dyDescent="0.45">
      <c r="B995" t="s">
        <v>747</v>
      </c>
      <c r="C995" t="s">
        <v>32</v>
      </c>
      <c r="D995">
        <v>6.9710776418229356E-2</v>
      </c>
      <c r="E995" t="s">
        <v>6</v>
      </c>
      <c r="G995" t="s">
        <v>748</v>
      </c>
      <c r="H995" t="s">
        <v>32</v>
      </c>
      <c r="I995">
        <v>6.9971756112293081E-3</v>
      </c>
      <c r="J995" t="s">
        <v>6</v>
      </c>
    </row>
    <row r="996" spans="2:10" x14ac:dyDescent="0.45">
      <c r="B996" t="s">
        <v>747</v>
      </c>
      <c r="C996" t="s">
        <v>33</v>
      </c>
      <c r="D996">
        <v>7.4687445881931519E-2</v>
      </c>
      <c r="E996" t="s">
        <v>6</v>
      </c>
      <c r="G996" t="s">
        <v>748</v>
      </c>
      <c r="H996" t="s">
        <v>33</v>
      </c>
      <c r="I996">
        <v>1.3964476557750443E-2</v>
      </c>
      <c r="J996" t="s">
        <v>6</v>
      </c>
    </row>
    <row r="997" spans="2:10" x14ac:dyDescent="0.45">
      <c r="B997" t="s">
        <v>747</v>
      </c>
      <c r="C997" t="s">
        <v>34</v>
      </c>
      <c r="D997">
        <v>6.1227621292607649E-2</v>
      </c>
      <c r="E997" t="s">
        <v>6</v>
      </c>
      <c r="G997" t="s">
        <v>748</v>
      </c>
      <c r="H997" t="s">
        <v>34</v>
      </c>
      <c r="I997">
        <v>1.6528856732703181E-2</v>
      </c>
      <c r="J997" t="s">
        <v>6</v>
      </c>
    </row>
    <row r="998" spans="2:10" x14ac:dyDescent="0.45">
      <c r="B998" t="s">
        <v>747</v>
      </c>
      <c r="C998" t="s">
        <v>35</v>
      </c>
      <c r="D998">
        <v>3.4799308182172403E-2</v>
      </c>
      <c r="E998" t="s">
        <v>6</v>
      </c>
      <c r="G998" t="s">
        <v>748</v>
      </c>
      <c r="H998" t="s">
        <v>35</v>
      </c>
      <c r="I998">
        <v>1.2337628068390276E-2</v>
      </c>
      <c r="J998" t="s">
        <v>6</v>
      </c>
    </row>
    <row r="999" spans="2:10" x14ac:dyDescent="0.45">
      <c r="B999" t="s">
        <v>747</v>
      </c>
      <c r="C999" t="s">
        <v>36</v>
      </c>
      <c r="D999">
        <v>6.8417496396968704E-3</v>
      </c>
      <c r="E999" t="s">
        <v>6</v>
      </c>
      <c r="G999" t="s">
        <v>748</v>
      </c>
      <c r="H999" t="s">
        <v>36</v>
      </c>
      <c r="I999">
        <v>6.4851799011586032E-3</v>
      </c>
      <c r="J999" t="s">
        <v>6</v>
      </c>
    </row>
    <row r="1000" spans="2:10" x14ac:dyDescent="0.45">
      <c r="B1000" t="s">
        <v>747</v>
      </c>
      <c r="C1000" t="s">
        <v>37</v>
      </c>
      <c r="D1000">
        <v>0</v>
      </c>
      <c r="E1000" t="s">
        <v>6</v>
      </c>
      <c r="G1000" t="s">
        <v>748</v>
      </c>
      <c r="H1000" t="s">
        <v>37</v>
      </c>
      <c r="I1000">
        <v>5.9467587013389642E-3</v>
      </c>
      <c r="J1000" t="s">
        <v>6</v>
      </c>
    </row>
    <row r="1001" spans="2:10" x14ac:dyDescent="0.45">
      <c r="B1001" t="s">
        <v>747</v>
      </c>
      <c r="C1001" t="s">
        <v>38</v>
      </c>
      <c r="D1001">
        <v>0</v>
      </c>
      <c r="E1001" t="s">
        <v>6</v>
      </c>
      <c r="G1001" t="s">
        <v>748</v>
      </c>
      <c r="H1001" t="s">
        <v>38</v>
      </c>
      <c r="I1001">
        <v>4.7556415214492137E-2</v>
      </c>
      <c r="J1001" t="s">
        <v>6</v>
      </c>
    </row>
    <row r="1002" spans="2:10" x14ac:dyDescent="0.45">
      <c r="B1002" t="s">
        <v>747</v>
      </c>
      <c r="C1002" t="s">
        <v>39</v>
      </c>
      <c r="D1002">
        <v>0</v>
      </c>
      <c r="E1002" t="s">
        <v>6</v>
      </c>
      <c r="G1002" t="s">
        <v>748</v>
      </c>
      <c r="H1002" t="s">
        <v>39</v>
      </c>
      <c r="I1002">
        <v>1.9658030066279617E-2</v>
      </c>
      <c r="J1002" t="s">
        <v>6</v>
      </c>
    </row>
    <row r="1003" spans="2:10" x14ac:dyDescent="0.45">
      <c r="B1003" t="s">
        <v>747</v>
      </c>
      <c r="C1003" t="s">
        <v>40</v>
      </c>
      <c r="D1003">
        <v>1.9135635268278522E-3</v>
      </c>
      <c r="E1003" t="s">
        <v>6</v>
      </c>
      <c r="G1003" t="s">
        <v>748</v>
      </c>
      <c r="H1003" t="s">
        <v>40</v>
      </c>
      <c r="I1003">
        <v>1.9766034525606564E-2</v>
      </c>
      <c r="J1003" t="s">
        <v>6</v>
      </c>
    </row>
    <row r="1004" spans="2:10" x14ac:dyDescent="0.45">
      <c r="B1004" t="s">
        <v>747</v>
      </c>
      <c r="C1004" t="s">
        <v>41</v>
      </c>
      <c r="D1004">
        <v>2.8020407585924532E-2</v>
      </c>
      <c r="E1004" t="s">
        <v>6</v>
      </c>
      <c r="G1004" t="s">
        <v>748</v>
      </c>
      <c r="H1004" t="s">
        <v>41</v>
      </c>
      <c r="I1004">
        <v>1.7578669805704081E-2</v>
      </c>
      <c r="J1004" t="s">
        <v>6</v>
      </c>
    </row>
    <row r="1005" spans="2:10" x14ac:dyDescent="0.45">
      <c r="B1005" t="s">
        <v>747</v>
      </c>
      <c r="C1005" t="s">
        <v>42</v>
      </c>
      <c r="D1005">
        <v>5.8796172107749012E-2</v>
      </c>
      <c r="E1005" t="s">
        <v>6</v>
      </c>
      <c r="G1005" t="s">
        <v>748</v>
      </c>
      <c r="H1005" t="s">
        <v>42</v>
      </c>
      <c r="I1005">
        <v>1.5301124423188829E-2</v>
      </c>
      <c r="J1005" t="s">
        <v>6</v>
      </c>
    </row>
    <row r="1006" spans="2:10" x14ac:dyDescent="0.45">
      <c r="B1006" t="s">
        <v>747</v>
      </c>
      <c r="C1006" t="s">
        <v>43</v>
      </c>
      <c r="D1006">
        <v>6.57442657161878E-2</v>
      </c>
      <c r="E1006" t="s">
        <v>6</v>
      </c>
      <c r="G1006" t="s">
        <v>748</v>
      </c>
      <c r="H1006" t="s">
        <v>43</v>
      </c>
      <c r="I1006">
        <v>1.7952375005647041E-2</v>
      </c>
      <c r="J1006" t="s">
        <v>6</v>
      </c>
    </row>
    <row r="1007" spans="2:10" x14ac:dyDescent="0.45">
      <c r="B1007" t="s">
        <v>747</v>
      </c>
      <c r="C1007" t="s">
        <v>44</v>
      </c>
      <c r="D1007">
        <v>4.9644845409111925E-2</v>
      </c>
      <c r="E1007" t="s">
        <v>6</v>
      </c>
      <c r="G1007" t="s">
        <v>748</v>
      </c>
      <c r="H1007" t="s">
        <v>44</v>
      </c>
      <c r="I1007">
        <v>2.2057463660377176E-2</v>
      </c>
      <c r="J1007" t="s">
        <v>6</v>
      </c>
    </row>
    <row r="1008" spans="2:10" x14ac:dyDescent="0.45">
      <c r="B1008" t="s">
        <v>747</v>
      </c>
      <c r="C1008" t="s">
        <v>45</v>
      </c>
      <c r="D1008">
        <v>1.8551417457333786E-2</v>
      </c>
      <c r="E1008" t="s">
        <v>6</v>
      </c>
      <c r="G1008" t="s">
        <v>748</v>
      </c>
      <c r="H1008" t="s">
        <v>45</v>
      </c>
      <c r="I1008">
        <v>1.990139797216307E-2</v>
      </c>
      <c r="J1008" t="s">
        <v>6</v>
      </c>
    </row>
    <row r="1009" spans="2:10" x14ac:dyDescent="0.45">
      <c r="B1009" t="s">
        <v>747</v>
      </c>
      <c r="C1009" t="s">
        <v>46</v>
      </c>
      <c r="D1009">
        <v>6.1916844619051229E-4</v>
      </c>
      <c r="E1009" t="s">
        <v>6</v>
      </c>
      <c r="G1009" t="s">
        <v>748</v>
      </c>
      <c r="H1009" t="s">
        <v>46</v>
      </c>
      <c r="I1009">
        <v>1.8599042372241879E-2</v>
      </c>
      <c r="J1009" t="s">
        <v>6</v>
      </c>
    </row>
    <row r="1010" spans="2:10" x14ac:dyDescent="0.45">
      <c r="B1010" t="s">
        <v>747</v>
      </c>
      <c r="C1010" t="s">
        <v>47</v>
      </c>
      <c r="D1010">
        <v>0</v>
      </c>
      <c r="E1010" t="s">
        <v>6</v>
      </c>
      <c r="G1010" t="s">
        <v>748</v>
      </c>
      <c r="H1010" t="s">
        <v>47</v>
      </c>
      <c r="I1010">
        <v>3.0291029447521441E-2</v>
      </c>
      <c r="J1010" t="s">
        <v>6</v>
      </c>
    </row>
    <row r="1011" spans="2:10" x14ac:dyDescent="0.45">
      <c r="B1011" t="s">
        <v>749</v>
      </c>
      <c r="C1011" t="s">
        <v>5</v>
      </c>
      <c r="D1011">
        <v>0</v>
      </c>
      <c r="E1011" t="s">
        <v>6</v>
      </c>
    </row>
    <row r="1012" spans="2:10" x14ac:dyDescent="0.45">
      <c r="B1012" t="s">
        <v>749</v>
      </c>
      <c r="C1012" t="s">
        <v>9</v>
      </c>
      <c r="D1012">
        <v>0</v>
      </c>
      <c r="E1012" t="s">
        <v>6</v>
      </c>
    </row>
    <row r="1013" spans="2:10" x14ac:dyDescent="0.45">
      <c r="B1013" t="s">
        <v>749</v>
      </c>
      <c r="C1013" t="s">
        <v>10</v>
      </c>
      <c r="D1013">
        <v>0</v>
      </c>
      <c r="E1013" t="s">
        <v>6</v>
      </c>
    </row>
    <row r="1014" spans="2:10" x14ac:dyDescent="0.45">
      <c r="B1014" t="s">
        <v>749</v>
      </c>
      <c r="C1014" t="s">
        <v>11</v>
      </c>
      <c r="D1014">
        <v>1.5239063304868733E-2</v>
      </c>
      <c r="E1014" t="s">
        <v>6</v>
      </c>
    </row>
    <row r="1015" spans="2:10" x14ac:dyDescent="0.45">
      <c r="B1015" t="s">
        <v>749</v>
      </c>
      <c r="C1015" t="s">
        <v>12</v>
      </c>
      <c r="D1015">
        <v>4.9009111578355143E-2</v>
      </c>
      <c r="E1015" t="s">
        <v>6</v>
      </c>
    </row>
    <row r="1016" spans="2:10" x14ac:dyDescent="0.45">
      <c r="B1016" t="s">
        <v>749</v>
      </c>
      <c r="C1016" t="s">
        <v>13</v>
      </c>
      <c r="D1016">
        <v>6.3233661382797429E-2</v>
      </c>
      <c r="E1016" t="s">
        <v>6</v>
      </c>
    </row>
    <row r="1017" spans="2:10" x14ac:dyDescent="0.45">
      <c r="B1017" t="s">
        <v>749</v>
      </c>
      <c r="C1017" t="s">
        <v>14</v>
      </c>
      <c r="D1017">
        <v>5.1539563213896598E-2</v>
      </c>
      <c r="E1017" t="s">
        <v>6</v>
      </c>
    </row>
    <row r="1018" spans="2:10" x14ac:dyDescent="0.45">
      <c r="B1018" t="s">
        <v>749</v>
      </c>
      <c r="C1018" t="s">
        <v>15</v>
      </c>
      <c r="D1018">
        <v>1.7971993034477964E-2</v>
      </c>
      <c r="E1018" t="s">
        <v>6</v>
      </c>
    </row>
    <row r="1019" spans="2:10" x14ac:dyDescent="0.45">
      <c r="B1019" t="s">
        <v>749</v>
      </c>
      <c r="C1019" t="s">
        <v>16</v>
      </c>
      <c r="D1019">
        <v>1.586969991536171E-4</v>
      </c>
      <c r="E1019" t="s">
        <v>6</v>
      </c>
    </row>
    <row r="1020" spans="2:10" x14ac:dyDescent="0.45">
      <c r="B1020" t="s">
        <v>749</v>
      </c>
      <c r="C1020" t="s">
        <v>17</v>
      </c>
      <c r="D1020">
        <v>0</v>
      </c>
      <c r="E1020" t="s">
        <v>6</v>
      </c>
    </row>
    <row r="1021" spans="2:10" x14ac:dyDescent="0.45">
      <c r="B1021" t="s">
        <v>749</v>
      </c>
      <c r="C1021" t="s">
        <v>18</v>
      </c>
      <c r="D1021">
        <v>0</v>
      </c>
      <c r="E1021" t="s">
        <v>6</v>
      </c>
    </row>
    <row r="1022" spans="2:10" x14ac:dyDescent="0.45">
      <c r="B1022" t="s">
        <v>749</v>
      </c>
      <c r="C1022" t="s">
        <v>19</v>
      </c>
      <c r="D1022">
        <v>0</v>
      </c>
      <c r="E1022" t="s">
        <v>6</v>
      </c>
    </row>
    <row r="1023" spans="2:10" x14ac:dyDescent="0.45">
      <c r="B1023" t="s">
        <v>749</v>
      </c>
      <c r="C1023" t="s">
        <v>20</v>
      </c>
      <c r="D1023">
        <v>5.0813284561060544E-3</v>
      </c>
      <c r="E1023" t="s">
        <v>6</v>
      </c>
    </row>
    <row r="1024" spans="2:10" x14ac:dyDescent="0.45">
      <c r="B1024" t="s">
        <v>749</v>
      </c>
      <c r="C1024" t="s">
        <v>21</v>
      </c>
      <c r="D1024">
        <v>3.630339676245075E-2</v>
      </c>
      <c r="E1024" t="s">
        <v>6</v>
      </c>
    </row>
    <row r="1025" spans="2:5" x14ac:dyDescent="0.45">
      <c r="B1025" t="s">
        <v>749</v>
      </c>
      <c r="C1025" t="s">
        <v>22</v>
      </c>
      <c r="D1025">
        <v>6.3733861070480555E-2</v>
      </c>
      <c r="E1025" t="s">
        <v>6</v>
      </c>
    </row>
    <row r="1026" spans="2:5" x14ac:dyDescent="0.45">
      <c r="B1026" t="s">
        <v>749</v>
      </c>
      <c r="C1026" t="s">
        <v>23</v>
      </c>
      <c r="D1026">
        <v>7.1743662827111643E-2</v>
      </c>
      <c r="E1026" t="s">
        <v>6</v>
      </c>
    </row>
    <row r="1027" spans="2:5" x14ac:dyDescent="0.45">
      <c r="B1027" t="s">
        <v>749</v>
      </c>
      <c r="C1027" t="s">
        <v>24</v>
      </c>
      <c r="D1027">
        <v>5.9890150981003712E-2</v>
      </c>
      <c r="E1027" t="s">
        <v>6</v>
      </c>
    </row>
    <row r="1028" spans="2:5" x14ac:dyDescent="0.45">
      <c r="B1028" t="s">
        <v>749</v>
      </c>
      <c r="C1028" t="s">
        <v>25</v>
      </c>
      <c r="D1028">
        <v>3.2700085765901728E-2</v>
      </c>
      <c r="E1028" t="s">
        <v>6</v>
      </c>
    </row>
    <row r="1029" spans="2:5" x14ac:dyDescent="0.45">
      <c r="B1029" t="s">
        <v>749</v>
      </c>
      <c r="C1029" t="s">
        <v>26</v>
      </c>
      <c r="D1029">
        <v>4.4748267735858398E-3</v>
      </c>
      <c r="E1029" t="s">
        <v>6</v>
      </c>
    </row>
    <row r="1030" spans="2:5" x14ac:dyDescent="0.45">
      <c r="B1030" t="s">
        <v>749</v>
      </c>
      <c r="C1030" t="s">
        <v>27</v>
      </c>
      <c r="D1030">
        <v>0</v>
      </c>
      <c r="E1030" t="s">
        <v>6</v>
      </c>
    </row>
    <row r="1031" spans="2:5" x14ac:dyDescent="0.45">
      <c r="B1031" t="s">
        <v>749</v>
      </c>
      <c r="C1031" t="s">
        <v>28</v>
      </c>
      <c r="D1031">
        <v>0</v>
      </c>
      <c r="E1031" t="s">
        <v>6</v>
      </c>
    </row>
    <row r="1032" spans="2:5" x14ac:dyDescent="0.45">
      <c r="B1032" t="s">
        <v>749</v>
      </c>
      <c r="C1032" t="s">
        <v>29</v>
      </c>
      <c r="D1032">
        <v>2.9531756111455392E-7</v>
      </c>
      <c r="E1032" t="s">
        <v>6</v>
      </c>
    </row>
    <row r="1033" spans="2:5" x14ac:dyDescent="0.45">
      <c r="B1033" t="s">
        <v>749</v>
      </c>
      <c r="C1033" t="s">
        <v>30</v>
      </c>
      <c r="D1033">
        <v>7.4091522014031186E-3</v>
      </c>
      <c r="E1033" t="s">
        <v>6</v>
      </c>
    </row>
    <row r="1034" spans="2:5" x14ac:dyDescent="0.45">
      <c r="B1034" t="s">
        <v>749</v>
      </c>
      <c r="C1034" t="s">
        <v>31</v>
      </c>
      <c r="D1034">
        <v>3.9608560586627574E-2</v>
      </c>
      <c r="E1034" t="s">
        <v>6</v>
      </c>
    </row>
    <row r="1035" spans="2:5" x14ac:dyDescent="0.45">
      <c r="B1035" t="s">
        <v>749</v>
      </c>
      <c r="C1035" t="s">
        <v>32</v>
      </c>
      <c r="D1035">
        <v>6.7366082088118173E-2</v>
      </c>
      <c r="E1035" t="s">
        <v>6</v>
      </c>
    </row>
    <row r="1036" spans="2:5" x14ac:dyDescent="0.45">
      <c r="B1036" t="s">
        <v>749</v>
      </c>
      <c r="C1036" t="s">
        <v>33</v>
      </c>
      <c r="D1036">
        <v>7.5571486884295699E-2</v>
      </c>
      <c r="E1036" t="s">
        <v>6</v>
      </c>
    </row>
    <row r="1037" spans="2:5" x14ac:dyDescent="0.45">
      <c r="B1037" t="s">
        <v>749</v>
      </c>
      <c r="C1037" t="s">
        <v>34</v>
      </c>
      <c r="D1037">
        <v>6.4049139821003992E-2</v>
      </c>
      <c r="E1037" t="s">
        <v>6</v>
      </c>
    </row>
    <row r="1038" spans="2:5" x14ac:dyDescent="0.45">
      <c r="B1038" t="s">
        <v>749</v>
      </c>
      <c r="C1038" t="s">
        <v>35</v>
      </c>
      <c r="D1038">
        <v>3.7237209745308086E-2</v>
      </c>
      <c r="E1038" t="s">
        <v>6</v>
      </c>
    </row>
    <row r="1039" spans="2:5" x14ac:dyDescent="0.45">
      <c r="B1039" t="s">
        <v>749</v>
      </c>
      <c r="C1039" t="s">
        <v>36</v>
      </c>
      <c r="D1039">
        <v>7.4402370395085836E-3</v>
      </c>
      <c r="E1039" t="s">
        <v>6</v>
      </c>
    </row>
    <row r="1040" spans="2:5" x14ac:dyDescent="0.45">
      <c r="B1040" t="s">
        <v>749</v>
      </c>
      <c r="C1040" t="s">
        <v>37</v>
      </c>
      <c r="D1040">
        <v>1.9634921699114798E-7</v>
      </c>
      <c r="E1040" t="s">
        <v>6</v>
      </c>
    </row>
    <row r="1041" spans="2:5" x14ac:dyDescent="0.45">
      <c r="B1041" t="s">
        <v>749</v>
      </c>
      <c r="C1041" t="s">
        <v>38</v>
      </c>
      <c r="D1041">
        <v>0</v>
      </c>
      <c r="E1041" t="s">
        <v>6</v>
      </c>
    </row>
    <row r="1042" spans="2:5" x14ac:dyDescent="0.45">
      <c r="B1042" t="s">
        <v>749</v>
      </c>
      <c r="C1042" t="s">
        <v>39</v>
      </c>
      <c r="D1042">
        <v>0</v>
      </c>
      <c r="E1042" t="s">
        <v>6</v>
      </c>
    </row>
    <row r="1043" spans="2:5" x14ac:dyDescent="0.45">
      <c r="B1043" t="s">
        <v>749</v>
      </c>
      <c r="C1043" t="s">
        <v>40</v>
      </c>
      <c r="D1043">
        <v>1.7485572733507112E-3</v>
      </c>
      <c r="E1043" t="s">
        <v>6</v>
      </c>
    </row>
    <row r="1044" spans="2:5" x14ac:dyDescent="0.45">
      <c r="B1044" t="s">
        <v>749</v>
      </c>
      <c r="C1044" t="s">
        <v>41</v>
      </c>
      <c r="D1044">
        <v>2.8632862157634428E-2</v>
      </c>
      <c r="E1044" t="s">
        <v>6</v>
      </c>
    </row>
    <row r="1045" spans="2:5" x14ac:dyDescent="0.45">
      <c r="B1045" t="s">
        <v>749</v>
      </c>
      <c r="C1045" t="s">
        <v>42</v>
      </c>
      <c r="D1045">
        <v>5.8624037393310534E-2</v>
      </c>
      <c r="E1045" t="s">
        <v>6</v>
      </c>
    </row>
    <row r="1046" spans="2:5" x14ac:dyDescent="0.45">
      <c r="B1046" t="s">
        <v>749</v>
      </c>
      <c r="C1046" t="s">
        <v>43</v>
      </c>
      <c r="D1046">
        <v>6.6470476233735296E-2</v>
      </c>
      <c r="E1046" t="s">
        <v>6</v>
      </c>
    </row>
    <row r="1047" spans="2:5" x14ac:dyDescent="0.45">
      <c r="B1047" t="s">
        <v>749</v>
      </c>
      <c r="C1047" t="s">
        <v>44</v>
      </c>
      <c r="D1047">
        <v>5.2855744022530467E-2</v>
      </c>
      <c r="E1047" t="s">
        <v>6</v>
      </c>
    </row>
    <row r="1048" spans="2:5" x14ac:dyDescent="0.45">
      <c r="B1048" t="s">
        <v>749</v>
      </c>
      <c r="C1048" t="s">
        <v>45</v>
      </c>
      <c r="D1048">
        <v>2.1119655326272923E-2</v>
      </c>
      <c r="E1048" t="s">
        <v>6</v>
      </c>
    </row>
    <row r="1049" spans="2:5" x14ac:dyDescent="0.45">
      <c r="B1049" t="s">
        <v>749</v>
      </c>
      <c r="C1049" t="s">
        <v>46</v>
      </c>
      <c r="D1049">
        <v>7.8690540993223406E-4</v>
      </c>
      <c r="E1049" t="s">
        <v>6</v>
      </c>
    </row>
    <row r="1050" spans="2:5" x14ac:dyDescent="0.45">
      <c r="B1050" t="s">
        <v>749</v>
      </c>
      <c r="C1050" t="s">
        <v>47</v>
      </c>
      <c r="D1050">
        <v>0</v>
      </c>
      <c r="E1050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522B-580A-479E-B051-7FD6E702FF81}">
  <dimension ref="B9:FT80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region=ESP")</f>
        <v>~TFM_DINS-TSL: attribute=FLO_EMIS; other_indexes=ACT; region=ESP</v>
      </c>
      <c r="AS9" t="str">
        <f>IF(A11="x","DeActivated","~TFM_INS-TSL: attribute=FLO_SHAR; limtype=FX; region=ESP")</f>
        <v>~TFM_INS-TSL: attribute=FLO_SHAR; limtype=FX; region=ESP</v>
      </c>
      <c r="CJ9" t="str">
        <f>IF(A11="x","DeActivated","~TFM_INS-TSL: attribute=FLO_SHAR; limtype=FX; region=ESP")</f>
        <v>~TFM_INS-TSL: attribute=FLO_SHAR; limtype=FX; region=ESP</v>
      </c>
      <c r="EA9" t="str">
        <f>IF(A11="x","DeActivated","~TFM_DINS-TSL: attribute=NCAP_PKCNT; region=ESP")</f>
        <v>~TFM_DINS-TSL: attribute=NCAP_PKCNT; region=ESP</v>
      </c>
      <c r="FQ9" t="str">
        <f>IF(A11="x","DeActivated","~TFM_DINS-AT: region=ESP")</f>
        <v>~TFM_DINS-AT: region=ESP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750</v>
      </c>
      <c r="C11" t="s">
        <v>123</v>
      </c>
      <c r="D11">
        <v>0</v>
      </c>
      <c r="E11">
        <v>0</v>
      </c>
      <c r="F11">
        <v>0</v>
      </c>
      <c r="G11">
        <v>0.47137508226621733</v>
      </c>
      <c r="H11">
        <v>0.18035344497231878</v>
      </c>
      <c r="I11">
        <v>0.15405588990585764</v>
      </c>
      <c r="J11">
        <v>0.16710866654973872</v>
      </c>
      <c r="K11">
        <v>0.33943574219350375</v>
      </c>
      <c r="L11">
        <v>0.9155168125911114</v>
      </c>
      <c r="M11">
        <v>0</v>
      </c>
      <c r="N11">
        <v>0</v>
      </c>
      <c r="O11">
        <v>0</v>
      </c>
      <c r="P11">
        <v>0.54794001816358973</v>
      </c>
      <c r="Q11">
        <v>0.21952644915002556</v>
      </c>
      <c r="R11">
        <v>0.15205317902223453</v>
      </c>
      <c r="S11">
        <v>0.12955816684385951</v>
      </c>
      <c r="T11">
        <v>0.14628743235758282</v>
      </c>
      <c r="U11">
        <v>0.19037528936287529</v>
      </c>
      <c r="V11">
        <v>0.44894393698329976</v>
      </c>
      <c r="W11">
        <v>0.99275362318840565</v>
      </c>
      <c r="X11">
        <v>0</v>
      </c>
      <c r="Y11">
        <v>0</v>
      </c>
      <c r="Z11">
        <v>0.38017357311039479</v>
      </c>
      <c r="AA11">
        <v>0.14360434294390978</v>
      </c>
      <c r="AB11">
        <v>8.9928406657062879E-2</v>
      </c>
      <c r="AC11">
        <v>8.1649660961592013E-2</v>
      </c>
      <c r="AD11">
        <v>8.9474651490799431E-2</v>
      </c>
      <c r="AE11">
        <v>0.12181135250686756</v>
      </c>
      <c r="AF11">
        <v>0.35531401989234734</v>
      </c>
      <c r="AG11">
        <v>0.83833299239214454</v>
      </c>
      <c r="AH11">
        <v>0</v>
      </c>
      <c r="AI11">
        <v>0</v>
      </c>
      <c r="AJ11">
        <v>0.75809434114049878</v>
      </c>
      <c r="AK11">
        <v>0.26585854551683702</v>
      </c>
      <c r="AL11">
        <v>0.16830283917600433</v>
      </c>
      <c r="AM11">
        <v>0.15456437889161512</v>
      </c>
      <c r="AN11">
        <v>0.17954835622827339</v>
      </c>
      <c r="AO11">
        <v>0.30514806149644669</v>
      </c>
      <c r="AP11">
        <v>0.79848821526877345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</v>
      </c>
      <c r="AX11">
        <v>0.25306093030086868</v>
      </c>
      <c r="AY11">
        <v>8.1323501516906843E-2</v>
      </c>
      <c r="AZ11">
        <v>5.4298505684170238E-2</v>
      </c>
      <c r="BA11">
        <v>1.7025460553895106E-2</v>
      </c>
      <c r="BB11">
        <v>5.0907972125455343E-3</v>
      </c>
      <c r="BC11">
        <v>0.16364094659227357</v>
      </c>
      <c r="BD11">
        <v>0</v>
      </c>
      <c r="BE11">
        <v>0</v>
      </c>
      <c r="BF11">
        <v>0.9149338374291115</v>
      </c>
      <c r="BG11">
        <v>0.39658658753707959</v>
      </c>
      <c r="BH11">
        <v>0.11484133452609216</v>
      </c>
      <c r="BI11">
        <v>5.8593332093072104E-2</v>
      </c>
      <c r="BJ11">
        <v>2.0776065876347765E-2</v>
      </c>
      <c r="BK11">
        <v>6.2449263154472322E-3</v>
      </c>
      <c r="BL11">
        <v>1.2359384935234174E-2</v>
      </c>
      <c r="BM11">
        <v>0.14227431439334118</v>
      </c>
      <c r="BN11">
        <v>0.84485560591097408</v>
      </c>
      <c r="BO11">
        <v>0</v>
      </c>
      <c r="BP11">
        <v>0.67124502568792743</v>
      </c>
      <c r="BQ11">
        <v>0.22351497493793773</v>
      </c>
      <c r="BR11">
        <v>7.0317265873871201E-2</v>
      </c>
      <c r="BS11">
        <v>2.775322982632436E-2</v>
      </c>
      <c r="BT11">
        <v>1.4036119179852195E-2</v>
      </c>
      <c r="BU11">
        <v>2.1789830751329956E-2</v>
      </c>
      <c r="BV11">
        <v>2.4629160140204987E-2</v>
      </c>
      <c r="BW11">
        <v>0.17245177271938322</v>
      </c>
      <c r="BX11">
        <v>0.61076031586994728</v>
      </c>
      <c r="BY11">
        <v>0</v>
      </c>
      <c r="BZ11">
        <v>0</v>
      </c>
      <c r="CA11">
        <v>0.54813048968572797</v>
      </c>
      <c r="CB11">
        <v>0.13745856306011398</v>
      </c>
      <c r="CC11">
        <v>5.6628596250823698E-2</v>
      </c>
      <c r="CD11">
        <v>3.155837119741383E-2</v>
      </c>
      <c r="CE11">
        <v>5.8562914676104682E-3</v>
      </c>
      <c r="CF11">
        <v>7.5576222935823363E-3</v>
      </c>
      <c r="CG11">
        <v>9.089102102015735E-2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5.3677586673098646E-2</v>
      </c>
      <c r="CS11">
        <v>0.14602237038915722</v>
      </c>
      <c r="CT11">
        <v>0.51246674045774976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2.9451970610863874E-2</v>
      </c>
      <c r="DB11">
        <v>5.1210779326305918E-2</v>
      </c>
      <c r="DC11">
        <v>7.5425428373786713E-2</v>
      </c>
      <c r="DD11">
        <v>2.7825254287702599E-2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3.7246163127920983E-3</v>
      </c>
      <c r="DM11">
        <v>3.0781148160219218E-2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1.4434659318713152E-2</v>
      </c>
      <c r="DV11">
        <v>5.5430503258902586E-2</v>
      </c>
      <c r="DW11">
        <v>0.12362967365349389</v>
      </c>
      <c r="DX11">
        <v>0.2652756132986982</v>
      </c>
      <c r="DY11">
        <v>0</v>
      </c>
      <c r="EA11" t="s">
        <v>750</v>
      </c>
      <c r="EB11">
        <v>0</v>
      </c>
      <c r="EC11">
        <v>0</v>
      </c>
      <c r="ED11">
        <v>0</v>
      </c>
      <c r="EE11">
        <v>7.6193065065669099E-2</v>
      </c>
      <c r="EF11">
        <v>0.33013130636443833</v>
      </c>
      <c r="EG11">
        <v>0.44689448453908803</v>
      </c>
      <c r="EH11">
        <v>0.36585753905762441</v>
      </c>
      <c r="EI11">
        <v>0.13062374610451019</v>
      </c>
      <c r="EJ11">
        <v>1.9372652310268878E-3</v>
      </c>
      <c r="EK11">
        <v>0</v>
      </c>
      <c r="EL11">
        <v>0</v>
      </c>
      <c r="EM11">
        <v>0</v>
      </c>
      <c r="EN11">
        <v>2.7627731281951583E-2</v>
      </c>
      <c r="EO11">
        <v>0.23162587787314184</v>
      </c>
      <c r="EP11">
        <v>0.45136368051220649</v>
      </c>
      <c r="EQ11">
        <v>0.54734500637549754</v>
      </c>
      <c r="ER11">
        <v>0.47387464323991524</v>
      </c>
      <c r="ES11">
        <v>0.26692249025771286</v>
      </c>
      <c r="ET11">
        <v>4.4544370365775E-2</v>
      </c>
      <c r="EU11">
        <v>3.8157701733233023E-8</v>
      </c>
      <c r="EV11">
        <v>0</v>
      </c>
      <c r="EW11">
        <v>0</v>
      </c>
      <c r="EX11">
        <v>5.0751853468738756E-2</v>
      </c>
      <c r="EY11">
        <v>0.30612528347621509</v>
      </c>
      <c r="EZ11">
        <v>0.54118320667310882</v>
      </c>
      <c r="FA11">
        <v>0.62548986813098939</v>
      </c>
      <c r="FB11">
        <v>0.55413250307546369</v>
      </c>
      <c r="FC11">
        <v>0.34463936928708094</v>
      </c>
      <c r="FD11">
        <v>7.8863203681711985E-2</v>
      </c>
      <c r="FE11">
        <v>2.9651369687169223E-4</v>
      </c>
      <c r="FF11">
        <v>0</v>
      </c>
      <c r="FG11">
        <v>0</v>
      </c>
      <c r="FH11">
        <v>8.4834063514844359E-3</v>
      </c>
      <c r="FI11">
        <v>0.1888029845489696</v>
      </c>
      <c r="FJ11">
        <v>0.41306927987187902</v>
      </c>
      <c r="FK11">
        <v>0.48462686698200336</v>
      </c>
      <c r="FL11">
        <v>0.38705674476730723</v>
      </c>
      <c r="FM11">
        <v>0.16409468061059318</v>
      </c>
      <c r="FN11">
        <v>9.059391956212054E-3</v>
      </c>
      <c r="FO11">
        <v>0</v>
      </c>
      <c r="FQ11" t="s">
        <v>750</v>
      </c>
      <c r="FR11" t="s">
        <v>127</v>
      </c>
      <c r="FS11" t="s">
        <v>128</v>
      </c>
      <c r="FT11">
        <v>0.49046057745315291</v>
      </c>
    </row>
    <row r="12" spans="2:176" x14ac:dyDescent="0.45">
      <c r="B12" t="s">
        <v>751</v>
      </c>
      <c r="C12" t="s">
        <v>123</v>
      </c>
      <c r="D12">
        <v>0</v>
      </c>
      <c r="E12">
        <v>0</v>
      </c>
      <c r="F12">
        <v>0</v>
      </c>
      <c r="G12">
        <v>0.5155803001147814</v>
      </c>
      <c r="H12">
        <v>0.2224471089473799</v>
      </c>
      <c r="I12">
        <v>0.18039850293753187</v>
      </c>
      <c r="J12">
        <v>0.20712840434144505</v>
      </c>
      <c r="K12">
        <v>0.32126917362407642</v>
      </c>
      <c r="L12">
        <v>0.89181052077367762</v>
      </c>
      <c r="M12">
        <v>0</v>
      </c>
      <c r="N12">
        <v>0</v>
      </c>
      <c r="O12">
        <v>0</v>
      </c>
      <c r="P12">
        <v>0.5807508595069284</v>
      </c>
      <c r="Q12">
        <v>0.24547368097370337</v>
      </c>
      <c r="R12">
        <v>0.16215567069812825</v>
      </c>
      <c r="S12">
        <v>0.14104146022372721</v>
      </c>
      <c r="T12">
        <v>0.14985342164796264</v>
      </c>
      <c r="U12">
        <v>0.19737222634614668</v>
      </c>
      <c r="V12">
        <v>0.44687052112644166</v>
      </c>
      <c r="W12">
        <v>0.97417700827036269</v>
      </c>
      <c r="X12">
        <v>0</v>
      </c>
      <c r="Y12">
        <v>0</v>
      </c>
      <c r="Z12">
        <v>0.3951121993843269</v>
      </c>
      <c r="AA12">
        <v>0.15533422108363379</v>
      </c>
      <c r="AB12">
        <v>8.3434027865270946E-2</v>
      </c>
      <c r="AC12">
        <v>7.9123566138211809E-2</v>
      </c>
      <c r="AD12">
        <v>9.2795941876461827E-2</v>
      </c>
      <c r="AE12">
        <v>0.12369709690562672</v>
      </c>
      <c r="AF12">
        <v>0.3479697705972698</v>
      </c>
      <c r="AG12">
        <v>0.80592417912924696</v>
      </c>
      <c r="AH12">
        <v>0</v>
      </c>
      <c r="AI12">
        <v>0</v>
      </c>
      <c r="AJ12">
        <v>0.77843366010910586</v>
      </c>
      <c r="AK12">
        <v>0.31615012649669644</v>
      </c>
      <c r="AL12">
        <v>0.1980711182668185</v>
      </c>
      <c r="AM12">
        <v>0.17952215470051122</v>
      </c>
      <c r="AN12">
        <v>0.21438980457032922</v>
      </c>
      <c r="AO12">
        <v>0.30108322912550589</v>
      </c>
      <c r="AP12">
        <v>0.77542486795151722</v>
      </c>
      <c r="AQ12">
        <v>0</v>
      </c>
      <c r="AS12" t="s">
        <v>130</v>
      </c>
      <c r="AT12" t="s">
        <v>125</v>
      </c>
      <c r="AU12">
        <v>7.4309018661874115E-4</v>
      </c>
      <c r="AV12">
        <v>5.5439200753915167E-3</v>
      </c>
      <c r="AW12">
        <v>0</v>
      </c>
      <c r="AX12">
        <v>0</v>
      </c>
      <c r="AY12">
        <v>4.83673169798698E-4</v>
      </c>
      <c r="AZ12">
        <v>4.1110147635222728E-3</v>
      </c>
      <c r="BA12">
        <v>5.5696489911264031E-3</v>
      </c>
      <c r="BB12">
        <v>6.3147695338572687E-3</v>
      </c>
      <c r="BC12">
        <v>6.7748162354567152E-3</v>
      </c>
      <c r="BD12">
        <v>4.076055013808054E-3</v>
      </c>
      <c r="BE12">
        <v>9.6849051911244727E-4</v>
      </c>
      <c r="BF12">
        <v>0</v>
      </c>
      <c r="BG12">
        <v>4.1342704737332529E-5</v>
      </c>
      <c r="BH12">
        <v>3.4330149143228825E-3</v>
      </c>
      <c r="BI12">
        <v>2.9946940183821517E-3</v>
      </c>
      <c r="BJ12">
        <v>3.2192074436653475E-3</v>
      </c>
      <c r="BK12">
        <v>2.4691306759560667E-3</v>
      </c>
      <c r="BL12">
        <v>1.6211806136452781E-3</v>
      </c>
      <c r="BM12">
        <v>4.4413457601184831E-3</v>
      </c>
      <c r="BN12">
        <v>2.8243304959945838E-3</v>
      </c>
      <c r="BO12">
        <v>2.7156365727248191E-2</v>
      </c>
      <c r="BP12">
        <v>4.7159045464142818E-3</v>
      </c>
      <c r="BQ12">
        <v>1.9035119187627218E-3</v>
      </c>
      <c r="BR12">
        <v>9.7857924329808887E-3</v>
      </c>
      <c r="BS12">
        <v>1.2680775226235725E-2</v>
      </c>
      <c r="BT12">
        <v>2.4686428804811891E-2</v>
      </c>
      <c r="BU12">
        <v>1.7210599757324588E-2</v>
      </c>
      <c r="BV12">
        <v>6.7832649278063463E-3</v>
      </c>
      <c r="BW12">
        <v>2.2137924866144948E-3</v>
      </c>
      <c r="BX12">
        <v>9.3001997467877743E-3</v>
      </c>
      <c r="BY12">
        <v>6.3767117741665644E-3</v>
      </c>
      <c r="BZ12">
        <v>0</v>
      </c>
      <c r="CA12">
        <v>0</v>
      </c>
      <c r="CB12">
        <v>1.6954169497990417E-3</v>
      </c>
      <c r="CC12">
        <v>6.2682646739718713E-3</v>
      </c>
      <c r="CD12">
        <v>3.4585486286600872E-3</v>
      </c>
      <c r="CE12">
        <v>1.8670823721917544E-3</v>
      </c>
      <c r="CF12">
        <v>0</v>
      </c>
      <c r="CG12">
        <v>0</v>
      </c>
      <c r="CH12">
        <v>1.5721646598589635E-3</v>
      </c>
      <c r="CJ12" t="s">
        <v>130</v>
      </c>
      <c r="CK12" t="s">
        <v>126</v>
      </c>
      <c r="CL12">
        <v>1.0213034502538543E-2</v>
      </c>
      <c r="CM12">
        <v>1.4594755718576097E-3</v>
      </c>
      <c r="CN12">
        <v>9.2694830130514629E-3</v>
      </c>
      <c r="CO12">
        <v>6.8505036344561118E-3</v>
      </c>
      <c r="CP12">
        <v>2.4812606314979077E-3</v>
      </c>
      <c r="CQ12">
        <v>0</v>
      </c>
      <c r="CR12">
        <v>5.9729260767850453E-3</v>
      </c>
      <c r="CS12">
        <v>1.5994991357751759E-2</v>
      </c>
      <c r="CT12">
        <v>2.5454305125443905E-2</v>
      </c>
      <c r="CU12">
        <v>2.652437369442541E-2</v>
      </c>
      <c r="CV12">
        <v>1.8524280422518226E-2</v>
      </c>
      <c r="CW12">
        <v>1.4152857147045816E-2</v>
      </c>
      <c r="CX12">
        <v>0</v>
      </c>
      <c r="CY12">
        <v>5.2012638744547695E-4</v>
      </c>
      <c r="CZ12">
        <v>3.2562595173831429E-3</v>
      </c>
      <c r="DA12">
        <v>2.341780767270631E-3</v>
      </c>
      <c r="DB12">
        <v>4.9010704377245419E-3</v>
      </c>
      <c r="DC12">
        <v>4.7030583752359269E-3</v>
      </c>
      <c r="DD12">
        <v>3.4137941410606479E-3</v>
      </c>
      <c r="DE12">
        <v>9.144572550289538E-3</v>
      </c>
      <c r="DF12">
        <v>1.2882126363848809E-2</v>
      </c>
      <c r="DG12">
        <v>3.7978840519115861E-2</v>
      </c>
      <c r="DH12">
        <v>4.7332456576044658E-2</v>
      </c>
      <c r="DI12">
        <v>4.133279209973903E-2</v>
      </c>
      <c r="DJ12">
        <v>1.8823994408372045E-2</v>
      </c>
      <c r="DK12">
        <v>2.0740532464739784E-2</v>
      </c>
      <c r="DL12">
        <v>2.1533717303553801E-2</v>
      </c>
      <c r="DM12">
        <v>2.4223278144397342E-2</v>
      </c>
      <c r="DN12">
        <v>2.0377220804042598E-2</v>
      </c>
      <c r="DO12">
        <v>1.711089140078002E-2</v>
      </c>
      <c r="DP12">
        <v>4.9798194807028863E-3</v>
      </c>
      <c r="DQ12">
        <v>1.7865957346129113E-2</v>
      </c>
      <c r="DR12">
        <v>1.3439034956668443E-2</v>
      </c>
      <c r="DS12">
        <v>9.0319159819138798E-3</v>
      </c>
      <c r="DT12">
        <v>0</v>
      </c>
      <c r="DU12">
        <v>1.0104155915770029E-2</v>
      </c>
      <c r="DV12">
        <v>1.3532166172834233E-2</v>
      </c>
      <c r="DW12">
        <v>1.854722564565087E-2</v>
      </c>
      <c r="DX12">
        <v>3.3570953550218939E-3</v>
      </c>
      <c r="DY12">
        <v>0</v>
      </c>
      <c r="EA12" t="s">
        <v>751</v>
      </c>
      <c r="EB12">
        <v>0</v>
      </c>
      <c r="EC12">
        <v>0</v>
      </c>
      <c r="ED12">
        <v>0</v>
      </c>
      <c r="EE12">
        <v>5.8388822230560876E-2</v>
      </c>
      <c r="EF12">
        <v>0.28318656810225284</v>
      </c>
      <c r="EG12">
        <v>0.40417393730191137</v>
      </c>
      <c r="EH12">
        <v>0.34773674633512208</v>
      </c>
      <c r="EI12">
        <v>0.14336995334693545</v>
      </c>
      <c r="EJ12">
        <v>3.6039443549497749E-3</v>
      </c>
      <c r="EK12">
        <v>0</v>
      </c>
      <c r="EL12">
        <v>0</v>
      </c>
      <c r="EM12">
        <v>0</v>
      </c>
      <c r="EN12">
        <v>2.181493523087678E-2</v>
      </c>
      <c r="EO12">
        <v>0.20554379791651395</v>
      </c>
      <c r="EP12">
        <v>0.42776672989643794</v>
      </c>
      <c r="EQ12">
        <v>0.53119860330021107</v>
      </c>
      <c r="ER12">
        <v>0.47124601423141887</v>
      </c>
      <c r="ES12">
        <v>0.27433206490327494</v>
      </c>
      <c r="ET12">
        <v>5.1192246288027522E-2</v>
      </c>
      <c r="EU12">
        <v>1.6156103611854755E-5</v>
      </c>
      <c r="EV12">
        <v>0</v>
      </c>
      <c r="EW12">
        <v>0</v>
      </c>
      <c r="EX12">
        <v>4.2685058495702068E-2</v>
      </c>
      <c r="EY12">
        <v>0.29850573256046442</v>
      </c>
      <c r="EZ12">
        <v>0.5554023289383434</v>
      </c>
      <c r="FA12">
        <v>0.6483234049046207</v>
      </c>
      <c r="FB12">
        <v>0.5758769834882671</v>
      </c>
      <c r="FC12">
        <v>0.3651815308621964</v>
      </c>
      <c r="FD12">
        <v>9.2202294182236494E-2</v>
      </c>
      <c r="FE12">
        <v>6.6013398754990386E-4</v>
      </c>
      <c r="FF12">
        <v>0</v>
      </c>
      <c r="FG12">
        <v>0</v>
      </c>
      <c r="FH12">
        <v>4.9905343549020726E-3</v>
      </c>
      <c r="FI12">
        <v>0.15318658396802548</v>
      </c>
      <c r="FJ12">
        <v>0.3815951397622207</v>
      </c>
      <c r="FK12">
        <v>0.46470573681083144</v>
      </c>
      <c r="FL12">
        <v>0.37774526542968684</v>
      </c>
      <c r="FM12">
        <v>0.17725983605949922</v>
      </c>
      <c r="FN12">
        <v>1.2826274833171038E-2</v>
      </c>
      <c r="FO12">
        <v>0</v>
      </c>
      <c r="FQ12" t="s">
        <v>751</v>
      </c>
      <c r="FR12" t="s">
        <v>127</v>
      </c>
      <c r="FS12" t="s">
        <v>128</v>
      </c>
      <c r="FT12">
        <v>0.48794208122372096</v>
      </c>
    </row>
    <row r="13" spans="2:176" x14ac:dyDescent="0.45">
      <c r="B13" t="s">
        <v>752</v>
      </c>
      <c r="C13" t="s">
        <v>123</v>
      </c>
      <c r="D13">
        <v>0</v>
      </c>
      <c r="E13">
        <v>0</v>
      </c>
      <c r="F13">
        <v>0</v>
      </c>
      <c r="G13">
        <v>0.51686941224775407</v>
      </c>
      <c r="H13">
        <v>0.22837427153211864</v>
      </c>
      <c r="I13">
        <v>0.18218182419294415</v>
      </c>
      <c r="J13">
        <v>0.19817994352516363</v>
      </c>
      <c r="K13">
        <v>0.3490893047163558</v>
      </c>
      <c r="L13">
        <v>0.89838651976930928</v>
      </c>
      <c r="M13">
        <v>0</v>
      </c>
      <c r="N13">
        <v>0</v>
      </c>
      <c r="O13">
        <v>0</v>
      </c>
      <c r="P13">
        <v>0.57040212724965111</v>
      </c>
      <c r="Q13">
        <v>0.24895860348468146</v>
      </c>
      <c r="R13">
        <v>0.17417351155913222</v>
      </c>
      <c r="S13">
        <v>0.15497667548629152</v>
      </c>
      <c r="T13">
        <v>0.15983173302431461</v>
      </c>
      <c r="U13">
        <v>0.19649428134372504</v>
      </c>
      <c r="V13">
        <v>0.44751575393035098</v>
      </c>
      <c r="W13">
        <v>0.97252122394351914</v>
      </c>
      <c r="X13">
        <v>0</v>
      </c>
      <c r="Y13">
        <v>0</v>
      </c>
      <c r="Z13">
        <v>0.40464256839800067</v>
      </c>
      <c r="AA13">
        <v>0.17453687241893559</v>
      </c>
      <c r="AB13">
        <v>0.12395140139246127</v>
      </c>
      <c r="AC13">
        <v>0.11420612667656252</v>
      </c>
      <c r="AD13">
        <v>0.12326415978836128</v>
      </c>
      <c r="AE13">
        <v>0.14155305933283105</v>
      </c>
      <c r="AF13">
        <v>0.35645958961310675</v>
      </c>
      <c r="AG13">
        <v>0.81325779156561606</v>
      </c>
      <c r="AH13">
        <v>0</v>
      </c>
      <c r="AI13">
        <v>0</v>
      </c>
      <c r="AJ13">
        <v>0.77789886396017505</v>
      </c>
      <c r="AK13">
        <v>0.32847723641216348</v>
      </c>
      <c r="AL13">
        <v>0.21551314286420456</v>
      </c>
      <c r="AM13">
        <v>0.2021862124433064</v>
      </c>
      <c r="AN13">
        <v>0.23071894646007529</v>
      </c>
      <c r="AO13">
        <v>0.32223442499057975</v>
      </c>
      <c r="AP13">
        <v>0.77988491082553346</v>
      </c>
      <c r="AQ13">
        <v>0</v>
      </c>
      <c r="AS13" t="s">
        <v>132</v>
      </c>
      <c r="AT13" t="s">
        <v>125</v>
      </c>
      <c r="AU13">
        <v>0</v>
      </c>
      <c r="AV13">
        <v>0</v>
      </c>
      <c r="AW13">
        <v>1.4162272022592002E-3</v>
      </c>
      <c r="AX13">
        <v>1.4434205776813671E-3</v>
      </c>
      <c r="AY13">
        <v>4.0093340560723971E-4</v>
      </c>
      <c r="AZ13">
        <v>2.632087471828479E-3</v>
      </c>
      <c r="BA13">
        <v>5.1459698613335757E-4</v>
      </c>
      <c r="BB13">
        <v>2.3683694444648819E-3</v>
      </c>
      <c r="BC13">
        <v>2.239954629284906E-3</v>
      </c>
      <c r="BD13">
        <v>1.6955863783803314E-4</v>
      </c>
      <c r="BE13">
        <v>1.1729954342506072E-4</v>
      </c>
      <c r="BF13">
        <v>7.1001545634105634E-4</v>
      </c>
      <c r="BG13">
        <v>1.8722775834391172E-3</v>
      </c>
      <c r="BH13">
        <v>5.36478742440092E-5</v>
      </c>
      <c r="BI13">
        <v>3.245230790257405E-4</v>
      </c>
      <c r="BJ13">
        <v>8.5677592238354088E-5</v>
      </c>
      <c r="BK13">
        <v>6.4264263011017022E-4</v>
      </c>
      <c r="BL13">
        <v>2.1358975031897857E-3</v>
      </c>
      <c r="BM13">
        <v>1.1032031965492713E-3</v>
      </c>
      <c r="BN13">
        <v>0</v>
      </c>
      <c r="BO13">
        <v>4.1945559956981203E-3</v>
      </c>
      <c r="BP13">
        <v>0</v>
      </c>
      <c r="BQ13">
        <v>0</v>
      </c>
      <c r="BR13">
        <v>1.9437695565624354E-3</v>
      </c>
      <c r="BS13">
        <v>0</v>
      </c>
      <c r="BT13">
        <v>1.2043347661720469E-3</v>
      </c>
      <c r="BU13">
        <v>1.5091043892304424E-3</v>
      </c>
      <c r="BV13">
        <v>2.3194722199781589E-3</v>
      </c>
      <c r="BW13">
        <v>3.3673491367810696E-4</v>
      </c>
      <c r="BX13">
        <v>0</v>
      </c>
      <c r="BY13">
        <v>1.7441070817810511E-4</v>
      </c>
      <c r="BZ13">
        <v>1.4161730364428413E-3</v>
      </c>
      <c r="CA13">
        <v>0</v>
      </c>
      <c r="CB13">
        <v>0</v>
      </c>
      <c r="CC13">
        <v>1.8032762153478234E-4</v>
      </c>
      <c r="CD13">
        <v>7.4974043456143758E-5</v>
      </c>
      <c r="CE13">
        <v>0</v>
      </c>
      <c r="CF13">
        <v>0</v>
      </c>
      <c r="CG13">
        <v>0</v>
      </c>
      <c r="CH13">
        <v>0</v>
      </c>
      <c r="CJ13" t="s">
        <v>132</v>
      </c>
      <c r="CK13" t="s">
        <v>126</v>
      </c>
      <c r="CL13">
        <v>3.5993383837955766E-3</v>
      </c>
      <c r="CM13">
        <v>1.8005261352173946E-3</v>
      </c>
      <c r="CN13">
        <v>1.135392073576979E-3</v>
      </c>
      <c r="CO13">
        <v>1.4886016370252461E-3</v>
      </c>
      <c r="CP13">
        <v>2.835133632071492E-3</v>
      </c>
      <c r="CQ13">
        <v>4.2482974585858497E-3</v>
      </c>
      <c r="CR13">
        <v>8.536612573776043E-3</v>
      </c>
      <c r="CS13">
        <v>9.4452994400643329E-3</v>
      </c>
      <c r="CT13">
        <v>7.9061460076949447E-3</v>
      </c>
      <c r="CU13">
        <v>1.0019496944020502E-2</v>
      </c>
      <c r="CV13">
        <v>2.3390975703608896E-3</v>
      </c>
      <c r="CW13">
        <v>1.4929608748427757E-3</v>
      </c>
      <c r="CX13">
        <v>3.1979868908655136E-3</v>
      </c>
      <c r="CY13">
        <v>7.6521432802534751E-3</v>
      </c>
      <c r="CZ13">
        <v>7.7503792727545984E-3</v>
      </c>
      <c r="DA13">
        <v>8.3216271871133438E-3</v>
      </c>
      <c r="DB13">
        <v>2.6859676277383258E-3</v>
      </c>
      <c r="DC13">
        <v>7.3586385949470949E-3</v>
      </c>
      <c r="DD13">
        <v>1.0643824317371214E-2</v>
      </c>
      <c r="DE13">
        <v>9.0039492289723088E-3</v>
      </c>
      <c r="DF13">
        <v>2.0541569095118319E-3</v>
      </c>
      <c r="DG13">
        <v>7.8810757346350693E-3</v>
      </c>
      <c r="DH13">
        <v>5.1645299991467672E-3</v>
      </c>
      <c r="DI13">
        <v>2.6895069976753819E-3</v>
      </c>
      <c r="DJ13">
        <v>5.5219264555718952E-3</v>
      </c>
      <c r="DK13">
        <v>7.1684269069166671E-3</v>
      </c>
      <c r="DL13">
        <v>5.2568551899497508E-3</v>
      </c>
      <c r="DM13">
        <v>2.2758688424282859E-3</v>
      </c>
      <c r="DN13">
        <v>5.5348409891289307E-3</v>
      </c>
      <c r="DO13">
        <v>5.4762404063390686E-3</v>
      </c>
      <c r="DP13">
        <v>4.260840266307676E-4</v>
      </c>
      <c r="DQ13">
        <v>1.848354318232608E-3</v>
      </c>
      <c r="DR13">
        <v>6.8861805765064081E-3</v>
      </c>
      <c r="DS13">
        <v>5.2340150803722998E-3</v>
      </c>
      <c r="DT13">
        <v>3.5870640980437135E-4</v>
      </c>
      <c r="DU13">
        <v>1.951002048268097E-4</v>
      </c>
      <c r="DV13">
        <v>9.969820075206449E-4</v>
      </c>
      <c r="DW13">
        <v>3.9855002632280612E-3</v>
      </c>
      <c r="DX13">
        <v>4.1014238802834167E-4</v>
      </c>
      <c r="DY13">
        <v>1.6026967246857884E-3</v>
      </c>
      <c r="EA13" t="s">
        <v>752</v>
      </c>
      <c r="EB13">
        <v>0</v>
      </c>
      <c r="EC13">
        <v>0</v>
      </c>
      <c r="ED13">
        <v>0</v>
      </c>
      <c r="EE13">
        <v>5.480008285183096E-2</v>
      </c>
      <c r="EF13">
        <v>0.27282154879522402</v>
      </c>
      <c r="EG13">
        <v>0.39776880110782281</v>
      </c>
      <c r="EH13">
        <v>0.33209969543225532</v>
      </c>
      <c r="EI13">
        <v>0.12392227657441789</v>
      </c>
      <c r="EJ13">
        <v>2.576164456461783E-3</v>
      </c>
      <c r="EK13">
        <v>0</v>
      </c>
      <c r="EL13">
        <v>0</v>
      </c>
      <c r="EM13">
        <v>0</v>
      </c>
      <c r="EN13">
        <v>2.128670688508295E-2</v>
      </c>
      <c r="EO13">
        <v>0.19896075709499031</v>
      </c>
      <c r="EP13">
        <v>0.41394945721784482</v>
      </c>
      <c r="EQ13">
        <v>0.51252773207862601</v>
      </c>
      <c r="ER13">
        <v>0.4528830090007378</v>
      </c>
      <c r="ES13">
        <v>0.25843829537313245</v>
      </c>
      <c r="ET13">
        <v>4.5445877642028447E-2</v>
      </c>
      <c r="EU13">
        <v>9.4194424227976474E-6</v>
      </c>
      <c r="EV13">
        <v>0</v>
      </c>
      <c r="EW13">
        <v>0</v>
      </c>
      <c r="EX13">
        <v>4.0168935625005571E-2</v>
      </c>
      <c r="EY13">
        <v>0.267963899824948</v>
      </c>
      <c r="EZ13">
        <v>0.50174423734718865</v>
      </c>
      <c r="FA13">
        <v>0.59188657177077686</v>
      </c>
      <c r="FB13">
        <v>0.53056264531113395</v>
      </c>
      <c r="FC13">
        <v>0.34096760956804967</v>
      </c>
      <c r="FD13">
        <v>8.3990802716603474E-2</v>
      </c>
      <c r="FE13">
        <v>5.5177883337354666E-4</v>
      </c>
      <c r="FF13">
        <v>0</v>
      </c>
      <c r="FG13">
        <v>0</v>
      </c>
      <c r="FH13">
        <v>4.9219104829475186E-3</v>
      </c>
      <c r="FI13">
        <v>0.15030410844504441</v>
      </c>
      <c r="FJ13">
        <v>0.3602588925923173</v>
      </c>
      <c r="FK13">
        <v>0.42263724635223621</v>
      </c>
      <c r="FL13">
        <v>0.33379068785506055</v>
      </c>
      <c r="FM13">
        <v>0.15314757220185435</v>
      </c>
      <c r="FN13">
        <v>1.0220293592013084E-2</v>
      </c>
      <c r="FO13">
        <v>0</v>
      </c>
      <c r="FQ13" t="s">
        <v>752</v>
      </c>
      <c r="FR13" t="s">
        <v>127</v>
      </c>
      <c r="FS13" t="s">
        <v>128</v>
      </c>
      <c r="FT13">
        <v>0.45555391385552835</v>
      </c>
    </row>
    <row r="14" spans="2:176" x14ac:dyDescent="0.45">
      <c r="B14" t="s">
        <v>753</v>
      </c>
      <c r="C14" t="s">
        <v>123</v>
      </c>
      <c r="D14">
        <v>0</v>
      </c>
      <c r="E14">
        <v>0</v>
      </c>
      <c r="F14">
        <v>0</v>
      </c>
      <c r="G14">
        <v>0.59259208094345861</v>
      </c>
      <c r="H14">
        <v>0.30508918846244465</v>
      </c>
      <c r="I14">
        <v>0.25730667906792315</v>
      </c>
      <c r="J14">
        <v>0.25469815463683582</v>
      </c>
      <c r="K14">
        <v>0.30275715369089851</v>
      </c>
      <c r="L14">
        <v>0.83687468377562813</v>
      </c>
      <c r="M14">
        <v>0</v>
      </c>
      <c r="N14">
        <v>0</v>
      </c>
      <c r="O14">
        <v>0</v>
      </c>
      <c r="P14">
        <v>0.66359109328131372</v>
      </c>
      <c r="Q14">
        <v>0.28137140701198865</v>
      </c>
      <c r="R14">
        <v>0.18805733523271392</v>
      </c>
      <c r="S14">
        <v>0.16333559596303501</v>
      </c>
      <c r="T14">
        <v>0.16323280825856934</v>
      </c>
      <c r="U14">
        <v>0.18040347369408541</v>
      </c>
      <c r="V14">
        <v>0.38818209440495161</v>
      </c>
      <c r="W14">
        <v>0.91445626824109771</v>
      </c>
      <c r="X14">
        <v>0</v>
      </c>
      <c r="Y14">
        <v>0</v>
      </c>
      <c r="Z14">
        <v>0.43231741868372331</v>
      </c>
      <c r="AA14">
        <v>0.17591401459796177</v>
      </c>
      <c r="AB14">
        <v>9.1561671196948136E-2</v>
      </c>
      <c r="AC14">
        <v>8.7869469719916757E-2</v>
      </c>
      <c r="AD14">
        <v>9.3355510341822906E-2</v>
      </c>
      <c r="AE14">
        <v>0.11186491074058326</v>
      </c>
      <c r="AF14">
        <v>0.28304695597387475</v>
      </c>
      <c r="AG14">
        <v>0.7490496838634928</v>
      </c>
      <c r="AH14">
        <v>0</v>
      </c>
      <c r="AI14">
        <v>0</v>
      </c>
      <c r="AJ14">
        <v>0.861522626172606</v>
      </c>
      <c r="AK14">
        <v>0.35900962286402027</v>
      </c>
      <c r="AL14">
        <v>0.19448041790752996</v>
      </c>
      <c r="AM14">
        <v>0.17051440636281032</v>
      </c>
      <c r="AN14">
        <v>0.18672630918569469</v>
      </c>
      <c r="AO14">
        <v>0.27196407962068131</v>
      </c>
      <c r="AP14">
        <v>0.71762839729945516</v>
      </c>
      <c r="AQ14">
        <v>0</v>
      </c>
      <c r="EA14" t="s">
        <v>753</v>
      </c>
      <c r="EB14">
        <v>0</v>
      </c>
      <c r="EC14">
        <v>0</v>
      </c>
      <c r="ED14">
        <v>0</v>
      </c>
      <c r="EE14">
        <v>3.7560865604673831E-2</v>
      </c>
      <c r="EF14">
        <v>0.22805715142301564</v>
      </c>
      <c r="EG14">
        <v>0.3568908261443719</v>
      </c>
      <c r="EH14">
        <v>0.31281053469028147</v>
      </c>
      <c r="EI14">
        <v>0.14732517159567085</v>
      </c>
      <c r="EJ14">
        <v>7.486641587727003E-3</v>
      </c>
      <c r="EK14">
        <v>0</v>
      </c>
      <c r="EL14">
        <v>0</v>
      </c>
      <c r="EM14">
        <v>0</v>
      </c>
      <c r="EN14">
        <v>1.2413660128209787E-2</v>
      </c>
      <c r="EO14">
        <v>0.17489371054070044</v>
      </c>
      <c r="EP14">
        <v>0.39994836897529928</v>
      </c>
      <c r="EQ14">
        <v>0.52270205840732853</v>
      </c>
      <c r="ER14">
        <v>0.48467833470713989</v>
      </c>
      <c r="ES14">
        <v>0.31293987059120132</v>
      </c>
      <c r="ET14">
        <v>7.8961543304350346E-2</v>
      </c>
      <c r="EU14">
        <v>3.4284050032955916E-4</v>
      </c>
      <c r="EV14">
        <v>0</v>
      </c>
      <c r="EW14">
        <v>0</v>
      </c>
      <c r="EX14">
        <v>2.2624832360241279E-2</v>
      </c>
      <c r="EY14">
        <v>0.24845842493803014</v>
      </c>
      <c r="EZ14">
        <v>0.51663635914875317</v>
      </c>
      <c r="FA14">
        <v>0.63779203523145844</v>
      </c>
      <c r="FB14">
        <v>0.60121653590247071</v>
      </c>
      <c r="FC14">
        <v>0.41887233670974572</v>
      </c>
      <c r="FD14">
        <v>0.13325913644742857</v>
      </c>
      <c r="FE14">
        <v>2.2138713276853616E-3</v>
      </c>
      <c r="FF14">
        <v>0</v>
      </c>
      <c r="FG14">
        <v>0</v>
      </c>
      <c r="FH14">
        <v>1.0760082013915786E-3</v>
      </c>
      <c r="FI14">
        <v>0.11977163921848424</v>
      </c>
      <c r="FJ14">
        <v>0.36167291035950005</v>
      </c>
      <c r="FK14">
        <v>0.47381355569639927</v>
      </c>
      <c r="FL14">
        <v>0.41374643218951002</v>
      </c>
      <c r="FM14">
        <v>0.21801078728387274</v>
      </c>
      <c r="FN14">
        <v>2.2554396113388515E-2</v>
      </c>
      <c r="FO14">
        <v>0</v>
      </c>
      <c r="FQ14" t="s">
        <v>753</v>
      </c>
      <c r="FR14" t="s">
        <v>127</v>
      </c>
      <c r="FS14" t="s">
        <v>128</v>
      </c>
      <c r="FT14">
        <v>0.47361207757737506</v>
      </c>
    </row>
    <row r="15" spans="2:176" x14ac:dyDescent="0.45">
      <c r="B15" t="s">
        <v>754</v>
      </c>
      <c r="C15" t="s">
        <v>123</v>
      </c>
      <c r="D15">
        <v>0</v>
      </c>
      <c r="E15">
        <v>0</v>
      </c>
      <c r="F15">
        <v>0</v>
      </c>
      <c r="G15">
        <v>0.49445401502774522</v>
      </c>
      <c r="H15">
        <v>0.19379245825708236</v>
      </c>
      <c r="I15">
        <v>0.17386585404383204</v>
      </c>
      <c r="J15">
        <v>0.18529243070114287</v>
      </c>
      <c r="K15">
        <v>0.28038501746589217</v>
      </c>
      <c r="L15">
        <v>0.87120381702842187</v>
      </c>
      <c r="M15">
        <v>0</v>
      </c>
      <c r="N15">
        <v>0</v>
      </c>
      <c r="O15">
        <v>0</v>
      </c>
      <c r="P15">
        <v>0.57879896484875593</v>
      </c>
      <c r="Q15">
        <v>0.23312660154633888</v>
      </c>
      <c r="R15">
        <v>0.14592178016573842</v>
      </c>
      <c r="S15">
        <v>0.12649217777821239</v>
      </c>
      <c r="T15">
        <v>0.15152046792402832</v>
      </c>
      <c r="U15">
        <v>0.190942686738345</v>
      </c>
      <c r="V15">
        <v>0.45342107325200115</v>
      </c>
      <c r="W15">
        <v>0.99275362318840588</v>
      </c>
      <c r="X15">
        <v>0</v>
      </c>
      <c r="Y15">
        <v>0</v>
      </c>
      <c r="Z15">
        <v>0.39728141618839602</v>
      </c>
      <c r="AA15">
        <v>0.13008064624488164</v>
      </c>
      <c r="AB15">
        <v>5.1145765861352326E-2</v>
      </c>
      <c r="AC15">
        <v>4.3659313404134301E-2</v>
      </c>
      <c r="AD15">
        <v>6.5104869055732276E-2</v>
      </c>
      <c r="AE15">
        <v>0.10635532258128179</v>
      </c>
      <c r="AF15">
        <v>0.35173256213594178</v>
      </c>
      <c r="AG15">
        <v>0.81152176302559753</v>
      </c>
      <c r="AH15">
        <v>0</v>
      </c>
      <c r="AI15">
        <v>0</v>
      </c>
      <c r="AJ15">
        <v>0.77510243467641482</v>
      </c>
      <c r="AK15">
        <v>0.27381944689134002</v>
      </c>
      <c r="AL15">
        <v>0.17065700075117787</v>
      </c>
      <c r="AM15">
        <v>0.1484702880118654</v>
      </c>
      <c r="AN15">
        <v>0.16901360001826371</v>
      </c>
      <c r="AO15">
        <v>0.27006150195265022</v>
      </c>
      <c r="AP15">
        <v>0.7729147906687085</v>
      </c>
      <c r="AQ15">
        <v>0</v>
      </c>
      <c r="EA15" t="s">
        <v>754</v>
      </c>
      <c r="EB15">
        <v>0</v>
      </c>
      <c r="EC15">
        <v>0</v>
      </c>
      <c r="ED15">
        <v>0</v>
      </c>
      <c r="EE15">
        <v>8.2461779893875292E-2</v>
      </c>
      <c r="EF15">
        <v>0.34985735360823522</v>
      </c>
      <c r="EG15">
        <v>0.47249042225602284</v>
      </c>
      <c r="EH15">
        <v>0.40610903514708563</v>
      </c>
      <c r="EI15">
        <v>0.17466035301771657</v>
      </c>
      <c r="EJ15">
        <v>3.7474838542666039E-3</v>
      </c>
      <c r="EK15">
        <v>0</v>
      </c>
      <c r="EL15">
        <v>0</v>
      </c>
      <c r="EM15">
        <v>0</v>
      </c>
      <c r="EN15">
        <v>2.7132195032849679E-2</v>
      </c>
      <c r="EO15">
        <v>0.24580196757622089</v>
      </c>
      <c r="EP15">
        <v>0.4852990046161107</v>
      </c>
      <c r="EQ15">
        <v>0.57620317438320368</v>
      </c>
      <c r="ER15">
        <v>0.50013093767456407</v>
      </c>
      <c r="ES15">
        <v>0.29291091881563786</v>
      </c>
      <c r="ET15">
        <v>5.4574699524256053E-2</v>
      </c>
      <c r="EU15">
        <v>1.7602835673415776E-6</v>
      </c>
      <c r="EV15">
        <v>0</v>
      </c>
      <c r="EW15">
        <v>0</v>
      </c>
      <c r="EX15">
        <v>4.9090604412595579E-2</v>
      </c>
      <c r="EY15">
        <v>0.34185767268232742</v>
      </c>
      <c r="EZ15">
        <v>0.6014401197314182</v>
      </c>
      <c r="FA15">
        <v>0.69050547727576528</v>
      </c>
      <c r="FB15">
        <v>0.60381601001557039</v>
      </c>
      <c r="FC15">
        <v>0.38257558485351628</v>
      </c>
      <c r="FD15">
        <v>9.2391435522372251E-2</v>
      </c>
      <c r="FE15">
        <v>4.4448455011520679E-4</v>
      </c>
      <c r="FF15">
        <v>0</v>
      </c>
      <c r="FG15">
        <v>0</v>
      </c>
      <c r="FH15">
        <v>8.1566200540842005E-3</v>
      </c>
      <c r="FI15">
        <v>0.20380432322085823</v>
      </c>
      <c r="FJ15">
        <v>0.45787438989140067</v>
      </c>
      <c r="FK15">
        <v>0.5569634422827785</v>
      </c>
      <c r="FL15">
        <v>0.46337435606630967</v>
      </c>
      <c r="FM15">
        <v>0.21679881464154477</v>
      </c>
      <c r="FN15">
        <v>1.3735741673172085E-2</v>
      </c>
      <c r="FO15">
        <v>0</v>
      </c>
      <c r="FQ15" t="s">
        <v>754</v>
      </c>
      <c r="FR15" t="s">
        <v>127</v>
      </c>
      <c r="FS15" t="s">
        <v>128</v>
      </c>
      <c r="FT15">
        <v>0.52645218791176174</v>
      </c>
    </row>
    <row r="16" spans="2:176" x14ac:dyDescent="0.45">
      <c r="B16" t="s">
        <v>755</v>
      </c>
      <c r="C16" t="s">
        <v>123</v>
      </c>
      <c r="D16">
        <v>0</v>
      </c>
      <c r="E16">
        <v>0</v>
      </c>
      <c r="F16">
        <v>0</v>
      </c>
      <c r="G16">
        <v>0.51318540815449776</v>
      </c>
      <c r="H16">
        <v>0.20405438716177868</v>
      </c>
      <c r="I16">
        <v>0.16955691975944676</v>
      </c>
      <c r="J16">
        <v>0.18973939675231938</v>
      </c>
      <c r="K16">
        <v>0.27912311153820474</v>
      </c>
      <c r="L16">
        <v>0.86212226308425755</v>
      </c>
      <c r="M16">
        <v>0</v>
      </c>
      <c r="N16">
        <v>0</v>
      </c>
      <c r="O16">
        <v>0</v>
      </c>
      <c r="P16">
        <v>0.59975889089235923</v>
      </c>
      <c r="Q16">
        <v>0.24054043545904813</v>
      </c>
      <c r="R16">
        <v>0.15768514494380792</v>
      </c>
      <c r="S16">
        <v>0.14404129826561418</v>
      </c>
      <c r="T16">
        <v>0.15542117976977168</v>
      </c>
      <c r="U16">
        <v>0.18098485009396909</v>
      </c>
      <c r="V16">
        <v>0.44158344155362472</v>
      </c>
      <c r="W16">
        <v>0.96376811594202905</v>
      </c>
      <c r="X16">
        <v>0</v>
      </c>
      <c r="Y16">
        <v>0</v>
      </c>
      <c r="Z16">
        <v>0.40004117338606826</v>
      </c>
      <c r="AA16">
        <v>0.14037176536761287</v>
      </c>
      <c r="AB16">
        <v>5.6395055368430251E-2</v>
      </c>
      <c r="AC16">
        <v>4.140434285336024E-2</v>
      </c>
      <c r="AD16">
        <v>5.6762950964024436E-2</v>
      </c>
      <c r="AE16">
        <v>0.100986296419807</v>
      </c>
      <c r="AF16">
        <v>0.33358592849941737</v>
      </c>
      <c r="AG16">
        <v>0.78979900612661225</v>
      </c>
      <c r="AH16">
        <v>0</v>
      </c>
      <c r="AI16">
        <v>0</v>
      </c>
      <c r="AJ16">
        <v>0.80046186552568677</v>
      </c>
      <c r="AK16">
        <v>0.28926718531686035</v>
      </c>
      <c r="AL16">
        <v>0.17134818864633658</v>
      </c>
      <c r="AM16">
        <v>0.15002635750105908</v>
      </c>
      <c r="AN16">
        <v>0.18340382900622748</v>
      </c>
      <c r="AO16">
        <v>0.27907034154249671</v>
      </c>
      <c r="AP16">
        <v>0.76548372286138977</v>
      </c>
      <c r="AQ16">
        <v>0</v>
      </c>
      <c r="EA16" t="s">
        <v>755</v>
      </c>
      <c r="EB16">
        <v>0</v>
      </c>
      <c r="EC16">
        <v>0</v>
      </c>
      <c r="ED16">
        <v>0</v>
      </c>
      <c r="EE16">
        <v>6.7270202744142762E-2</v>
      </c>
      <c r="EF16">
        <v>0.31411681783799134</v>
      </c>
      <c r="EG16">
        <v>0.43723911428601059</v>
      </c>
      <c r="EH16">
        <v>0.37868952090849056</v>
      </c>
      <c r="EI16">
        <v>0.17259675422805856</v>
      </c>
      <c r="EJ16">
        <v>5.8247057666584385E-3</v>
      </c>
      <c r="EK16">
        <v>0</v>
      </c>
      <c r="EL16">
        <v>0</v>
      </c>
      <c r="EM16">
        <v>0</v>
      </c>
      <c r="EN16">
        <v>2.264201137248012E-2</v>
      </c>
      <c r="EO16">
        <v>0.23319812306452462</v>
      </c>
      <c r="EP16">
        <v>0.46630552377657108</v>
      </c>
      <c r="EQ16">
        <v>0.55929321656011399</v>
      </c>
      <c r="ER16">
        <v>0.49164499020825209</v>
      </c>
      <c r="ES16">
        <v>0.30095587432146265</v>
      </c>
      <c r="ET16">
        <v>6.0480703343704256E-2</v>
      </c>
      <c r="EU16">
        <v>3.4057387012944142E-5</v>
      </c>
      <c r="EV16">
        <v>0</v>
      </c>
      <c r="EW16">
        <v>0</v>
      </c>
      <c r="EX16">
        <v>4.1904947935719888E-2</v>
      </c>
      <c r="EY16">
        <v>0.32589379363395637</v>
      </c>
      <c r="EZ16">
        <v>0.59674617830351795</v>
      </c>
      <c r="FA16">
        <v>0.70206676167683046</v>
      </c>
      <c r="FB16">
        <v>0.63011039309482109</v>
      </c>
      <c r="FC16">
        <v>0.41185497755028821</v>
      </c>
      <c r="FD16">
        <v>0.10713695585183705</v>
      </c>
      <c r="FE16">
        <v>8.2622700456471451E-4</v>
      </c>
      <c r="FF16">
        <v>0</v>
      </c>
      <c r="FG16">
        <v>0</v>
      </c>
      <c r="FH16">
        <v>5.2303658169417103E-3</v>
      </c>
      <c r="FI16">
        <v>0.18436965213293777</v>
      </c>
      <c r="FJ16">
        <v>0.44418085269075902</v>
      </c>
      <c r="FK16">
        <v>0.54501142984865902</v>
      </c>
      <c r="FL16">
        <v>0.45036908752448301</v>
      </c>
      <c r="FM16">
        <v>0.22076268402849286</v>
      </c>
      <c r="FN16">
        <v>1.6722966413086428E-2</v>
      </c>
      <c r="FO16">
        <v>0</v>
      </c>
      <c r="FQ16" t="s">
        <v>755</v>
      </c>
      <c r="FR16" t="s">
        <v>127</v>
      </c>
      <c r="FS16" t="s">
        <v>128</v>
      </c>
      <c r="FT16">
        <v>0.50066122979087346</v>
      </c>
    </row>
    <row r="17" spans="2:176" x14ac:dyDescent="0.45">
      <c r="B17" t="s">
        <v>756</v>
      </c>
      <c r="C17" t="s">
        <v>123</v>
      </c>
      <c r="D17">
        <v>0</v>
      </c>
      <c r="E17">
        <v>0</v>
      </c>
      <c r="F17">
        <v>0</v>
      </c>
      <c r="G17">
        <v>0.5243102239426235</v>
      </c>
      <c r="H17">
        <v>0.20163734504881237</v>
      </c>
      <c r="I17">
        <v>0.16675959057912429</v>
      </c>
      <c r="J17">
        <v>0.20102344019213672</v>
      </c>
      <c r="K17">
        <v>0.29172208414099765</v>
      </c>
      <c r="L17">
        <v>0.86758418485582411</v>
      </c>
      <c r="M17">
        <v>0</v>
      </c>
      <c r="N17">
        <v>0</v>
      </c>
      <c r="O17">
        <v>0</v>
      </c>
      <c r="P17">
        <v>0.60070984255793147</v>
      </c>
      <c r="Q17">
        <v>0.24997225438620413</v>
      </c>
      <c r="R17">
        <v>0.15194261637142228</v>
      </c>
      <c r="S17">
        <v>0.13410120468665354</v>
      </c>
      <c r="T17">
        <v>0.13859319478553461</v>
      </c>
      <c r="U17">
        <v>0.17656712952148576</v>
      </c>
      <c r="V17">
        <v>0.42698081081370498</v>
      </c>
      <c r="W17">
        <v>0.93994885234031544</v>
      </c>
      <c r="X17">
        <v>0</v>
      </c>
      <c r="Y17">
        <v>0</v>
      </c>
      <c r="Z17">
        <v>0.39865464021564589</v>
      </c>
      <c r="AA17">
        <v>0.15494922382233775</v>
      </c>
      <c r="AB17">
        <v>8.1209623061963387E-2</v>
      </c>
      <c r="AC17">
        <v>7.2023172693798723E-2</v>
      </c>
      <c r="AD17">
        <v>8.9441481653811328E-2</v>
      </c>
      <c r="AE17">
        <v>0.12342493862665518</v>
      </c>
      <c r="AF17">
        <v>0.31575533963325025</v>
      </c>
      <c r="AG17">
        <v>0.77501104879687854</v>
      </c>
      <c r="AH17">
        <v>0</v>
      </c>
      <c r="AI17">
        <v>0</v>
      </c>
      <c r="AJ17">
        <v>0.80883893848281019</v>
      </c>
      <c r="AK17">
        <v>0.31167258803699111</v>
      </c>
      <c r="AL17">
        <v>0.18009549812975995</v>
      </c>
      <c r="AM17">
        <v>0.16333120304559812</v>
      </c>
      <c r="AN17">
        <v>0.18629327506874679</v>
      </c>
      <c r="AO17">
        <v>0.27665650155594335</v>
      </c>
      <c r="AP17">
        <v>0.75536243958721672</v>
      </c>
      <c r="AQ17">
        <v>0</v>
      </c>
      <c r="EA17" t="s">
        <v>756</v>
      </c>
      <c r="EB17">
        <v>0</v>
      </c>
      <c r="EC17">
        <v>0</v>
      </c>
      <c r="ED17">
        <v>0</v>
      </c>
      <c r="EE17">
        <v>5.4365855990597171E-2</v>
      </c>
      <c r="EF17">
        <v>0.28379848772961574</v>
      </c>
      <c r="EG17">
        <v>0.41000083870111248</v>
      </c>
      <c r="EH17">
        <v>0.35763626234059637</v>
      </c>
      <c r="EI17">
        <v>0.1591239999212069</v>
      </c>
      <c r="EJ17">
        <v>5.6108172447163866E-3</v>
      </c>
      <c r="EK17">
        <v>0</v>
      </c>
      <c r="EL17">
        <v>0</v>
      </c>
      <c r="EM17">
        <v>0</v>
      </c>
      <c r="EN17">
        <v>1.9578546780477095E-2</v>
      </c>
      <c r="EO17">
        <v>0.20416044007010709</v>
      </c>
      <c r="EP17">
        <v>0.43497397543885458</v>
      </c>
      <c r="EQ17">
        <v>0.53725627856480329</v>
      </c>
      <c r="ER17">
        <v>0.48832415709411486</v>
      </c>
      <c r="ES17">
        <v>0.2903342898854554</v>
      </c>
      <c r="ET17">
        <v>5.7834264544267724E-2</v>
      </c>
      <c r="EU17">
        <v>7.5709513301647202E-5</v>
      </c>
      <c r="EV17">
        <v>0</v>
      </c>
      <c r="EW17">
        <v>0</v>
      </c>
      <c r="EX17">
        <v>3.742911778397022E-2</v>
      </c>
      <c r="EY17">
        <v>0.29465858847270121</v>
      </c>
      <c r="EZ17">
        <v>0.55133298189785962</v>
      </c>
      <c r="FA17">
        <v>0.65544064773049149</v>
      </c>
      <c r="FB17">
        <v>0.58255347443523753</v>
      </c>
      <c r="FC17">
        <v>0.37209719672737052</v>
      </c>
      <c r="FD17">
        <v>9.9390876020704511E-2</v>
      </c>
      <c r="FE17">
        <v>1.0390662027925902E-3</v>
      </c>
      <c r="FF17">
        <v>0</v>
      </c>
      <c r="FG17">
        <v>0</v>
      </c>
      <c r="FH17">
        <v>3.6668779907805889E-3</v>
      </c>
      <c r="FI17">
        <v>0.15580208077674371</v>
      </c>
      <c r="FJ17">
        <v>0.39909226692799799</v>
      </c>
      <c r="FK17">
        <v>0.48493709526537765</v>
      </c>
      <c r="FL17">
        <v>0.40405356395999426</v>
      </c>
      <c r="FM17">
        <v>0.194317937173941</v>
      </c>
      <c r="FN17">
        <v>1.4857405181790295E-2</v>
      </c>
      <c r="FO17">
        <v>0</v>
      </c>
      <c r="FQ17" t="s">
        <v>756</v>
      </c>
      <c r="FR17" t="s">
        <v>127</v>
      </c>
      <c r="FS17" t="s">
        <v>128</v>
      </c>
      <c r="FT17">
        <v>0.46968897377665464</v>
      </c>
    </row>
    <row r="18" spans="2:176" x14ac:dyDescent="0.45">
      <c r="B18" t="s">
        <v>757</v>
      </c>
      <c r="C18" t="s">
        <v>123</v>
      </c>
      <c r="D18">
        <v>0</v>
      </c>
      <c r="E18">
        <v>0</v>
      </c>
      <c r="F18">
        <v>0</v>
      </c>
      <c r="G18">
        <v>0.55060805796247669</v>
      </c>
      <c r="H18">
        <v>0.2548347790200301</v>
      </c>
      <c r="I18">
        <v>0.22012423893134889</v>
      </c>
      <c r="J18">
        <v>0.22952629599548685</v>
      </c>
      <c r="K18">
        <v>0.30329426736961879</v>
      </c>
      <c r="L18">
        <v>0.85455785102928949</v>
      </c>
      <c r="M18">
        <v>0</v>
      </c>
      <c r="N18">
        <v>0</v>
      </c>
      <c r="O18">
        <v>0</v>
      </c>
      <c r="P18">
        <v>0.64328816468357719</v>
      </c>
      <c r="Q18">
        <v>0.27490837542183638</v>
      </c>
      <c r="R18">
        <v>0.17969642762520144</v>
      </c>
      <c r="S18">
        <v>0.158224345934869</v>
      </c>
      <c r="T18">
        <v>0.14829505693225539</v>
      </c>
      <c r="U18">
        <v>0.17969706664090598</v>
      </c>
      <c r="V18">
        <v>0.41547418086948018</v>
      </c>
      <c r="W18">
        <v>0.9279096072026306</v>
      </c>
      <c r="X18">
        <v>0</v>
      </c>
      <c r="Y18">
        <v>0</v>
      </c>
      <c r="Z18">
        <v>0.4117138279243967</v>
      </c>
      <c r="AA18">
        <v>0.1586065856597775</v>
      </c>
      <c r="AB18">
        <v>6.8913523699280166E-2</v>
      </c>
      <c r="AC18">
        <v>5.4036788830875454E-2</v>
      </c>
      <c r="AD18">
        <v>6.9236806038326604E-2</v>
      </c>
      <c r="AE18">
        <v>0.10295026345293512</v>
      </c>
      <c r="AF18">
        <v>0.29732250613324973</v>
      </c>
      <c r="AG18">
        <v>0.76147607868548006</v>
      </c>
      <c r="AH18">
        <v>0</v>
      </c>
      <c r="AI18">
        <v>0</v>
      </c>
      <c r="AJ18">
        <v>0.8467532356074341</v>
      </c>
      <c r="AK18">
        <v>0.32574227837873271</v>
      </c>
      <c r="AL18">
        <v>0.18209759671210712</v>
      </c>
      <c r="AM18">
        <v>0.16872083469861834</v>
      </c>
      <c r="AN18">
        <v>0.1811622518011094</v>
      </c>
      <c r="AO18">
        <v>0.27492639741443842</v>
      </c>
      <c r="AP18">
        <v>0.74890969946518415</v>
      </c>
      <c r="AQ18">
        <v>0</v>
      </c>
      <c r="EA18" t="s">
        <v>757</v>
      </c>
      <c r="EB18">
        <v>0</v>
      </c>
      <c r="EC18">
        <v>0</v>
      </c>
      <c r="ED18">
        <v>0</v>
      </c>
      <c r="EE18">
        <v>5.0143039886568923E-2</v>
      </c>
      <c r="EF18">
        <v>0.27067151831831149</v>
      </c>
      <c r="EG18">
        <v>0.40090133146605883</v>
      </c>
      <c r="EH18">
        <v>0.36091733065475062</v>
      </c>
      <c r="EI18">
        <v>0.16971251859168388</v>
      </c>
      <c r="EJ18">
        <v>8.1949897105739779E-3</v>
      </c>
      <c r="EK18">
        <v>0</v>
      </c>
      <c r="EL18">
        <v>0</v>
      </c>
      <c r="EM18">
        <v>0</v>
      </c>
      <c r="EN18">
        <v>1.6295221898171751E-2</v>
      </c>
      <c r="EO18">
        <v>0.20208271178077461</v>
      </c>
      <c r="EP18">
        <v>0.43793694052766624</v>
      </c>
      <c r="EQ18">
        <v>0.54669142018763883</v>
      </c>
      <c r="ER18">
        <v>0.50800000525950006</v>
      </c>
      <c r="ES18">
        <v>0.31299078763753874</v>
      </c>
      <c r="ET18">
        <v>7.170421846428264E-2</v>
      </c>
      <c r="EU18">
        <v>1.8389563121140869E-4</v>
      </c>
      <c r="EV18">
        <v>0</v>
      </c>
      <c r="EW18">
        <v>0</v>
      </c>
      <c r="EX18">
        <v>3.0013293149254876E-2</v>
      </c>
      <c r="EY18">
        <v>0.29296077653388791</v>
      </c>
      <c r="EZ18">
        <v>0.57055810925114248</v>
      </c>
      <c r="FA18">
        <v>0.68978721323385284</v>
      </c>
      <c r="FB18">
        <v>0.62610325136634526</v>
      </c>
      <c r="FC18">
        <v>0.41518225207637871</v>
      </c>
      <c r="FD18">
        <v>0.12042614807249007</v>
      </c>
      <c r="FE18">
        <v>1.552504076973367E-3</v>
      </c>
      <c r="FF18">
        <v>0</v>
      </c>
      <c r="FG18">
        <v>0</v>
      </c>
      <c r="FH18">
        <v>2.4229737739244615E-3</v>
      </c>
      <c r="FI18">
        <v>0.15403978831333648</v>
      </c>
      <c r="FJ18">
        <v>0.41433265540018471</v>
      </c>
      <c r="FK18">
        <v>0.52328215506351583</v>
      </c>
      <c r="FL18">
        <v>0.44850988751530124</v>
      </c>
      <c r="FM18">
        <v>0.22318131126383486</v>
      </c>
      <c r="FN18">
        <v>2.007307564522463E-2</v>
      </c>
      <c r="FO18">
        <v>0</v>
      </c>
      <c r="FQ18" t="s">
        <v>757</v>
      </c>
      <c r="FR18" t="s">
        <v>127</v>
      </c>
      <c r="FS18" t="s">
        <v>128</v>
      </c>
      <c r="FT18">
        <v>0.49891841453242225</v>
      </c>
    </row>
    <row r="19" spans="2:176" x14ac:dyDescent="0.45">
      <c r="B19" t="s">
        <v>758</v>
      </c>
      <c r="C19" t="s">
        <v>123</v>
      </c>
      <c r="D19">
        <v>0</v>
      </c>
      <c r="E19">
        <v>0</v>
      </c>
      <c r="F19">
        <v>0</v>
      </c>
      <c r="G19">
        <v>0.54176029058032193</v>
      </c>
      <c r="H19">
        <v>0.24464320796411224</v>
      </c>
      <c r="I19">
        <v>0.20166685318347238</v>
      </c>
      <c r="J19">
        <v>0.21671374475257404</v>
      </c>
      <c r="K19">
        <v>0.29795198900452685</v>
      </c>
      <c r="L19">
        <v>0.83721402259557964</v>
      </c>
      <c r="M19">
        <v>0</v>
      </c>
      <c r="N19">
        <v>0</v>
      </c>
      <c r="O19">
        <v>0</v>
      </c>
      <c r="P19">
        <v>0.62840008291962057</v>
      </c>
      <c r="Q19">
        <v>0.26165970335881472</v>
      </c>
      <c r="R19">
        <v>0.18360284436751689</v>
      </c>
      <c r="S19">
        <v>0.16461783076955441</v>
      </c>
      <c r="T19">
        <v>0.15490558630857709</v>
      </c>
      <c r="U19">
        <v>0.18346808315166693</v>
      </c>
      <c r="V19">
        <v>0.43095888453970221</v>
      </c>
      <c r="W19">
        <v>0.94565217391304357</v>
      </c>
      <c r="X19">
        <v>0</v>
      </c>
      <c r="Y19">
        <v>0</v>
      </c>
      <c r="Z19">
        <v>0.41363183093337302</v>
      </c>
      <c r="AA19">
        <v>0.14882017861557736</v>
      </c>
      <c r="AB19">
        <v>5.6250923898072368E-2</v>
      </c>
      <c r="AC19">
        <v>3.6899182238118867E-2</v>
      </c>
      <c r="AD19">
        <v>5.1621839315966873E-2</v>
      </c>
      <c r="AE19">
        <v>9.4502258854272506E-2</v>
      </c>
      <c r="AF19">
        <v>0.30909889740197272</v>
      </c>
      <c r="AG19">
        <v>0.77324454311362989</v>
      </c>
      <c r="AH19">
        <v>0</v>
      </c>
      <c r="AI19">
        <v>0</v>
      </c>
      <c r="AJ19">
        <v>0.8361683571137597</v>
      </c>
      <c r="AK19">
        <v>0.2943808379914421</v>
      </c>
      <c r="AL19">
        <v>0.15503844975789957</v>
      </c>
      <c r="AM19">
        <v>0.14997551581977112</v>
      </c>
      <c r="AN19">
        <v>0.18207252730825907</v>
      </c>
      <c r="AO19">
        <v>0.27720465272658862</v>
      </c>
      <c r="AP19">
        <v>0.75534977968480899</v>
      </c>
      <c r="AQ19">
        <v>0</v>
      </c>
      <c r="EA19" t="s">
        <v>758</v>
      </c>
      <c r="EB19">
        <v>0</v>
      </c>
      <c r="EC19">
        <v>0</v>
      </c>
      <c r="ED19">
        <v>0</v>
      </c>
      <c r="EE19">
        <v>6.0248970736388761E-2</v>
      </c>
      <c r="EF19">
        <v>0.30120888738926976</v>
      </c>
      <c r="EG19">
        <v>0.43184459886993759</v>
      </c>
      <c r="EH19">
        <v>0.38369907250405055</v>
      </c>
      <c r="EI19">
        <v>0.18415978612371184</v>
      </c>
      <c r="EJ19">
        <v>9.2249616612691925E-3</v>
      </c>
      <c r="EK19">
        <v>0</v>
      </c>
      <c r="EL19">
        <v>0</v>
      </c>
      <c r="EM19">
        <v>0</v>
      </c>
      <c r="EN19">
        <v>1.8634738760665747E-2</v>
      </c>
      <c r="EO19">
        <v>0.22180415763699096</v>
      </c>
      <c r="EP19">
        <v>0.45705750846314969</v>
      </c>
      <c r="EQ19">
        <v>0.5553272219594334</v>
      </c>
      <c r="ER19">
        <v>0.50798179671886801</v>
      </c>
      <c r="ES19">
        <v>0.31770181587799035</v>
      </c>
      <c r="ET19">
        <v>7.0409982507806571E-2</v>
      </c>
      <c r="EU19">
        <v>1.157190831013835E-4</v>
      </c>
      <c r="EV19">
        <v>0</v>
      </c>
      <c r="EW19">
        <v>0</v>
      </c>
      <c r="EX19">
        <v>3.356808283583021E-2</v>
      </c>
      <c r="EY19">
        <v>0.31286720435428067</v>
      </c>
      <c r="EZ19">
        <v>0.59404099218775186</v>
      </c>
      <c r="FA19">
        <v>0.7103969933897093</v>
      </c>
      <c r="FB19">
        <v>0.64546485931859787</v>
      </c>
      <c r="FC19">
        <v>0.43141300575865221</v>
      </c>
      <c r="FD19">
        <v>0.12124198818584528</v>
      </c>
      <c r="FE19">
        <v>1.2594532807776203E-3</v>
      </c>
      <c r="FF19">
        <v>0</v>
      </c>
      <c r="FG19">
        <v>0</v>
      </c>
      <c r="FH19">
        <v>3.1867407715472861E-3</v>
      </c>
      <c r="FI19">
        <v>0.17498342800055189</v>
      </c>
      <c r="FJ19">
        <v>0.44747687543057746</v>
      </c>
      <c r="FK19">
        <v>0.55196784683816491</v>
      </c>
      <c r="FL19">
        <v>0.4625155389718501</v>
      </c>
      <c r="FM19">
        <v>0.23168474814187537</v>
      </c>
      <c r="FN19">
        <v>1.9772436713782409E-2</v>
      </c>
      <c r="FO19">
        <v>0</v>
      </c>
      <c r="FQ19" t="s">
        <v>758</v>
      </c>
      <c r="FR19" t="s">
        <v>127</v>
      </c>
      <c r="FS19" t="s">
        <v>128</v>
      </c>
      <c r="FT19">
        <v>0.4841194154891616</v>
      </c>
    </row>
    <row r="20" spans="2:176" x14ac:dyDescent="0.45">
      <c r="B20" t="s">
        <v>759</v>
      </c>
      <c r="C20" t="s">
        <v>123</v>
      </c>
      <c r="D20">
        <v>0</v>
      </c>
      <c r="E20">
        <v>0</v>
      </c>
      <c r="F20">
        <v>0</v>
      </c>
      <c r="G20">
        <v>0.48948471045403757</v>
      </c>
      <c r="H20">
        <v>0.21034911347660862</v>
      </c>
      <c r="I20">
        <v>0.1862526139967208</v>
      </c>
      <c r="J20">
        <v>0.18708509685525226</v>
      </c>
      <c r="K20">
        <v>0.2716774315064997</v>
      </c>
      <c r="L20">
        <v>0.82724684827775752</v>
      </c>
      <c r="M20">
        <v>0</v>
      </c>
      <c r="N20">
        <v>0</v>
      </c>
      <c r="O20">
        <v>0</v>
      </c>
      <c r="P20">
        <v>0.62957278399620786</v>
      </c>
      <c r="Q20">
        <v>0.22281556894654486</v>
      </c>
      <c r="R20">
        <v>0.15044451688495869</v>
      </c>
      <c r="S20">
        <v>0.1423503389525769</v>
      </c>
      <c r="T20">
        <v>0.1393407561811883</v>
      </c>
      <c r="U20">
        <v>0.15578982152485651</v>
      </c>
      <c r="V20">
        <v>0.44838386931120172</v>
      </c>
      <c r="W20">
        <v>0.99637681159420299</v>
      </c>
      <c r="X20">
        <v>0</v>
      </c>
      <c r="Y20">
        <v>0</v>
      </c>
      <c r="Z20">
        <v>0.43380531944413275</v>
      </c>
      <c r="AA20">
        <v>0.14051227713892558</v>
      </c>
      <c r="AB20">
        <v>5.4401137218052349E-2</v>
      </c>
      <c r="AC20">
        <v>3.6848031014041896E-2</v>
      </c>
      <c r="AD20">
        <v>4.1635843569978341E-2</v>
      </c>
      <c r="AE20">
        <v>9.1443262447429091E-2</v>
      </c>
      <c r="AF20">
        <v>0.3453151099281736</v>
      </c>
      <c r="AG20">
        <v>0.82090021927143086</v>
      </c>
      <c r="AH20">
        <v>0</v>
      </c>
      <c r="AI20">
        <v>0</v>
      </c>
      <c r="AJ20">
        <v>0.8019591388335493</v>
      </c>
      <c r="AK20">
        <v>0.23124777895761039</v>
      </c>
      <c r="AL20">
        <v>0.10783795087569278</v>
      </c>
      <c r="AM20">
        <v>9.9816264125190193E-2</v>
      </c>
      <c r="AN20">
        <v>0.11856751862730977</v>
      </c>
      <c r="AO20">
        <v>0.21773433275529269</v>
      </c>
      <c r="AP20">
        <v>0.73541135276592595</v>
      </c>
      <c r="AQ20">
        <v>0</v>
      </c>
      <c r="EA20" t="s">
        <v>759</v>
      </c>
      <c r="EB20">
        <v>0</v>
      </c>
      <c r="EC20">
        <v>0</v>
      </c>
      <c r="ED20">
        <v>0</v>
      </c>
      <c r="EE20">
        <v>9.5249248775121489E-2</v>
      </c>
      <c r="EF20">
        <v>0.38720306794909715</v>
      </c>
      <c r="EG20">
        <v>0.52365686735035122</v>
      </c>
      <c r="EH20">
        <v>0.46033043561132919</v>
      </c>
      <c r="EI20">
        <v>0.22342501560455416</v>
      </c>
      <c r="EJ20">
        <v>1.1982834484924659E-2</v>
      </c>
      <c r="EK20">
        <v>0</v>
      </c>
      <c r="EL20">
        <v>0</v>
      </c>
      <c r="EM20">
        <v>0</v>
      </c>
      <c r="EN20">
        <v>2.1333815786016449E-2</v>
      </c>
      <c r="EO20">
        <v>0.25187297003198234</v>
      </c>
      <c r="EP20">
        <v>0.49852221890555509</v>
      </c>
      <c r="EQ20">
        <v>0.58503738370503056</v>
      </c>
      <c r="ER20">
        <v>0.52004317507219422</v>
      </c>
      <c r="ES20">
        <v>0.32479025587414195</v>
      </c>
      <c r="ET20">
        <v>6.3502775188857608E-2</v>
      </c>
      <c r="EU20">
        <v>1.3025339202078967E-7</v>
      </c>
      <c r="EV20">
        <v>0</v>
      </c>
      <c r="EW20">
        <v>0</v>
      </c>
      <c r="EX20">
        <v>3.4671146605341228E-2</v>
      </c>
      <c r="EY20">
        <v>0.31648945756849439</v>
      </c>
      <c r="EZ20">
        <v>0.58444480404821553</v>
      </c>
      <c r="FA20">
        <v>0.68755736401866296</v>
      </c>
      <c r="FB20">
        <v>0.63199415886868426</v>
      </c>
      <c r="FC20">
        <v>0.41886536194838719</v>
      </c>
      <c r="FD20">
        <v>0.1076188093593696</v>
      </c>
      <c r="FE20">
        <v>3.7956924836408007E-4</v>
      </c>
      <c r="FF20">
        <v>0</v>
      </c>
      <c r="FG20">
        <v>0</v>
      </c>
      <c r="FH20">
        <v>4.5786907257363667E-3</v>
      </c>
      <c r="FI20">
        <v>0.2191253046193361</v>
      </c>
      <c r="FJ20">
        <v>0.5067244860606448</v>
      </c>
      <c r="FK20">
        <v>0.60694209786055686</v>
      </c>
      <c r="FL20">
        <v>0.51195147477239344</v>
      </c>
      <c r="FM20">
        <v>0.2531223194330251</v>
      </c>
      <c r="FN20">
        <v>1.7920542534422872E-2</v>
      </c>
      <c r="FO20">
        <v>0</v>
      </c>
      <c r="FQ20" t="s">
        <v>759</v>
      </c>
      <c r="FR20" t="s">
        <v>127</v>
      </c>
      <c r="FS20" t="s">
        <v>128</v>
      </c>
      <c r="FT20">
        <v>0.53171846635427045</v>
      </c>
    </row>
    <row r="21" spans="2:176" x14ac:dyDescent="0.45">
      <c r="B21" t="s">
        <v>760</v>
      </c>
      <c r="C21" t="s">
        <v>123</v>
      </c>
      <c r="D21">
        <v>0</v>
      </c>
      <c r="E21">
        <v>0</v>
      </c>
      <c r="F21">
        <v>0</v>
      </c>
      <c r="G21">
        <v>0.45431572456896469</v>
      </c>
      <c r="H21">
        <v>0.2106503284687288</v>
      </c>
      <c r="I21">
        <v>0.16415986675630526</v>
      </c>
      <c r="J21">
        <v>0.18302681440430529</v>
      </c>
      <c r="K21">
        <v>0.28285895134537842</v>
      </c>
      <c r="L21">
        <v>0.84738769621585019</v>
      </c>
      <c r="M21">
        <v>0</v>
      </c>
      <c r="N21">
        <v>0</v>
      </c>
      <c r="O21">
        <v>0</v>
      </c>
      <c r="P21">
        <v>0.60773178211852619</v>
      </c>
      <c r="Q21">
        <v>0.21662354426522287</v>
      </c>
      <c r="R21">
        <v>0.14276544927323942</v>
      </c>
      <c r="S21">
        <v>0.13633856005513489</v>
      </c>
      <c r="T21">
        <v>0.14299801673971912</v>
      </c>
      <c r="U21">
        <v>0.16961888984105364</v>
      </c>
      <c r="V21">
        <v>0.4613176331696503</v>
      </c>
      <c r="W21">
        <v>0</v>
      </c>
      <c r="X21">
        <v>0</v>
      </c>
      <c r="Y21">
        <v>0</v>
      </c>
      <c r="Z21">
        <v>0.42062804028866058</v>
      </c>
      <c r="AA21">
        <v>0.1329008102753923</v>
      </c>
      <c r="AB21">
        <v>4.859075212891719E-2</v>
      </c>
      <c r="AC21">
        <v>3.6656680174164298E-2</v>
      </c>
      <c r="AD21">
        <v>4.9778571602091613E-2</v>
      </c>
      <c r="AE21">
        <v>0.10178589609751243</v>
      </c>
      <c r="AF21">
        <v>0.36184248372379135</v>
      </c>
      <c r="AG21">
        <v>0.84866097851385824</v>
      </c>
      <c r="AH21">
        <v>0</v>
      </c>
      <c r="AI21">
        <v>0</v>
      </c>
      <c r="AJ21">
        <v>0.76933283852286416</v>
      </c>
      <c r="AK21">
        <v>0.21373699367018451</v>
      </c>
      <c r="AL21">
        <v>9.9904598447156573E-2</v>
      </c>
      <c r="AM21">
        <v>8.8275677227159885E-2</v>
      </c>
      <c r="AN21">
        <v>0.11301549923388132</v>
      </c>
      <c r="AO21">
        <v>0.22944501148820753</v>
      </c>
      <c r="AP21">
        <v>0.76230118279852421</v>
      </c>
      <c r="AQ21">
        <v>0</v>
      </c>
      <c r="EA21" t="s">
        <v>760</v>
      </c>
      <c r="EB21">
        <v>0</v>
      </c>
      <c r="EC21">
        <v>0</v>
      </c>
      <c r="ED21">
        <v>0</v>
      </c>
      <c r="EE21">
        <v>0.10617657763411265</v>
      </c>
      <c r="EF21">
        <v>0.39366966696991645</v>
      </c>
      <c r="EG21">
        <v>0.53513293064540757</v>
      </c>
      <c r="EH21">
        <v>0.44734113605610804</v>
      </c>
      <c r="EI21">
        <v>0.19794776307718606</v>
      </c>
      <c r="EJ21">
        <v>7.0946628375049108E-3</v>
      </c>
      <c r="EK21">
        <v>0</v>
      </c>
      <c r="EL21">
        <v>0</v>
      </c>
      <c r="EM21">
        <v>0</v>
      </c>
      <c r="EN21">
        <v>2.5791665447099914E-2</v>
      </c>
      <c r="EO21">
        <v>0.26367197667345016</v>
      </c>
      <c r="EP21">
        <v>0.50722222562813979</v>
      </c>
      <c r="EQ21">
        <v>0.58087611382992421</v>
      </c>
      <c r="ER21">
        <v>0.49908509639016818</v>
      </c>
      <c r="ES21">
        <v>0.30370422043820872</v>
      </c>
      <c r="ET21">
        <v>5.6009032993715506E-2</v>
      </c>
      <c r="EU21">
        <v>0</v>
      </c>
      <c r="EV21">
        <v>0</v>
      </c>
      <c r="EW21">
        <v>0</v>
      </c>
      <c r="EX21">
        <v>4.2600152036275943E-2</v>
      </c>
      <c r="EY21">
        <v>0.33395799774714058</v>
      </c>
      <c r="EZ21">
        <v>0.59724593629395439</v>
      </c>
      <c r="FA21">
        <v>0.6885565241699545</v>
      </c>
      <c r="FB21">
        <v>0.61736150007234503</v>
      </c>
      <c r="FC21">
        <v>0.39822302275043892</v>
      </c>
      <c r="FD21">
        <v>9.5040613155726997E-2</v>
      </c>
      <c r="FE21">
        <v>1.675120868349547E-4</v>
      </c>
      <c r="FF21">
        <v>0</v>
      </c>
      <c r="FG21">
        <v>0</v>
      </c>
      <c r="FH21">
        <v>7.300275456180871E-3</v>
      </c>
      <c r="FI21">
        <v>0.23678199263337921</v>
      </c>
      <c r="FJ21">
        <v>0.52258791211108124</v>
      </c>
      <c r="FK21">
        <v>0.61832206550877344</v>
      </c>
      <c r="FL21">
        <v>0.50826319838496248</v>
      </c>
      <c r="FM21">
        <v>0.23908889907185796</v>
      </c>
      <c r="FN21">
        <v>1.4653551172381979E-2</v>
      </c>
      <c r="FO21">
        <v>0</v>
      </c>
      <c r="FQ21" t="s">
        <v>760</v>
      </c>
      <c r="FR21" t="s">
        <v>127</v>
      </c>
      <c r="FS21" t="s">
        <v>128</v>
      </c>
      <c r="FT21">
        <v>0.49537374196914458</v>
      </c>
    </row>
    <row r="22" spans="2:176" x14ac:dyDescent="0.45">
      <c r="B22" t="s">
        <v>761</v>
      </c>
      <c r="C22" t="s">
        <v>123</v>
      </c>
      <c r="D22">
        <v>0</v>
      </c>
      <c r="E22">
        <v>0</v>
      </c>
      <c r="F22">
        <v>0</v>
      </c>
      <c r="G22">
        <v>0.45515787238393446</v>
      </c>
      <c r="H22">
        <v>0.15548666672198483</v>
      </c>
      <c r="I22">
        <v>0.13167345271854758</v>
      </c>
      <c r="J22">
        <v>0.14905972511937604</v>
      </c>
      <c r="K22">
        <v>0.24202741063814531</v>
      </c>
      <c r="L22">
        <v>0.79442635375404191</v>
      </c>
      <c r="M22">
        <v>0</v>
      </c>
      <c r="N22">
        <v>0</v>
      </c>
      <c r="O22">
        <v>0</v>
      </c>
      <c r="P22">
        <v>0.6413462718212749</v>
      </c>
      <c r="Q22">
        <v>0.21813489320068763</v>
      </c>
      <c r="R22">
        <v>0.12238295096668925</v>
      </c>
      <c r="S22">
        <v>0.10698192642446287</v>
      </c>
      <c r="T22">
        <v>0.11189793711280757</v>
      </c>
      <c r="U22">
        <v>0.13665444050384717</v>
      </c>
      <c r="V22">
        <v>0.43405099132926567</v>
      </c>
      <c r="W22">
        <v>0</v>
      </c>
      <c r="X22">
        <v>0</v>
      </c>
      <c r="Y22">
        <v>0</v>
      </c>
      <c r="Z22">
        <v>0.45147925636025904</v>
      </c>
      <c r="AA22">
        <v>0.14435738927864181</v>
      </c>
      <c r="AB22">
        <v>5.0613794564104225E-2</v>
      </c>
      <c r="AC22">
        <v>2.1129254320818868E-2</v>
      </c>
      <c r="AD22">
        <v>3.2616208419168374E-2</v>
      </c>
      <c r="AE22">
        <v>8.7084350184904583E-2</v>
      </c>
      <c r="AF22">
        <v>0.33639201203425662</v>
      </c>
      <c r="AG22">
        <v>0.82121077282317789</v>
      </c>
      <c r="AH22">
        <v>0</v>
      </c>
      <c r="AI22">
        <v>0</v>
      </c>
      <c r="AJ22">
        <v>0.79712756863106249</v>
      </c>
      <c r="AK22">
        <v>0.23546038332806943</v>
      </c>
      <c r="AL22">
        <v>9.3377523797644538E-2</v>
      </c>
      <c r="AM22">
        <v>7.8038823585450889E-2</v>
      </c>
      <c r="AN22">
        <v>9.5823393171638335E-2</v>
      </c>
      <c r="AO22">
        <v>0.19646708137544411</v>
      </c>
      <c r="AP22">
        <v>0.71624519298131373</v>
      </c>
      <c r="AQ22">
        <v>0</v>
      </c>
      <c r="EA22" t="s">
        <v>761</v>
      </c>
      <c r="EB22">
        <v>0</v>
      </c>
      <c r="EC22">
        <v>0</v>
      </c>
      <c r="ED22">
        <v>0</v>
      </c>
      <c r="EE22">
        <v>9.7193174431029108E-2</v>
      </c>
      <c r="EF22">
        <v>0.40561358048902196</v>
      </c>
      <c r="EG22">
        <v>0.55138557723707382</v>
      </c>
      <c r="EH22">
        <v>0.48962720555019884</v>
      </c>
      <c r="EI22">
        <v>0.25027172465224962</v>
      </c>
      <c r="EJ22">
        <v>1.5410411147004109E-2</v>
      </c>
      <c r="EK22">
        <v>0</v>
      </c>
      <c r="EL22">
        <v>0</v>
      </c>
      <c r="EM22">
        <v>0</v>
      </c>
      <c r="EN22">
        <v>1.8041135098313229E-2</v>
      </c>
      <c r="EO22">
        <v>0.24930027108724567</v>
      </c>
      <c r="EP22">
        <v>0.52227441960368615</v>
      </c>
      <c r="EQ22">
        <v>0.63398095196795923</v>
      </c>
      <c r="ER22">
        <v>0.56905043878548855</v>
      </c>
      <c r="ES22">
        <v>0.35952918987763954</v>
      </c>
      <c r="ET22">
        <v>7.3234959874347069E-2</v>
      </c>
      <c r="EU22">
        <v>0</v>
      </c>
      <c r="EV22">
        <v>0</v>
      </c>
      <c r="EW22">
        <v>0</v>
      </c>
      <c r="EX22">
        <v>2.9366740853249959E-2</v>
      </c>
      <c r="EY22">
        <v>0.30279400416887692</v>
      </c>
      <c r="EZ22">
        <v>0.58293118616815875</v>
      </c>
      <c r="FA22">
        <v>0.70580679999284568</v>
      </c>
      <c r="FB22">
        <v>0.65577718910653071</v>
      </c>
      <c r="FC22">
        <v>0.44211217417654403</v>
      </c>
      <c r="FD22">
        <v>0.11644955220990209</v>
      </c>
      <c r="FE22">
        <v>3.7410147509945799E-4</v>
      </c>
      <c r="FF22">
        <v>0</v>
      </c>
      <c r="FG22">
        <v>0</v>
      </c>
      <c r="FH22">
        <v>3.2094930617730224E-3</v>
      </c>
      <c r="FI22">
        <v>0.20796594926434747</v>
      </c>
      <c r="FJ22">
        <v>0.50513707066498659</v>
      </c>
      <c r="FK22">
        <v>0.62060038707024046</v>
      </c>
      <c r="FL22">
        <v>0.53330954824144794</v>
      </c>
      <c r="FM22">
        <v>0.27021881109457119</v>
      </c>
      <c r="FN22">
        <v>2.0746046565204294E-2</v>
      </c>
      <c r="FO22">
        <v>0</v>
      </c>
      <c r="FQ22" t="s">
        <v>761</v>
      </c>
      <c r="FR22" t="s">
        <v>127</v>
      </c>
      <c r="FS22" t="s">
        <v>128</v>
      </c>
      <c r="FT22">
        <v>0.53401793506137563</v>
      </c>
    </row>
    <row r="23" spans="2:176" x14ac:dyDescent="0.45">
      <c r="B23" t="s">
        <v>762</v>
      </c>
      <c r="C23" t="s">
        <v>123</v>
      </c>
      <c r="D23">
        <v>0</v>
      </c>
      <c r="E23">
        <v>0</v>
      </c>
      <c r="F23">
        <v>0</v>
      </c>
      <c r="G23">
        <v>0.50515652764086316</v>
      </c>
      <c r="H23">
        <v>0.18830635272528462</v>
      </c>
      <c r="I23">
        <v>0.16074285431059043</v>
      </c>
      <c r="J23">
        <v>0.17197922257201803</v>
      </c>
      <c r="K23">
        <v>0.2531723690581652</v>
      </c>
      <c r="L23">
        <v>0.8019992222786404</v>
      </c>
      <c r="M23">
        <v>0</v>
      </c>
      <c r="N23">
        <v>0</v>
      </c>
      <c r="O23">
        <v>0</v>
      </c>
      <c r="P23">
        <v>0.65175387837493881</v>
      </c>
      <c r="Q23">
        <v>0.22995197342645557</v>
      </c>
      <c r="R23">
        <v>0.15328817841571082</v>
      </c>
      <c r="S23">
        <v>0.14156515245406642</v>
      </c>
      <c r="T23">
        <v>0.13003690875115587</v>
      </c>
      <c r="U23">
        <v>0.15187519735111432</v>
      </c>
      <c r="V23">
        <v>0.43320398897334256</v>
      </c>
      <c r="W23">
        <v>0.97101449275362317</v>
      </c>
      <c r="X23">
        <v>0</v>
      </c>
      <c r="Y23">
        <v>0</v>
      </c>
      <c r="Z23">
        <v>0.4489370970557886</v>
      </c>
      <c r="AA23">
        <v>0.14952328278385715</v>
      </c>
      <c r="AB23">
        <v>5.1805763443125478E-2</v>
      </c>
      <c r="AC23">
        <v>2.48060831197318E-2</v>
      </c>
      <c r="AD23">
        <v>3.6687847687522993E-2</v>
      </c>
      <c r="AE23">
        <v>8.8152494777528859E-2</v>
      </c>
      <c r="AF23">
        <v>0.32088752233087509</v>
      </c>
      <c r="AG23">
        <v>0.79355105889565192</v>
      </c>
      <c r="AH23">
        <v>0</v>
      </c>
      <c r="AI23">
        <v>0</v>
      </c>
      <c r="AJ23">
        <v>0.82782904084318021</v>
      </c>
      <c r="AK23">
        <v>0.25104310449689821</v>
      </c>
      <c r="AL23">
        <v>0.11886562746255208</v>
      </c>
      <c r="AM23">
        <v>0.10625807100964796</v>
      </c>
      <c r="AN23">
        <v>0.11629352439250205</v>
      </c>
      <c r="AO23">
        <v>0.21238608919813212</v>
      </c>
      <c r="AP23">
        <v>0.71289063996338309</v>
      </c>
      <c r="AQ23">
        <v>0</v>
      </c>
      <c r="EA23" t="s">
        <v>762</v>
      </c>
      <c r="EB23">
        <v>0</v>
      </c>
      <c r="EC23">
        <v>0</v>
      </c>
      <c r="ED23">
        <v>0</v>
      </c>
      <c r="EE23">
        <v>8.6649395598704895E-2</v>
      </c>
      <c r="EF23">
        <v>0.38768620802079679</v>
      </c>
      <c r="EG23">
        <v>0.5336854365994308</v>
      </c>
      <c r="EH23">
        <v>0.47528375172657067</v>
      </c>
      <c r="EI23">
        <v>0.24328449568257918</v>
      </c>
      <c r="EJ23">
        <v>1.6149453791711687E-2</v>
      </c>
      <c r="EK23">
        <v>0</v>
      </c>
      <c r="EL23">
        <v>0</v>
      </c>
      <c r="EM23">
        <v>0</v>
      </c>
      <c r="EN23">
        <v>1.6952269360988838E-2</v>
      </c>
      <c r="EO23">
        <v>0.23900813103944413</v>
      </c>
      <c r="EP23">
        <v>0.49327198226193053</v>
      </c>
      <c r="EQ23">
        <v>0.59438634536948698</v>
      </c>
      <c r="ER23">
        <v>0.54694808055384636</v>
      </c>
      <c r="ES23">
        <v>0.34581998218888471</v>
      </c>
      <c r="ET23">
        <v>7.4417157826993915E-2</v>
      </c>
      <c r="EU23">
        <v>1.6339006033321609E-5</v>
      </c>
      <c r="EV23">
        <v>0</v>
      </c>
      <c r="EW23">
        <v>0</v>
      </c>
      <c r="EX23">
        <v>2.6790951819975345E-2</v>
      </c>
      <c r="EY23">
        <v>0.2980882349829122</v>
      </c>
      <c r="EZ23">
        <v>0.57884708728618584</v>
      </c>
      <c r="FA23">
        <v>0.6980846443820079</v>
      </c>
      <c r="FB23">
        <v>0.64612052133360276</v>
      </c>
      <c r="FC23">
        <v>0.43797506235175948</v>
      </c>
      <c r="FD23">
        <v>0.1208464729664689</v>
      </c>
      <c r="FE23">
        <v>6.745710444457238E-4</v>
      </c>
      <c r="FF23">
        <v>0</v>
      </c>
      <c r="FG23">
        <v>0</v>
      </c>
      <c r="FH23">
        <v>2.5602877376478587E-3</v>
      </c>
      <c r="FI23">
        <v>0.19802351566435689</v>
      </c>
      <c r="FJ23">
        <v>0.48536273944689662</v>
      </c>
      <c r="FK23">
        <v>0.59932653676430592</v>
      </c>
      <c r="FL23">
        <v>0.51860263055632794</v>
      </c>
      <c r="FM23">
        <v>0.26462215681726242</v>
      </c>
      <c r="FN23">
        <v>2.1265377708910668E-2</v>
      </c>
      <c r="FO23">
        <v>0</v>
      </c>
      <c r="FQ23" t="s">
        <v>762</v>
      </c>
      <c r="FR23" t="s">
        <v>127</v>
      </c>
      <c r="FS23" t="s">
        <v>128</v>
      </c>
      <c r="FT23">
        <v>0.55296187145588516</v>
      </c>
    </row>
    <row r="24" spans="2:176" x14ac:dyDescent="0.45">
      <c r="B24" t="s">
        <v>763</v>
      </c>
      <c r="C24" t="s">
        <v>123</v>
      </c>
      <c r="D24">
        <v>0</v>
      </c>
      <c r="E24">
        <v>0</v>
      </c>
      <c r="F24">
        <v>0</v>
      </c>
      <c r="G24">
        <v>0.55554670508037274</v>
      </c>
      <c r="H24">
        <v>0.24209624467040555</v>
      </c>
      <c r="I24">
        <v>0.2089783692600348</v>
      </c>
      <c r="J24">
        <v>0.21879008827580865</v>
      </c>
      <c r="K24">
        <v>0.29764817582706099</v>
      </c>
      <c r="L24">
        <v>0.83543210882349872</v>
      </c>
      <c r="M24">
        <v>0</v>
      </c>
      <c r="N24">
        <v>0</v>
      </c>
      <c r="O24">
        <v>0</v>
      </c>
      <c r="P24">
        <v>0.64159634368416107</v>
      </c>
      <c r="Q24">
        <v>0.2751647865321239</v>
      </c>
      <c r="R24">
        <v>0.19722702681257551</v>
      </c>
      <c r="S24">
        <v>0.17218462200143533</v>
      </c>
      <c r="T24">
        <v>0.16977208671728791</v>
      </c>
      <c r="U24">
        <v>0.18945252715298513</v>
      </c>
      <c r="V24">
        <v>0.43918092991522939</v>
      </c>
      <c r="W24">
        <v>0.95652173913043481</v>
      </c>
      <c r="X24">
        <v>0</v>
      </c>
      <c r="Y24">
        <v>0</v>
      </c>
      <c r="Z24">
        <v>0.42802568027916321</v>
      </c>
      <c r="AA24">
        <v>0.14893087195350499</v>
      </c>
      <c r="AB24">
        <v>5.1975423140336083E-2</v>
      </c>
      <c r="AC24">
        <v>3.1862379300112348E-2</v>
      </c>
      <c r="AD24">
        <v>4.5435786993787641E-2</v>
      </c>
      <c r="AE24">
        <v>9.5058921503955687E-2</v>
      </c>
      <c r="AF24">
        <v>0.30909156554781358</v>
      </c>
      <c r="AG24">
        <v>0.77700851001493276</v>
      </c>
      <c r="AH24">
        <v>0</v>
      </c>
      <c r="AI24">
        <v>0</v>
      </c>
      <c r="AJ24">
        <v>0.84415290914459207</v>
      </c>
      <c r="AK24">
        <v>0.29113646191319559</v>
      </c>
      <c r="AL24">
        <v>0.15456515804201187</v>
      </c>
      <c r="AM24">
        <v>0.13788979535891047</v>
      </c>
      <c r="AN24">
        <v>0.15631879762935899</v>
      </c>
      <c r="AO24">
        <v>0.25374759342518138</v>
      </c>
      <c r="AP24">
        <v>0.75202229033684176</v>
      </c>
      <c r="AQ24">
        <v>0</v>
      </c>
      <c r="EA24" t="s">
        <v>763</v>
      </c>
      <c r="EB24">
        <v>0</v>
      </c>
      <c r="EC24">
        <v>0</v>
      </c>
      <c r="ED24">
        <v>0</v>
      </c>
      <c r="EE24">
        <v>6.8980478857521399E-2</v>
      </c>
      <c r="EF24">
        <v>0.33720042569196984</v>
      </c>
      <c r="EG24">
        <v>0.48267658664129681</v>
      </c>
      <c r="EH24">
        <v>0.42730903620490773</v>
      </c>
      <c r="EI24">
        <v>0.20629283309602833</v>
      </c>
      <c r="EJ24">
        <v>1.1219300135324239E-2</v>
      </c>
      <c r="EK24">
        <v>0</v>
      </c>
      <c r="EL24">
        <v>0</v>
      </c>
      <c r="EM24">
        <v>0</v>
      </c>
      <c r="EN24">
        <v>1.7991984920187994E-2</v>
      </c>
      <c r="EO24">
        <v>0.22492771170269996</v>
      </c>
      <c r="EP24">
        <v>0.46919115600735273</v>
      </c>
      <c r="EQ24">
        <v>0.56845005853654562</v>
      </c>
      <c r="ER24">
        <v>0.50621619122458983</v>
      </c>
      <c r="ES24">
        <v>0.31852126462212987</v>
      </c>
      <c r="ET24">
        <v>7.1300957481216246E-2</v>
      </c>
      <c r="EU24">
        <v>7.417038684319485E-5</v>
      </c>
      <c r="EV24">
        <v>0</v>
      </c>
      <c r="EW24">
        <v>0</v>
      </c>
      <c r="EX24">
        <v>3.035406199104931E-2</v>
      </c>
      <c r="EY24">
        <v>0.30974982335869122</v>
      </c>
      <c r="EZ24">
        <v>0.59128302219081152</v>
      </c>
      <c r="FA24">
        <v>0.7076070601968677</v>
      </c>
      <c r="FB24">
        <v>0.64470175826328102</v>
      </c>
      <c r="FC24">
        <v>0.43091117893759728</v>
      </c>
      <c r="FD24">
        <v>0.12253992764712804</v>
      </c>
      <c r="FE24">
        <v>1.0862835692279343E-3</v>
      </c>
      <c r="FF24">
        <v>0</v>
      </c>
      <c r="FG24">
        <v>0</v>
      </c>
      <c r="FH24">
        <v>2.9528245139127103E-3</v>
      </c>
      <c r="FI24">
        <v>0.18244482431163933</v>
      </c>
      <c r="FJ24">
        <v>0.46718926809196976</v>
      </c>
      <c r="FK24">
        <v>0.57986869144122588</v>
      </c>
      <c r="FL24">
        <v>0.49322700760197047</v>
      </c>
      <c r="FM24">
        <v>0.24888382907831993</v>
      </c>
      <c r="FN24">
        <v>2.0877574240196546E-2</v>
      </c>
      <c r="FO24">
        <v>0</v>
      </c>
      <c r="FQ24" t="s">
        <v>763</v>
      </c>
      <c r="FR24" t="s">
        <v>127</v>
      </c>
      <c r="FS24" t="s">
        <v>128</v>
      </c>
      <c r="FT24">
        <v>0.53266020162339989</v>
      </c>
    </row>
    <row r="25" spans="2:176" x14ac:dyDescent="0.45">
      <c r="B25" t="s">
        <v>764</v>
      </c>
      <c r="C25" t="s">
        <v>123</v>
      </c>
      <c r="D25">
        <v>0</v>
      </c>
      <c r="E25">
        <v>0</v>
      </c>
      <c r="F25">
        <v>0</v>
      </c>
      <c r="G25">
        <v>0.54580301817212129</v>
      </c>
      <c r="H25">
        <v>0.2311791054155605</v>
      </c>
      <c r="I25">
        <v>0.19541948470952292</v>
      </c>
      <c r="J25">
        <v>0.20918745350574652</v>
      </c>
      <c r="K25">
        <v>0.28306915554789869</v>
      </c>
      <c r="L25">
        <v>0.82375277448432271</v>
      </c>
      <c r="M25">
        <v>0</v>
      </c>
      <c r="N25">
        <v>0</v>
      </c>
      <c r="O25">
        <v>0</v>
      </c>
      <c r="P25">
        <v>0.65063506473924082</v>
      </c>
      <c r="Q25">
        <v>0.25391079502384689</v>
      </c>
      <c r="R25">
        <v>0.17193600901284542</v>
      </c>
      <c r="S25">
        <v>0.15057461475694556</v>
      </c>
      <c r="T25">
        <v>0.13634420868168287</v>
      </c>
      <c r="U25">
        <v>0.16717260455763039</v>
      </c>
      <c r="V25">
        <v>0.42711122923536171</v>
      </c>
      <c r="W25">
        <v>0.95299278316312253</v>
      </c>
      <c r="X25">
        <v>0</v>
      </c>
      <c r="Y25">
        <v>0</v>
      </c>
      <c r="Z25">
        <v>0.43920485382593377</v>
      </c>
      <c r="AA25">
        <v>0.15178472966048728</v>
      </c>
      <c r="AB25">
        <v>5.4326154407485928E-2</v>
      </c>
      <c r="AC25">
        <v>3.0650514669513945E-2</v>
      </c>
      <c r="AD25">
        <v>4.0070227427583233E-2</v>
      </c>
      <c r="AE25">
        <v>9.1139250116044915E-2</v>
      </c>
      <c r="AF25">
        <v>0.31236769298406808</v>
      </c>
      <c r="AG25">
        <v>0.77954783475328648</v>
      </c>
      <c r="AH25">
        <v>0</v>
      </c>
      <c r="AI25">
        <v>0</v>
      </c>
      <c r="AJ25">
        <v>0.83541270776365972</v>
      </c>
      <c r="AK25">
        <v>0.26781946437050924</v>
      </c>
      <c r="AL25">
        <v>0.13691111151879934</v>
      </c>
      <c r="AM25">
        <v>0.12470246623266834</v>
      </c>
      <c r="AN25">
        <v>0.13823571637725907</v>
      </c>
      <c r="AO25">
        <v>0.23347521934082971</v>
      </c>
      <c r="AP25">
        <v>0.73094668974584887</v>
      </c>
      <c r="AQ25">
        <v>0</v>
      </c>
      <c r="EA25" t="s">
        <v>764</v>
      </c>
      <c r="EB25">
        <v>0</v>
      </c>
      <c r="EC25">
        <v>0</v>
      </c>
      <c r="ED25">
        <v>0</v>
      </c>
      <c r="EE25">
        <v>7.6541160034424127E-2</v>
      </c>
      <c r="EF25">
        <v>0.35227572925907935</v>
      </c>
      <c r="EG25">
        <v>0.49208038978970298</v>
      </c>
      <c r="EH25">
        <v>0.43893066181790741</v>
      </c>
      <c r="EI25">
        <v>0.22026118124764929</v>
      </c>
      <c r="EJ25">
        <v>1.366438685450823E-2</v>
      </c>
      <c r="EK25">
        <v>0</v>
      </c>
      <c r="EL25">
        <v>0</v>
      </c>
      <c r="EM25">
        <v>0</v>
      </c>
      <c r="EN25">
        <v>1.7018477507765008E-2</v>
      </c>
      <c r="EO25">
        <v>0.23064785694033438</v>
      </c>
      <c r="EP25">
        <v>0.48640462356050723</v>
      </c>
      <c r="EQ25">
        <v>0.59783336562711942</v>
      </c>
      <c r="ER25">
        <v>0.54466016403386663</v>
      </c>
      <c r="ES25">
        <v>0.33608986982802241</v>
      </c>
      <c r="ET25">
        <v>7.2946252296880662E-2</v>
      </c>
      <c r="EU25">
        <v>4.9940925660380215E-5</v>
      </c>
      <c r="EV25">
        <v>0</v>
      </c>
      <c r="EW25">
        <v>0</v>
      </c>
      <c r="EX25">
        <v>2.7709820828270913E-2</v>
      </c>
      <c r="EY25">
        <v>0.30031679582052567</v>
      </c>
      <c r="EZ25">
        <v>0.579657732054771</v>
      </c>
      <c r="FA25">
        <v>0.6987994456644403</v>
      </c>
      <c r="FB25">
        <v>0.64612326503404094</v>
      </c>
      <c r="FC25">
        <v>0.43811371979415764</v>
      </c>
      <c r="FD25">
        <v>0.12357369238131065</v>
      </c>
      <c r="FE25">
        <v>9.2743162881573293E-4</v>
      </c>
      <c r="FF25">
        <v>0</v>
      </c>
      <c r="FG25">
        <v>0</v>
      </c>
      <c r="FH25">
        <v>2.7355648172220789E-3</v>
      </c>
      <c r="FI25">
        <v>0.18909027145304441</v>
      </c>
      <c r="FJ25">
        <v>0.47212186292451802</v>
      </c>
      <c r="FK25">
        <v>0.58589223789534606</v>
      </c>
      <c r="FL25">
        <v>0.50448458162648036</v>
      </c>
      <c r="FM25">
        <v>0.25974151835959297</v>
      </c>
      <c r="FN25">
        <v>2.2070998466084374E-2</v>
      </c>
      <c r="FO25">
        <v>0</v>
      </c>
      <c r="FQ25" t="s">
        <v>764</v>
      </c>
      <c r="FR25" t="s">
        <v>127</v>
      </c>
      <c r="FS25" t="s">
        <v>128</v>
      </c>
      <c r="FT25">
        <v>0.52109757241548327</v>
      </c>
    </row>
    <row r="26" spans="2:176" x14ac:dyDescent="0.45">
      <c r="B26" t="s">
        <v>765</v>
      </c>
      <c r="C26" t="s">
        <v>123</v>
      </c>
      <c r="D26">
        <v>0</v>
      </c>
      <c r="E26">
        <v>0</v>
      </c>
      <c r="F26">
        <v>0</v>
      </c>
      <c r="G26">
        <v>0.44551298736761386</v>
      </c>
      <c r="H26">
        <v>0.19125524767620453</v>
      </c>
      <c r="I26">
        <v>0.14541553608505042</v>
      </c>
      <c r="J26">
        <v>0.1751797994912862</v>
      </c>
      <c r="K26">
        <v>0.27168230559064604</v>
      </c>
      <c r="L26">
        <v>0.87318950037689314</v>
      </c>
      <c r="M26">
        <v>0</v>
      </c>
      <c r="N26">
        <v>0</v>
      </c>
      <c r="O26">
        <v>0</v>
      </c>
      <c r="P26">
        <v>0.58852976867075402</v>
      </c>
      <c r="Q26">
        <v>0.22604265075546742</v>
      </c>
      <c r="R26">
        <v>0.13388661636192728</v>
      </c>
      <c r="S26">
        <v>0.1211141840431732</v>
      </c>
      <c r="T26">
        <v>0.14649969897512935</v>
      </c>
      <c r="U26">
        <v>0.17882276837143579</v>
      </c>
      <c r="V26">
        <v>0.46033148240461513</v>
      </c>
      <c r="W26">
        <v>0</v>
      </c>
      <c r="X26">
        <v>0</v>
      </c>
      <c r="Y26">
        <v>0</v>
      </c>
      <c r="Z26">
        <v>0.40567198415243527</v>
      </c>
      <c r="AA26">
        <v>0.12983897603941744</v>
      </c>
      <c r="AB26">
        <v>5.0781118630511803E-2</v>
      </c>
      <c r="AC26">
        <v>4.408904474659163E-2</v>
      </c>
      <c r="AD26">
        <v>5.6120307318005033E-2</v>
      </c>
      <c r="AE26">
        <v>0.10368159850754397</v>
      </c>
      <c r="AF26">
        <v>0.35931983520922006</v>
      </c>
      <c r="AG26">
        <v>0.84298194696874817</v>
      </c>
      <c r="AH26">
        <v>0</v>
      </c>
      <c r="AI26">
        <v>0</v>
      </c>
      <c r="AJ26">
        <v>0.76597703351684443</v>
      </c>
      <c r="AK26">
        <v>0.23252090428077624</v>
      </c>
      <c r="AL26">
        <v>0.1298758851487499</v>
      </c>
      <c r="AM26">
        <v>0.11241540979870271</v>
      </c>
      <c r="AN26">
        <v>0.13911322146762262</v>
      </c>
      <c r="AO26">
        <v>0.24547841582767521</v>
      </c>
      <c r="AP26">
        <v>0.77372948629210225</v>
      </c>
      <c r="AQ26">
        <v>0</v>
      </c>
      <c r="EA26" t="s">
        <v>765</v>
      </c>
      <c r="EB26">
        <v>0</v>
      </c>
      <c r="EC26">
        <v>0</v>
      </c>
      <c r="ED26">
        <v>0</v>
      </c>
      <c r="EE26">
        <v>0.10429024498538651</v>
      </c>
      <c r="EF26">
        <v>0.39135049515656523</v>
      </c>
      <c r="EG26">
        <v>0.52133838847928993</v>
      </c>
      <c r="EH26">
        <v>0.42819997741709415</v>
      </c>
      <c r="EI26">
        <v>0.18750823384291623</v>
      </c>
      <c r="EJ26">
        <v>4.7326528126344835E-3</v>
      </c>
      <c r="EK26">
        <v>0</v>
      </c>
      <c r="EL26">
        <v>0</v>
      </c>
      <c r="EM26">
        <v>0</v>
      </c>
      <c r="EN26">
        <v>2.9038823300492615E-2</v>
      </c>
      <c r="EO26">
        <v>0.26717579851691708</v>
      </c>
      <c r="EP26">
        <v>0.51559052643254222</v>
      </c>
      <c r="EQ26">
        <v>0.59241111778725919</v>
      </c>
      <c r="ER26">
        <v>0.50295015847562963</v>
      </c>
      <c r="ES26">
        <v>0.29738858865453044</v>
      </c>
      <c r="ET26">
        <v>5.4074251526883936E-2</v>
      </c>
      <c r="EU26">
        <v>0</v>
      </c>
      <c r="EV26">
        <v>0</v>
      </c>
      <c r="EW26">
        <v>0</v>
      </c>
      <c r="EX26">
        <v>4.8917974805121618E-2</v>
      </c>
      <c r="EY26">
        <v>0.34195529339107822</v>
      </c>
      <c r="EZ26">
        <v>0.5968593774151616</v>
      </c>
      <c r="FA26">
        <v>0.68549591238343621</v>
      </c>
      <c r="FB26">
        <v>0.60928589688124446</v>
      </c>
      <c r="FC26">
        <v>0.38759829860442019</v>
      </c>
      <c r="FD26">
        <v>9.0414343668253502E-2</v>
      </c>
      <c r="FE26">
        <v>2.2005563564526156E-4</v>
      </c>
      <c r="FF26">
        <v>0</v>
      </c>
      <c r="FG26">
        <v>0</v>
      </c>
      <c r="FH26">
        <v>8.5258779375614619E-3</v>
      </c>
      <c r="FI26">
        <v>0.22548649840435298</v>
      </c>
      <c r="FJ26">
        <v>0.49668432506878241</v>
      </c>
      <c r="FK26">
        <v>0.59539330248446742</v>
      </c>
      <c r="FL26">
        <v>0.48946119023964618</v>
      </c>
      <c r="FM26">
        <v>0.22674490500703998</v>
      </c>
      <c r="FN26">
        <v>1.3115651522776847E-2</v>
      </c>
      <c r="FO26">
        <v>0</v>
      </c>
      <c r="FQ26" t="s">
        <v>765</v>
      </c>
      <c r="FR26" t="s">
        <v>127</v>
      </c>
      <c r="FS26" t="s">
        <v>128</v>
      </c>
      <c r="FT26">
        <v>0.53635144860717265</v>
      </c>
    </row>
    <row r="27" spans="2:176" x14ac:dyDescent="0.45">
      <c r="B27" t="s">
        <v>766</v>
      </c>
      <c r="C27" t="s">
        <v>123</v>
      </c>
      <c r="D27">
        <v>0</v>
      </c>
      <c r="E27">
        <v>0</v>
      </c>
      <c r="F27">
        <v>0</v>
      </c>
      <c r="G27">
        <v>0.50402749825208693</v>
      </c>
      <c r="H27">
        <v>0.19476759269219893</v>
      </c>
      <c r="I27">
        <v>0.16670534802978046</v>
      </c>
      <c r="J27">
        <v>0.18045865575221226</v>
      </c>
      <c r="K27">
        <v>0.26878032404818603</v>
      </c>
      <c r="L27">
        <v>0.84904537473136266</v>
      </c>
      <c r="M27">
        <v>0</v>
      </c>
      <c r="N27">
        <v>0</v>
      </c>
      <c r="O27">
        <v>0</v>
      </c>
      <c r="P27">
        <v>0.61460453451405772</v>
      </c>
      <c r="Q27">
        <v>0.2285149677347991</v>
      </c>
      <c r="R27">
        <v>0.1526188851241399</v>
      </c>
      <c r="S27">
        <v>0.13701234487726538</v>
      </c>
      <c r="T27">
        <v>0.14114583136395184</v>
      </c>
      <c r="U27">
        <v>0.17040558757691845</v>
      </c>
      <c r="V27">
        <v>0.44973847618980084</v>
      </c>
      <c r="W27">
        <v>0.98188405797101463</v>
      </c>
      <c r="X27">
        <v>0</v>
      </c>
      <c r="Y27">
        <v>0</v>
      </c>
      <c r="Z27">
        <v>0.41623672854893196</v>
      </c>
      <c r="AA27">
        <v>0.13880113080938655</v>
      </c>
      <c r="AB27">
        <v>5.4515320657383882E-2</v>
      </c>
      <c r="AC27">
        <v>3.4372064756551364E-2</v>
      </c>
      <c r="AD27">
        <v>4.5968481470050566E-2</v>
      </c>
      <c r="AE27">
        <v>9.5102499106676036E-2</v>
      </c>
      <c r="AF27">
        <v>0.34022026867104593</v>
      </c>
      <c r="AG27">
        <v>0.8008059262082825</v>
      </c>
      <c r="AH27">
        <v>0</v>
      </c>
      <c r="AI27">
        <v>0</v>
      </c>
      <c r="AJ27">
        <v>0.78791924843576233</v>
      </c>
      <c r="AK27">
        <v>0.24249159281699215</v>
      </c>
      <c r="AL27">
        <v>0.13376797443920641</v>
      </c>
      <c r="AM27">
        <v>0.11430659007834727</v>
      </c>
      <c r="AN27">
        <v>0.13989841598134575</v>
      </c>
      <c r="AO27">
        <v>0.23454190519724771</v>
      </c>
      <c r="AP27">
        <v>0.75366705256126798</v>
      </c>
      <c r="AQ27">
        <v>0</v>
      </c>
      <c r="EA27" t="s">
        <v>766</v>
      </c>
      <c r="EB27">
        <v>0</v>
      </c>
      <c r="EC27">
        <v>0</v>
      </c>
      <c r="ED27">
        <v>0</v>
      </c>
      <c r="EE27">
        <v>8.7414150436627466E-2</v>
      </c>
      <c r="EF27">
        <v>0.37969523752586998</v>
      </c>
      <c r="EG27">
        <v>0.51601758742831094</v>
      </c>
      <c r="EH27">
        <v>0.43885530478839291</v>
      </c>
      <c r="EI27">
        <v>0.20478696015673287</v>
      </c>
      <c r="EJ27">
        <v>8.0675618968252087E-3</v>
      </c>
      <c r="EK27">
        <v>0</v>
      </c>
      <c r="EL27">
        <v>0</v>
      </c>
      <c r="EM27">
        <v>0</v>
      </c>
      <c r="EN27">
        <v>2.3559898991818196E-2</v>
      </c>
      <c r="EO27">
        <v>0.25287751832002792</v>
      </c>
      <c r="EP27">
        <v>0.49484948585463567</v>
      </c>
      <c r="EQ27">
        <v>0.5830751195095899</v>
      </c>
      <c r="ER27">
        <v>0.51148279402835983</v>
      </c>
      <c r="ES27">
        <v>0.31059156078241468</v>
      </c>
      <c r="ET27">
        <v>6.1952201122002927E-2</v>
      </c>
      <c r="EU27">
        <v>5.7846693563832418E-6</v>
      </c>
      <c r="EV27">
        <v>0</v>
      </c>
      <c r="EW27">
        <v>0</v>
      </c>
      <c r="EX27">
        <v>3.9361810736220748E-2</v>
      </c>
      <c r="EY27">
        <v>0.32598045749381538</v>
      </c>
      <c r="EZ27">
        <v>0.5902525211842532</v>
      </c>
      <c r="FA27">
        <v>0.69646090238604852</v>
      </c>
      <c r="FB27">
        <v>0.62809009779611646</v>
      </c>
      <c r="FC27">
        <v>0.40953078547878463</v>
      </c>
      <c r="FD27">
        <v>0.10586862939533839</v>
      </c>
      <c r="FE27">
        <v>5.5936263452747255E-4</v>
      </c>
      <c r="FF27">
        <v>0</v>
      </c>
      <c r="FG27">
        <v>0</v>
      </c>
      <c r="FH27">
        <v>5.5308367941596841E-3</v>
      </c>
      <c r="FI27">
        <v>0.2101617981384557</v>
      </c>
      <c r="FJ27">
        <v>0.48389838883301883</v>
      </c>
      <c r="FK27">
        <v>0.59529152695888754</v>
      </c>
      <c r="FL27">
        <v>0.49594579684493084</v>
      </c>
      <c r="FM27">
        <v>0.24459655432332958</v>
      </c>
      <c r="FN27">
        <v>1.72013505999607E-2</v>
      </c>
      <c r="FO27">
        <v>0</v>
      </c>
      <c r="FQ27" t="s">
        <v>766</v>
      </c>
      <c r="FR27" t="s">
        <v>127</v>
      </c>
      <c r="FS27" t="s">
        <v>128</v>
      </c>
      <c r="FT27">
        <v>0.57639161138551376</v>
      </c>
    </row>
    <row r="28" spans="2:176" x14ac:dyDescent="0.45">
      <c r="B28" t="s">
        <v>767</v>
      </c>
      <c r="C28" t="s">
        <v>123</v>
      </c>
      <c r="D28">
        <v>0</v>
      </c>
      <c r="E28">
        <v>0</v>
      </c>
      <c r="F28">
        <v>0</v>
      </c>
      <c r="G28">
        <v>0.38525165743593209</v>
      </c>
      <c r="H28">
        <v>0.16084154064793213</v>
      </c>
      <c r="I28">
        <v>0.13197389451874988</v>
      </c>
      <c r="J28">
        <v>0.14969588724340482</v>
      </c>
      <c r="K28">
        <v>0.25485296259156193</v>
      </c>
      <c r="L28">
        <v>0.88162950574767374</v>
      </c>
      <c r="M28">
        <v>0</v>
      </c>
      <c r="N28">
        <v>0</v>
      </c>
      <c r="O28">
        <v>0</v>
      </c>
      <c r="P28">
        <v>0.5663044024465681</v>
      </c>
      <c r="Q28">
        <v>0.19867051855100304</v>
      </c>
      <c r="R28">
        <v>0.11937450424684044</v>
      </c>
      <c r="S28">
        <v>0.11097592006110713</v>
      </c>
      <c r="T28">
        <v>0.12707230764291377</v>
      </c>
      <c r="U28">
        <v>0.16957386128487134</v>
      </c>
      <c r="V28">
        <v>0.46485101274800766</v>
      </c>
      <c r="W28">
        <v>0</v>
      </c>
      <c r="X28">
        <v>0</v>
      </c>
      <c r="Y28">
        <v>0</v>
      </c>
      <c r="Z28">
        <v>0.40935492633014509</v>
      </c>
      <c r="AA28">
        <v>0.12778066946811309</v>
      </c>
      <c r="AB28">
        <v>4.747908411780645E-2</v>
      </c>
      <c r="AC28">
        <v>3.579423638426224E-2</v>
      </c>
      <c r="AD28">
        <v>6.0487906348767072E-2</v>
      </c>
      <c r="AE28">
        <v>0.11337943894733417</v>
      </c>
      <c r="AF28">
        <v>0.37270247191579758</v>
      </c>
      <c r="AG28">
        <v>0.910718375629743</v>
      </c>
      <c r="AH28">
        <v>0</v>
      </c>
      <c r="AI28">
        <v>0</v>
      </c>
      <c r="AJ28">
        <v>0.73624170531164712</v>
      </c>
      <c r="AK28">
        <v>0.20871018757857643</v>
      </c>
      <c r="AL28">
        <v>9.3689494540172349E-2</v>
      </c>
      <c r="AM28">
        <v>8.0972001157261012E-2</v>
      </c>
      <c r="AN28">
        <v>0.11166585746222646</v>
      </c>
      <c r="AO28">
        <v>0.23505176347090331</v>
      </c>
      <c r="AP28">
        <v>0.78419858744616844</v>
      </c>
      <c r="AQ28">
        <v>0</v>
      </c>
      <c r="EA28" t="s">
        <v>767</v>
      </c>
      <c r="EB28">
        <v>0</v>
      </c>
      <c r="EC28">
        <v>0</v>
      </c>
      <c r="ED28">
        <v>0</v>
      </c>
      <c r="EE28">
        <v>0.12842999518363762</v>
      </c>
      <c r="EF28">
        <v>0.4237809012959845</v>
      </c>
      <c r="EG28">
        <v>0.55142676973922344</v>
      </c>
      <c r="EH28">
        <v>0.45877367496989579</v>
      </c>
      <c r="EI28">
        <v>0.1995664551219099</v>
      </c>
      <c r="EJ28">
        <v>4.4617549565807426E-3</v>
      </c>
      <c r="EK28">
        <v>0</v>
      </c>
      <c r="EL28">
        <v>0</v>
      </c>
      <c r="EM28">
        <v>0</v>
      </c>
      <c r="EN28">
        <v>3.2288172115703902E-2</v>
      </c>
      <c r="EO28">
        <v>0.28836772422475798</v>
      </c>
      <c r="EP28">
        <v>0.54044707282440696</v>
      </c>
      <c r="EQ28">
        <v>0.61165490795117206</v>
      </c>
      <c r="ER28">
        <v>0.5140153363159502</v>
      </c>
      <c r="ES28">
        <v>0.29216463769246065</v>
      </c>
      <c r="ET28">
        <v>5.0274277341609233E-2</v>
      </c>
      <c r="EU28">
        <v>0</v>
      </c>
      <c r="EV28">
        <v>0</v>
      </c>
      <c r="EW28">
        <v>0</v>
      </c>
      <c r="EX28">
        <v>5.2536368842808212E-2</v>
      </c>
      <c r="EY28">
        <v>0.34933173968783643</v>
      </c>
      <c r="EZ28">
        <v>0.60667513905822934</v>
      </c>
      <c r="FA28">
        <v>0.69130813363169985</v>
      </c>
      <c r="FB28">
        <v>0.5963313637617591</v>
      </c>
      <c r="FC28">
        <v>0.36116222552313576</v>
      </c>
      <c r="FD28">
        <v>8.1039938554794536E-2</v>
      </c>
      <c r="FE28">
        <v>1.0354855041632747E-5</v>
      </c>
      <c r="FF28">
        <v>0</v>
      </c>
      <c r="FG28">
        <v>0</v>
      </c>
      <c r="FH28">
        <v>9.9284955321206087E-3</v>
      </c>
      <c r="FI28">
        <v>0.24525336130729361</v>
      </c>
      <c r="FJ28">
        <v>0.53343979264958186</v>
      </c>
      <c r="FK28">
        <v>0.61523063705708692</v>
      </c>
      <c r="FL28">
        <v>0.49371787031470754</v>
      </c>
      <c r="FM28">
        <v>0.2186399030368544</v>
      </c>
      <c r="FN28">
        <v>1.0835427167202068E-2</v>
      </c>
      <c r="FO28">
        <v>0</v>
      </c>
      <c r="FQ28" t="s">
        <v>767</v>
      </c>
      <c r="FR28" t="s">
        <v>127</v>
      </c>
      <c r="FS28" t="s">
        <v>128</v>
      </c>
      <c r="FT28">
        <v>0.51528460824862277</v>
      </c>
    </row>
    <row r="29" spans="2:176" x14ac:dyDescent="0.45">
      <c r="B29" t="s">
        <v>768</v>
      </c>
      <c r="C29" t="s">
        <v>123</v>
      </c>
      <c r="D29">
        <v>0</v>
      </c>
      <c r="E29">
        <v>0</v>
      </c>
      <c r="F29">
        <v>0</v>
      </c>
      <c r="G29">
        <v>0.35528533608964746</v>
      </c>
      <c r="H29">
        <v>0.14186315342785508</v>
      </c>
      <c r="I29">
        <v>0.10395677721869048</v>
      </c>
      <c r="J29">
        <v>0.11973107187391688</v>
      </c>
      <c r="K29">
        <v>0.23649572340980143</v>
      </c>
      <c r="L29">
        <v>0.84848535312026152</v>
      </c>
      <c r="M29">
        <v>0</v>
      </c>
      <c r="N29">
        <v>0</v>
      </c>
      <c r="O29">
        <v>0</v>
      </c>
      <c r="P29">
        <v>0.56870398706940095</v>
      </c>
      <c r="Q29">
        <v>0.18748553145309882</v>
      </c>
      <c r="R29">
        <v>0.10976525955907884</v>
      </c>
      <c r="S29">
        <v>9.0524216304921398E-2</v>
      </c>
      <c r="T29">
        <v>9.44293128937648E-2</v>
      </c>
      <c r="U29">
        <v>0.13940855365403612</v>
      </c>
      <c r="V29">
        <v>0.45791838085453529</v>
      </c>
      <c r="W29">
        <v>0</v>
      </c>
      <c r="X29">
        <v>0</v>
      </c>
      <c r="Y29">
        <v>0</v>
      </c>
      <c r="Z29">
        <v>0.41754632598328967</v>
      </c>
      <c r="AA29">
        <v>0.1272311143522136</v>
      </c>
      <c r="AB29">
        <v>4.3966144537349913E-2</v>
      </c>
      <c r="AC29">
        <v>2.2519996509374984E-2</v>
      </c>
      <c r="AD29">
        <v>4.4755255356203012E-2</v>
      </c>
      <c r="AE29">
        <v>0.10504188740319391</v>
      </c>
      <c r="AF29">
        <v>0.37864881553324437</v>
      </c>
      <c r="AG29">
        <v>0.93478260869565211</v>
      </c>
      <c r="AH29">
        <v>0</v>
      </c>
      <c r="AI29">
        <v>0</v>
      </c>
      <c r="AJ29">
        <v>0.73412368379165316</v>
      </c>
      <c r="AK29">
        <v>0.20473345143174773</v>
      </c>
      <c r="AL29">
        <v>8.4543882104308479E-2</v>
      </c>
      <c r="AM29">
        <v>6.9891669529393491E-2</v>
      </c>
      <c r="AN29">
        <v>9.192421151446023E-2</v>
      </c>
      <c r="AO29">
        <v>0.21456413342010208</v>
      </c>
      <c r="AP29">
        <v>0.76600330172088071</v>
      </c>
      <c r="AQ29">
        <v>0</v>
      </c>
      <c r="EA29" t="s">
        <v>768</v>
      </c>
      <c r="EB29">
        <v>0</v>
      </c>
      <c r="EC29">
        <v>0</v>
      </c>
      <c r="ED29">
        <v>0</v>
      </c>
      <c r="EE29">
        <v>0.13292837405654812</v>
      </c>
      <c r="EF29">
        <v>0.44127187792218708</v>
      </c>
      <c r="EG29">
        <v>0.58276517305064479</v>
      </c>
      <c r="EH29">
        <v>0.4973486054577505</v>
      </c>
      <c r="EI29">
        <v>0.22604213975228507</v>
      </c>
      <c r="EJ29">
        <v>7.4214201421616928E-3</v>
      </c>
      <c r="EK29">
        <v>0</v>
      </c>
      <c r="EL29">
        <v>0</v>
      </c>
      <c r="EM29">
        <v>0</v>
      </c>
      <c r="EN29">
        <v>2.9567125823566267E-2</v>
      </c>
      <c r="EO29">
        <v>0.28951983291565375</v>
      </c>
      <c r="EP29">
        <v>0.5553594516500201</v>
      </c>
      <c r="EQ29">
        <v>0.64973397296803315</v>
      </c>
      <c r="ER29">
        <v>0.56776730741147863</v>
      </c>
      <c r="ES29">
        <v>0.33159965911750755</v>
      </c>
      <c r="ET29">
        <v>5.590780240606083E-2</v>
      </c>
      <c r="EU29">
        <v>0</v>
      </c>
      <c r="EV29">
        <v>0</v>
      </c>
      <c r="EW29">
        <v>0</v>
      </c>
      <c r="EX29">
        <v>4.80075245260186E-2</v>
      </c>
      <c r="EY29">
        <v>0.34525181208910333</v>
      </c>
      <c r="EZ29">
        <v>0.61395301219928089</v>
      </c>
      <c r="FA29">
        <v>0.71174888982621642</v>
      </c>
      <c r="FB29">
        <v>0.6251737351141563</v>
      </c>
      <c r="FC29">
        <v>0.38554790027384778</v>
      </c>
      <c r="FD29">
        <v>8.6344570589610911E-2</v>
      </c>
      <c r="FE29">
        <v>1.5966471166572043E-6</v>
      </c>
      <c r="FF29">
        <v>0</v>
      </c>
      <c r="FG29">
        <v>0</v>
      </c>
      <c r="FH29">
        <v>9.013879820673627E-3</v>
      </c>
      <c r="FI29">
        <v>0.24964099001504891</v>
      </c>
      <c r="FJ29">
        <v>0.54147635509900127</v>
      </c>
      <c r="FK29">
        <v>0.62839920854785436</v>
      </c>
      <c r="FL29">
        <v>0.50853278753027487</v>
      </c>
      <c r="FM29">
        <v>0.22725301739450038</v>
      </c>
      <c r="FN29">
        <v>1.1669618755712598E-2</v>
      </c>
      <c r="FO29">
        <v>0</v>
      </c>
      <c r="FQ29" t="s">
        <v>768</v>
      </c>
      <c r="FR29" t="s">
        <v>127</v>
      </c>
      <c r="FS29" t="s">
        <v>128</v>
      </c>
      <c r="FT29">
        <v>0.54819836722009452</v>
      </c>
    </row>
    <row r="30" spans="2:176" x14ac:dyDescent="0.45">
      <c r="B30" t="s">
        <v>769</v>
      </c>
      <c r="C30" t="s">
        <v>123</v>
      </c>
      <c r="D30">
        <v>0</v>
      </c>
      <c r="E30">
        <v>0</v>
      </c>
      <c r="F30">
        <v>0</v>
      </c>
      <c r="G30">
        <v>0.33444619924390595</v>
      </c>
      <c r="H30">
        <v>0.12823143402462489</v>
      </c>
      <c r="I30">
        <v>0.10371609505331245</v>
      </c>
      <c r="J30">
        <v>0.12670090112767582</v>
      </c>
      <c r="K30">
        <v>0.23863962284010623</v>
      </c>
      <c r="L30">
        <v>0.89173344586025083</v>
      </c>
      <c r="M30">
        <v>0</v>
      </c>
      <c r="N30">
        <v>0</v>
      </c>
      <c r="O30">
        <v>0</v>
      </c>
      <c r="P30">
        <v>0.53155985147296814</v>
      </c>
      <c r="Q30">
        <v>0.16571363295676353</v>
      </c>
      <c r="R30">
        <v>9.7918367712147986E-2</v>
      </c>
      <c r="S30">
        <v>9.562625084373283E-2</v>
      </c>
      <c r="T30">
        <v>0.10335816047237317</v>
      </c>
      <c r="U30">
        <v>0.15874311341603259</v>
      </c>
      <c r="V30">
        <v>0.47364092416649944</v>
      </c>
      <c r="W30">
        <v>0</v>
      </c>
      <c r="X30">
        <v>0</v>
      </c>
      <c r="Y30">
        <v>0</v>
      </c>
      <c r="Z30">
        <v>0.40713510047993673</v>
      </c>
      <c r="AA30">
        <v>0.1285930647385122</v>
      </c>
      <c r="AB30">
        <v>4.8618097973604585E-2</v>
      </c>
      <c r="AC30">
        <v>3.3725057623214642E-2</v>
      </c>
      <c r="AD30">
        <v>5.6587166668348163E-2</v>
      </c>
      <c r="AE30">
        <v>0.1192364723049891</v>
      </c>
      <c r="AF30">
        <v>0.37700859189012331</v>
      </c>
      <c r="AG30">
        <v>0</v>
      </c>
      <c r="AH30">
        <v>0</v>
      </c>
      <c r="AI30">
        <v>0</v>
      </c>
      <c r="AJ30">
        <v>0.71244601160062737</v>
      </c>
      <c r="AK30">
        <v>0.19244084250670218</v>
      </c>
      <c r="AL30">
        <v>7.7937694097918148E-2</v>
      </c>
      <c r="AM30">
        <v>6.7339945403054005E-2</v>
      </c>
      <c r="AN30">
        <v>8.6284204072855877E-2</v>
      </c>
      <c r="AO30">
        <v>0.2193341652531873</v>
      </c>
      <c r="AP30">
        <v>0.79660957095216989</v>
      </c>
      <c r="AQ30">
        <v>0</v>
      </c>
      <c r="EA30" t="s">
        <v>769</v>
      </c>
      <c r="EB30">
        <v>0</v>
      </c>
      <c r="EC30">
        <v>0</v>
      </c>
      <c r="ED30">
        <v>0</v>
      </c>
      <c r="EE30">
        <v>0.1507051050116428</v>
      </c>
      <c r="EF30">
        <v>0.45954615404752353</v>
      </c>
      <c r="EG30">
        <v>0.5787883329203265</v>
      </c>
      <c r="EH30">
        <v>0.47563228513244554</v>
      </c>
      <c r="EI30">
        <v>0.2024195479815348</v>
      </c>
      <c r="EJ30">
        <v>3.5020610924675105E-3</v>
      </c>
      <c r="EK30">
        <v>0</v>
      </c>
      <c r="EL30">
        <v>0</v>
      </c>
      <c r="EM30">
        <v>0</v>
      </c>
      <c r="EN30">
        <v>3.7651692725954373E-2</v>
      </c>
      <c r="EO30">
        <v>0.31536478977387167</v>
      </c>
      <c r="EP30">
        <v>0.56780404939493723</v>
      </c>
      <c r="EQ30">
        <v>0.63079804125017869</v>
      </c>
      <c r="ER30">
        <v>0.53877823855675888</v>
      </c>
      <c r="ES30">
        <v>0.30190263418017343</v>
      </c>
      <c r="ET30">
        <v>4.6157874428197854E-2</v>
      </c>
      <c r="EU30">
        <v>0</v>
      </c>
      <c r="EV30">
        <v>0</v>
      </c>
      <c r="EW30">
        <v>0</v>
      </c>
      <c r="EX30">
        <v>5.6206517804973398E-2</v>
      </c>
      <c r="EY30">
        <v>0.34718658324155866</v>
      </c>
      <c r="EZ30">
        <v>0.60124398891871056</v>
      </c>
      <c r="FA30">
        <v>0.68759862043517495</v>
      </c>
      <c r="FB30">
        <v>0.59067509247489414</v>
      </c>
      <c r="FC30">
        <v>0.34864072638834115</v>
      </c>
      <c r="FD30">
        <v>7.4575880426276275E-2</v>
      </c>
      <c r="FE30">
        <v>0</v>
      </c>
      <c r="FF30">
        <v>0</v>
      </c>
      <c r="FG30">
        <v>0</v>
      </c>
      <c r="FH30">
        <v>1.1501091912461887E-2</v>
      </c>
      <c r="FI30">
        <v>0.25089044377498776</v>
      </c>
      <c r="FJ30">
        <v>0.53333823821515602</v>
      </c>
      <c r="FK30">
        <v>0.61025484809640962</v>
      </c>
      <c r="FL30">
        <v>0.48668832674925144</v>
      </c>
      <c r="FM30">
        <v>0.20659288896270128</v>
      </c>
      <c r="FN30">
        <v>8.64034924249844E-3</v>
      </c>
      <c r="FO30">
        <v>0</v>
      </c>
      <c r="FQ30" t="s">
        <v>769</v>
      </c>
      <c r="FR30" t="s">
        <v>127</v>
      </c>
      <c r="FS30" t="s">
        <v>128</v>
      </c>
      <c r="FT30">
        <v>0.50699707348280265</v>
      </c>
    </row>
    <row r="31" spans="2:176" x14ac:dyDescent="0.45">
      <c r="B31" t="s">
        <v>770</v>
      </c>
      <c r="C31" t="s">
        <v>123</v>
      </c>
      <c r="D31">
        <v>0</v>
      </c>
      <c r="E31">
        <v>0</v>
      </c>
      <c r="F31">
        <v>0</v>
      </c>
      <c r="G31">
        <v>0.37099465535994908</v>
      </c>
      <c r="H31">
        <v>0.1522825365931785</v>
      </c>
      <c r="I31">
        <v>0.1222610087963998</v>
      </c>
      <c r="J31">
        <v>0.13433937052610984</v>
      </c>
      <c r="K31">
        <v>0.2890836573445047</v>
      </c>
      <c r="L31">
        <v>0.91302861694224124</v>
      </c>
      <c r="M31">
        <v>0</v>
      </c>
      <c r="N31">
        <v>0</v>
      </c>
      <c r="O31">
        <v>0</v>
      </c>
      <c r="P31">
        <v>0.53633760208144543</v>
      </c>
      <c r="Q31">
        <v>0.19397811969679721</v>
      </c>
      <c r="R31">
        <v>0.11368588658897073</v>
      </c>
      <c r="S31">
        <v>0.10790172720840852</v>
      </c>
      <c r="T31">
        <v>0.125312406686961</v>
      </c>
      <c r="U31">
        <v>0.17460193475779637</v>
      </c>
      <c r="V31">
        <v>0.46713515508195225</v>
      </c>
      <c r="W31">
        <v>0</v>
      </c>
      <c r="X31">
        <v>0</v>
      </c>
      <c r="Y31">
        <v>0</v>
      </c>
      <c r="Z31">
        <v>0.39710011853298305</v>
      </c>
      <c r="AA31">
        <v>0.12622567216039299</v>
      </c>
      <c r="AB31">
        <v>5.3512995065205494E-2</v>
      </c>
      <c r="AC31">
        <v>5.426353110678344E-2</v>
      </c>
      <c r="AD31">
        <v>7.9286702261859229E-2</v>
      </c>
      <c r="AE31">
        <v>0.12070276250023491</v>
      </c>
      <c r="AF31">
        <v>0.3656269887697986</v>
      </c>
      <c r="AG31">
        <v>0.93478260869565222</v>
      </c>
      <c r="AH31">
        <v>0</v>
      </c>
      <c r="AI31">
        <v>0</v>
      </c>
      <c r="AJ31">
        <v>0.72345707564820971</v>
      </c>
      <c r="AK31">
        <v>0.22417791379593111</v>
      </c>
      <c r="AL31">
        <v>0.11496139174204173</v>
      </c>
      <c r="AM31">
        <v>9.4668560819327577E-2</v>
      </c>
      <c r="AN31">
        <v>0.12047470674975684</v>
      </c>
      <c r="AO31">
        <v>0.24886053502487346</v>
      </c>
      <c r="AP31">
        <v>0.80255343883695029</v>
      </c>
      <c r="AQ31">
        <v>0</v>
      </c>
      <c r="EA31" t="s">
        <v>770</v>
      </c>
      <c r="EB31">
        <v>0</v>
      </c>
      <c r="EC31">
        <v>0</v>
      </c>
      <c r="ED31">
        <v>0</v>
      </c>
      <c r="EE31">
        <v>0.12928221807182452</v>
      </c>
      <c r="EF31">
        <v>0.42409434057213546</v>
      </c>
      <c r="EG31">
        <v>0.54933055372796513</v>
      </c>
      <c r="EH31">
        <v>0.46287293363192961</v>
      </c>
      <c r="EI31">
        <v>0.18380220425800273</v>
      </c>
      <c r="EJ31">
        <v>2.5457447577334389E-3</v>
      </c>
      <c r="EK31">
        <v>0</v>
      </c>
      <c r="EL31">
        <v>0</v>
      </c>
      <c r="EM31">
        <v>0</v>
      </c>
      <c r="EN31">
        <v>3.698134023471502E-2</v>
      </c>
      <c r="EO31">
        <v>0.29596683370739807</v>
      </c>
      <c r="EP31">
        <v>0.55053678314043208</v>
      </c>
      <c r="EQ31">
        <v>0.62325903143640882</v>
      </c>
      <c r="ER31">
        <v>0.52467608254957587</v>
      </c>
      <c r="ES31">
        <v>0.2906214727561528</v>
      </c>
      <c r="ET31">
        <v>4.3990751752119368E-2</v>
      </c>
      <c r="EU31">
        <v>0</v>
      </c>
      <c r="EV31">
        <v>0</v>
      </c>
      <c r="EW31">
        <v>0</v>
      </c>
      <c r="EX31">
        <v>5.9248421927865703E-2</v>
      </c>
      <c r="EY31">
        <v>0.35275842510026206</v>
      </c>
      <c r="EZ31">
        <v>0.59705853442695778</v>
      </c>
      <c r="FA31">
        <v>0.65495857588072282</v>
      </c>
      <c r="FB31">
        <v>0.55143032540247017</v>
      </c>
      <c r="FC31">
        <v>0.3258950548992916</v>
      </c>
      <c r="FD31">
        <v>7.2150385490006505E-2</v>
      </c>
      <c r="FE31">
        <v>3.3298207488606428E-6</v>
      </c>
      <c r="FF31">
        <v>0</v>
      </c>
      <c r="FG31">
        <v>0</v>
      </c>
      <c r="FH31">
        <v>1.2393925857329393E-2</v>
      </c>
      <c r="FI31">
        <v>0.23526226796034602</v>
      </c>
      <c r="FJ31">
        <v>0.51714362297926686</v>
      </c>
      <c r="FK31">
        <v>0.59936520114467384</v>
      </c>
      <c r="FL31">
        <v>0.47372089756290403</v>
      </c>
      <c r="FM31">
        <v>0.19817109760450471</v>
      </c>
      <c r="FN31">
        <v>8.1444028942222867E-3</v>
      </c>
      <c r="FO31">
        <v>0</v>
      </c>
      <c r="FQ31" t="s">
        <v>770</v>
      </c>
      <c r="FR31" t="s">
        <v>127</v>
      </c>
      <c r="FS31" t="s">
        <v>128</v>
      </c>
      <c r="FT31">
        <v>0.5102351874640676</v>
      </c>
    </row>
    <row r="32" spans="2:176" x14ac:dyDescent="0.45">
      <c r="B32" t="s">
        <v>771</v>
      </c>
      <c r="C32" t="s">
        <v>123</v>
      </c>
      <c r="D32">
        <v>0</v>
      </c>
      <c r="E32">
        <v>0</v>
      </c>
      <c r="F32">
        <v>0</v>
      </c>
      <c r="G32">
        <v>0.4084822941007053</v>
      </c>
      <c r="H32">
        <v>0.15259697794827023</v>
      </c>
      <c r="I32">
        <v>0.1292413855097726</v>
      </c>
      <c r="J32">
        <v>0.15108299791581639</v>
      </c>
      <c r="K32">
        <v>0.30865550746412762</v>
      </c>
      <c r="L32">
        <v>0.91133304299280093</v>
      </c>
      <c r="M32">
        <v>0</v>
      </c>
      <c r="N32">
        <v>0</v>
      </c>
      <c r="O32">
        <v>0</v>
      </c>
      <c r="P32">
        <v>0.53203006654669571</v>
      </c>
      <c r="Q32">
        <v>0.19111242742624407</v>
      </c>
      <c r="R32">
        <v>0.12305516793187862</v>
      </c>
      <c r="S32">
        <v>0.11790550978514217</v>
      </c>
      <c r="T32">
        <v>0.12816577145258529</v>
      </c>
      <c r="U32">
        <v>0.18417337668131573</v>
      </c>
      <c r="V32">
        <v>0.46554018338090075</v>
      </c>
      <c r="W32">
        <v>0</v>
      </c>
      <c r="X32">
        <v>0</v>
      </c>
      <c r="Y32">
        <v>0</v>
      </c>
      <c r="Z32">
        <v>0.38460591523329385</v>
      </c>
      <c r="AA32">
        <v>0.12327129271819399</v>
      </c>
      <c r="AB32">
        <v>5.1370592145964088E-2</v>
      </c>
      <c r="AC32">
        <v>4.397663376088793E-2</v>
      </c>
      <c r="AD32">
        <v>6.9454350006616011E-2</v>
      </c>
      <c r="AE32">
        <v>0.11112525235315782</v>
      </c>
      <c r="AF32">
        <v>0.35670583922733984</v>
      </c>
      <c r="AG32">
        <v>0.86239548229182394</v>
      </c>
      <c r="AH32">
        <v>0</v>
      </c>
      <c r="AI32">
        <v>0</v>
      </c>
      <c r="AJ32">
        <v>0.74396622934469459</v>
      </c>
      <c r="AK32">
        <v>0.22905529286122381</v>
      </c>
      <c r="AL32">
        <v>0.13119206044661011</v>
      </c>
      <c r="AM32">
        <v>0.12154770208330354</v>
      </c>
      <c r="AN32">
        <v>0.136936051039486</v>
      </c>
      <c r="AO32">
        <v>0.26494231356809167</v>
      </c>
      <c r="AP32">
        <v>0.79578223140367477</v>
      </c>
      <c r="AQ32">
        <v>0</v>
      </c>
      <c r="EA32" t="s">
        <v>771</v>
      </c>
      <c r="EB32">
        <v>0</v>
      </c>
      <c r="EC32">
        <v>0</v>
      </c>
      <c r="ED32">
        <v>0</v>
      </c>
      <c r="EE32">
        <v>0.10967978339673465</v>
      </c>
      <c r="EF32">
        <v>0.40217425740097068</v>
      </c>
      <c r="EG32">
        <v>0.52282680698221529</v>
      </c>
      <c r="EH32">
        <v>0.42778815491707167</v>
      </c>
      <c r="EI32">
        <v>0.16213671898438811</v>
      </c>
      <c r="EJ32">
        <v>2.0642437735108677E-3</v>
      </c>
      <c r="EK32">
        <v>0</v>
      </c>
      <c r="EL32">
        <v>0</v>
      </c>
      <c r="EM32">
        <v>0</v>
      </c>
      <c r="EN32">
        <v>3.553092330794333E-2</v>
      </c>
      <c r="EO32">
        <v>0.2795771105003183</v>
      </c>
      <c r="EP32">
        <v>0.51741732294636056</v>
      </c>
      <c r="EQ32">
        <v>0.60433240061370097</v>
      </c>
      <c r="ER32">
        <v>0.51918308658459933</v>
      </c>
      <c r="ES32">
        <v>0.29057730088877642</v>
      </c>
      <c r="ET32">
        <v>4.5828455067760371E-2</v>
      </c>
      <c r="EU32">
        <v>0</v>
      </c>
      <c r="EV32">
        <v>0</v>
      </c>
      <c r="EW32">
        <v>0</v>
      </c>
      <c r="EX32">
        <v>5.8472087310609495E-2</v>
      </c>
      <c r="EY32">
        <v>0.34804464344690883</v>
      </c>
      <c r="EZ32">
        <v>0.59460727936837143</v>
      </c>
      <c r="FA32">
        <v>0.67123807479130093</v>
      </c>
      <c r="FB32">
        <v>0.57138291411276765</v>
      </c>
      <c r="FC32">
        <v>0.34473683690163354</v>
      </c>
      <c r="FD32">
        <v>7.6550725818056539E-2</v>
      </c>
      <c r="FE32">
        <v>1.080235205950544E-4</v>
      </c>
      <c r="FF32">
        <v>0</v>
      </c>
      <c r="FG32">
        <v>0</v>
      </c>
      <c r="FH32">
        <v>1.2016757663133867E-2</v>
      </c>
      <c r="FI32">
        <v>0.23224597249878068</v>
      </c>
      <c r="FJ32">
        <v>0.49615449220697316</v>
      </c>
      <c r="FK32">
        <v>0.5777526947693391</v>
      </c>
      <c r="FL32">
        <v>0.46838701594244125</v>
      </c>
      <c r="FM32">
        <v>0.2007790713185286</v>
      </c>
      <c r="FN32">
        <v>9.4986187375961546E-3</v>
      </c>
      <c r="FO32">
        <v>0</v>
      </c>
      <c r="FQ32" t="s">
        <v>771</v>
      </c>
      <c r="FR32" t="s">
        <v>127</v>
      </c>
      <c r="FS32" t="s">
        <v>128</v>
      </c>
      <c r="FT32">
        <v>0.51671271428037091</v>
      </c>
    </row>
    <row r="33" spans="2:176" x14ac:dyDescent="0.45">
      <c r="B33" t="s">
        <v>772</v>
      </c>
      <c r="C33" t="s">
        <v>123</v>
      </c>
      <c r="D33">
        <v>0</v>
      </c>
      <c r="E33">
        <v>0</v>
      </c>
      <c r="F33">
        <v>0</v>
      </c>
      <c r="G33">
        <v>0.29253102094311539</v>
      </c>
      <c r="H33">
        <v>0.14970507961803101</v>
      </c>
      <c r="I33">
        <v>0.1310474538670518</v>
      </c>
      <c r="J33">
        <v>0.14326006614047201</v>
      </c>
      <c r="K33">
        <v>0.36161349313113794</v>
      </c>
      <c r="L33">
        <v>0.97111080970623409</v>
      </c>
      <c r="M33">
        <v>0</v>
      </c>
      <c r="N33">
        <v>0</v>
      </c>
      <c r="O33">
        <v>0.95652173913043448</v>
      </c>
      <c r="P33">
        <v>0.48284717269138155</v>
      </c>
      <c r="Q33">
        <v>0.1897609288735071</v>
      </c>
      <c r="R33">
        <v>0.13011684305911062</v>
      </c>
      <c r="S33">
        <v>0.1244120158275528</v>
      </c>
      <c r="T33">
        <v>0.13394121494318248</v>
      </c>
      <c r="U33">
        <v>0.19029242142835573</v>
      </c>
      <c r="V33">
        <v>0.50022099258801067</v>
      </c>
      <c r="W33">
        <v>0</v>
      </c>
      <c r="X33">
        <v>0</v>
      </c>
      <c r="Y33">
        <v>0.81136086176069966</v>
      </c>
      <c r="Z33">
        <v>0.36023353831125809</v>
      </c>
      <c r="AA33">
        <v>0.11863366155197469</v>
      </c>
      <c r="AB33">
        <v>5.3749353339412068E-2</v>
      </c>
      <c r="AC33">
        <v>4.9180163475147934E-2</v>
      </c>
      <c r="AD33">
        <v>7.2013604257231828E-2</v>
      </c>
      <c r="AE33">
        <v>0.12741770489314946</v>
      </c>
      <c r="AF33">
        <v>0.36934216431065353</v>
      </c>
      <c r="AG33">
        <v>0</v>
      </c>
      <c r="AH33">
        <v>0</v>
      </c>
      <c r="AI33">
        <v>0</v>
      </c>
      <c r="AJ33">
        <v>0.67716320952288989</v>
      </c>
      <c r="AK33">
        <v>0.21001357743598709</v>
      </c>
      <c r="AL33">
        <v>0.11364997995862898</v>
      </c>
      <c r="AM33">
        <v>0.10917740428166103</v>
      </c>
      <c r="AN33">
        <v>0.13693617040108205</v>
      </c>
      <c r="AO33">
        <v>0.3244295303073691</v>
      </c>
      <c r="AP33">
        <v>0.85353617798280634</v>
      </c>
      <c r="AQ33">
        <v>0</v>
      </c>
      <c r="EA33" t="s">
        <v>772</v>
      </c>
      <c r="EB33">
        <v>0</v>
      </c>
      <c r="EC33">
        <v>0</v>
      </c>
      <c r="ED33">
        <v>0</v>
      </c>
      <c r="EE33">
        <v>0.14841936347175802</v>
      </c>
      <c r="EF33">
        <v>0.41747023526047322</v>
      </c>
      <c r="EG33">
        <v>0.51127449706685946</v>
      </c>
      <c r="EH33">
        <v>0.40669267972374473</v>
      </c>
      <c r="EI33">
        <v>0.1285863526063056</v>
      </c>
      <c r="EJ33">
        <v>1.0455098373812855E-4</v>
      </c>
      <c r="EK33">
        <v>0</v>
      </c>
      <c r="EL33">
        <v>0</v>
      </c>
      <c r="EM33">
        <v>2.1370928735022593E-5</v>
      </c>
      <c r="EN33">
        <v>4.7596839080733651E-2</v>
      </c>
      <c r="EO33">
        <v>0.30419693452972241</v>
      </c>
      <c r="EP33">
        <v>0.5215517600394427</v>
      </c>
      <c r="EQ33">
        <v>0.57234079183808784</v>
      </c>
      <c r="ER33">
        <v>0.4715747511508292</v>
      </c>
      <c r="ES33">
        <v>0.24453487451276992</v>
      </c>
      <c r="ET33">
        <v>2.7198663190682992E-2</v>
      </c>
      <c r="EU33">
        <v>0</v>
      </c>
      <c r="EV33">
        <v>0</v>
      </c>
      <c r="EW33">
        <v>2.9958390299671573E-4</v>
      </c>
      <c r="EX33">
        <v>7.5474629586194261E-2</v>
      </c>
      <c r="EY33">
        <v>0.35555141470504009</v>
      </c>
      <c r="EZ33">
        <v>0.57859686245396891</v>
      </c>
      <c r="FA33">
        <v>0.63075496713966694</v>
      </c>
      <c r="FB33">
        <v>0.52000515925879442</v>
      </c>
      <c r="FC33">
        <v>0.2957255387401993</v>
      </c>
      <c r="FD33">
        <v>5.4982152349976811E-2</v>
      </c>
      <c r="FE33">
        <v>0</v>
      </c>
      <c r="FF33">
        <v>0</v>
      </c>
      <c r="FG33">
        <v>0</v>
      </c>
      <c r="FH33">
        <v>1.7783675742580017E-2</v>
      </c>
      <c r="FI33">
        <v>0.23900879903912156</v>
      </c>
      <c r="FJ33">
        <v>0.48075099694945789</v>
      </c>
      <c r="FK33">
        <v>0.53244012238184701</v>
      </c>
      <c r="FL33">
        <v>0.40222661297838902</v>
      </c>
      <c r="FM33">
        <v>0.14288526179471123</v>
      </c>
      <c r="FN33">
        <v>3.7044311010165382E-3</v>
      </c>
      <c r="FO33">
        <v>0</v>
      </c>
      <c r="FQ33" t="s">
        <v>772</v>
      </c>
      <c r="FR33" t="s">
        <v>127</v>
      </c>
      <c r="FS33" t="s">
        <v>128</v>
      </c>
      <c r="FT33">
        <v>0.47917188523266202</v>
      </c>
    </row>
    <row r="34" spans="2:176" x14ac:dyDescent="0.45">
      <c r="B34" t="s">
        <v>773</v>
      </c>
      <c r="C34" t="s">
        <v>123</v>
      </c>
      <c r="D34">
        <v>0</v>
      </c>
      <c r="E34">
        <v>0</v>
      </c>
      <c r="F34">
        <v>0</v>
      </c>
      <c r="G34">
        <v>0.41720463497938298</v>
      </c>
      <c r="H34">
        <v>0.15290477400069868</v>
      </c>
      <c r="I34">
        <v>0.12913636755852351</v>
      </c>
      <c r="J34">
        <v>0.14437456006998489</v>
      </c>
      <c r="K34">
        <v>0.33159149183309322</v>
      </c>
      <c r="L34">
        <v>0.93751774591192871</v>
      </c>
      <c r="M34">
        <v>0</v>
      </c>
      <c r="N34">
        <v>0</v>
      </c>
      <c r="O34">
        <v>0</v>
      </c>
      <c r="P34">
        <v>0.5286841200074589</v>
      </c>
      <c r="Q34">
        <v>0.20383840707600395</v>
      </c>
      <c r="R34">
        <v>0.14458924558516323</v>
      </c>
      <c r="S34">
        <v>0.125091984647379</v>
      </c>
      <c r="T34">
        <v>0.14372190656955638</v>
      </c>
      <c r="U34">
        <v>0.1916482571180744</v>
      </c>
      <c r="V34">
        <v>0.46450512614622602</v>
      </c>
      <c r="W34">
        <v>0</v>
      </c>
      <c r="X34">
        <v>0</v>
      </c>
      <c r="Y34">
        <v>0</v>
      </c>
      <c r="Z34">
        <v>0.38401278541154721</v>
      </c>
      <c r="AA34">
        <v>0.13223323459765537</v>
      </c>
      <c r="AB34">
        <v>6.2643455606244111E-2</v>
      </c>
      <c r="AC34">
        <v>5.2668292163944058E-2</v>
      </c>
      <c r="AD34">
        <v>6.3039747541022401E-2</v>
      </c>
      <c r="AE34">
        <v>0.11358606445722558</v>
      </c>
      <c r="AF34">
        <v>0.36254506525622998</v>
      </c>
      <c r="AG34">
        <v>0.87531759710663981</v>
      </c>
      <c r="AH34">
        <v>0</v>
      </c>
      <c r="AI34">
        <v>0</v>
      </c>
      <c r="AJ34">
        <v>0.75046552866497718</v>
      </c>
      <c r="AK34">
        <v>0.24615901825931627</v>
      </c>
      <c r="AL34">
        <v>0.14880354875030774</v>
      </c>
      <c r="AM34">
        <v>0.12750294675077861</v>
      </c>
      <c r="AN34">
        <v>0.14321974233092677</v>
      </c>
      <c r="AO34">
        <v>0.29078207189719429</v>
      </c>
      <c r="AP34">
        <v>0.81104949589903741</v>
      </c>
      <c r="AQ34">
        <v>0</v>
      </c>
      <c r="EA34" t="s">
        <v>773</v>
      </c>
      <c r="EB34">
        <v>0</v>
      </c>
      <c r="EC34">
        <v>0</v>
      </c>
      <c r="ED34">
        <v>0</v>
      </c>
      <c r="EE34">
        <v>0.10478660691172756</v>
      </c>
      <c r="EF34">
        <v>0.39704427089248917</v>
      </c>
      <c r="EG34">
        <v>0.51101950179380973</v>
      </c>
      <c r="EH34">
        <v>0.41299780787847112</v>
      </c>
      <c r="EI34">
        <v>0.14597435197168598</v>
      </c>
      <c r="EJ34">
        <v>1.9319829413943679E-3</v>
      </c>
      <c r="EK34">
        <v>0</v>
      </c>
      <c r="EL34">
        <v>0</v>
      </c>
      <c r="EM34">
        <v>0</v>
      </c>
      <c r="EN34">
        <v>3.4211960466924547E-2</v>
      </c>
      <c r="EO34">
        <v>0.26814480164059418</v>
      </c>
      <c r="EP34">
        <v>0.49792552083002561</v>
      </c>
      <c r="EQ34">
        <v>0.58619689410527365</v>
      </c>
      <c r="ER34">
        <v>0.50752015553980401</v>
      </c>
      <c r="ES34">
        <v>0.28398733782227298</v>
      </c>
      <c r="ET34">
        <v>4.4321754964990578E-2</v>
      </c>
      <c r="EU34">
        <v>0</v>
      </c>
      <c r="EV34">
        <v>0</v>
      </c>
      <c r="EW34">
        <v>0</v>
      </c>
      <c r="EX34">
        <v>5.8068273790756395E-2</v>
      </c>
      <c r="EY34">
        <v>0.33700259149215983</v>
      </c>
      <c r="EZ34">
        <v>0.58031525077751234</v>
      </c>
      <c r="FA34">
        <v>0.66375973610959915</v>
      </c>
      <c r="FB34">
        <v>0.58005215804998922</v>
      </c>
      <c r="FC34">
        <v>0.35483725655731152</v>
      </c>
      <c r="FD34">
        <v>7.578430829032505E-2</v>
      </c>
      <c r="FE34">
        <v>1.4938836659064749E-4</v>
      </c>
      <c r="FF34">
        <v>0</v>
      </c>
      <c r="FG34">
        <v>0</v>
      </c>
      <c r="FH34">
        <v>1.1892853859259474E-2</v>
      </c>
      <c r="FI34">
        <v>0.22054159928773556</v>
      </c>
      <c r="FJ34">
        <v>0.46898695938603224</v>
      </c>
      <c r="FK34">
        <v>0.54859416226284918</v>
      </c>
      <c r="FL34">
        <v>0.44282684657422927</v>
      </c>
      <c r="FM34">
        <v>0.18210921758259208</v>
      </c>
      <c r="FN34">
        <v>8.4324226908520632E-3</v>
      </c>
      <c r="FO34">
        <v>0</v>
      </c>
      <c r="FQ34" t="s">
        <v>773</v>
      </c>
      <c r="FR34" t="s">
        <v>127</v>
      </c>
      <c r="FS34" t="s">
        <v>128</v>
      </c>
      <c r="FT34">
        <v>0.58764429772764393</v>
      </c>
    </row>
    <row r="35" spans="2:176" x14ac:dyDescent="0.45">
      <c r="B35" t="s">
        <v>774</v>
      </c>
      <c r="C35" t="s">
        <v>123</v>
      </c>
      <c r="D35">
        <v>0</v>
      </c>
      <c r="E35">
        <v>0</v>
      </c>
      <c r="F35">
        <v>0</v>
      </c>
      <c r="G35">
        <v>0.34094406520469772</v>
      </c>
      <c r="H35">
        <v>0.14404002905191746</v>
      </c>
      <c r="I35">
        <v>0.11076746535903802</v>
      </c>
      <c r="J35">
        <v>0.12181569411853461</v>
      </c>
      <c r="K35">
        <v>0.34495184551144109</v>
      </c>
      <c r="L35">
        <v>0.96666666666666645</v>
      </c>
      <c r="M35">
        <v>0</v>
      </c>
      <c r="N35">
        <v>0</v>
      </c>
      <c r="O35">
        <v>0.98913043478260876</v>
      </c>
      <c r="P35">
        <v>0.49288523619878588</v>
      </c>
      <c r="Q35">
        <v>0.1904520152235307</v>
      </c>
      <c r="R35">
        <v>0.12895911335326563</v>
      </c>
      <c r="S35">
        <v>0.12661957942424615</v>
      </c>
      <c r="T35">
        <v>0.14058025774460009</v>
      </c>
      <c r="U35">
        <v>0.18748746461578511</v>
      </c>
      <c r="V35">
        <v>0.48063255582303693</v>
      </c>
      <c r="W35">
        <v>0</v>
      </c>
      <c r="X35">
        <v>0</v>
      </c>
      <c r="Y35">
        <v>0.84120607996478003</v>
      </c>
      <c r="Z35">
        <v>0.36428792916306479</v>
      </c>
      <c r="AA35">
        <v>0.12749415106938622</v>
      </c>
      <c r="AB35">
        <v>5.773485038463029E-2</v>
      </c>
      <c r="AC35">
        <v>6.55870371956008E-2</v>
      </c>
      <c r="AD35">
        <v>8.7474585706085919E-2</v>
      </c>
      <c r="AE35">
        <v>0.1354044952880385</v>
      </c>
      <c r="AF35">
        <v>0.36226917640655387</v>
      </c>
      <c r="AG35">
        <v>0</v>
      </c>
      <c r="AH35">
        <v>0</v>
      </c>
      <c r="AI35">
        <v>0</v>
      </c>
      <c r="AJ35">
        <v>0.69176616856158357</v>
      </c>
      <c r="AK35">
        <v>0.22796769677136686</v>
      </c>
      <c r="AL35">
        <v>0.12897072502671902</v>
      </c>
      <c r="AM35">
        <v>0.12085237553589528</v>
      </c>
      <c r="AN35">
        <v>0.1421813852660305</v>
      </c>
      <c r="AO35">
        <v>0.31072276035634411</v>
      </c>
      <c r="AP35">
        <v>0.83977437870990768</v>
      </c>
      <c r="AQ35">
        <v>0</v>
      </c>
      <c r="EA35" t="s">
        <v>774</v>
      </c>
      <c r="EB35">
        <v>0</v>
      </c>
      <c r="EC35">
        <v>0</v>
      </c>
      <c r="ED35">
        <v>0</v>
      </c>
      <c r="EE35">
        <v>0.1427013496657874</v>
      </c>
      <c r="EF35">
        <v>0.44656419205839359</v>
      </c>
      <c r="EG35">
        <v>0.57274102062596055</v>
      </c>
      <c r="EH35">
        <v>0.46390544961726288</v>
      </c>
      <c r="EI35">
        <v>0.14997040521146826</v>
      </c>
      <c r="EJ35">
        <v>5.0539232831733492E-4</v>
      </c>
      <c r="EK35">
        <v>0</v>
      </c>
      <c r="EL35">
        <v>0</v>
      </c>
      <c r="EM35">
        <v>2.6573516750246469E-6</v>
      </c>
      <c r="EN35">
        <v>4.9136643047103412E-2</v>
      </c>
      <c r="EO35">
        <v>0.32084867992525951</v>
      </c>
      <c r="EP35">
        <v>0.56431825755819287</v>
      </c>
      <c r="EQ35">
        <v>0.6255160901109651</v>
      </c>
      <c r="ER35">
        <v>0.51052806092378589</v>
      </c>
      <c r="ES35">
        <v>0.27117165400385707</v>
      </c>
      <c r="ET35">
        <v>3.4486919885157591E-2</v>
      </c>
      <c r="EU35">
        <v>0</v>
      </c>
      <c r="EV35">
        <v>0</v>
      </c>
      <c r="EW35">
        <v>1.2862930841589038E-4</v>
      </c>
      <c r="EX35">
        <v>7.1934597425753172E-2</v>
      </c>
      <c r="EY35">
        <v>0.35894744974679754</v>
      </c>
      <c r="EZ35">
        <v>0.59840380824809758</v>
      </c>
      <c r="FA35">
        <v>0.64112400320912555</v>
      </c>
      <c r="FB35">
        <v>0.52558361323727376</v>
      </c>
      <c r="FC35">
        <v>0.29872050794094529</v>
      </c>
      <c r="FD35">
        <v>5.8730217189261469E-2</v>
      </c>
      <c r="FE35">
        <v>0</v>
      </c>
      <c r="FF35">
        <v>0</v>
      </c>
      <c r="FG35">
        <v>0</v>
      </c>
      <c r="FH35">
        <v>1.6606715613310806E-2</v>
      </c>
      <c r="FI35">
        <v>0.24317297734028517</v>
      </c>
      <c r="FJ35">
        <v>0.51025811040790425</v>
      </c>
      <c r="FK35">
        <v>0.57055661264852808</v>
      </c>
      <c r="FL35">
        <v>0.43083901726669371</v>
      </c>
      <c r="FM35">
        <v>0.16099706626853311</v>
      </c>
      <c r="FN35">
        <v>5.3734062958790876E-3</v>
      </c>
      <c r="FO35">
        <v>0</v>
      </c>
      <c r="FQ35" t="s">
        <v>774</v>
      </c>
      <c r="FR35" t="s">
        <v>127</v>
      </c>
      <c r="FS35" t="s">
        <v>128</v>
      </c>
      <c r="FT35">
        <v>0.49793375695207115</v>
      </c>
    </row>
    <row r="36" spans="2:176" x14ac:dyDescent="0.45">
      <c r="B36" t="s">
        <v>775</v>
      </c>
      <c r="C36" t="s">
        <v>123</v>
      </c>
      <c r="D36">
        <v>0</v>
      </c>
      <c r="E36">
        <v>0</v>
      </c>
      <c r="F36">
        <v>0</v>
      </c>
      <c r="G36">
        <v>0.3500555960936434</v>
      </c>
      <c r="H36">
        <v>0.1302853702201098</v>
      </c>
      <c r="I36">
        <v>9.8654733028390437E-2</v>
      </c>
      <c r="J36">
        <v>0.11934522126729628</v>
      </c>
      <c r="K36">
        <v>0.31983531449171321</v>
      </c>
      <c r="L36">
        <v>0.94659811141627392</v>
      </c>
      <c r="M36">
        <v>0</v>
      </c>
      <c r="N36">
        <v>0</v>
      </c>
      <c r="O36">
        <v>0</v>
      </c>
      <c r="P36">
        <v>0.50697003625437576</v>
      </c>
      <c r="Q36">
        <v>0.17539041616273193</v>
      </c>
      <c r="R36">
        <v>0.11400144531952122</v>
      </c>
      <c r="S36">
        <v>0.10922619753525752</v>
      </c>
      <c r="T36">
        <v>0.1271997207665766</v>
      </c>
      <c r="U36">
        <v>0.18007607304136705</v>
      </c>
      <c r="V36">
        <v>0.48026874103069062</v>
      </c>
      <c r="W36">
        <v>0</v>
      </c>
      <c r="X36">
        <v>0</v>
      </c>
      <c r="Y36">
        <v>0.94021739130434789</v>
      </c>
      <c r="Z36">
        <v>0.37517244304770053</v>
      </c>
      <c r="AA36">
        <v>0.12151515613104635</v>
      </c>
      <c r="AB36">
        <v>5.0519314777026182E-2</v>
      </c>
      <c r="AC36">
        <v>4.064183104344804E-2</v>
      </c>
      <c r="AD36">
        <v>6.0048657655028301E-2</v>
      </c>
      <c r="AE36">
        <v>0.11864406248739598</v>
      </c>
      <c r="AF36">
        <v>0.36040185265222258</v>
      </c>
      <c r="AG36">
        <v>0.93215855151627913</v>
      </c>
      <c r="AH36">
        <v>0</v>
      </c>
      <c r="AI36">
        <v>0</v>
      </c>
      <c r="AJ36">
        <v>0.71260052726524759</v>
      </c>
      <c r="AK36">
        <v>0.20715649577460593</v>
      </c>
      <c r="AL36">
        <v>0.10984455304036371</v>
      </c>
      <c r="AM36">
        <v>0.10271821065893151</v>
      </c>
      <c r="AN36">
        <v>0.1170720016367508</v>
      </c>
      <c r="AO36">
        <v>0.27637902765884703</v>
      </c>
      <c r="AP36">
        <v>0.82732686130985988</v>
      </c>
      <c r="AQ36">
        <v>0</v>
      </c>
      <c r="EA36" t="s">
        <v>775</v>
      </c>
      <c r="EB36">
        <v>0</v>
      </c>
      <c r="EC36">
        <v>0</v>
      </c>
      <c r="ED36">
        <v>0</v>
      </c>
      <c r="EE36">
        <v>0.13734311500579943</v>
      </c>
      <c r="EF36">
        <v>0.44169801733729769</v>
      </c>
      <c r="EG36">
        <v>0.56989775905456364</v>
      </c>
      <c r="EH36">
        <v>0.46450388821295358</v>
      </c>
      <c r="EI36">
        <v>0.16197383374797883</v>
      </c>
      <c r="EJ36">
        <v>1.4302677119837736E-3</v>
      </c>
      <c r="EK36">
        <v>0</v>
      </c>
      <c r="EL36">
        <v>0</v>
      </c>
      <c r="EM36">
        <v>0</v>
      </c>
      <c r="EN36">
        <v>4.4800263731748342E-2</v>
      </c>
      <c r="EO36">
        <v>0.32007412301043098</v>
      </c>
      <c r="EP36">
        <v>0.56191875988040696</v>
      </c>
      <c r="EQ36">
        <v>0.63253832998611192</v>
      </c>
      <c r="ER36">
        <v>0.52803013661890175</v>
      </c>
      <c r="ES36">
        <v>0.28830501295439415</v>
      </c>
      <c r="ET36">
        <v>3.9452954348903051E-2</v>
      </c>
      <c r="EU36">
        <v>0</v>
      </c>
      <c r="EV36">
        <v>0</v>
      </c>
      <c r="EW36">
        <v>2.6037097851154124E-6</v>
      </c>
      <c r="EX36">
        <v>6.5323856845477576E-2</v>
      </c>
      <c r="EY36">
        <v>0.34921457560640962</v>
      </c>
      <c r="EZ36">
        <v>0.59394275929863494</v>
      </c>
      <c r="FA36">
        <v>0.66628689175729716</v>
      </c>
      <c r="FB36">
        <v>0.56469846036512839</v>
      </c>
      <c r="FC36">
        <v>0.3283072195853764</v>
      </c>
      <c r="FD36">
        <v>6.5597920794937523E-2</v>
      </c>
      <c r="FE36">
        <v>1.154094089201584E-6</v>
      </c>
      <c r="FF36">
        <v>0</v>
      </c>
      <c r="FG36">
        <v>0</v>
      </c>
      <c r="FH36">
        <v>1.558581794977356E-2</v>
      </c>
      <c r="FI36">
        <v>0.25521987970956345</v>
      </c>
      <c r="FJ36">
        <v>0.52254712397378411</v>
      </c>
      <c r="FK36">
        <v>0.59248659303478057</v>
      </c>
      <c r="FL36">
        <v>0.47113126718255388</v>
      </c>
      <c r="FM36">
        <v>0.18825068420348715</v>
      </c>
      <c r="FN36">
        <v>7.0141050852703815E-3</v>
      </c>
      <c r="FO36">
        <v>0</v>
      </c>
      <c r="FQ36" t="s">
        <v>775</v>
      </c>
      <c r="FR36" t="s">
        <v>127</v>
      </c>
      <c r="FS36" t="s">
        <v>128</v>
      </c>
      <c r="FT36">
        <v>0.54281987250347019</v>
      </c>
    </row>
    <row r="37" spans="2:176" x14ac:dyDescent="0.45">
      <c r="B37" t="s">
        <v>776</v>
      </c>
      <c r="C37" t="s">
        <v>123</v>
      </c>
      <c r="D37">
        <v>0.3502444163019458</v>
      </c>
      <c r="E37">
        <v>0.35173074557553929</v>
      </c>
      <c r="F37">
        <v>0.3442405718364055</v>
      </c>
      <c r="G37">
        <v>0.35629757257077704</v>
      </c>
      <c r="H37">
        <v>0.37767007645958051</v>
      </c>
      <c r="I37">
        <v>0.38313286690752579</v>
      </c>
      <c r="J37">
        <v>0.38660472657488842</v>
      </c>
      <c r="K37">
        <v>0.39025946466638889</v>
      </c>
      <c r="L37">
        <v>0.37647074215817455</v>
      </c>
      <c r="M37">
        <v>0.34367297702914157</v>
      </c>
      <c r="N37">
        <v>0.34152997697176846</v>
      </c>
      <c r="O37">
        <v>0.35550280779661891</v>
      </c>
      <c r="P37">
        <v>0.36472463370005143</v>
      </c>
      <c r="Q37">
        <v>0.38191431605889276</v>
      </c>
      <c r="R37">
        <v>0.40236225385253443</v>
      </c>
      <c r="S37">
        <v>0.38072739678008027</v>
      </c>
      <c r="T37">
        <v>0.35179179153098133</v>
      </c>
      <c r="U37">
        <v>0.33432101001661452</v>
      </c>
      <c r="V37">
        <v>0.32785441538446713</v>
      </c>
      <c r="W37">
        <v>0.34563586193985191</v>
      </c>
      <c r="X37">
        <v>0.38155805130568754</v>
      </c>
      <c r="Y37">
        <v>0.38328615944132827</v>
      </c>
      <c r="Z37">
        <v>0.35988075741032594</v>
      </c>
      <c r="AA37">
        <v>0.34835542231770078</v>
      </c>
      <c r="AB37">
        <v>0.33896299400785262</v>
      </c>
      <c r="AC37">
        <v>0.32315877647256014</v>
      </c>
      <c r="AD37">
        <v>0.3281637289229235</v>
      </c>
      <c r="AE37">
        <v>0.32407879597078215</v>
      </c>
      <c r="AF37">
        <v>0.31977403707637514</v>
      </c>
      <c r="AG37">
        <v>0.32934378882550658</v>
      </c>
      <c r="AH37">
        <v>0.42817716867083438</v>
      </c>
      <c r="AI37">
        <v>0.45127052156656877</v>
      </c>
      <c r="AJ37">
        <v>0.45217927494952359</v>
      </c>
      <c r="AK37">
        <v>0.46360392326158695</v>
      </c>
      <c r="AL37">
        <v>0.45859037858082791</v>
      </c>
      <c r="AM37">
        <v>0.42362202465168713</v>
      </c>
      <c r="AN37">
        <v>0.41705437440022453</v>
      </c>
      <c r="AO37">
        <v>0.43164281619352518</v>
      </c>
      <c r="AP37">
        <v>0.42483262646604325</v>
      </c>
      <c r="AQ37">
        <v>0.39927953639264485</v>
      </c>
      <c r="EA37" t="s">
        <v>776</v>
      </c>
      <c r="EB37">
        <v>0.45846351890147208</v>
      </c>
      <c r="EC37">
        <v>0.45508076903582262</v>
      </c>
      <c r="ED37">
        <v>0.4517410239440805</v>
      </c>
      <c r="EE37">
        <v>0.45051625142462576</v>
      </c>
      <c r="EF37">
        <v>0.44613338618796117</v>
      </c>
      <c r="EG37">
        <v>0.43255156050295024</v>
      </c>
      <c r="EH37">
        <v>0.41460885418381949</v>
      </c>
      <c r="EI37">
        <v>0.42097274816397839</v>
      </c>
      <c r="EJ37">
        <v>0.44099678576142198</v>
      </c>
      <c r="EK37">
        <v>0.45255989768702504</v>
      </c>
      <c r="EL37">
        <v>0.3675115138860614</v>
      </c>
      <c r="EM37">
        <v>0.35574492755027626</v>
      </c>
      <c r="EN37">
        <v>0.34494452367130407</v>
      </c>
      <c r="EO37">
        <v>0.32373265329484668</v>
      </c>
      <c r="EP37">
        <v>0.33184384793552318</v>
      </c>
      <c r="EQ37">
        <v>0.38818191460541623</v>
      </c>
      <c r="ER37">
        <v>0.43110685067074245</v>
      </c>
      <c r="ES37">
        <v>0.4584083250337222</v>
      </c>
      <c r="ET37">
        <v>0.44477990796607375</v>
      </c>
      <c r="EU37">
        <v>0.39450435054043947</v>
      </c>
      <c r="EV37">
        <v>0.12060580499247675</v>
      </c>
      <c r="EW37">
        <v>0.14528557088270508</v>
      </c>
      <c r="EX37">
        <v>0.14770782317893663</v>
      </c>
      <c r="EY37">
        <v>0.13179225911170733</v>
      </c>
      <c r="EZ37">
        <v>0.1265038747832801</v>
      </c>
      <c r="FA37">
        <v>0.14937678859773321</v>
      </c>
      <c r="FB37">
        <v>0.17270903486043021</v>
      </c>
      <c r="FC37">
        <v>0.18422989786793884</v>
      </c>
      <c r="FD37">
        <v>0.18458049734756993</v>
      </c>
      <c r="FE37">
        <v>0.15199151973274758</v>
      </c>
      <c r="FF37">
        <v>0.22603482028391927</v>
      </c>
      <c r="FG37">
        <v>0.22113858790900778</v>
      </c>
      <c r="FH37">
        <v>0.22496590147271528</v>
      </c>
      <c r="FI37">
        <v>0.22189150550602549</v>
      </c>
      <c r="FJ37">
        <v>0.21720393166413102</v>
      </c>
      <c r="FK37">
        <v>0.22559152306061245</v>
      </c>
      <c r="FL37">
        <v>0.22331635372023606</v>
      </c>
      <c r="FM37">
        <v>0.22644354658599525</v>
      </c>
      <c r="FN37">
        <v>0.23966118538799663</v>
      </c>
      <c r="FO37">
        <v>0.24056528766500448</v>
      </c>
      <c r="FQ37" t="s">
        <v>777</v>
      </c>
      <c r="FR37" t="s">
        <v>127</v>
      </c>
      <c r="FS37" t="s">
        <v>128</v>
      </c>
      <c r="FT37">
        <v>0.26249773215011324</v>
      </c>
    </row>
    <row r="38" spans="2:176" x14ac:dyDescent="0.45">
      <c r="B38" t="s">
        <v>778</v>
      </c>
      <c r="C38" t="s">
        <v>123</v>
      </c>
      <c r="D38">
        <v>0.3300252969602695</v>
      </c>
      <c r="E38">
        <v>0.331811869884516</v>
      </c>
      <c r="F38">
        <v>0.32695686903537619</v>
      </c>
      <c r="G38">
        <v>0.33667688774250837</v>
      </c>
      <c r="H38">
        <v>0.37259106630925781</v>
      </c>
      <c r="I38">
        <v>0.364365684753713</v>
      </c>
      <c r="J38">
        <v>0.34239368417927069</v>
      </c>
      <c r="K38">
        <v>0.31130801102586408</v>
      </c>
      <c r="L38">
        <v>0.30111270974479576</v>
      </c>
      <c r="M38">
        <v>0.31016612239097296</v>
      </c>
      <c r="N38">
        <v>0.36588781626000177</v>
      </c>
      <c r="O38">
        <v>0.37763076387021077</v>
      </c>
      <c r="P38">
        <v>0.38588575995982838</v>
      </c>
      <c r="Q38">
        <v>0.39731473262688632</v>
      </c>
      <c r="R38">
        <v>0.369227863117286</v>
      </c>
      <c r="S38">
        <v>0.29765705423365124</v>
      </c>
      <c r="T38">
        <v>0.28001749766718281</v>
      </c>
      <c r="U38">
        <v>0.29502847816543815</v>
      </c>
      <c r="V38">
        <v>0.31944487802248078</v>
      </c>
      <c r="W38">
        <v>0.34690727714610986</v>
      </c>
      <c r="X38">
        <v>0.35433984346988812</v>
      </c>
      <c r="Y38">
        <v>0.34188948116923407</v>
      </c>
      <c r="Z38">
        <v>0.34806728412299881</v>
      </c>
      <c r="AA38">
        <v>0.37953886557763156</v>
      </c>
      <c r="AB38">
        <v>0.33654140349642808</v>
      </c>
      <c r="AC38">
        <v>0.30832146847137576</v>
      </c>
      <c r="AD38">
        <v>0.31582550988312913</v>
      </c>
      <c r="AE38">
        <v>0.34575031222175617</v>
      </c>
      <c r="AF38">
        <v>0.35981612844152761</v>
      </c>
      <c r="AG38">
        <v>0.39694189224980331</v>
      </c>
      <c r="AH38">
        <v>0.42393830616922651</v>
      </c>
      <c r="AI38">
        <v>0.40583382337272872</v>
      </c>
      <c r="AJ38">
        <v>0.40754214661191962</v>
      </c>
      <c r="AK38">
        <v>0.41543485671136393</v>
      </c>
      <c r="AL38">
        <v>0.41720981073070984</v>
      </c>
      <c r="AM38">
        <v>0.39479681743756889</v>
      </c>
      <c r="AN38">
        <v>0.38047133114357345</v>
      </c>
      <c r="AO38">
        <v>0.38485905122892189</v>
      </c>
      <c r="AP38">
        <v>0.39991744333180751</v>
      </c>
      <c r="AQ38">
        <v>0.43368978946458203</v>
      </c>
      <c r="EA38" t="s">
        <v>778</v>
      </c>
      <c r="EB38">
        <v>0.40925287492133139</v>
      </c>
      <c r="EC38">
        <v>0.40371051807332947</v>
      </c>
      <c r="ED38">
        <v>0.39568602655882479</v>
      </c>
      <c r="EE38">
        <v>0.38312747086410531</v>
      </c>
      <c r="EF38">
        <v>0.37120215152041375</v>
      </c>
      <c r="EG38">
        <v>0.36986039940821791</v>
      </c>
      <c r="EH38">
        <v>0.39903958003034146</v>
      </c>
      <c r="EI38">
        <v>0.43261346697902708</v>
      </c>
      <c r="EJ38">
        <v>0.42859277007081042</v>
      </c>
      <c r="EK38">
        <v>0.40182472339408454</v>
      </c>
      <c r="EL38">
        <v>0.32468245904849408</v>
      </c>
      <c r="EM38">
        <v>0.2991247286022512</v>
      </c>
      <c r="EN38">
        <v>0.297750574225637</v>
      </c>
      <c r="EO38">
        <v>0.28745939095131534</v>
      </c>
      <c r="EP38">
        <v>0.32730686068419013</v>
      </c>
      <c r="EQ38">
        <v>0.4119141857787787</v>
      </c>
      <c r="ER38">
        <v>0.48554285952586285</v>
      </c>
      <c r="ES38">
        <v>0.47284183159984844</v>
      </c>
      <c r="ET38">
        <v>0.41389168958206152</v>
      </c>
      <c r="EU38">
        <v>0.34687524908675749</v>
      </c>
      <c r="EV38">
        <v>0.14408969641386821</v>
      </c>
      <c r="EW38">
        <v>0.16487812403992774</v>
      </c>
      <c r="EX38">
        <v>0.16740170168156415</v>
      </c>
      <c r="EY38">
        <v>0.16513157607432105</v>
      </c>
      <c r="EZ38">
        <v>0.19115530881500004</v>
      </c>
      <c r="FA38">
        <v>0.2460850417808427</v>
      </c>
      <c r="FB38">
        <v>0.26423248943961919</v>
      </c>
      <c r="FC38">
        <v>0.24944263830422769</v>
      </c>
      <c r="FD38">
        <v>0.21123482081988798</v>
      </c>
      <c r="FE38">
        <v>0.15333733872826105</v>
      </c>
      <c r="FF38">
        <v>0.19280275748578804</v>
      </c>
      <c r="FG38">
        <v>0.18916449832528634</v>
      </c>
      <c r="FH38">
        <v>0.18948375843730486</v>
      </c>
      <c r="FI38">
        <v>0.18369728842379804</v>
      </c>
      <c r="FJ38">
        <v>0.18004035504855628</v>
      </c>
      <c r="FK38">
        <v>0.20205314838836558</v>
      </c>
      <c r="FL38">
        <v>0.24025935148428992</v>
      </c>
      <c r="FM38">
        <v>0.25317098042781561</v>
      </c>
      <c r="FN38">
        <v>0.24197807046713476</v>
      </c>
      <c r="FO38">
        <v>0.21562791955294489</v>
      </c>
      <c r="FQ38" t="s">
        <v>779</v>
      </c>
      <c r="FR38" t="s">
        <v>127</v>
      </c>
      <c r="FS38" t="s">
        <v>128</v>
      </c>
      <c r="FT38">
        <v>0.29476135605498421</v>
      </c>
    </row>
    <row r="39" spans="2:176" x14ac:dyDescent="0.45">
      <c r="B39" t="s">
        <v>780</v>
      </c>
      <c r="C39" t="s">
        <v>123</v>
      </c>
      <c r="D39">
        <v>0.39239276592907318</v>
      </c>
      <c r="E39">
        <v>0.38791238825794905</v>
      </c>
      <c r="F39">
        <v>0.3839225835977651</v>
      </c>
      <c r="G39">
        <v>0.38631323263733791</v>
      </c>
      <c r="H39">
        <v>0.40033106349521319</v>
      </c>
      <c r="I39">
        <v>0.41393361669618683</v>
      </c>
      <c r="J39">
        <v>0.41404421222061166</v>
      </c>
      <c r="K39">
        <v>0.40648801035032001</v>
      </c>
      <c r="L39">
        <v>0.38553507537926063</v>
      </c>
      <c r="M39">
        <v>0.36900081571580678</v>
      </c>
      <c r="N39">
        <v>0.35904026747530143</v>
      </c>
      <c r="O39">
        <v>0.37313572790924049</v>
      </c>
      <c r="P39">
        <v>0.36905148948231992</v>
      </c>
      <c r="Q39">
        <v>0.38154425971218997</v>
      </c>
      <c r="R39">
        <v>0.39567893098502527</v>
      </c>
      <c r="S39">
        <v>0.37483470860120799</v>
      </c>
      <c r="T39">
        <v>0.33125605977561451</v>
      </c>
      <c r="U39">
        <v>0.32482498925386921</v>
      </c>
      <c r="V39">
        <v>0.3293003246171744</v>
      </c>
      <c r="W39">
        <v>0.33704092036421102</v>
      </c>
      <c r="X39">
        <v>0.43537547188058057</v>
      </c>
      <c r="Y39">
        <v>0.4504977679783766</v>
      </c>
      <c r="Z39">
        <v>0.43802075430575788</v>
      </c>
      <c r="AA39">
        <v>0.39439220557179627</v>
      </c>
      <c r="AB39">
        <v>0.31804506066658766</v>
      </c>
      <c r="AC39">
        <v>0.28429266155995148</v>
      </c>
      <c r="AD39">
        <v>0.30140996674119469</v>
      </c>
      <c r="AE39">
        <v>0.31401419416574827</v>
      </c>
      <c r="AF39">
        <v>0.31715383619868387</v>
      </c>
      <c r="AG39">
        <v>0.33350156295796246</v>
      </c>
      <c r="AH39">
        <v>0.46008900048307982</v>
      </c>
      <c r="AI39">
        <v>0.4764819489151661</v>
      </c>
      <c r="AJ39">
        <v>0.46553764380476464</v>
      </c>
      <c r="AK39">
        <v>0.46767898901087807</v>
      </c>
      <c r="AL39">
        <v>0.44881011300670598</v>
      </c>
      <c r="AM39">
        <v>0.39689200932372271</v>
      </c>
      <c r="AN39">
        <v>0.35422238787530386</v>
      </c>
      <c r="AO39">
        <v>0.3620030475383853</v>
      </c>
      <c r="AP39">
        <v>0.39927040518967866</v>
      </c>
      <c r="AQ39">
        <v>0.43284734241084372</v>
      </c>
      <c r="EA39" t="s">
        <v>780</v>
      </c>
      <c r="EB39">
        <v>0.42474717397494638</v>
      </c>
      <c r="EC39">
        <v>0.42612234704271645</v>
      </c>
      <c r="ED39">
        <v>0.43083877822857486</v>
      </c>
      <c r="EE39">
        <v>0.43088052835668145</v>
      </c>
      <c r="EF39">
        <v>0.40912489772028127</v>
      </c>
      <c r="EG39">
        <v>0.37440166420091581</v>
      </c>
      <c r="EH39">
        <v>0.3523297143557626</v>
      </c>
      <c r="EI39">
        <v>0.36642630570123763</v>
      </c>
      <c r="EJ39">
        <v>0.3911299299626475</v>
      </c>
      <c r="EK39">
        <v>0.39980441944248668</v>
      </c>
      <c r="EL39">
        <v>0.35682331616024793</v>
      </c>
      <c r="EM39">
        <v>0.34768360038642704</v>
      </c>
      <c r="EN39">
        <v>0.34485079961896975</v>
      </c>
      <c r="EO39">
        <v>0.31834565702509432</v>
      </c>
      <c r="EP39">
        <v>0.30548761206150349</v>
      </c>
      <c r="EQ39">
        <v>0.34103758218155145</v>
      </c>
      <c r="ER39">
        <v>0.3915265357442953</v>
      </c>
      <c r="ES39">
        <v>0.42255674868084681</v>
      </c>
      <c r="ET39">
        <v>0.4118618328614701</v>
      </c>
      <c r="EU39">
        <v>0.37396374485927319</v>
      </c>
      <c r="EV39">
        <v>9.0178488611781488E-2</v>
      </c>
      <c r="EW39">
        <v>9.5452614098395311E-2</v>
      </c>
      <c r="EX39">
        <v>9.2594891986650205E-2</v>
      </c>
      <c r="EY39">
        <v>8.1662897449638006E-2</v>
      </c>
      <c r="EZ39">
        <v>8.7376934739109707E-2</v>
      </c>
      <c r="FA39">
        <v>0.12479782944553394</v>
      </c>
      <c r="FB39">
        <v>0.15800784526338094</v>
      </c>
      <c r="FC39">
        <v>0.16469993729834281</v>
      </c>
      <c r="FD39">
        <v>0.14641083918535847</v>
      </c>
      <c r="FE39">
        <v>0.10119615632391793</v>
      </c>
      <c r="FF39">
        <v>0.22466569529789279</v>
      </c>
      <c r="FG39">
        <v>0.22996116833623312</v>
      </c>
      <c r="FH39">
        <v>0.22939801281914926</v>
      </c>
      <c r="FI39">
        <v>0.21795620795120885</v>
      </c>
      <c r="FJ39">
        <v>0.20541351857318271</v>
      </c>
      <c r="FK39">
        <v>0.1986056933410574</v>
      </c>
      <c r="FL39">
        <v>0.20502807079283325</v>
      </c>
      <c r="FM39">
        <v>0.22467230387068546</v>
      </c>
      <c r="FN39">
        <v>0.24425283631481229</v>
      </c>
      <c r="FO39">
        <v>0.24206232221967447</v>
      </c>
      <c r="FQ39" t="s">
        <v>781</v>
      </c>
      <c r="FR39" t="s">
        <v>127</v>
      </c>
      <c r="FS39" t="s">
        <v>128</v>
      </c>
      <c r="FT39">
        <v>0.25194873279070557</v>
      </c>
    </row>
    <row r="40" spans="2:176" x14ac:dyDescent="0.45">
      <c r="B40" t="s">
        <v>782</v>
      </c>
      <c r="C40" t="s">
        <v>123</v>
      </c>
      <c r="D40">
        <v>0.37503209216471384</v>
      </c>
      <c r="E40">
        <v>0.37810519565578066</v>
      </c>
      <c r="F40">
        <v>0.35686358834225251</v>
      </c>
      <c r="G40">
        <v>0.3619175336206662</v>
      </c>
      <c r="H40">
        <v>0.37745156435969146</v>
      </c>
      <c r="I40">
        <v>0.38855336514517169</v>
      </c>
      <c r="J40">
        <v>0.38705873481992425</v>
      </c>
      <c r="K40">
        <v>0.38280069190045929</v>
      </c>
      <c r="L40">
        <v>0.37121748203561605</v>
      </c>
      <c r="M40">
        <v>0.36720031086268756</v>
      </c>
      <c r="N40">
        <v>0.33651334223831836</v>
      </c>
      <c r="O40">
        <v>0.34862452912082181</v>
      </c>
      <c r="P40">
        <v>0.35385796479617315</v>
      </c>
      <c r="Q40">
        <v>0.35554794341823909</v>
      </c>
      <c r="R40">
        <v>0.35839285688259903</v>
      </c>
      <c r="S40">
        <v>0.36616954376776972</v>
      </c>
      <c r="T40">
        <v>0.36573205157218797</v>
      </c>
      <c r="U40">
        <v>0.3650597290022598</v>
      </c>
      <c r="V40">
        <v>0.35477169871504832</v>
      </c>
      <c r="W40">
        <v>0.34545041806244364</v>
      </c>
      <c r="X40">
        <v>0.41762783065076997</v>
      </c>
      <c r="Y40">
        <v>0.4502549877248947</v>
      </c>
      <c r="Z40">
        <v>0.41755495297868206</v>
      </c>
      <c r="AA40">
        <v>0.40183003006459583</v>
      </c>
      <c r="AB40">
        <v>0.39400709564278608</v>
      </c>
      <c r="AC40">
        <v>0.36644217243545391</v>
      </c>
      <c r="AD40">
        <v>0.35378578033658542</v>
      </c>
      <c r="AE40">
        <v>0.36798691773578374</v>
      </c>
      <c r="AF40">
        <v>0.37301654607902157</v>
      </c>
      <c r="AG40">
        <v>0.35643698546972952</v>
      </c>
      <c r="AH40">
        <v>0.41258298153982276</v>
      </c>
      <c r="AI40">
        <v>0.400958793486827</v>
      </c>
      <c r="AJ40">
        <v>0.40142256607183879</v>
      </c>
      <c r="AK40">
        <v>0.40526699198488475</v>
      </c>
      <c r="AL40">
        <v>0.40655976650010994</v>
      </c>
      <c r="AM40">
        <v>0.39880039020220559</v>
      </c>
      <c r="AN40">
        <v>0.41553933932820986</v>
      </c>
      <c r="AO40">
        <v>0.43994165631680388</v>
      </c>
      <c r="AP40">
        <v>0.42844534586588273</v>
      </c>
      <c r="AQ40">
        <v>0.4039660062924344</v>
      </c>
      <c r="EA40" t="s">
        <v>782</v>
      </c>
      <c r="EB40">
        <v>0.45030083461526488</v>
      </c>
      <c r="EC40">
        <v>0.45410805819818384</v>
      </c>
      <c r="ED40">
        <v>0.45657939954420373</v>
      </c>
      <c r="EE40">
        <v>0.45459626081606658</v>
      </c>
      <c r="EF40">
        <v>0.45385514202311883</v>
      </c>
      <c r="EG40">
        <v>0.44133798202227298</v>
      </c>
      <c r="EH40">
        <v>0.42403360869824297</v>
      </c>
      <c r="EI40">
        <v>0.41577311577234194</v>
      </c>
      <c r="EJ40">
        <v>0.42676292657918175</v>
      </c>
      <c r="EK40">
        <v>0.43539416883175974</v>
      </c>
      <c r="EL40">
        <v>0.40026876589847349</v>
      </c>
      <c r="EM40">
        <v>0.40128463819027876</v>
      </c>
      <c r="EN40">
        <v>0.39844831936433522</v>
      </c>
      <c r="EO40">
        <v>0.38255999166046534</v>
      </c>
      <c r="EP40">
        <v>0.37007797765876654</v>
      </c>
      <c r="EQ40">
        <v>0.38238885080639029</v>
      </c>
      <c r="ER40">
        <v>0.3810698920309511</v>
      </c>
      <c r="ES40">
        <v>0.38107128035622551</v>
      </c>
      <c r="ET40">
        <v>0.41127520122981531</v>
      </c>
      <c r="EU40">
        <v>0.41845508558782618</v>
      </c>
      <c r="EV40">
        <v>0.1154774353059515</v>
      </c>
      <c r="EW40">
        <v>0.13982890934664108</v>
      </c>
      <c r="EX40">
        <v>0.14612321768217859</v>
      </c>
      <c r="EY40">
        <v>0.12917274223219119</v>
      </c>
      <c r="EZ40">
        <v>0.12045740633919147</v>
      </c>
      <c r="FA40">
        <v>0.12174457407908612</v>
      </c>
      <c r="FB40">
        <v>0.11682322624585831</v>
      </c>
      <c r="FC40">
        <v>0.12158184966147183</v>
      </c>
      <c r="FD40">
        <v>0.13136811260462627</v>
      </c>
      <c r="FE40">
        <v>0.12550936696844855</v>
      </c>
      <c r="FF40">
        <v>0.27308557150598567</v>
      </c>
      <c r="FG40">
        <v>0.27065086900535668</v>
      </c>
      <c r="FH40">
        <v>0.26903900497508976</v>
      </c>
      <c r="FI40">
        <v>0.25948761627406303</v>
      </c>
      <c r="FJ40">
        <v>0.25294425066710569</v>
      </c>
      <c r="FK40">
        <v>0.24552829264929121</v>
      </c>
      <c r="FL40">
        <v>0.23312485571148028</v>
      </c>
      <c r="FM40">
        <v>0.23081818846922481</v>
      </c>
      <c r="FN40">
        <v>0.25009769679953736</v>
      </c>
      <c r="FO40">
        <v>0.26740656191190254</v>
      </c>
      <c r="FQ40" t="s">
        <v>783</v>
      </c>
      <c r="FR40" t="s">
        <v>127</v>
      </c>
      <c r="FS40" t="s">
        <v>128</v>
      </c>
      <c r="FT40">
        <v>0.19907070974226149</v>
      </c>
    </row>
    <row r="41" spans="2:176" x14ac:dyDescent="0.45">
      <c r="B41" t="s">
        <v>784</v>
      </c>
      <c r="C41" t="s">
        <v>123</v>
      </c>
      <c r="D41">
        <v>0.26686864909146008</v>
      </c>
      <c r="E41">
        <v>0.28966087617990277</v>
      </c>
      <c r="F41">
        <v>0.29613345771998117</v>
      </c>
      <c r="G41">
        <v>0.29603799545795473</v>
      </c>
      <c r="H41">
        <v>0.30911579125295546</v>
      </c>
      <c r="I41">
        <v>0.31370693076155931</v>
      </c>
      <c r="J41">
        <v>0.30826122134042311</v>
      </c>
      <c r="K41">
        <v>0.30048186361061968</v>
      </c>
      <c r="L41">
        <v>0.2831661733257182</v>
      </c>
      <c r="M41">
        <v>0.27014702562343723</v>
      </c>
      <c r="N41">
        <v>0.30152038778691342</v>
      </c>
      <c r="O41">
        <v>0.2937377561321422</v>
      </c>
      <c r="P41">
        <v>0.30046269532874287</v>
      </c>
      <c r="Q41">
        <v>0.32018929375137345</v>
      </c>
      <c r="R41">
        <v>0.33355024966591967</v>
      </c>
      <c r="S41">
        <v>0.31732550609519766</v>
      </c>
      <c r="T41">
        <v>0.28840268036648825</v>
      </c>
      <c r="U41">
        <v>0.25422698361377971</v>
      </c>
      <c r="V41">
        <v>0.25056909059625482</v>
      </c>
      <c r="W41">
        <v>0.28656766022928076</v>
      </c>
      <c r="X41">
        <v>0.3789358506760393</v>
      </c>
      <c r="Y41">
        <v>0.39275116032148305</v>
      </c>
      <c r="Z41">
        <v>0.39442884278955292</v>
      </c>
      <c r="AA41">
        <v>0.41842879358927504</v>
      </c>
      <c r="AB41">
        <v>0.42134678178114271</v>
      </c>
      <c r="AC41">
        <v>0.38085018068525894</v>
      </c>
      <c r="AD41">
        <v>0.3325199411253591</v>
      </c>
      <c r="AE41">
        <v>0.29964858648790482</v>
      </c>
      <c r="AF41">
        <v>0.31804298016197874</v>
      </c>
      <c r="AG41">
        <v>0.34518774481863301</v>
      </c>
      <c r="AH41">
        <v>0.25686437882298246</v>
      </c>
      <c r="AI41">
        <v>0.27717463247633511</v>
      </c>
      <c r="AJ41">
        <v>0.28784678491969123</v>
      </c>
      <c r="AK41">
        <v>0.30181959036095807</v>
      </c>
      <c r="AL41">
        <v>0.30737559290371497</v>
      </c>
      <c r="AM41">
        <v>0.30088474543741411</v>
      </c>
      <c r="AN41">
        <v>0.28287176704363237</v>
      </c>
      <c r="AO41">
        <v>0.26548362493815042</v>
      </c>
      <c r="AP41">
        <v>0.24949381876230278</v>
      </c>
      <c r="AQ41">
        <v>0.24802430726284436</v>
      </c>
      <c r="EA41" t="s">
        <v>784</v>
      </c>
      <c r="EB41">
        <v>0.5589376833565235</v>
      </c>
      <c r="EC41">
        <v>0.5273553767048057</v>
      </c>
      <c r="ED41">
        <v>0.52494982552103453</v>
      </c>
      <c r="EE41">
        <v>0.51935829454457627</v>
      </c>
      <c r="EF41">
        <v>0.51157260734903998</v>
      </c>
      <c r="EG41">
        <v>0.51964200407691186</v>
      </c>
      <c r="EH41">
        <v>0.53652185255748541</v>
      </c>
      <c r="EI41">
        <v>0.55314404773451764</v>
      </c>
      <c r="EJ41">
        <v>0.56146653397114621</v>
      </c>
      <c r="EK41">
        <v>0.57044427159351174</v>
      </c>
      <c r="EL41">
        <v>0.49233304635713748</v>
      </c>
      <c r="EM41">
        <v>0.51261434028308317</v>
      </c>
      <c r="EN41">
        <v>0.51080249667202937</v>
      </c>
      <c r="EO41">
        <v>0.48092121521104497</v>
      </c>
      <c r="EP41">
        <v>0.45576712331370323</v>
      </c>
      <c r="EQ41">
        <v>0.46442733163623867</v>
      </c>
      <c r="ER41">
        <v>0.49447934290265766</v>
      </c>
      <c r="ES41">
        <v>0.51241923301651615</v>
      </c>
      <c r="ET41">
        <v>0.5194187485836893</v>
      </c>
      <c r="EU41">
        <v>0.5058792313900583</v>
      </c>
      <c r="EV41">
        <v>0.38786234475760184</v>
      </c>
      <c r="EW41">
        <v>0.38286853392740861</v>
      </c>
      <c r="EX41">
        <v>0.39131137339455357</v>
      </c>
      <c r="EY41">
        <v>0.36186475471641705</v>
      </c>
      <c r="EZ41">
        <v>0.34265152073916544</v>
      </c>
      <c r="FA41">
        <v>0.34858652701633874</v>
      </c>
      <c r="FB41">
        <v>0.37147110563937352</v>
      </c>
      <c r="FC41">
        <v>0.40343871179689766</v>
      </c>
      <c r="FD41">
        <v>0.41465512838939411</v>
      </c>
      <c r="FE41">
        <v>0.40750395278930179</v>
      </c>
      <c r="FF41">
        <v>0.57577104329973883</v>
      </c>
      <c r="FG41">
        <v>0.56801934118702913</v>
      </c>
      <c r="FH41">
        <v>0.55770547430983186</v>
      </c>
      <c r="FI41">
        <v>0.53179570981794655</v>
      </c>
      <c r="FJ41">
        <v>0.51070707306386975</v>
      </c>
      <c r="FK41">
        <v>0.500955215498603</v>
      </c>
      <c r="FL41">
        <v>0.51413516113386148</v>
      </c>
      <c r="FM41">
        <v>0.53773802857113062</v>
      </c>
      <c r="FN41">
        <v>0.56354765046069699</v>
      </c>
      <c r="FO41">
        <v>0.57754361184085778</v>
      </c>
      <c r="FQ41" t="s">
        <v>785</v>
      </c>
      <c r="FR41" t="s">
        <v>127</v>
      </c>
      <c r="FS41" t="s">
        <v>128</v>
      </c>
      <c r="FT41">
        <v>0.27963794856525637</v>
      </c>
    </row>
    <row r="42" spans="2:176" x14ac:dyDescent="0.45">
      <c r="B42" t="s">
        <v>786</v>
      </c>
      <c r="C42" t="s">
        <v>123</v>
      </c>
      <c r="D42">
        <v>0.45187158745340783</v>
      </c>
      <c r="E42">
        <v>0.43635076607038625</v>
      </c>
      <c r="F42">
        <v>0.46024015215523162</v>
      </c>
      <c r="G42">
        <v>0.47603580524985933</v>
      </c>
      <c r="H42">
        <v>0.49791801659566587</v>
      </c>
      <c r="I42">
        <v>0.48956509840399498</v>
      </c>
      <c r="J42">
        <v>0.45757417687974439</v>
      </c>
      <c r="K42">
        <v>0.44691810989922204</v>
      </c>
      <c r="L42">
        <v>0.45094098624390444</v>
      </c>
      <c r="M42">
        <v>0.45299630588440898</v>
      </c>
      <c r="N42">
        <v>0.4812410388826856</v>
      </c>
      <c r="O42">
        <v>0.45776764036156709</v>
      </c>
      <c r="P42">
        <v>0.46783790709624135</v>
      </c>
      <c r="Q42">
        <v>0.46500155648991731</v>
      </c>
      <c r="R42">
        <v>0.42991730421201058</v>
      </c>
      <c r="S42">
        <v>0.38278869487002742</v>
      </c>
      <c r="T42">
        <v>0.34813672388611488</v>
      </c>
      <c r="U42">
        <v>0.3568614859666539</v>
      </c>
      <c r="V42">
        <v>0.40480056583904561</v>
      </c>
      <c r="W42">
        <v>0.46437627882429017</v>
      </c>
      <c r="X42">
        <v>0.53364491465113439</v>
      </c>
      <c r="Y42">
        <v>0.57864692046897481</v>
      </c>
      <c r="Z42">
        <v>0.55486384413334056</v>
      </c>
      <c r="AA42">
        <v>0.47977263742184717</v>
      </c>
      <c r="AB42">
        <v>0.35466222644753687</v>
      </c>
      <c r="AC42">
        <v>0.27071681856480734</v>
      </c>
      <c r="AD42">
        <v>0.29715735119436532</v>
      </c>
      <c r="AE42">
        <v>0.37869100154479707</v>
      </c>
      <c r="AF42">
        <v>0.48031936542078252</v>
      </c>
      <c r="AG42">
        <v>0.50426452732180849</v>
      </c>
      <c r="AH42">
        <v>0.51446320726230865</v>
      </c>
      <c r="AI42">
        <v>0.4825990091187719</v>
      </c>
      <c r="AJ42">
        <v>0.50166436161861672</v>
      </c>
      <c r="AK42">
        <v>0.49842891107344045</v>
      </c>
      <c r="AL42">
        <v>0.47957012720545461</v>
      </c>
      <c r="AM42">
        <v>0.45752157749200983</v>
      </c>
      <c r="AN42">
        <v>0.41972709071181902</v>
      </c>
      <c r="AO42">
        <v>0.4317479802650307</v>
      </c>
      <c r="AP42">
        <v>0.47184215441358884</v>
      </c>
      <c r="AQ42">
        <v>0.52750787212374584</v>
      </c>
      <c r="EA42" t="s">
        <v>786</v>
      </c>
      <c r="EB42">
        <v>0.28370776607611048</v>
      </c>
      <c r="EC42">
        <v>0.27988166702782125</v>
      </c>
      <c r="ED42">
        <v>0.28470016235658391</v>
      </c>
      <c r="EE42">
        <v>0.27832075729708244</v>
      </c>
      <c r="EF42">
        <v>0.27616914173401441</v>
      </c>
      <c r="EG42">
        <v>0.27676138551353702</v>
      </c>
      <c r="EH42">
        <v>0.29112010648274494</v>
      </c>
      <c r="EI42">
        <v>0.31711769749846042</v>
      </c>
      <c r="EJ42">
        <v>0.31262036529028442</v>
      </c>
      <c r="EK42">
        <v>0.29052335444914945</v>
      </c>
      <c r="EL42">
        <v>0.22670339460515038</v>
      </c>
      <c r="EM42">
        <v>0.2512461665815463</v>
      </c>
      <c r="EN42">
        <v>0.24953641253039627</v>
      </c>
      <c r="EO42">
        <v>0.23372316239494376</v>
      </c>
      <c r="EP42">
        <v>0.26193538696892199</v>
      </c>
      <c r="EQ42">
        <v>0.33177351954632972</v>
      </c>
      <c r="ER42">
        <v>0.38782374512105272</v>
      </c>
      <c r="ES42">
        <v>0.35744344529361149</v>
      </c>
      <c r="ET42">
        <v>0.29012063239523739</v>
      </c>
      <c r="EU42">
        <v>0.23055121952549168</v>
      </c>
      <c r="EV42">
        <v>5.6804361906762454E-2</v>
      </c>
      <c r="EW42">
        <v>6.3773807621740855E-2</v>
      </c>
      <c r="EX42">
        <v>5.9095102760074021E-2</v>
      </c>
      <c r="EY42">
        <v>5.6014073109725053E-2</v>
      </c>
      <c r="EZ42">
        <v>8.292508913190956E-2</v>
      </c>
      <c r="FA42">
        <v>0.1331120283623716</v>
      </c>
      <c r="FB42">
        <v>0.15943822899493526</v>
      </c>
      <c r="FC42">
        <v>0.13821552732576772</v>
      </c>
      <c r="FD42">
        <v>8.9022950442689083E-2</v>
      </c>
      <c r="FE42">
        <v>6.1546386047994339E-2</v>
      </c>
      <c r="FF42">
        <v>0.19777504670487431</v>
      </c>
      <c r="FG42">
        <v>0.18908377490570646</v>
      </c>
      <c r="FH42">
        <v>0.18166244079594857</v>
      </c>
      <c r="FI42">
        <v>0.16021364017301754</v>
      </c>
      <c r="FJ42">
        <v>0.15896469960706033</v>
      </c>
      <c r="FK42">
        <v>0.18846311527193071</v>
      </c>
      <c r="FL42">
        <v>0.22264422599437114</v>
      </c>
      <c r="FM42">
        <v>0.23981655906155919</v>
      </c>
      <c r="FN42">
        <v>0.22338285229418917</v>
      </c>
      <c r="FO42">
        <v>0.21001607803762881</v>
      </c>
      <c r="FQ42" t="s">
        <v>787</v>
      </c>
      <c r="FR42" t="s">
        <v>127</v>
      </c>
      <c r="FS42" t="s">
        <v>128</v>
      </c>
      <c r="FT42">
        <v>0.17652272309018163</v>
      </c>
    </row>
    <row r="43" spans="2:176" x14ac:dyDescent="0.45">
      <c r="B43" t="s">
        <v>788</v>
      </c>
      <c r="C43" t="s">
        <v>123</v>
      </c>
      <c r="D43">
        <v>0.41276144059555425</v>
      </c>
      <c r="E43">
        <v>0.41235270081565606</v>
      </c>
      <c r="F43">
        <v>0.41407271599412832</v>
      </c>
      <c r="G43">
        <v>0.43309752316515937</v>
      </c>
      <c r="H43">
        <v>0.44386876531339708</v>
      </c>
      <c r="I43">
        <v>0.45748124054954081</v>
      </c>
      <c r="J43">
        <v>0.44766720763850304</v>
      </c>
      <c r="K43">
        <v>0.41674920487753958</v>
      </c>
      <c r="L43">
        <v>0.40615926846616068</v>
      </c>
      <c r="M43">
        <v>0.38652637252142302</v>
      </c>
      <c r="N43">
        <v>0.41653631189727508</v>
      </c>
      <c r="O43">
        <v>0.39356109843695375</v>
      </c>
      <c r="P43">
        <v>0.37846025122284294</v>
      </c>
      <c r="Q43">
        <v>0.38649162595689057</v>
      </c>
      <c r="R43">
        <v>0.42010670921818188</v>
      </c>
      <c r="S43">
        <v>0.38107044532595169</v>
      </c>
      <c r="T43">
        <v>0.31828408924152601</v>
      </c>
      <c r="U43">
        <v>0.31021079250663802</v>
      </c>
      <c r="V43">
        <v>0.33468635004476593</v>
      </c>
      <c r="W43">
        <v>0.4035064675267217</v>
      </c>
      <c r="X43">
        <v>0.53912343330844192</v>
      </c>
      <c r="Y43">
        <v>0.54347610347302322</v>
      </c>
      <c r="Z43">
        <v>0.50631670851477772</v>
      </c>
      <c r="AA43">
        <v>0.44102250723185793</v>
      </c>
      <c r="AB43">
        <v>0.34385812513162373</v>
      </c>
      <c r="AC43">
        <v>0.28239721413927671</v>
      </c>
      <c r="AD43">
        <v>0.26880447804790125</v>
      </c>
      <c r="AE43">
        <v>0.31671461658868016</v>
      </c>
      <c r="AF43">
        <v>0.39263773687021636</v>
      </c>
      <c r="AG43">
        <v>0.4284988216279616</v>
      </c>
      <c r="AH43">
        <v>0.49418182961115376</v>
      </c>
      <c r="AI43">
        <v>0.46333238230748691</v>
      </c>
      <c r="AJ43">
        <v>0.44087795063058205</v>
      </c>
      <c r="AK43">
        <v>0.44439694015990422</v>
      </c>
      <c r="AL43">
        <v>0.44674738556493732</v>
      </c>
      <c r="AM43">
        <v>0.43478959605147027</v>
      </c>
      <c r="AN43">
        <v>0.41343369843202221</v>
      </c>
      <c r="AO43">
        <v>0.43348470646100756</v>
      </c>
      <c r="AP43">
        <v>0.46529569465458759</v>
      </c>
      <c r="AQ43">
        <v>0.49551764554560929</v>
      </c>
      <c r="EA43" t="s">
        <v>788</v>
      </c>
      <c r="EB43">
        <v>0.37847259719957999</v>
      </c>
      <c r="EC43">
        <v>0.38219788961136281</v>
      </c>
      <c r="ED43">
        <v>0.38490664157003746</v>
      </c>
      <c r="EE43">
        <v>0.38659223096124057</v>
      </c>
      <c r="EF43">
        <v>0.37512105383922156</v>
      </c>
      <c r="EG43">
        <v>0.36223699768211137</v>
      </c>
      <c r="EH43">
        <v>0.3590369905496773</v>
      </c>
      <c r="EI43">
        <v>0.37431040593268122</v>
      </c>
      <c r="EJ43">
        <v>0.37431096189261692</v>
      </c>
      <c r="EK43">
        <v>0.36186429284063132</v>
      </c>
      <c r="EL43">
        <v>0.32563983322087153</v>
      </c>
      <c r="EM43">
        <v>0.34053450782378036</v>
      </c>
      <c r="EN43">
        <v>0.34013450677574747</v>
      </c>
      <c r="EO43">
        <v>0.30748953516471839</v>
      </c>
      <c r="EP43">
        <v>0.2933474473971131</v>
      </c>
      <c r="EQ43">
        <v>0.3202905250739429</v>
      </c>
      <c r="ER43">
        <v>0.36811317746489935</v>
      </c>
      <c r="ES43">
        <v>0.3754147527251161</v>
      </c>
      <c r="ET43">
        <v>0.3664508007109113</v>
      </c>
      <c r="EU43">
        <v>0.33115541897147571</v>
      </c>
      <c r="EV43">
        <v>0.1015813053215834</v>
      </c>
      <c r="EW43">
        <v>0.10862016386347008</v>
      </c>
      <c r="EX43">
        <v>0.10148014055484653</v>
      </c>
      <c r="EY43">
        <v>8.0384917258636432E-2</v>
      </c>
      <c r="EZ43">
        <v>6.9057808745842802E-2</v>
      </c>
      <c r="FA43">
        <v>0.10353645744666663</v>
      </c>
      <c r="FB43">
        <v>0.14162598310695487</v>
      </c>
      <c r="FC43">
        <v>0.14164603309182489</v>
      </c>
      <c r="FD43">
        <v>0.11919775021397594</v>
      </c>
      <c r="FE43">
        <v>9.7948372693301547E-2</v>
      </c>
      <c r="FF43">
        <v>0.25855509402391497</v>
      </c>
      <c r="FG43">
        <v>0.27670191740304034</v>
      </c>
      <c r="FH43">
        <v>0.27931497253972659</v>
      </c>
      <c r="FI43">
        <v>0.25682395181996759</v>
      </c>
      <c r="FJ43">
        <v>0.23104136570726491</v>
      </c>
      <c r="FK43">
        <v>0.22227206176247805</v>
      </c>
      <c r="FL43">
        <v>0.23919551639005132</v>
      </c>
      <c r="FM43">
        <v>0.25725707675795417</v>
      </c>
      <c r="FN43">
        <v>0.25825445211569426</v>
      </c>
      <c r="FO43">
        <v>0.25809384090666632</v>
      </c>
      <c r="FQ43" t="s">
        <v>789</v>
      </c>
      <c r="FR43" t="s">
        <v>127</v>
      </c>
      <c r="FS43" t="s">
        <v>128</v>
      </c>
      <c r="FT43">
        <v>0.24702211834752938</v>
      </c>
    </row>
    <row r="44" spans="2:176" x14ac:dyDescent="0.45">
      <c r="B44" t="s">
        <v>790</v>
      </c>
      <c r="C44" t="s">
        <v>123</v>
      </c>
      <c r="D44">
        <v>0.4723289305023069</v>
      </c>
      <c r="E44">
        <v>0.4609438250981388</v>
      </c>
      <c r="F44">
        <v>0.46630011773857072</v>
      </c>
      <c r="G44">
        <v>0.46512320260936441</v>
      </c>
      <c r="H44">
        <v>0.48117845727444297</v>
      </c>
      <c r="I44">
        <v>0.47555060379967107</v>
      </c>
      <c r="J44">
        <v>0.45897045666484187</v>
      </c>
      <c r="K44">
        <v>0.41624218005321134</v>
      </c>
      <c r="L44">
        <v>0.4139849770483725</v>
      </c>
      <c r="M44">
        <v>0.43867506118144911</v>
      </c>
      <c r="N44">
        <v>0.44534134337260556</v>
      </c>
      <c r="O44">
        <v>0.45864010483761419</v>
      </c>
      <c r="P44">
        <v>0.46619261387388317</v>
      </c>
      <c r="Q44">
        <v>0.46938753120012383</v>
      </c>
      <c r="R44">
        <v>0.42337263807492326</v>
      </c>
      <c r="S44">
        <v>0.38592373944558034</v>
      </c>
      <c r="T44">
        <v>0.36786609597429437</v>
      </c>
      <c r="U44">
        <v>0.39344258808862664</v>
      </c>
      <c r="V44">
        <v>0.4237896817264975</v>
      </c>
      <c r="W44">
        <v>0.43365345002447109</v>
      </c>
      <c r="X44">
        <v>0.42843278960529518</v>
      </c>
      <c r="Y44">
        <v>0.48656364931306784</v>
      </c>
      <c r="Z44">
        <v>0.48909511736540873</v>
      </c>
      <c r="AA44">
        <v>0.41684020603886135</v>
      </c>
      <c r="AB44">
        <v>0.35326473663122415</v>
      </c>
      <c r="AC44">
        <v>0.32403317558893491</v>
      </c>
      <c r="AD44">
        <v>0.33932008775328187</v>
      </c>
      <c r="AE44">
        <v>0.38259107658248803</v>
      </c>
      <c r="AF44">
        <v>0.39977429500201778</v>
      </c>
      <c r="AG44">
        <v>0.41349182960702968</v>
      </c>
      <c r="AH44">
        <v>0.46109656487616335</v>
      </c>
      <c r="AI44">
        <v>0.4568703593895953</v>
      </c>
      <c r="AJ44">
        <v>0.47073287444218259</v>
      </c>
      <c r="AK44">
        <v>0.45157358056585162</v>
      </c>
      <c r="AL44">
        <v>0.4220328423327287</v>
      </c>
      <c r="AM44">
        <v>0.401539298982792</v>
      </c>
      <c r="AN44">
        <v>0.39985891474682378</v>
      </c>
      <c r="AO44">
        <v>0.41307132730802981</v>
      </c>
      <c r="AP44">
        <v>0.43635649633272044</v>
      </c>
      <c r="AQ44">
        <v>0.46707964677511948</v>
      </c>
      <c r="EA44" t="s">
        <v>790</v>
      </c>
      <c r="EB44">
        <v>0.25977469917688162</v>
      </c>
      <c r="EC44">
        <v>0.24585558563282855</v>
      </c>
      <c r="ED44">
        <v>0.24687320685697003</v>
      </c>
      <c r="EE44">
        <v>0.24182862784185397</v>
      </c>
      <c r="EF44">
        <v>0.22852193779564248</v>
      </c>
      <c r="EG44">
        <v>0.22354704708575426</v>
      </c>
      <c r="EH44">
        <v>0.22882481012391426</v>
      </c>
      <c r="EI44">
        <v>0.2424034846705814</v>
      </c>
      <c r="EJ44">
        <v>0.2524502136402017</v>
      </c>
      <c r="EK44">
        <v>0.25170160678897752</v>
      </c>
      <c r="EL44">
        <v>0.23334552688797966</v>
      </c>
      <c r="EM44">
        <v>0.22606482194676039</v>
      </c>
      <c r="EN44">
        <v>0.21736683401116985</v>
      </c>
      <c r="EO44">
        <v>0.21196182903398122</v>
      </c>
      <c r="EP44">
        <v>0.24908977539939275</v>
      </c>
      <c r="EQ44">
        <v>0.31307720441227049</v>
      </c>
      <c r="ER44">
        <v>0.36830230078599735</v>
      </c>
      <c r="ES44">
        <v>0.37426000914640872</v>
      </c>
      <c r="ET44">
        <v>0.33965528273010487</v>
      </c>
      <c r="EU44">
        <v>0.27992282479113145</v>
      </c>
      <c r="EV44">
        <v>8.331572279120654E-2</v>
      </c>
      <c r="EW44">
        <v>8.0897133469169685E-2</v>
      </c>
      <c r="EX44">
        <v>8.0066071642352979E-2</v>
      </c>
      <c r="EY44">
        <v>7.7239906006521669E-2</v>
      </c>
      <c r="EZ44">
        <v>9.6093586231636718E-2</v>
      </c>
      <c r="FA44">
        <v>0.12645785601547241</v>
      </c>
      <c r="FB44">
        <v>0.12748624558813618</v>
      </c>
      <c r="FC44">
        <v>0.10994369586597111</v>
      </c>
      <c r="FD44">
        <v>9.4931768337111408E-2</v>
      </c>
      <c r="FE44">
        <v>9.8816144483522383E-2</v>
      </c>
      <c r="FF44">
        <v>0.22518275915601588</v>
      </c>
      <c r="FG44">
        <v>0.22689296005335882</v>
      </c>
      <c r="FH44">
        <v>0.24143264777844206</v>
      </c>
      <c r="FI44">
        <v>0.22567933964671757</v>
      </c>
      <c r="FJ44">
        <v>0.20639848484691406</v>
      </c>
      <c r="FK44">
        <v>0.20908857530807362</v>
      </c>
      <c r="FL44">
        <v>0.22667737621970577</v>
      </c>
      <c r="FM44">
        <v>0.24102066682723233</v>
      </c>
      <c r="FN44">
        <v>0.25715593664066555</v>
      </c>
      <c r="FO44">
        <v>0.26958231561971008</v>
      </c>
      <c r="FQ44" t="s">
        <v>791</v>
      </c>
      <c r="FR44" t="s">
        <v>127</v>
      </c>
      <c r="FS44" t="s">
        <v>128</v>
      </c>
      <c r="FT44">
        <v>0.41712555149519281</v>
      </c>
    </row>
    <row r="45" spans="2:176" x14ac:dyDescent="0.45">
      <c r="B45" t="s">
        <v>792</v>
      </c>
      <c r="C45" t="s">
        <v>123</v>
      </c>
      <c r="D45">
        <v>0.32680856884575382</v>
      </c>
      <c r="E45">
        <v>0.34960362889585606</v>
      </c>
      <c r="F45">
        <v>0.35433264986329055</v>
      </c>
      <c r="G45">
        <v>0.34795058538341195</v>
      </c>
      <c r="H45">
        <v>0.34460148867074536</v>
      </c>
      <c r="I45">
        <v>0.35888865343288656</v>
      </c>
      <c r="J45">
        <v>0.37869792396972907</v>
      </c>
      <c r="K45">
        <v>0.38604049944886004</v>
      </c>
      <c r="L45">
        <v>0.35408636233688201</v>
      </c>
      <c r="M45">
        <v>0.31856100319875924</v>
      </c>
      <c r="N45">
        <v>0.34417181118249379</v>
      </c>
      <c r="O45">
        <v>0.35047429567850641</v>
      </c>
      <c r="P45">
        <v>0.35089359820294463</v>
      </c>
      <c r="Q45">
        <v>0.34996346722239602</v>
      </c>
      <c r="R45">
        <v>0.35606220497652358</v>
      </c>
      <c r="S45">
        <v>0.36106922423780324</v>
      </c>
      <c r="T45">
        <v>0.36717724344210506</v>
      </c>
      <c r="U45">
        <v>0.36867448387439267</v>
      </c>
      <c r="V45">
        <v>0.36547448376499686</v>
      </c>
      <c r="W45">
        <v>0.35155323617930911</v>
      </c>
      <c r="X45">
        <v>0.45290453491227084</v>
      </c>
      <c r="Y45">
        <v>0.46389524081792566</v>
      </c>
      <c r="Z45">
        <v>0.4577203562482508</v>
      </c>
      <c r="AA45">
        <v>0.46529524992980947</v>
      </c>
      <c r="AB45">
        <v>0.46741037199515673</v>
      </c>
      <c r="AC45">
        <v>0.46101384278236185</v>
      </c>
      <c r="AD45">
        <v>0.46473754225996472</v>
      </c>
      <c r="AE45">
        <v>0.46448563211755384</v>
      </c>
      <c r="AF45">
        <v>0.45327493899546301</v>
      </c>
      <c r="AG45">
        <v>0.44052535256072334</v>
      </c>
      <c r="AH45">
        <v>0.38259698262494218</v>
      </c>
      <c r="AI45">
        <v>0.39472159993951778</v>
      </c>
      <c r="AJ45">
        <v>0.39473986187360077</v>
      </c>
      <c r="AK45">
        <v>0.41041222606384792</v>
      </c>
      <c r="AL45">
        <v>0.41385446358218941</v>
      </c>
      <c r="AM45">
        <v>0.38720116182391418</v>
      </c>
      <c r="AN45">
        <v>0.38439531687432671</v>
      </c>
      <c r="AO45">
        <v>0.38466657770408924</v>
      </c>
      <c r="AP45">
        <v>0.38417305876035496</v>
      </c>
      <c r="AQ45">
        <v>0.38591787555483575</v>
      </c>
      <c r="EA45" t="s">
        <v>792</v>
      </c>
      <c r="EB45">
        <v>0.47834553600580165</v>
      </c>
      <c r="EC45">
        <v>0.4536144102044784</v>
      </c>
      <c r="ED45">
        <v>0.4570218813320161</v>
      </c>
      <c r="EE45">
        <v>0.45619441118373671</v>
      </c>
      <c r="EF45">
        <v>0.46833159787695461</v>
      </c>
      <c r="EG45">
        <v>0.46643498128161814</v>
      </c>
      <c r="EH45">
        <v>0.45119654412108962</v>
      </c>
      <c r="EI45">
        <v>0.44233005953143734</v>
      </c>
      <c r="EJ45">
        <v>0.45408712244910776</v>
      </c>
      <c r="EK45">
        <v>0.4900917896730187</v>
      </c>
      <c r="EL45">
        <v>0.4188053925959167</v>
      </c>
      <c r="EM45">
        <v>0.43388760108394242</v>
      </c>
      <c r="EN45">
        <v>0.43238127377117308</v>
      </c>
      <c r="EO45">
        <v>0.42068021619149826</v>
      </c>
      <c r="EP45">
        <v>0.40741352001243925</v>
      </c>
      <c r="EQ45">
        <v>0.38718298063255896</v>
      </c>
      <c r="ER45">
        <v>0.37819274645796247</v>
      </c>
      <c r="ES45">
        <v>0.37865842133173466</v>
      </c>
      <c r="ET45">
        <v>0.38285928127622276</v>
      </c>
      <c r="EU45">
        <v>0.40581591393066851</v>
      </c>
      <c r="EV45">
        <v>0.18521878189867014</v>
      </c>
      <c r="EW45">
        <v>0.21667231879774579</v>
      </c>
      <c r="EX45">
        <v>0.22797623291388872</v>
      </c>
      <c r="EY45">
        <v>0.21970066770039742</v>
      </c>
      <c r="EZ45">
        <v>0.20808276391199096</v>
      </c>
      <c r="FA45">
        <v>0.18506695295512909</v>
      </c>
      <c r="FB45">
        <v>0.16146099206505946</v>
      </c>
      <c r="FC45">
        <v>0.14379869469445516</v>
      </c>
      <c r="FD45">
        <v>0.14939764451874468</v>
      </c>
      <c r="FE45">
        <v>0.1556098492031058</v>
      </c>
      <c r="FF45">
        <v>0.39221660006177866</v>
      </c>
      <c r="FG45">
        <v>0.39712297265581825</v>
      </c>
      <c r="FH45">
        <v>0.40936806475392051</v>
      </c>
      <c r="FI45">
        <v>0.40015204153369233</v>
      </c>
      <c r="FJ45">
        <v>0.39559805698659034</v>
      </c>
      <c r="FK45">
        <v>0.3920592834767534</v>
      </c>
      <c r="FL45">
        <v>0.38729576411686839</v>
      </c>
      <c r="FM45">
        <v>0.38179897308053551</v>
      </c>
      <c r="FN45">
        <v>0.37210757801138672</v>
      </c>
      <c r="FO45">
        <v>0.378938816341371</v>
      </c>
      <c r="FQ45" t="s">
        <v>793</v>
      </c>
      <c r="FR45" t="s">
        <v>127</v>
      </c>
      <c r="FS45" t="s">
        <v>128</v>
      </c>
      <c r="FT45">
        <v>0.1826376571598296</v>
      </c>
    </row>
    <row r="46" spans="2:176" x14ac:dyDescent="0.45">
      <c r="B46" t="s">
        <v>794</v>
      </c>
      <c r="C46" t="s">
        <v>123</v>
      </c>
      <c r="D46">
        <v>0.41451793799113607</v>
      </c>
      <c r="E46">
        <v>0.42415125518164171</v>
      </c>
      <c r="F46">
        <v>0.40558754336680947</v>
      </c>
      <c r="G46">
        <v>0.40659158648739308</v>
      </c>
      <c r="H46">
        <v>0.40400906914567325</v>
      </c>
      <c r="I46">
        <v>0.41590474711777276</v>
      </c>
      <c r="J46">
        <v>0.42857178274939045</v>
      </c>
      <c r="K46">
        <v>0.42648876323620294</v>
      </c>
      <c r="L46">
        <v>0.40690070706101333</v>
      </c>
      <c r="M46">
        <v>0.39795854716544488</v>
      </c>
      <c r="N46">
        <v>0.392452472805148</v>
      </c>
      <c r="O46">
        <v>0.41500071684041873</v>
      </c>
      <c r="P46">
        <v>0.39243219536734597</v>
      </c>
      <c r="Q46">
        <v>0.37964392912967226</v>
      </c>
      <c r="R46">
        <v>0.39573380158105881</v>
      </c>
      <c r="S46">
        <v>0.3857213776377601</v>
      </c>
      <c r="T46">
        <v>0.38172164271323028</v>
      </c>
      <c r="U46">
        <v>0.37985309070299156</v>
      </c>
      <c r="V46">
        <v>0.38232382632849904</v>
      </c>
      <c r="W46">
        <v>0.38318399453747393</v>
      </c>
      <c r="X46">
        <v>0.4587292535606402</v>
      </c>
      <c r="Y46">
        <v>0.5026850032100787</v>
      </c>
      <c r="Z46">
        <v>0.4914041117312305</v>
      </c>
      <c r="AA46">
        <v>0.48627315499049029</v>
      </c>
      <c r="AB46">
        <v>0.45643145039365302</v>
      </c>
      <c r="AC46">
        <v>0.38969828290172998</v>
      </c>
      <c r="AD46">
        <v>0.34553314089002701</v>
      </c>
      <c r="AE46">
        <v>0.35940614004109589</v>
      </c>
      <c r="AF46">
        <v>0.39816603093966224</v>
      </c>
      <c r="AG46">
        <v>0.43545811713783644</v>
      </c>
      <c r="AH46">
        <v>0.43913692356763578</v>
      </c>
      <c r="AI46">
        <v>0.43059118419065318</v>
      </c>
      <c r="AJ46">
        <v>0.42477947831371177</v>
      </c>
      <c r="AK46">
        <v>0.44136765900601316</v>
      </c>
      <c r="AL46">
        <v>0.44118584939643707</v>
      </c>
      <c r="AM46">
        <v>0.42465978768161217</v>
      </c>
      <c r="AN46">
        <v>0.41974268243036944</v>
      </c>
      <c r="AO46">
        <v>0.41242797588416907</v>
      </c>
      <c r="AP46">
        <v>0.40873515466912141</v>
      </c>
      <c r="AQ46">
        <v>0.4192954705526718</v>
      </c>
      <c r="EA46" t="s">
        <v>794</v>
      </c>
      <c r="EB46">
        <v>0.38131150495828631</v>
      </c>
      <c r="EC46">
        <v>0.37567343286792759</v>
      </c>
      <c r="ED46">
        <v>0.38478792363264858</v>
      </c>
      <c r="EE46">
        <v>0.39119139733781316</v>
      </c>
      <c r="EF46">
        <v>0.40169242229394309</v>
      </c>
      <c r="EG46">
        <v>0.38751270383702013</v>
      </c>
      <c r="EH46">
        <v>0.36827649319509248</v>
      </c>
      <c r="EI46">
        <v>0.35193738866329005</v>
      </c>
      <c r="EJ46">
        <v>0.36166710348668701</v>
      </c>
      <c r="EK46">
        <v>0.39077844809449552</v>
      </c>
      <c r="EL46">
        <v>0.35096268849976731</v>
      </c>
      <c r="EM46">
        <v>0.33542511720530144</v>
      </c>
      <c r="EN46">
        <v>0.33442904214795122</v>
      </c>
      <c r="EO46">
        <v>0.3234042591940276</v>
      </c>
      <c r="EP46">
        <v>0.32146090004774946</v>
      </c>
      <c r="EQ46">
        <v>0.33502516419449124</v>
      </c>
      <c r="ER46">
        <v>0.34432800876054748</v>
      </c>
      <c r="ES46">
        <v>0.33814039293760112</v>
      </c>
      <c r="ET46">
        <v>0.34714166002836894</v>
      </c>
      <c r="EU46">
        <v>0.35460659560927132</v>
      </c>
      <c r="EV46">
        <v>0.11052689592938811</v>
      </c>
      <c r="EW46">
        <v>0.13343216452559672</v>
      </c>
      <c r="EX46">
        <v>0.1404303304827034</v>
      </c>
      <c r="EY46">
        <v>0.14178562307132225</v>
      </c>
      <c r="EZ46">
        <v>0.14486432350017428</v>
      </c>
      <c r="FA46">
        <v>0.14902654819112887</v>
      </c>
      <c r="FB46">
        <v>0.14148336276926557</v>
      </c>
      <c r="FC46">
        <v>0.12723860845895016</v>
      </c>
      <c r="FD46">
        <v>0.11645151204218622</v>
      </c>
      <c r="FE46">
        <v>0.10674282362005778</v>
      </c>
      <c r="FF46">
        <v>0.30290414155091389</v>
      </c>
      <c r="FG46">
        <v>0.31375152443553034</v>
      </c>
      <c r="FH46">
        <v>0.32367812034846327</v>
      </c>
      <c r="FI46">
        <v>0.32181518286720245</v>
      </c>
      <c r="FJ46">
        <v>0.32075189676263988</v>
      </c>
      <c r="FK46">
        <v>0.31696622035275884</v>
      </c>
      <c r="FL46">
        <v>0.31280211402009067</v>
      </c>
      <c r="FM46">
        <v>0.31208625302612497</v>
      </c>
      <c r="FN46">
        <v>0.31090362054622245</v>
      </c>
      <c r="FO46">
        <v>0.31116049907539611</v>
      </c>
      <c r="FQ46" t="s">
        <v>795</v>
      </c>
      <c r="FR46" t="s">
        <v>127</v>
      </c>
      <c r="FS46" t="s">
        <v>128</v>
      </c>
      <c r="FT46">
        <v>0.25762721520872273</v>
      </c>
    </row>
    <row r="47" spans="2:176" x14ac:dyDescent="0.45">
      <c r="B47" t="s">
        <v>796</v>
      </c>
      <c r="C47" t="s">
        <v>123</v>
      </c>
      <c r="D47">
        <v>0.31948992524133257</v>
      </c>
      <c r="E47">
        <v>0.32782217101806005</v>
      </c>
      <c r="F47">
        <v>0.33872547722155405</v>
      </c>
      <c r="G47">
        <v>0.34501731917610551</v>
      </c>
      <c r="H47">
        <v>0.34377038026478979</v>
      </c>
      <c r="I47">
        <v>0.32834612018360593</v>
      </c>
      <c r="J47">
        <v>0.31518306354635578</v>
      </c>
      <c r="K47">
        <v>0.30784226537881493</v>
      </c>
      <c r="L47">
        <v>0.30747800884843918</v>
      </c>
      <c r="M47">
        <v>0.31284364561295125</v>
      </c>
      <c r="N47">
        <v>0.35891499070826843</v>
      </c>
      <c r="O47">
        <v>0.36380203171390779</v>
      </c>
      <c r="P47">
        <v>0.35902708906874548</v>
      </c>
      <c r="Q47">
        <v>0.3480244632343637</v>
      </c>
      <c r="R47">
        <v>0.34057859602250118</v>
      </c>
      <c r="S47">
        <v>0.3277349662571778</v>
      </c>
      <c r="T47">
        <v>0.32145406665060355</v>
      </c>
      <c r="U47">
        <v>0.32542393815573889</v>
      </c>
      <c r="V47">
        <v>0.33109315635348863</v>
      </c>
      <c r="W47">
        <v>0.35187991231216725</v>
      </c>
      <c r="X47">
        <v>0.41277438305026953</v>
      </c>
      <c r="Y47">
        <v>0.40802747188103372</v>
      </c>
      <c r="Z47">
        <v>0.41723518836774676</v>
      </c>
      <c r="AA47">
        <v>0.41253533210626669</v>
      </c>
      <c r="AB47">
        <v>0.40142818845110684</v>
      </c>
      <c r="AC47">
        <v>0.39297101801243961</v>
      </c>
      <c r="AD47">
        <v>0.38891981982879648</v>
      </c>
      <c r="AE47">
        <v>0.4066762863998738</v>
      </c>
      <c r="AF47">
        <v>0.41672621163645185</v>
      </c>
      <c r="AG47">
        <v>0.42136997958346367</v>
      </c>
      <c r="AH47">
        <v>0.42370536652364316</v>
      </c>
      <c r="AI47">
        <v>0.42995086602710536</v>
      </c>
      <c r="AJ47">
        <v>0.41987415781032411</v>
      </c>
      <c r="AK47">
        <v>0.41909649322313625</v>
      </c>
      <c r="AL47">
        <v>0.40147472844313198</v>
      </c>
      <c r="AM47">
        <v>0.38689230191556312</v>
      </c>
      <c r="AN47">
        <v>0.38714976019867997</v>
      </c>
      <c r="AO47">
        <v>0.39597737680438877</v>
      </c>
      <c r="AP47">
        <v>0.40471067119187204</v>
      </c>
      <c r="AQ47">
        <v>0.40882100036515867</v>
      </c>
      <c r="EA47" t="s">
        <v>796</v>
      </c>
      <c r="EB47">
        <v>0.43858787395669663</v>
      </c>
      <c r="EC47">
        <v>0.43460533510906807</v>
      </c>
      <c r="ED47">
        <v>0.42629633299899605</v>
      </c>
      <c r="EE47">
        <v>0.4207456864811282</v>
      </c>
      <c r="EF47">
        <v>0.42318953841338863</v>
      </c>
      <c r="EG47">
        <v>0.44713298072499064</v>
      </c>
      <c r="EH47">
        <v>0.47350291510103437</v>
      </c>
      <c r="EI47">
        <v>0.4791357722454227</v>
      </c>
      <c r="EJ47">
        <v>0.46548942725613729</v>
      </c>
      <c r="EK47">
        <v>0.44781066814171566</v>
      </c>
      <c r="EL47">
        <v>0.44539144660292462</v>
      </c>
      <c r="EM47">
        <v>0.42043659063041638</v>
      </c>
      <c r="EN47">
        <v>0.40865103420914495</v>
      </c>
      <c r="EO47">
        <v>0.41400382417559917</v>
      </c>
      <c r="EP47">
        <v>0.43538201769427731</v>
      </c>
      <c r="EQ47">
        <v>0.46947759289686886</v>
      </c>
      <c r="ER47">
        <v>0.48500545340690637</v>
      </c>
      <c r="ES47">
        <v>0.48823275412121547</v>
      </c>
      <c r="ET47">
        <v>0.4830152139936339</v>
      </c>
      <c r="EU47">
        <v>0.46763218267980394</v>
      </c>
      <c r="EV47">
        <v>0.27436876176507424</v>
      </c>
      <c r="EW47">
        <v>0.27698985236164442</v>
      </c>
      <c r="EX47">
        <v>0.28601814187356739</v>
      </c>
      <c r="EY47">
        <v>0.30107087012073452</v>
      </c>
      <c r="EZ47">
        <v>0.32630815337400604</v>
      </c>
      <c r="FA47">
        <v>0.34464195146133469</v>
      </c>
      <c r="FB47">
        <v>0.34610688866489048</v>
      </c>
      <c r="FC47">
        <v>0.33426496645477405</v>
      </c>
      <c r="FD47">
        <v>0.3189873190184726</v>
      </c>
      <c r="FE47">
        <v>0.30120519329109624</v>
      </c>
      <c r="FF47">
        <v>0.26681773216227161</v>
      </c>
      <c r="FG47">
        <v>0.26340848748412493</v>
      </c>
      <c r="FH47">
        <v>0.26551081792682379</v>
      </c>
      <c r="FI47">
        <v>0.26005600913997173</v>
      </c>
      <c r="FJ47">
        <v>0.26063173957468982</v>
      </c>
      <c r="FK47">
        <v>0.29267084680393718</v>
      </c>
      <c r="FL47">
        <v>0.31365572991881274</v>
      </c>
      <c r="FM47">
        <v>0.31239348687132895</v>
      </c>
      <c r="FN47">
        <v>0.30025813377207011</v>
      </c>
      <c r="FO47">
        <v>0.28689575755981828</v>
      </c>
      <c r="FQ47" t="s">
        <v>797</v>
      </c>
      <c r="FR47" t="s">
        <v>127</v>
      </c>
      <c r="FS47" t="s">
        <v>128</v>
      </c>
      <c r="FT47">
        <v>0.28154224470836875</v>
      </c>
    </row>
    <row r="48" spans="2:176" x14ac:dyDescent="0.45">
      <c r="B48" t="s">
        <v>798</v>
      </c>
      <c r="C48" t="s">
        <v>123</v>
      </c>
      <c r="D48">
        <v>0.30729533438855278</v>
      </c>
      <c r="E48">
        <v>0.31363226615374118</v>
      </c>
      <c r="F48">
        <v>0.32236400828851491</v>
      </c>
      <c r="G48">
        <v>0.3282777607904922</v>
      </c>
      <c r="H48">
        <v>0.32698590364192787</v>
      </c>
      <c r="I48">
        <v>0.31884771223449343</v>
      </c>
      <c r="J48">
        <v>0.30536557296210937</v>
      </c>
      <c r="K48">
        <v>0.29094972987385148</v>
      </c>
      <c r="L48">
        <v>0.29104926285231419</v>
      </c>
      <c r="M48">
        <v>0.3006555960894044</v>
      </c>
      <c r="N48">
        <v>0.34454940944832263</v>
      </c>
      <c r="O48">
        <v>0.34417485146852828</v>
      </c>
      <c r="P48">
        <v>0.34033600451736173</v>
      </c>
      <c r="Q48">
        <v>0.33234417138908462</v>
      </c>
      <c r="R48">
        <v>0.32023320840676572</v>
      </c>
      <c r="S48">
        <v>0.31934132401751752</v>
      </c>
      <c r="T48">
        <v>0.32141132275593404</v>
      </c>
      <c r="U48">
        <v>0.32485797511737996</v>
      </c>
      <c r="V48">
        <v>0.31748324818043672</v>
      </c>
      <c r="W48">
        <v>0.32708189889474248</v>
      </c>
      <c r="X48">
        <v>0.38631071130461048</v>
      </c>
      <c r="Y48">
        <v>0.39136722757764625</v>
      </c>
      <c r="Z48">
        <v>0.38822005473425941</v>
      </c>
      <c r="AA48">
        <v>0.38364072515267944</v>
      </c>
      <c r="AB48">
        <v>0.39069166708339031</v>
      </c>
      <c r="AC48">
        <v>0.40167295975172151</v>
      </c>
      <c r="AD48">
        <v>0.42493177046836927</v>
      </c>
      <c r="AE48">
        <v>0.4361605026423494</v>
      </c>
      <c r="AF48">
        <v>0.43056186538387475</v>
      </c>
      <c r="AG48">
        <v>0.41445604543313441</v>
      </c>
      <c r="AH48">
        <v>0.39769846102149903</v>
      </c>
      <c r="AI48">
        <v>0.40920009236158239</v>
      </c>
      <c r="AJ48">
        <v>0.41188925524166281</v>
      </c>
      <c r="AK48">
        <v>0.41863131363566497</v>
      </c>
      <c r="AL48">
        <v>0.41382116830933763</v>
      </c>
      <c r="AM48">
        <v>0.40274130957103682</v>
      </c>
      <c r="AN48">
        <v>0.39354608156514276</v>
      </c>
      <c r="AO48">
        <v>0.39546240851846182</v>
      </c>
      <c r="AP48">
        <v>0.39152772657935503</v>
      </c>
      <c r="AQ48">
        <v>0.39072275527621786</v>
      </c>
      <c r="EA48" t="s">
        <v>798</v>
      </c>
      <c r="EB48">
        <v>0.46276397154468468</v>
      </c>
      <c r="EC48">
        <v>0.45146172632588494</v>
      </c>
      <c r="ED48">
        <v>0.44164455337739977</v>
      </c>
      <c r="EE48">
        <v>0.43156158254474442</v>
      </c>
      <c r="EF48">
        <v>0.44068104441039208</v>
      </c>
      <c r="EG48">
        <v>0.46690138051503804</v>
      </c>
      <c r="EH48">
        <v>0.48433879165432603</v>
      </c>
      <c r="EI48">
        <v>0.49563256548392631</v>
      </c>
      <c r="EJ48">
        <v>0.49015180682783416</v>
      </c>
      <c r="EK48">
        <v>0.47885735931174706</v>
      </c>
      <c r="EL48">
        <v>0.41214658627364192</v>
      </c>
      <c r="EM48">
        <v>0.38706832261446483</v>
      </c>
      <c r="EN48">
        <v>0.38009382749809317</v>
      </c>
      <c r="EO48">
        <v>0.3810286925257696</v>
      </c>
      <c r="EP48">
        <v>0.41139713467398414</v>
      </c>
      <c r="EQ48">
        <v>0.44872491763463307</v>
      </c>
      <c r="ER48">
        <v>0.46766637333633965</v>
      </c>
      <c r="ES48">
        <v>0.47088147575976824</v>
      </c>
      <c r="ET48">
        <v>0.46788794006380446</v>
      </c>
      <c r="EU48">
        <v>0.44281446836570226</v>
      </c>
      <c r="EV48">
        <v>0.25203991837846634</v>
      </c>
      <c r="EW48">
        <v>0.2580284683877393</v>
      </c>
      <c r="EX48">
        <v>0.26968411131516656</v>
      </c>
      <c r="EY48">
        <v>0.27893037029903928</v>
      </c>
      <c r="EZ48">
        <v>0.28150200328202718</v>
      </c>
      <c r="FA48">
        <v>0.28364028295301119</v>
      </c>
      <c r="FB48">
        <v>0.27430278163447491</v>
      </c>
      <c r="FC48">
        <v>0.26494615873651345</v>
      </c>
      <c r="FD48">
        <v>0.26254906767244057</v>
      </c>
      <c r="FE48">
        <v>0.25927707782446918</v>
      </c>
      <c r="FF48">
        <v>0.26779662242233432</v>
      </c>
      <c r="FG48">
        <v>0.2642214555637456</v>
      </c>
      <c r="FH48">
        <v>0.26983832446971462</v>
      </c>
      <c r="FI48">
        <v>0.26833001071832185</v>
      </c>
      <c r="FJ48">
        <v>0.27327583839894204</v>
      </c>
      <c r="FK48">
        <v>0.28415641436077038</v>
      </c>
      <c r="FL48">
        <v>0.29313677347658634</v>
      </c>
      <c r="FM48">
        <v>0.30032063017046667</v>
      </c>
      <c r="FN48">
        <v>0.30375864591361229</v>
      </c>
      <c r="FO48">
        <v>0.2915095647043871</v>
      </c>
      <c r="FQ48" t="s">
        <v>799</v>
      </c>
      <c r="FR48" t="s">
        <v>127</v>
      </c>
      <c r="FS48" t="s">
        <v>128</v>
      </c>
      <c r="FT48">
        <v>0.20029093635219963</v>
      </c>
    </row>
    <row r="49" spans="2:176" x14ac:dyDescent="0.45">
      <c r="B49" t="s">
        <v>800</v>
      </c>
      <c r="C49" t="s">
        <v>123</v>
      </c>
      <c r="D49">
        <v>0.37229796803386639</v>
      </c>
      <c r="E49">
        <v>0.347361709241784</v>
      </c>
      <c r="F49">
        <v>0.36002136354097902</v>
      </c>
      <c r="G49">
        <v>0.39145097798106909</v>
      </c>
      <c r="H49">
        <v>0.44388015690245103</v>
      </c>
      <c r="I49">
        <v>0.47995255190935754</v>
      </c>
      <c r="J49">
        <v>0.48303215021114221</v>
      </c>
      <c r="K49">
        <v>0.45980472375777276</v>
      </c>
      <c r="L49">
        <v>0.41479858626684862</v>
      </c>
      <c r="M49">
        <v>0.37791779757929705</v>
      </c>
      <c r="N49">
        <v>0.33400272553995342</v>
      </c>
      <c r="O49">
        <v>0.34617378289272438</v>
      </c>
      <c r="P49">
        <v>0.37874812667800156</v>
      </c>
      <c r="Q49">
        <v>0.44565143442471178</v>
      </c>
      <c r="R49">
        <v>0.48379110352004484</v>
      </c>
      <c r="S49">
        <v>0.43414058824646001</v>
      </c>
      <c r="T49">
        <v>0.36238754182108684</v>
      </c>
      <c r="U49">
        <v>0.31944862295016702</v>
      </c>
      <c r="V49">
        <v>0.30620299285649316</v>
      </c>
      <c r="W49">
        <v>0.32942171360077155</v>
      </c>
      <c r="X49">
        <v>0.43336799229969064</v>
      </c>
      <c r="Y49">
        <v>0.43873833259928746</v>
      </c>
      <c r="Z49">
        <v>0.43815778155619006</v>
      </c>
      <c r="AA49">
        <v>0.45360645122755505</v>
      </c>
      <c r="AB49">
        <v>0.42474186293689847</v>
      </c>
      <c r="AC49">
        <v>0.37980780456713503</v>
      </c>
      <c r="AD49">
        <v>0.29782358622888855</v>
      </c>
      <c r="AE49">
        <v>0.24772760229098714</v>
      </c>
      <c r="AF49">
        <v>0.25068802767908827</v>
      </c>
      <c r="AG49">
        <v>0.35595223093498729</v>
      </c>
      <c r="AH49">
        <v>0.41260694883475335</v>
      </c>
      <c r="AI49">
        <v>0.4138008780628285</v>
      </c>
      <c r="AJ49">
        <v>0.42870619408665372</v>
      </c>
      <c r="AK49">
        <v>0.46448479298262529</v>
      </c>
      <c r="AL49">
        <v>0.48095882836011683</v>
      </c>
      <c r="AM49">
        <v>0.44013985472972733</v>
      </c>
      <c r="AN49">
        <v>0.37008442078031706</v>
      </c>
      <c r="AO49">
        <v>0.32809519860121444</v>
      </c>
      <c r="AP49">
        <v>0.31360713624484665</v>
      </c>
      <c r="AQ49">
        <v>0.35097624796853161</v>
      </c>
      <c r="EA49" t="s">
        <v>800</v>
      </c>
      <c r="EB49">
        <v>0.33181425321162156</v>
      </c>
      <c r="EC49">
        <v>0.32860699250414876</v>
      </c>
      <c r="ED49">
        <v>0.32265041841925607</v>
      </c>
      <c r="EE49">
        <v>0.29447480940697068</v>
      </c>
      <c r="EF49">
        <v>0.26162642568435385</v>
      </c>
      <c r="EG49">
        <v>0.24796407578233787</v>
      </c>
      <c r="EH49">
        <v>0.25566333808678832</v>
      </c>
      <c r="EI49">
        <v>0.28137460954855581</v>
      </c>
      <c r="EJ49">
        <v>0.30884818347017201</v>
      </c>
      <c r="EK49">
        <v>0.32735826480426128</v>
      </c>
      <c r="EL49">
        <v>0.36475221285424797</v>
      </c>
      <c r="EM49">
        <v>0.32621152237902107</v>
      </c>
      <c r="EN49">
        <v>0.29549560983401452</v>
      </c>
      <c r="EO49">
        <v>0.25672717247094817</v>
      </c>
      <c r="EP49">
        <v>0.25364133614312839</v>
      </c>
      <c r="EQ49">
        <v>0.32726679486239579</v>
      </c>
      <c r="ER49">
        <v>0.40932069886946881</v>
      </c>
      <c r="ES49">
        <v>0.42882468260656381</v>
      </c>
      <c r="ET49">
        <v>0.41754537764147159</v>
      </c>
      <c r="EU49">
        <v>0.3856673907933571</v>
      </c>
      <c r="EV49">
        <v>0.22488260496802873</v>
      </c>
      <c r="EW49">
        <v>0.18371831629591046</v>
      </c>
      <c r="EX49">
        <v>0.14208314702903066</v>
      </c>
      <c r="EY49">
        <v>8.3949665531766721E-2</v>
      </c>
      <c r="EZ49">
        <v>6.4007274861380595E-2</v>
      </c>
      <c r="FA49">
        <v>0.12522110877977025</v>
      </c>
      <c r="FB49">
        <v>0.22964473833896509</v>
      </c>
      <c r="FC49">
        <v>0.29532731931055278</v>
      </c>
      <c r="FD49">
        <v>0.29835493865812579</v>
      </c>
      <c r="FE49">
        <v>0.266080652906237</v>
      </c>
      <c r="FF49">
        <v>0.22005200497245103</v>
      </c>
      <c r="FG49">
        <v>0.21411886874744188</v>
      </c>
      <c r="FH49">
        <v>0.20689598614283392</v>
      </c>
      <c r="FI49">
        <v>0.19227383834843925</v>
      </c>
      <c r="FJ49">
        <v>0.17188561704871283</v>
      </c>
      <c r="FK49">
        <v>0.16772219983423084</v>
      </c>
      <c r="FL49">
        <v>0.18618645881073764</v>
      </c>
      <c r="FM49">
        <v>0.21122751929535649</v>
      </c>
      <c r="FN49">
        <v>0.23493573008408342</v>
      </c>
      <c r="FO49">
        <v>0.23914027201657939</v>
      </c>
      <c r="FQ49" t="s">
        <v>801</v>
      </c>
      <c r="FR49" t="s">
        <v>127</v>
      </c>
      <c r="FS49" t="s">
        <v>128</v>
      </c>
      <c r="FT49">
        <v>0.249309809834034</v>
      </c>
    </row>
    <row r="50" spans="2:176" x14ac:dyDescent="0.45">
      <c r="B50" t="s">
        <v>802</v>
      </c>
      <c r="C50" t="s">
        <v>123</v>
      </c>
      <c r="D50">
        <v>0.3282215730060658</v>
      </c>
      <c r="E50">
        <v>0.32207935489116901</v>
      </c>
      <c r="F50">
        <v>0.33960382559316515</v>
      </c>
      <c r="G50">
        <v>0.36818874497578968</v>
      </c>
      <c r="H50">
        <v>0.3832124843001809</v>
      </c>
      <c r="I50">
        <v>0.38815198457677186</v>
      </c>
      <c r="J50">
        <v>0.3778860959212253</v>
      </c>
      <c r="K50">
        <v>0.35596007434975346</v>
      </c>
      <c r="L50">
        <v>0.34052508869345455</v>
      </c>
      <c r="M50">
        <v>0.33843224705322716</v>
      </c>
      <c r="N50">
        <v>0.28943853799590563</v>
      </c>
      <c r="O50">
        <v>0.30559711777597243</v>
      </c>
      <c r="P50">
        <v>0.31773974787611359</v>
      </c>
      <c r="Q50">
        <v>0.35832576845360575</v>
      </c>
      <c r="R50">
        <v>0.37570450342443734</v>
      </c>
      <c r="S50">
        <v>0.36010682585059678</v>
      </c>
      <c r="T50">
        <v>0.32329942511550774</v>
      </c>
      <c r="U50">
        <v>0.28970085203984886</v>
      </c>
      <c r="V50">
        <v>0.27446551462505092</v>
      </c>
      <c r="W50">
        <v>0.29318845273186528</v>
      </c>
      <c r="X50">
        <v>0.33118860713802439</v>
      </c>
      <c r="Y50">
        <v>0.36288487102701517</v>
      </c>
      <c r="Z50">
        <v>0.38787157387634325</v>
      </c>
      <c r="AA50">
        <v>0.42860941454111218</v>
      </c>
      <c r="AB50">
        <v>0.44088059550272085</v>
      </c>
      <c r="AC50">
        <v>0.39675665042521463</v>
      </c>
      <c r="AD50">
        <v>0.32906802200293722</v>
      </c>
      <c r="AE50">
        <v>0.27709721508270641</v>
      </c>
      <c r="AF50">
        <v>0.25470671267751022</v>
      </c>
      <c r="AG50">
        <v>0.2854017975002785</v>
      </c>
      <c r="AH50">
        <v>0.34862501749000224</v>
      </c>
      <c r="AI50">
        <v>0.35649893523044146</v>
      </c>
      <c r="AJ50">
        <v>0.37392902576369313</v>
      </c>
      <c r="AK50">
        <v>0.39336151758732757</v>
      </c>
      <c r="AL50">
        <v>0.38467258965843393</v>
      </c>
      <c r="AM50">
        <v>0.35757181630281831</v>
      </c>
      <c r="AN50">
        <v>0.31911226439334356</v>
      </c>
      <c r="AO50">
        <v>0.30716512882709435</v>
      </c>
      <c r="AP50">
        <v>0.31692442594091297</v>
      </c>
      <c r="AQ50">
        <v>0.33073592823886699</v>
      </c>
      <c r="EA50" t="s">
        <v>802</v>
      </c>
      <c r="EB50">
        <v>0.4395912006872974</v>
      </c>
      <c r="EC50">
        <v>0.43719774797204369</v>
      </c>
      <c r="ED50">
        <v>0.41904867754587199</v>
      </c>
      <c r="EE50">
        <v>0.39947776519971823</v>
      </c>
      <c r="EF50">
        <v>0.38445468955662732</v>
      </c>
      <c r="EG50">
        <v>0.38497716177171842</v>
      </c>
      <c r="EH50">
        <v>0.40462057622807501</v>
      </c>
      <c r="EI50">
        <v>0.4289118311403371</v>
      </c>
      <c r="EJ50">
        <v>0.44972195566908257</v>
      </c>
      <c r="EK50">
        <v>0.44639488885611311</v>
      </c>
      <c r="EL50">
        <v>0.43490694682020187</v>
      </c>
      <c r="EM50">
        <v>0.41186917592711425</v>
      </c>
      <c r="EN50">
        <v>0.39310358605818274</v>
      </c>
      <c r="EO50">
        <v>0.36940170425281255</v>
      </c>
      <c r="EP50">
        <v>0.36898072429244272</v>
      </c>
      <c r="EQ50">
        <v>0.40033613841360072</v>
      </c>
      <c r="ER50">
        <v>0.43713735589028824</v>
      </c>
      <c r="ES50">
        <v>0.46400918356819332</v>
      </c>
      <c r="ET50">
        <v>0.47052042572889047</v>
      </c>
      <c r="EU50">
        <v>0.44221879947543169</v>
      </c>
      <c r="EV50">
        <v>0.40013509166806216</v>
      </c>
      <c r="EW50">
        <v>0.3848349369738745</v>
      </c>
      <c r="EX50">
        <v>0.36452646967350794</v>
      </c>
      <c r="EY50">
        <v>0.32135978883365768</v>
      </c>
      <c r="EZ50">
        <v>0.2987254584417452</v>
      </c>
      <c r="FA50">
        <v>0.31758917763308897</v>
      </c>
      <c r="FB50">
        <v>0.37018240089126569</v>
      </c>
      <c r="FC50">
        <v>0.42033731442027894</v>
      </c>
      <c r="FD50">
        <v>0.44752229894585877</v>
      </c>
      <c r="FE50">
        <v>0.421044881649425</v>
      </c>
      <c r="FF50">
        <v>0.34844999275645883</v>
      </c>
      <c r="FG50">
        <v>0.33628826179787558</v>
      </c>
      <c r="FH50">
        <v>0.32685362297454312</v>
      </c>
      <c r="FI50">
        <v>0.30766126515515735</v>
      </c>
      <c r="FJ50">
        <v>0.29583679283204178</v>
      </c>
      <c r="FK50">
        <v>0.30302883497259164</v>
      </c>
      <c r="FL50">
        <v>0.32341319559354814</v>
      </c>
      <c r="FM50">
        <v>0.34293881692872913</v>
      </c>
      <c r="FN50">
        <v>0.3590385258547571</v>
      </c>
      <c r="FO50">
        <v>0.35851229157835324</v>
      </c>
      <c r="FQ50" t="s">
        <v>803</v>
      </c>
      <c r="FR50" t="s">
        <v>127</v>
      </c>
      <c r="FS50" t="s">
        <v>128</v>
      </c>
      <c r="FT50">
        <v>0.29646077643303065</v>
      </c>
    </row>
    <row r="51" spans="2:176" x14ac:dyDescent="0.45">
      <c r="B51" t="s">
        <v>804</v>
      </c>
      <c r="C51" t="s">
        <v>123</v>
      </c>
      <c r="D51">
        <v>0.3018299570033805</v>
      </c>
      <c r="E51">
        <v>0.32932575664583197</v>
      </c>
      <c r="F51">
        <v>0.3438164296602611</v>
      </c>
      <c r="G51">
        <v>0.36305021624542477</v>
      </c>
      <c r="H51">
        <v>0.37131673421364414</v>
      </c>
      <c r="I51">
        <v>0.33906631480014743</v>
      </c>
      <c r="J51">
        <v>0.30432382672979208</v>
      </c>
      <c r="K51">
        <v>0.28479174215978992</v>
      </c>
      <c r="L51">
        <v>0.27933422864308044</v>
      </c>
      <c r="M51">
        <v>0.28382724509484453</v>
      </c>
      <c r="N51">
        <v>0.26981743395326463</v>
      </c>
      <c r="O51">
        <v>0.27839882808288496</v>
      </c>
      <c r="P51">
        <v>0.2754050898792908</v>
      </c>
      <c r="Q51">
        <v>0.28407209350827578</v>
      </c>
      <c r="R51">
        <v>0.27137142214167281</v>
      </c>
      <c r="S51">
        <v>0.24942901848087604</v>
      </c>
      <c r="T51">
        <v>0.24364951988514263</v>
      </c>
      <c r="U51">
        <v>0.2446597970297015</v>
      </c>
      <c r="V51">
        <v>0.25339488386423081</v>
      </c>
      <c r="W51">
        <v>0.25071318262233511</v>
      </c>
      <c r="X51">
        <v>0.39709923461654262</v>
      </c>
      <c r="Y51">
        <v>0.39201202783621047</v>
      </c>
      <c r="Z51">
        <v>0.38948389846600945</v>
      </c>
      <c r="AA51">
        <v>0.40126357195700774</v>
      </c>
      <c r="AB51">
        <v>0.39504099852687619</v>
      </c>
      <c r="AC51">
        <v>0.36145721491998795</v>
      </c>
      <c r="AD51">
        <v>0.34425374576037515</v>
      </c>
      <c r="AE51">
        <v>0.34656890114138522</v>
      </c>
      <c r="AF51">
        <v>0.35963384968123019</v>
      </c>
      <c r="AG51">
        <v>0.37941727527160402</v>
      </c>
      <c r="AH51">
        <v>0.28126636727955062</v>
      </c>
      <c r="AI51">
        <v>0.29833699856198098</v>
      </c>
      <c r="AJ51">
        <v>0.30471723727196548</v>
      </c>
      <c r="AK51">
        <v>0.31877245270160337</v>
      </c>
      <c r="AL51">
        <v>0.32165399016635465</v>
      </c>
      <c r="AM51">
        <v>0.29122476378139511</v>
      </c>
      <c r="AN51">
        <v>0.27050537740114888</v>
      </c>
      <c r="AO51">
        <v>0.2488507425859865</v>
      </c>
      <c r="AP51">
        <v>0.24105165568070588</v>
      </c>
      <c r="AQ51">
        <v>0.25167023447447978</v>
      </c>
      <c r="EA51" t="s">
        <v>804</v>
      </c>
      <c r="EB51">
        <v>0.49879107649183085</v>
      </c>
      <c r="EC51">
        <v>0.47030155653653949</v>
      </c>
      <c r="ED51">
        <v>0.46064838828472027</v>
      </c>
      <c r="EE51">
        <v>0.45134810625878985</v>
      </c>
      <c r="EF51">
        <v>0.46125531536031361</v>
      </c>
      <c r="EG51">
        <v>0.5041087321756782</v>
      </c>
      <c r="EH51">
        <v>0.52648761373906627</v>
      </c>
      <c r="EI51">
        <v>0.52885802223871803</v>
      </c>
      <c r="EJ51">
        <v>0.52462008279241468</v>
      </c>
      <c r="EK51">
        <v>0.51836509928480323</v>
      </c>
      <c r="EL51">
        <v>0.54320165361004746</v>
      </c>
      <c r="EM51">
        <v>0.51215296659716392</v>
      </c>
      <c r="EN51">
        <v>0.49980134400064163</v>
      </c>
      <c r="EO51">
        <v>0.48417909372008755</v>
      </c>
      <c r="EP51">
        <v>0.49728498152065448</v>
      </c>
      <c r="EQ51">
        <v>0.56411409968682036</v>
      </c>
      <c r="ER51">
        <v>0.60830361123265952</v>
      </c>
      <c r="ES51">
        <v>0.61547876808701141</v>
      </c>
      <c r="ET51">
        <v>0.59877319994701017</v>
      </c>
      <c r="EU51">
        <v>0.57794158362308867</v>
      </c>
      <c r="EV51">
        <v>0.37276822854820746</v>
      </c>
      <c r="EW51">
        <v>0.33613155115835802</v>
      </c>
      <c r="EX51">
        <v>0.3114443204576367</v>
      </c>
      <c r="EY51">
        <v>0.2867804524263281</v>
      </c>
      <c r="EZ51">
        <v>0.30955757565925962</v>
      </c>
      <c r="FA51">
        <v>0.36583296056301629</v>
      </c>
      <c r="FB51">
        <v>0.42467376858428985</v>
      </c>
      <c r="FC51">
        <v>0.45944753762332508</v>
      </c>
      <c r="FD51">
        <v>0.46578505031933737</v>
      </c>
      <c r="FE51">
        <v>0.42785051183705636</v>
      </c>
      <c r="FF51">
        <v>0.49921242488175577</v>
      </c>
      <c r="FG51">
        <v>0.47608813988721621</v>
      </c>
      <c r="FH51">
        <v>0.47035240607281276</v>
      </c>
      <c r="FI51">
        <v>0.45624410899373835</v>
      </c>
      <c r="FJ51">
        <v>0.46876887673449663</v>
      </c>
      <c r="FK51">
        <v>0.50122803689505979</v>
      </c>
      <c r="FL51">
        <v>0.53312083049221559</v>
      </c>
      <c r="FM51">
        <v>0.55335884039190564</v>
      </c>
      <c r="FN51">
        <v>0.57141186921888698</v>
      </c>
      <c r="FO51">
        <v>0.54984524205671592</v>
      </c>
      <c r="FQ51" t="s">
        <v>805</v>
      </c>
      <c r="FR51" t="s">
        <v>127</v>
      </c>
      <c r="FS51" t="s">
        <v>128</v>
      </c>
      <c r="FT51">
        <v>0.28419957855086814</v>
      </c>
    </row>
    <row r="52" spans="2:176" x14ac:dyDescent="0.45">
      <c r="B52" t="s">
        <v>806</v>
      </c>
      <c r="C52" t="s">
        <v>123</v>
      </c>
      <c r="D52">
        <v>0.29662154583569217</v>
      </c>
      <c r="E52">
        <v>0.30583223179636909</v>
      </c>
      <c r="F52">
        <v>0.31533101273635272</v>
      </c>
      <c r="G52">
        <v>0.32839741425140678</v>
      </c>
      <c r="H52">
        <v>0.34242293003988711</v>
      </c>
      <c r="I52">
        <v>0.34147621753417945</v>
      </c>
      <c r="J52">
        <v>0.32334027446982216</v>
      </c>
      <c r="K52">
        <v>0.3192117990012952</v>
      </c>
      <c r="L52">
        <v>0.31944810658308592</v>
      </c>
      <c r="M52">
        <v>0.31148205280265495</v>
      </c>
      <c r="N52">
        <v>0.32787860071719988</v>
      </c>
      <c r="O52">
        <v>0.32413934154003105</v>
      </c>
      <c r="P52">
        <v>0.32350846357467911</v>
      </c>
      <c r="Q52">
        <v>0.32575597025982916</v>
      </c>
      <c r="R52">
        <v>0.3181047751089281</v>
      </c>
      <c r="S52">
        <v>0.30691189077040415</v>
      </c>
      <c r="T52">
        <v>0.29868718023786317</v>
      </c>
      <c r="U52">
        <v>0.30779031479748387</v>
      </c>
      <c r="V52">
        <v>0.32315499746058957</v>
      </c>
      <c r="W52">
        <v>0.33277975589663011</v>
      </c>
      <c r="X52">
        <v>0.33367048309885827</v>
      </c>
      <c r="Y52">
        <v>0.33444385918000874</v>
      </c>
      <c r="Z52">
        <v>0.35122940718613449</v>
      </c>
      <c r="AA52">
        <v>0.36411528264695348</v>
      </c>
      <c r="AB52">
        <v>0.34877498033460935</v>
      </c>
      <c r="AC52">
        <v>0.30837896825151345</v>
      </c>
      <c r="AD52">
        <v>0.28565636379264003</v>
      </c>
      <c r="AE52">
        <v>0.30097940520224603</v>
      </c>
      <c r="AF52">
        <v>0.32266355517484852</v>
      </c>
      <c r="AG52">
        <v>0.34388529652323796</v>
      </c>
      <c r="AH52">
        <v>0.35171125325264962</v>
      </c>
      <c r="AI52">
        <v>0.33394925621365418</v>
      </c>
      <c r="AJ52">
        <v>0.32836194121529133</v>
      </c>
      <c r="AK52">
        <v>0.3225595206040448</v>
      </c>
      <c r="AL52">
        <v>0.32316803659216847</v>
      </c>
      <c r="AM52">
        <v>0.32546912373265113</v>
      </c>
      <c r="AN52">
        <v>0.32449145950871922</v>
      </c>
      <c r="AO52">
        <v>0.33730455298652579</v>
      </c>
      <c r="AP52">
        <v>0.34516188708310191</v>
      </c>
      <c r="AQ52">
        <v>0.34883272665178067</v>
      </c>
      <c r="EA52" t="s">
        <v>806</v>
      </c>
      <c r="EB52">
        <v>0.48535303921966588</v>
      </c>
      <c r="EC52">
        <v>0.47374750770089458</v>
      </c>
      <c r="ED52">
        <v>0.46194785845857511</v>
      </c>
      <c r="EE52">
        <v>0.44944387642453842</v>
      </c>
      <c r="EF52">
        <v>0.45136395289671644</v>
      </c>
      <c r="EG52">
        <v>0.46098419376771099</v>
      </c>
      <c r="EH52">
        <v>0.47530838945163256</v>
      </c>
      <c r="EI52">
        <v>0.47773721485111481</v>
      </c>
      <c r="EJ52">
        <v>0.4711646215300776</v>
      </c>
      <c r="EK52">
        <v>0.47314703069526703</v>
      </c>
      <c r="EL52">
        <v>0.37555879079591759</v>
      </c>
      <c r="EM52">
        <v>0.37832292748758745</v>
      </c>
      <c r="EN52">
        <v>0.37217035572094048</v>
      </c>
      <c r="EO52">
        <v>0.366484915385551</v>
      </c>
      <c r="EP52">
        <v>0.37261561964516549</v>
      </c>
      <c r="EQ52">
        <v>0.37732388379104959</v>
      </c>
      <c r="ER52">
        <v>0.38500318452680699</v>
      </c>
      <c r="ES52">
        <v>0.37399319532553987</v>
      </c>
      <c r="ET52">
        <v>0.36226487994556494</v>
      </c>
      <c r="EU52">
        <v>0.35748106220579523</v>
      </c>
      <c r="EV52">
        <v>0.26819328146031601</v>
      </c>
      <c r="EW52">
        <v>0.25527473684846474</v>
      </c>
      <c r="EX52">
        <v>0.24963124950870411</v>
      </c>
      <c r="EY52">
        <v>0.25282395712179828</v>
      </c>
      <c r="EZ52">
        <v>0.27274834166295675</v>
      </c>
      <c r="FA52">
        <v>0.31639736554695697</v>
      </c>
      <c r="FB52">
        <v>0.34849821040511442</v>
      </c>
      <c r="FC52">
        <v>0.34600472334566779</v>
      </c>
      <c r="FD52">
        <v>0.32023687828049247</v>
      </c>
      <c r="FE52">
        <v>0.29462630795302858</v>
      </c>
      <c r="FF52">
        <v>0.36244704894181573</v>
      </c>
      <c r="FG52">
        <v>0.38671500652346547</v>
      </c>
      <c r="FH52">
        <v>0.39544119770032954</v>
      </c>
      <c r="FI52">
        <v>0.39047971339861398</v>
      </c>
      <c r="FJ52">
        <v>0.39216818822271649</v>
      </c>
      <c r="FK52">
        <v>0.39549491552977728</v>
      </c>
      <c r="FL52">
        <v>0.3958769753361564</v>
      </c>
      <c r="FM52">
        <v>0.39016643575065396</v>
      </c>
      <c r="FN52">
        <v>0.37876984296695176</v>
      </c>
      <c r="FO52">
        <v>0.37226401163774198</v>
      </c>
      <c r="FQ52" t="s">
        <v>807</v>
      </c>
      <c r="FR52" t="s">
        <v>127</v>
      </c>
      <c r="FS52" t="s">
        <v>128</v>
      </c>
      <c r="FT52">
        <v>0.18668128931186284</v>
      </c>
    </row>
    <row r="53" spans="2:176" x14ac:dyDescent="0.45">
      <c r="B53" t="s">
        <v>808</v>
      </c>
      <c r="C53" t="s">
        <v>123</v>
      </c>
      <c r="D53">
        <v>0.24123489545151672</v>
      </c>
      <c r="E53">
        <v>0.26708527272193827</v>
      </c>
      <c r="F53">
        <v>0.2817712326460709</v>
      </c>
      <c r="G53">
        <v>0.28563131662295393</v>
      </c>
      <c r="H53">
        <v>0.27130282957787072</v>
      </c>
      <c r="I53">
        <v>0.2579308084687662</v>
      </c>
      <c r="J53">
        <v>0.24974280454900519</v>
      </c>
      <c r="K53">
        <v>0.23800920137303902</v>
      </c>
      <c r="L53">
        <v>0.22921039552752637</v>
      </c>
      <c r="M53">
        <v>0.22311365487877041</v>
      </c>
      <c r="N53">
        <v>0.23939659844822661</v>
      </c>
      <c r="O53">
        <v>0.2441180598026069</v>
      </c>
      <c r="P53">
        <v>0.24048012401272559</v>
      </c>
      <c r="Q53">
        <v>0.24127069357917227</v>
      </c>
      <c r="R53">
        <v>0.24110651251607967</v>
      </c>
      <c r="S53">
        <v>0.22631902556714564</v>
      </c>
      <c r="T53">
        <v>0.21104490351645347</v>
      </c>
      <c r="U53">
        <v>0.20873062825297511</v>
      </c>
      <c r="V53">
        <v>0.21840551464617083</v>
      </c>
      <c r="W53">
        <v>0.22933880950690283</v>
      </c>
      <c r="X53">
        <v>0.30770287865816048</v>
      </c>
      <c r="Y53">
        <v>0.29093309678182522</v>
      </c>
      <c r="Z53">
        <v>0.27926204363595275</v>
      </c>
      <c r="AA53">
        <v>0.27832153085048683</v>
      </c>
      <c r="AB53">
        <v>0.26843743024126321</v>
      </c>
      <c r="AC53">
        <v>0.25814088120385553</v>
      </c>
      <c r="AD53">
        <v>0.25094387314412681</v>
      </c>
      <c r="AE53">
        <v>0.25404213139582754</v>
      </c>
      <c r="AF53">
        <v>0.27034415275069612</v>
      </c>
      <c r="AG53">
        <v>0.29907382502109209</v>
      </c>
      <c r="AH53">
        <v>0.25340125198485203</v>
      </c>
      <c r="AI53">
        <v>0.24388245110535908</v>
      </c>
      <c r="AJ53">
        <v>0.24504735015432005</v>
      </c>
      <c r="AK53">
        <v>0.24822224972753765</v>
      </c>
      <c r="AL53">
        <v>0.25034502146448456</v>
      </c>
      <c r="AM53">
        <v>0.24311730873807114</v>
      </c>
      <c r="AN53">
        <v>0.24388031269466201</v>
      </c>
      <c r="AO53">
        <v>0.24603924800593982</v>
      </c>
      <c r="AP53">
        <v>0.25364354226741787</v>
      </c>
      <c r="AQ53">
        <v>0.25038182687370208</v>
      </c>
      <c r="EA53" t="s">
        <v>808</v>
      </c>
      <c r="EB53">
        <v>0.59148231285721975</v>
      </c>
      <c r="EC53">
        <v>0.55691530875408912</v>
      </c>
      <c r="ED53">
        <v>0.54451759623012608</v>
      </c>
      <c r="EE53">
        <v>0.53770204739465899</v>
      </c>
      <c r="EF53">
        <v>0.55309106611311831</v>
      </c>
      <c r="EG53">
        <v>0.58471169317825511</v>
      </c>
      <c r="EH53">
        <v>0.60073152270327879</v>
      </c>
      <c r="EI53">
        <v>0.60507659621993737</v>
      </c>
      <c r="EJ53">
        <v>0.60540321482884496</v>
      </c>
      <c r="EK53">
        <v>0.61104044102414079</v>
      </c>
      <c r="EL53">
        <v>0.54872540642021361</v>
      </c>
      <c r="EM53">
        <v>0.5384655990362186</v>
      </c>
      <c r="EN53">
        <v>0.53665347731356383</v>
      </c>
      <c r="EO53">
        <v>0.52264074913125402</v>
      </c>
      <c r="EP53">
        <v>0.5165672790470216</v>
      </c>
      <c r="EQ53">
        <v>0.5382116184907858</v>
      </c>
      <c r="ER53">
        <v>0.56943736862715311</v>
      </c>
      <c r="ES53">
        <v>0.58412894050563613</v>
      </c>
      <c r="ET53">
        <v>0.58145258778333253</v>
      </c>
      <c r="EU53">
        <v>0.56828451597067531</v>
      </c>
      <c r="EV53">
        <v>0.48758483292994287</v>
      </c>
      <c r="EW53">
        <v>0.48713965395138059</v>
      </c>
      <c r="EX53">
        <v>0.48833519336384762</v>
      </c>
      <c r="EY53">
        <v>0.4892579031623126</v>
      </c>
      <c r="EZ53">
        <v>0.50877184682426779</v>
      </c>
      <c r="FA53">
        <v>0.54557760893837048</v>
      </c>
      <c r="FB53">
        <v>0.56953934104541659</v>
      </c>
      <c r="FC53">
        <v>0.56863554976464459</v>
      </c>
      <c r="FD53">
        <v>0.55346866305252995</v>
      </c>
      <c r="FE53">
        <v>0.518777495954307</v>
      </c>
      <c r="FF53">
        <v>0.56647527624510452</v>
      </c>
      <c r="FG53">
        <v>0.57200400632901005</v>
      </c>
      <c r="FH53">
        <v>0.5624667928898881</v>
      </c>
      <c r="FI53">
        <v>0.55597341044605286</v>
      </c>
      <c r="FJ53">
        <v>0.56393981710149843</v>
      </c>
      <c r="FK53">
        <v>0.57925419525357613</v>
      </c>
      <c r="FL53">
        <v>0.58578213535349066</v>
      </c>
      <c r="FM53">
        <v>0.57987490321849933</v>
      </c>
      <c r="FN53">
        <v>0.56753134251750181</v>
      </c>
      <c r="FO53">
        <v>0.56545318517107956</v>
      </c>
      <c r="FQ53" t="s">
        <v>809</v>
      </c>
      <c r="FR53" t="s">
        <v>127</v>
      </c>
      <c r="FS53" t="s">
        <v>128</v>
      </c>
      <c r="FT53">
        <v>0.22621853930850816</v>
      </c>
    </row>
    <row r="54" spans="2:176" x14ac:dyDescent="0.45">
      <c r="B54" t="s">
        <v>810</v>
      </c>
      <c r="C54" t="s">
        <v>123</v>
      </c>
      <c r="D54">
        <v>0.34693108200469602</v>
      </c>
      <c r="E54">
        <v>0.32957375183072446</v>
      </c>
      <c r="F54">
        <v>0.33129186639803626</v>
      </c>
      <c r="G54">
        <v>0.3351139549483953</v>
      </c>
      <c r="H54">
        <v>0.35425209606148711</v>
      </c>
      <c r="I54">
        <v>0.37061847146323146</v>
      </c>
      <c r="J54">
        <v>0.35311549618293625</v>
      </c>
      <c r="K54">
        <v>0.34506047823630703</v>
      </c>
      <c r="L54">
        <v>0.34125260945356212</v>
      </c>
      <c r="M54">
        <v>0.34621140210280921</v>
      </c>
      <c r="N54">
        <v>0.32459290695302606</v>
      </c>
      <c r="O54">
        <v>0.30979503740393005</v>
      </c>
      <c r="P54">
        <v>0.30985365724189601</v>
      </c>
      <c r="Q54">
        <v>0.31932610250165905</v>
      </c>
      <c r="R54">
        <v>0.29843873889636668</v>
      </c>
      <c r="S54">
        <v>0.29431636953353518</v>
      </c>
      <c r="T54">
        <v>0.30402158365877935</v>
      </c>
      <c r="U54">
        <v>0.33106942775596221</v>
      </c>
      <c r="V54">
        <v>0.33868244910481904</v>
      </c>
      <c r="W54">
        <v>0.34165105068354035</v>
      </c>
      <c r="X54">
        <v>0.39821531613331446</v>
      </c>
      <c r="Y54">
        <v>0.39835251219486745</v>
      </c>
      <c r="Z54">
        <v>0.41054613286929842</v>
      </c>
      <c r="AA54">
        <v>0.42113738372905651</v>
      </c>
      <c r="AB54">
        <v>0.40864612760568109</v>
      </c>
      <c r="AC54">
        <v>0.37987247852666872</v>
      </c>
      <c r="AD54">
        <v>0.35921298068252838</v>
      </c>
      <c r="AE54">
        <v>0.35455358521531605</v>
      </c>
      <c r="AF54">
        <v>0.36947472808886506</v>
      </c>
      <c r="AG54">
        <v>0.38784351233693254</v>
      </c>
      <c r="AH54">
        <v>0.371497088871932</v>
      </c>
      <c r="AI54">
        <v>0.37870227739503071</v>
      </c>
      <c r="AJ54">
        <v>0.35837867475806551</v>
      </c>
      <c r="AK54">
        <v>0.33419779642844549</v>
      </c>
      <c r="AL54">
        <v>0.35035326605681233</v>
      </c>
      <c r="AM54">
        <v>0.35983785839643717</v>
      </c>
      <c r="AN54">
        <v>0.35849770760584421</v>
      </c>
      <c r="AO54">
        <v>0.36761148252209552</v>
      </c>
      <c r="AP54">
        <v>0.36781931672583779</v>
      </c>
      <c r="AQ54">
        <v>0.380992909011168</v>
      </c>
      <c r="EA54" t="s">
        <v>810</v>
      </c>
      <c r="EB54">
        <v>0.42345552794287428</v>
      </c>
      <c r="EC54">
        <v>0.41970208724128488</v>
      </c>
      <c r="ED54">
        <v>0.41157489032915751</v>
      </c>
      <c r="EE54">
        <v>0.39368342970017223</v>
      </c>
      <c r="EF54">
        <v>0.37979428684443639</v>
      </c>
      <c r="EG54">
        <v>0.38483891265836784</v>
      </c>
      <c r="EH54">
        <v>0.39394795711082287</v>
      </c>
      <c r="EI54">
        <v>0.40114150565849227</v>
      </c>
      <c r="EJ54">
        <v>0.41212739488278155</v>
      </c>
      <c r="EK54">
        <v>0.41696924638606969</v>
      </c>
      <c r="EL54">
        <v>0.30864970501358119</v>
      </c>
      <c r="EM54">
        <v>0.31186542583905458</v>
      </c>
      <c r="EN54">
        <v>0.30938279278816122</v>
      </c>
      <c r="EO54">
        <v>0.30579084637442594</v>
      </c>
      <c r="EP54">
        <v>0.31632035232222516</v>
      </c>
      <c r="EQ54">
        <v>0.32313533742579909</v>
      </c>
      <c r="ER54">
        <v>0.32578106035875276</v>
      </c>
      <c r="ES54">
        <v>0.31911214906156643</v>
      </c>
      <c r="ET54">
        <v>0.31045725415850556</v>
      </c>
      <c r="EU54">
        <v>0.30228803047042818</v>
      </c>
      <c r="EV54">
        <v>0.1740187187258764</v>
      </c>
      <c r="EW54">
        <v>0.18023234395068605</v>
      </c>
      <c r="EX54">
        <v>0.17705879276792102</v>
      </c>
      <c r="EY54">
        <v>0.17635013047471465</v>
      </c>
      <c r="EZ54">
        <v>0.19429985027156504</v>
      </c>
      <c r="FA54">
        <v>0.22338070297111501</v>
      </c>
      <c r="FB54">
        <v>0.24650349477219335</v>
      </c>
      <c r="FC54">
        <v>0.23495510339980225</v>
      </c>
      <c r="FD54">
        <v>0.210937892530386</v>
      </c>
      <c r="FE54">
        <v>0.1869687360715985</v>
      </c>
      <c r="FF54">
        <v>0.27529915549306322</v>
      </c>
      <c r="FG54">
        <v>0.28319339931280113</v>
      </c>
      <c r="FH54">
        <v>0.29964721035680736</v>
      </c>
      <c r="FI54">
        <v>0.29959074334914076</v>
      </c>
      <c r="FJ54">
        <v>0.30221777152410995</v>
      </c>
      <c r="FK54">
        <v>0.30054760199302843</v>
      </c>
      <c r="FL54">
        <v>0.30403630596910625</v>
      </c>
      <c r="FM54">
        <v>0.29880714970549022</v>
      </c>
      <c r="FN54">
        <v>0.29585894833799542</v>
      </c>
      <c r="FO54">
        <v>0.28854253778403394</v>
      </c>
      <c r="FQ54" t="s">
        <v>811</v>
      </c>
      <c r="FR54" t="s">
        <v>127</v>
      </c>
      <c r="FS54" t="s">
        <v>128</v>
      </c>
      <c r="FT54">
        <v>0.31915615836133382</v>
      </c>
    </row>
    <row r="55" spans="2:176" x14ac:dyDescent="0.45">
      <c r="B55" t="s">
        <v>812</v>
      </c>
      <c r="C55" t="s">
        <v>123</v>
      </c>
      <c r="D55">
        <v>0.321786753567883</v>
      </c>
      <c r="E55">
        <v>0.31666891515307893</v>
      </c>
      <c r="F55">
        <v>0.3280074298430265</v>
      </c>
      <c r="G55">
        <v>0.34180527620094325</v>
      </c>
      <c r="H55">
        <v>0.35731402672204288</v>
      </c>
      <c r="I55">
        <v>0.36509318242506433</v>
      </c>
      <c r="J55">
        <v>0.34734311718943639</v>
      </c>
      <c r="K55">
        <v>0.31260707685629407</v>
      </c>
      <c r="L55">
        <v>0.3009129617091299</v>
      </c>
      <c r="M55">
        <v>0.3024313546571526</v>
      </c>
      <c r="N55">
        <v>0.32644186574776252</v>
      </c>
      <c r="O55">
        <v>0.31927040412002256</v>
      </c>
      <c r="P55">
        <v>0.32118760483007674</v>
      </c>
      <c r="Q55">
        <v>0.33576195547305338</v>
      </c>
      <c r="R55">
        <v>0.35096112543584679</v>
      </c>
      <c r="S55">
        <v>0.34045062543426657</v>
      </c>
      <c r="T55">
        <v>0.31914195399431911</v>
      </c>
      <c r="U55">
        <v>0.32458128257131519</v>
      </c>
      <c r="V55">
        <v>0.32503100275247948</v>
      </c>
      <c r="W55">
        <v>0.3268412993019354</v>
      </c>
      <c r="X55">
        <v>0.32931146012561119</v>
      </c>
      <c r="Y55">
        <v>0.36109792334848856</v>
      </c>
      <c r="Z55">
        <v>0.39009395132401148</v>
      </c>
      <c r="AA55">
        <v>0.41672822644951973</v>
      </c>
      <c r="AB55">
        <v>0.41584196423261605</v>
      </c>
      <c r="AC55">
        <v>0.3233855293705773</v>
      </c>
      <c r="AD55">
        <v>0.26274798897927404</v>
      </c>
      <c r="AE55">
        <v>0.25093195522569678</v>
      </c>
      <c r="AF55">
        <v>0.26704428278635317</v>
      </c>
      <c r="AG55">
        <v>0.30146336136561258</v>
      </c>
      <c r="AH55">
        <v>0.33416963721552434</v>
      </c>
      <c r="AI55">
        <v>0.33737270561097016</v>
      </c>
      <c r="AJ55">
        <v>0.34122072169722323</v>
      </c>
      <c r="AK55">
        <v>0.35133314869083188</v>
      </c>
      <c r="AL55">
        <v>0.36623776455180879</v>
      </c>
      <c r="AM55">
        <v>0.35781529183106203</v>
      </c>
      <c r="AN55">
        <v>0.34903550981487569</v>
      </c>
      <c r="AO55">
        <v>0.35412625429696004</v>
      </c>
      <c r="AP55">
        <v>0.35396410463865424</v>
      </c>
      <c r="AQ55">
        <v>0.34180395848633799</v>
      </c>
      <c r="EA55" t="s">
        <v>812</v>
      </c>
      <c r="EB55">
        <v>0.45144174373634688</v>
      </c>
      <c r="EC55">
        <v>0.44188535658678835</v>
      </c>
      <c r="ED55">
        <v>0.43892565572959941</v>
      </c>
      <c r="EE55">
        <v>0.41852129963413537</v>
      </c>
      <c r="EF55">
        <v>0.40182809949626519</v>
      </c>
      <c r="EG55">
        <v>0.39262446291154185</v>
      </c>
      <c r="EH55">
        <v>0.39325285085845407</v>
      </c>
      <c r="EI55">
        <v>0.40318716305901436</v>
      </c>
      <c r="EJ55">
        <v>0.421067753106182</v>
      </c>
      <c r="EK55">
        <v>0.44511283069623597</v>
      </c>
      <c r="EL55">
        <v>0.34742585061896242</v>
      </c>
      <c r="EM55">
        <v>0.3762852262883481</v>
      </c>
      <c r="EN55">
        <v>0.3781408524600422</v>
      </c>
      <c r="EO55">
        <v>0.36096357612792696</v>
      </c>
      <c r="EP55">
        <v>0.34708804128509463</v>
      </c>
      <c r="EQ55">
        <v>0.35175405490642397</v>
      </c>
      <c r="ER55">
        <v>0.37355733681103936</v>
      </c>
      <c r="ES55">
        <v>0.37532946090219493</v>
      </c>
      <c r="ET55">
        <v>0.35662732332800495</v>
      </c>
      <c r="EU55">
        <v>0.33455983606125972</v>
      </c>
      <c r="EV55">
        <v>0.16040518981019569</v>
      </c>
      <c r="EW55">
        <v>0.15157815046034778</v>
      </c>
      <c r="EX55">
        <v>0.14869308443431678</v>
      </c>
      <c r="EY55">
        <v>0.14345771716146813</v>
      </c>
      <c r="EZ55">
        <v>0.14700663289412724</v>
      </c>
      <c r="FA55">
        <v>0.18755034043544558</v>
      </c>
      <c r="FB55">
        <v>0.23296823201861311</v>
      </c>
      <c r="FC55">
        <v>0.2388229220136725</v>
      </c>
      <c r="FD55">
        <v>0.22006375758456245</v>
      </c>
      <c r="FE55">
        <v>0.18453443626743057</v>
      </c>
      <c r="FF55">
        <v>0.34151062450205033</v>
      </c>
      <c r="FG55">
        <v>0.34514488140709276</v>
      </c>
      <c r="FH55">
        <v>0.35086174234695017</v>
      </c>
      <c r="FI55">
        <v>0.33114315956502094</v>
      </c>
      <c r="FJ55">
        <v>0.31074008640371364</v>
      </c>
      <c r="FK55">
        <v>0.32331769421229145</v>
      </c>
      <c r="FL55">
        <v>0.34235793650785379</v>
      </c>
      <c r="FM55">
        <v>0.35726422083887244</v>
      </c>
      <c r="FN55">
        <v>0.36643300953618796</v>
      </c>
      <c r="FO55">
        <v>0.35779882040237365</v>
      </c>
      <c r="FQ55" t="s">
        <v>813</v>
      </c>
      <c r="FR55" t="s">
        <v>127</v>
      </c>
      <c r="FS55" t="s">
        <v>128</v>
      </c>
      <c r="FT55">
        <v>0.20498391847683817</v>
      </c>
    </row>
    <row r="56" spans="2:176" x14ac:dyDescent="0.45">
      <c r="B56" t="s">
        <v>777</v>
      </c>
      <c r="C56" t="s">
        <v>123</v>
      </c>
      <c r="D56">
        <v>0.36076899165733617</v>
      </c>
      <c r="E56">
        <v>0.38066664323996746</v>
      </c>
      <c r="F56">
        <v>0.37978073572702259</v>
      </c>
      <c r="G56">
        <v>0.38760993257405985</v>
      </c>
      <c r="H56">
        <v>0.39525730998809305</v>
      </c>
      <c r="I56">
        <v>0.37648701541170843</v>
      </c>
      <c r="J56">
        <v>0.34831472332775842</v>
      </c>
      <c r="K56">
        <v>0.32668481904738988</v>
      </c>
      <c r="L56">
        <v>0.31597362993446293</v>
      </c>
      <c r="M56">
        <v>0.33427956841544709</v>
      </c>
      <c r="N56">
        <v>0.34494842043466417</v>
      </c>
      <c r="O56">
        <v>0.34738249638881502</v>
      </c>
      <c r="P56">
        <v>0.34963933181550616</v>
      </c>
      <c r="Q56">
        <v>0.35486522907889728</v>
      </c>
      <c r="R56">
        <v>0.34003360109818032</v>
      </c>
      <c r="S56">
        <v>0.31578835407537753</v>
      </c>
      <c r="T56">
        <v>0.3136126172954804</v>
      </c>
      <c r="U56">
        <v>0.31796380543895547</v>
      </c>
      <c r="V56">
        <v>0.31258437330300959</v>
      </c>
      <c r="W56">
        <v>0.32112173758350526</v>
      </c>
      <c r="X56">
        <v>0.37100864624262542</v>
      </c>
      <c r="Y56">
        <v>0.36337176889078443</v>
      </c>
      <c r="Z56">
        <v>0.36791593142394041</v>
      </c>
      <c r="AA56">
        <v>0.38427493958976838</v>
      </c>
      <c r="AB56">
        <v>0.37272080392897894</v>
      </c>
      <c r="AC56">
        <v>0.35256557089556284</v>
      </c>
      <c r="AD56">
        <v>0.36926235436439381</v>
      </c>
      <c r="AE56">
        <v>0.38405299190343639</v>
      </c>
      <c r="AF56">
        <v>0.39442254916705533</v>
      </c>
      <c r="AG56">
        <v>0.38820008950856938</v>
      </c>
      <c r="AH56">
        <v>0.3549490510175114</v>
      </c>
      <c r="AI56">
        <v>0.36597130364076186</v>
      </c>
      <c r="AJ56">
        <v>0.3580505879557655</v>
      </c>
      <c r="AK56">
        <v>0.37271455125380348</v>
      </c>
      <c r="AL56">
        <v>0.39303413448934282</v>
      </c>
      <c r="AM56">
        <v>0.3589782630698134</v>
      </c>
      <c r="AN56">
        <v>0.34520038484122167</v>
      </c>
      <c r="AO56">
        <v>0.34888521899016339</v>
      </c>
      <c r="AP56">
        <v>0.35738063003605719</v>
      </c>
      <c r="AQ56">
        <v>0.36340206087407539</v>
      </c>
      <c r="EA56" t="s">
        <v>777</v>
      </c>
      <c r="EB56">
        <v>0.23273916678712345</v>
      </c>
      <c r="EC56">
        <v>0.23325025512695483</v>
      </c>
      <c r="ED56">
        <v>0.22284492190578195</v>
      </c>
      <c r="EE56">
        <v>0.2142029259624551</v>
      </c>
      <c r="EF56">
        <v>0.21428060731770604</v>
      </c>
      <c r="EG56">
        <v>0.24908294528375943</v>
      </c>
      <c r="EH56">
        <v>0.27156819108985197</v>
      </c>
      <c r="EI56">
        <v>0.25808067461764561</v>
      </c>
      <c r="EJ56">
        <v>0.23621356092530668</v>
      </c>
      <c r="EK56">
        <v>0.2246951776304027</v>
      </c>
      <c r="EL56">
        <v>0.18298400339055729</v>
      </c>
      <c r="EM56">
        <v>0.16705433238561082</v>
      </c>
      <c r="EN56">
        <v>0.1608435262053054</v>
      </c>
      <c r="EO56">
        <v>0.16770507539066545</v>
      </c>
      <c r="EP56">
        <v>0.19487613364677694</v>
      </c>
      <c r="EQ56">
        <v>0.24263690500325619</v>
      </c>
      <c r="ER56">
        <v>0.27058242970347141</v>
      </c>
      <c r="ES56">
        <v>0.26971809400363495</v>
      </c>
      <c r="ET56">
        <v>0.2389497530727655</v>
      </c>
      <c r="EU56">
        <v>0.20229495705203249</v>
      </c>
      <c r="EV56">
        <v>0.100197828218168</v>
      </c>
      <c r="EW56">
        <v>9.4539914378670514E-2</v>
      </c>
      <c r="EX56">
        <v>9.627947729466331E-2</v>
      </c>
      <c r="EY56">
        <v>0.10804093708424838</v>
      </c>
      <c r="EZ56">
        <v>0.12170041327127903</v>
      </c>
      <c r="FA56">
        <v>0.14472158969497406</v>
      </c>
      <c r="FB56">
        <v>0.14472179004750235</v>
      </c>
      <c r="FC56">
        <v>0.13397476084354321</v>
      </c>
      <c r="FD56">
        <v>0.1209841666738669</v>
      </c>
      <c r="FE56">
        <v>0.11206318384629833</v>
      </c>
      <c r="FF56">
        <v>0.10838029811753713</v>
      </c>
      <c r="FG56">
        <v>9.9329322326679181E-2</v>
      </c>
      <c r="FH56">
        <v>9.9217459606053507E-2</v>
      </c>
      <c r="FI56">
        <v>9.9966935428286788E-2</v>
      </c>
      <c r="FJ56">
        <v>0.10747198546751786</v>
      </c>
      <c r="FK56">
        <v>0.13251381921241043</v>
      </c>
      <c r="FL56">
        <v>0.14618229608899189</v>
      </c>
      <c r="FM56">
        <v>0.14175829562990486</v>
      </c>
      <c r="FN56">
        <v>0.13350408026827429</v>
      </c>
      <c r="FO56">
        <v>0.12168022575914794</v>
      </c>
      <c r="FQ56" t="s">
        <v>814</v>
      </c>
      <c r="FR56" t="s">
        <v>127</v>
      </c>
      <c r="FS56" t="s">
        <v>128</v>
      </c>
      <c r="FT56">
        <v>0.39504625037353075</v>
      </c>
    </row>
    <row r="57" spans="2:176" x14ac:dyDescent="0.45">
      <c r="B57" t="s">
        <v>779</v>
      </c>
      <c r="C57" t="s">
        <v>123</v>
      </c>
      <c r="D57">
        <v>0.37615401773768659</v>
      </c>
      <c r="E57">
        <v>0.35161727701928419</v>
      </c>
      <c r="F57">
        <v>0.34600305987739055</v>
      </c>
      <c r="G57">
        <v>0.35248027805097304</v>
      </c>
      <c r="H57">
        <v>0.41740036765461241</v>
      </c>
      <c r="I57">
        <v>0.44133182258418513</v>
      </c>
      <c r="J57">
        <v>0.4353211320371424</v>
      </c>
      <c r="K57">
        <v>0.4159972965107302</v>
      </c>
      <c r="L57">
        <v>0.36965890521960093</v>
      </c>
      <c r="M57">
        <v>0.36613095820774294</v>
      </c>
      <c r="N57">
        <v>0.34034749844643059</v>
      </c>
      <c r="O57">
        <v>0.35250342400513679</v>
      </c>
      <c r="P57">
        <v>0.36744741795682156</v>
      </c>
      <c r="Q57">
        <v>0.44776174724568035</v>
      </c>
      <c r="R57">
        <v>0.4644724009072545</v>
      </c>
      <c r="S57">
        <v>0.44248131265791929</v>
      </c>
      <c r="T57">
        <v>0.41350904588482162</v>
      </c>
      <c r="U57">
        <v>0.38304943037114092</v>
      </c>
      <c r="V57">
        <v>0.31469487112491751</v>
      </c>
      <c r="W57">
        <v>0.27585389079026362</v>
      </c>
      <c r="X57">
        <v>0.22392488189749468</v>
      </c>
      <c r="Y57">
        <v>0.3014796137017634</v>
      </c>
      <c r="Z57">
        <v>0.35345233808840953</v>
      </c>
      <c r="AA57">
        <v>0.40236996645437867</v>
      </c>
      <c r="AB57">
        <v>0.40092605202367326</v>
      </c>
      <c r="AC57">
        <v>0.37024883382420909</v>
      </c>
      <c r="AD57">
        <v>0.31065314192378074</v>
      </c>
      <c r="AE57">
        <v>0.23893794154157594</v>
      </c>
      <c r="AF57">
        <v>0.16544223386554491</v>
      </c>
      <c r="AG57">
        <v>0.16309181229767869</v>
      </c>
      <c r="AH57">
        <v>0.33080864788477837</v>
      </c>
      <c r="AI57">
        <v>0.3831313747467156</v>
      </c>
      <c r="AJ57">
        <v>0.39456228625806428</v>
      </c>
      <c r="AK57">
        <v>0.43132459145372237</v>
      </c>
      <c r="AL57">
        <v>0.44947072486152473</v>
      </c>
      <c r="AM57">
        <v>0.42199324217636774</v>
      </c>
      <c r="AN57">
        <v>0.39632314096240606</v>
      </c>
      <c r="AO57">
        <v>0.33856839611230483</v>
      </c>
      <c r="AP57">
        <v>0.24333965954097805</v>
      </c>
      <c r="AQ57">
        <v>0.26582950091582375</v>
      </c>
      <c r="EA57" t="s">
        <v>779</v>
      </c>
      <c r="EB57">
        <v>0.26100965468952636</v>
      </c>
      <c r="EC57">
        <v>0.26029456596596917</v>
      </c>
      <c r="ED57">
        <v>0.24447255974426427</v>
      </c>
      <c r="EE57">
        <v>0.22326539694519876</v>
      </c>
      <c r="EF57">
        <v>0.18599070494436096</v>
      </c>
      <c r="EG57">
        <v>0.20624068582555555</v>
      </c>
      <c r="EH57">
        <v>0.21055345247291665</v>
      </c>
      <c r="EI57">
        <v>0.20252942995309917</v>
      </c>
      <c r="EJ57">
        <v>0.22151131346934425</v>
      </c>
      <c r="EK57">
        <v>0.24390491808623815</v>
      </c>
      <c r="EL57">
        <v>0.22124934131863536</v>
      </c>
      <c r="EM57">
        <v>0.18810733318686937</v>
      </c>
      <c r="EN57">
        <v>0.17958352246972323</v>
      </c>
      <c r="EO57">
        <v>0.16681838520120965</v>
      </c>
      <c r="EP57">
        <v>0.17085371928495419</v>
      </c>
      <c r="EQ57">
        <v>0.21886348272942382</v>
      </c>
      <c r="ER57">
        <v>0.27524152803983759</v>
      </c>
      <c r="ES57">
        <v>0.30021844370910644</v>
      </c>
      <c r="ET57">
        <v>0.28560428766409901</v>
      </c>
      <c r="EU57">
        <v>0.25969135527040338</v>
      </c>
      <c r="EV57">
        <v>0.13084792245532395</v>
      </c>
      <c r="EW57">
        <v>9.4894896096151593E-2</v>
      </c>
      <c r="EX57">
        <v>8.5089674158256801E-2</v>
      </c>
      <c r="EY57">
        <v>6.0086619959113852E-2</v>
      </c>
      <c r="EZ57">
        <v>5.8390565229948767E-2</v>
      </c>
      <c r="FA57">
        <v>7.7519945066253912E-2</v>
      </c>
      <c r="FB57">
        <v>0.11085245461994588</v>
      </c>
      <c r="FC57">
        <v>0.15167072856141606</v>
      </c>
      <c r="FD57">
        <v>0.19271908341353833</v>
      </c>
      <c r="FE57">
        <v>0.20165437528197258</v>
      </c>
      <c r="FF57">
        <v>0.16486743308841817</v>
      </c>
      <c r="FG57">
        <v>0.15744518183448938</v>
      </c>
      <c r="FH57">
        <v>0.15814406005682496</v>
      </c>
      <c r="FI57">
        <v>0.1354543020516645</v>
      </c>
      <c r="FJ57">
        <v>0.11885282206505977</v>
      </c>
      <c r="FK57">
        <v>0.1299740335998785</v>
      </c>
      <c r="FL57">
        <v>0.14944712348728711</v>
      </c>
      <c r="FM57">
        <v>0.15987313861243327</v>
      </c>
      <c r="FN57">
        <v>0.18621007716687288</v>
      </c>
      <c r="FO57">
        <v>0.19293447717631265</v>
      </c>
      <c r="FQ57" t="s">
        <v>815</v>
      </c>
      <c r="FR57" t="s">
        <v>127</v>
      </c>
      <c r="FS57" t="s">
        <v>128</v>
      </c>
      <c r="FT57">
        <v>0.3259553835239804</v>
      </c>
    </row>
    <row r="58" spans="2:176" x14ac:dyDescent="0.45">
      <c r="B58" t="s">
        <v>781</v>
      </c>
      <c r="C58" t="s">
        <v>123</v>
      </c>
      <c r="D58">
        <v>0.3897015245105736</v>
      </c>
      <c r="E58">
        <v>0.39292833435788671</v>
      </c>
      <c r="F58">
        <v>0.40217072177029384</v>
      </c>
      <c r="G58">
        <v>0.40201709788198575</v>
      </c>
      <c r="H58">
        <v>0.47407474031603886</v>
      </c>
      <c r="I58">
        <v>0.48292439006506094</v>
      </c>
      <c r="J58">
        <v>0.48424574824313404</v>
      </c>
      <c r="K58">
        <v>0.46930700188883223</v>
      </c>
      <c r="L58">
        <v>0.4129630099667646</v>
      </c>
      <c r="M58">
        <v>0.39977422829742881</v>
      </c>
      <c r="N58">
        <v>0.34472787156817214</v>
      </c>
      <c r="O58">
        <v>0.36269309221480839</v>
      </c>
      <c r="P58">
        <v>0.36816799766662539</v>
      </c>
      <c r="Q58">
        <v>0.43836958633891437</v>
      </c>
      <c r="R58">
        <v>0.44062624862227312</v>
      </c>
      <c r="S58">
        <v>0.43555737382175053</v>
      </c>
      <c r="T58">
        <v>0.42758542916163433</v>
      </c>
      <c r="U58">
        <v>0.40672851792998366</v>
      </c>
      <c r="V58">
        <v>0.36649985612676317</v>
      </c>
      <c r="W58">
        <v>0.30646428594133701</v>
      </c>
      <c r="X58">
        <v>0.21508004089316243</v>
      </c>
      <c r="Y58">
        <v>0.28091204397297925</v>
      </c>
      <c r="Z58">
        <v>0.33181113907845805</v>
      </c>
      <c r="AA58">
        <v>0.40210036000091148</v>
      </c>
      <c r="AB58">
        <v>0.38480655741191439</v>
      </c>
      <c r="AC58">
        <v>0.36444632672953758</v>
      </c>
      <c r="AD58">
        <v>0.36292516192296431</v>
      </c>
      <c r="AE58">
        <v>0.36022195646469996</v>
      </c>
      <c r="AF58">
        <v>0.28170423738510569</v>
      </c>
      <c r="AG58">
        <v>0.17513702868934053</v>
      </c>
      <c r="AH58">
        <v>0.3313400844220652</v>
      </c>
      <c r="AI58">
        <v>0.37665389807597977</v>
      </c>
      <c r="AJ58">
        <v>0.38882239439018557</v>
      </c>
      <c r="AK58">
        <v>0.45946190523049163</v>
      </c>
      <c r="AL58">
        <v>0.48106155248743954</v>
      </c>
      <c r="AM58">
        <v>0.48222192741562475</v>
      </c>
      <c r="AN58">
        <v>0.45230179015202732</v>
      </c>
      <c r="AO58">
        <v>0.40056706383947693</v>
      </c>
      <c r="AP58">
        <v>0.30293867712177847</v>
      </c>
      <c r="AQ58">
        <v>0.27035311048013932</v>
      </c>
      <c r="EA58" t="s">
        <v>781</v>
      </c>
      <c r="EB58">
        <v>0.24205894043214141</v>
      </c>
      <c r="EC58">
        <v>0.22043164080954725</v>
      </c>
      <c r="ED58">
        <v>0.21528069895370988</v>
      </c>
      <c r="EE58">
        <v>0.20506827155693727</v>
      </c>
      <c r="EF58">
        <v>0.17619580289404482</v>
      </c>
      <c r="EG58">
        <v>0.19148858385130407</v>
      </c>
      <c r="EH58">
        <v>0.19951522603152172</v>
      </c>
      <c r="EI58">
        <v>0.20406271584000887</v>
      </c>
      <c r="EJ58">
        <v>0.22567037222633779</v>
      </c>
      <c r="EK58">
        <v>0.24243594080951342</v>
      </c>
      <c r="EL58">
        <v>0.20633111879097055</v>
      </c>
      <c r="EM58">
        <v>0.17848208955782613</v>
      </c>
      <c r="EN58">
        <v>0.17138602637874986</v>
      </c>
      <c r="EO58">
        <v>0.16754361699351433</v>
      </c>
      <c r="EP58">
        <v>0.16600196653123434</v>
      </c>
      <c r="EQ58">
        <v>0.19430284879107368</v>
      </c>
      <c r="ER58">
        <v>0.23336581691855657</v>
      </c>
      <c r="ES58">
        <v>0.25447241244729751</v>
      </c>
      <c r="ET58">
        <v>0.23152930443455982</v>
      </c>
      <c r="EU58">
        <v>0.23035129502591653</v>
      </c>
      <c r="EV58">
        <v>0.11899362452463234</v>
      </c>
      <c r="EW58">
        <v>8.2092007696595679E-2</v>
      </c>
      <c r="EX58">
        <v>6.5632554803053592E-2</v>
      </c>
      <c r="EY58">
        <v>3.8393130101932453E-2</v>
      </c>
      <c r="EZ58">
        <v>3.3361992163057519E-2</v>
      </c>
      <c r="FA58">
        <v>4.3691390333941045E-2</v>
      </c>
      <c r="FB58">
        <v>6.060893175582336E-2</v>
      </c>
      <c r="FC58">
        <v>8.2754191468986188E-2</v>
      </c>
      <c r="FD58">
        <v>0.11471254951400298</v>
      </c>
      <c r="FE58">
        <v>0.17548248308190709</v>
      </c>
      <c r="FF58">
        <v>0.14693125564084669</v>
      </c>
      <c r="FG58">
        <v>0.12707848008488637</v>
      </c>
      <c r="FH58">
        <v>0.12253736651451606</v>
      </c>
      <c r="FI58">
        <v>0.10967346894256769</v>
      </c>
      <c r="FJ58">
        <v>0.10142197467276985</v>
      </c>
      <c r="FK58">
        <v>0.11443870889267092</v>
      </c>
      <c r="FL58">
        <v>0.12523819706740033</v>
      </c>
      <c r="FM58">
        <v>0.12743468184578119</v>
      </c>
      <c r="FN58">
        <v>0.14970205800074787</v>
      </c>
      <c r="FO58">
        <v>0.1692189381970525</v>
      </c>
      <c r="FQ58" t="s">
        <v>816</v>
      </c>
      <c r="FR58" t="s">
        <v>127</v>
      </c>
      <c r="FS58" t="s">
        <v>128</v>
      </c>
      <c r="FT58">
        <v>0.27883908851553363</v>
      </c>
    </row>
    <row r="59" spans="2:176" x14ac:dyDescent="0.45">
      <c r="B59" t="s">
        <v>783</v>
      </c>
      <c r="C59" t="s">
        <v>123</v>
      </c>
      <c r="D59">
        <v>0.48563938404980977</v>
      </c>
      <c r="E59">
        <v>0.47863451757896341</v>
      </c>
      <c r="F59">
        <v>0.46454622327744083</v>
      </c>
      <c r="G59">
        <v>0.46969429641431071</v>
      </c>
      <c r="H59">
        <v>0.51304667127275638</v>
      </c>
      <c r="I59">
        <v>0.50754551084711408</v>
      </c>
      <c r="J59">
        <v>0.48690398550978709</v>
      </c>
      <c r="K59">
        <v>0.47043227582555686</v>
      </c>
      <c r="L59">
        <v>0.44862533662784621</v>
      </c>
      <c r="M59">
        <v>0.46051403887616116</v>
      </c>
      <c r="N59">
        <v>0.38193796994114299</v>
      </c>
      <c r="O59">
        <v>0.42018078827679606</v>
      </c>
      <c r="P59">
        <v>0.43699168874939093</v>
      </c>
      <c r="Q59">
        <v>0.47820011693157632</v>
      </c>
      <c r="R59">
        <v>0.45885218262377747</v>
      </c>
      <c r="S59">
        <v>0.42841451817998594</v>
      </c>
      <c r="T59">
        <v>0.41038988629857753</v>
      </c>
      <c r="U59">
        <v>0.40588806857440402</v>
      </c>
      <c r="V59">
        <v>0.38438276100313135</v>
      </c>
      <c r="W59">
        <v>0.31714592756000609</v>
      </c>
      <c r="X59">
        <v>0.21205262802209715</v>
      </c>
      <c r="Y59">
        <v>0.28060605916935571</v>
      </c>
      <c r="Z59">
        <v>0.34552135651390958</v>
      </c>
      <c r="AA59">
        <v>0.3996573958018082</v>
      </c>
      <c r="AB59">
        <v>0.36176455549806341</v>
      </c>
      <c r="AC59">
        <v>0.34383052403380054</v>
      </c>
      <c r="AD59">
        <v>0.33657278298140647</v>
      </c>
      <c r="AE59">
        <v>0.30351220099261161</v>
      </c>
      <c r="AF59">
        <v>0.23535734568699174</v>
      </c>
      <c r="AG59">
        <v>0.1669544074118767</v>
      </c>
      <c r="AH59">
        <v>0.3213178053891052</v>
      </c>
      <c r="AI59">
        <v>0.39027059678313314</v>
      </c>
      <c r="AJ59">
        <v>0.41052355630513243</v>
      </c>
      <c r="AK59">
        <v>0.44252309131107648</v>
      </c>
      <c r="AL59">
        <v>0.46422319442083493</v>
      </c>
      <c r="AM59">
        <v>0.46403577865127194</v>
      </c>
      <c r="AN59">
        <v>0.43997564322368471</v>
      </c>
      <c r="AO59">
        <v>0.39315695124989569</v>
      </c>
      <c r="AP59">
        <v>0.32357904940632315</v>
      </c>
      <c r="AQ59">
        <v>0.30621305865568671</v>
      </c>
      <c r="EA59" t="s">
        <v>783</v>
      </c>
      <c r="EB59">
        <v>0.17116625295503216</v>
      </c>
      <c r="EC59">
        <v>0.15325364998008506</v>
      </c>
      <c r="ED59">
        <v>0.14246456895887175</v>
      </c>
      <c r="EE59">
        <v>0.13147898745828329</v>
      </c>
      <c r="EF59">
        <v>0.12511353719972867</v>
      </c>
      <c r="EG59">
        <v>0.15603442772448581</v>
      </c>
      <c r="EH59">
        <v>0.17147986127420856</v>
      </c>
      <c r="EI59">
        <v>0.16058026399440603</v>
      </c>
      <c r="EJ59">
        <v>0.15157436487652085</v>
      </c>
      <c r="EK59">
        <v>0.15775174059425462</v>
      </c>
      <c r="EL59">
        <v>0.13902445083070691</v>
      </c>
      <c r="EM59">
        <v>0.10888779632207309</v>
      </c>
      <c r="EN59">
        <v>9.624236659605831E-2</v>
      </c>
      <c r="EO59">
        <v>9.6078437705281794E-2</v>
      </c>
      <c r="EP59">
        <v>0.11273527837048725</v>
      </c>
      <c r="EQ59">
        <v>0.15280473414249252</v>
      </c>
      <c r="ER59">
        <v>0.19266977462474594</v>
      </c>
      <c r="ES59">
        <v>0.20872075091795739</v>
      </c>
      <c r="ET59">
        <v>0.18809697949963916</v>
      </c>
      <c r="EU59">
        <v>0.17072651373520958</v>
      </c>
      <c r="EV59">
        <v>7.930402086208313E-2</v>
      </c>
      <c r="EW59">
        <v>4.3209605954304793E-2</v>
      </c>
      <c r="EX59">
        <v>3.338009153031584E-2</v>
      </c>
      <c r="EY59">
        <v>2.6479923495014351E-2</v>
      </c>
      <c r="EZ59">
        <v>3.0560957679977904E-2</v>
      </c>
      <c r="FA59">
        <v>4.6467230781815673E-2</v>
      </c>
      <c r="FB59">
        <v>6.8066193091666019E-2</v>
      </c>
      <c r="FC59">
        <v>8.4160669957141165E-2</v>
      </c>
      <c r="FD59">
        <v>0.10350048829127569</v>
      </c>
      <c r="FE59">
        <v>0.1361542365650755</v>
      </c>
      <c r="FF59">
        <v>7.8876372461002958E-2</v>
      </c>
      <c r="FG59">
        <v>6.3745398327921352E-2</v>
      </c>
      <c r="FH59">
        <v>6.0028014391793054E-2</v>
      </c>
      <c r="FI59">
        <v>5.134532068385015E-2</v>
      </c>
      <c r="FJ59">
        <v>5.3312018351239721E-2</v>
      </c>
      <c r="FK59">
        <v>6.9228974888965858E-2</v>
      </c>
      <c r="FL59">
        <v>8.5499561316361133E-2</v>
      </c>
      <c r="FM59">
        <v>9.0471309154656648E-2</v>
      </c>
      <c r="FN59">
        <v>0.10453165162845544</v>
      </c>
      <c r="FO59">
        <v>0.10874524209409921</v>
      </c>
      <c r="FQ59" t="s">
        <v>817</v>
      </c>
      <c r="FR59" t="s">
        <v>127</v>
      </c>
      <c r="FS59" t="s">
        <v>128</v>
      </c>
      <c r="FT59">
        <v>0.24881713627651042</v>
      </c>
    </row>
    <row r="60" spans="2:176" x14ac:dyDescent="0.45">
      <c r="B60" t="s">
        <v>785</v>
      </c>
      <c r="C60" t="s">
        <v>123</v>
      </c>
      <c r="D60">
        <v>0.41063080249458728</v>
      </c>
      <c r="E60">
        <v>0.41516941800488943</v>
      </c>
      <c r="F60">
        <v>0.42589822421066292</v>
      </c>
      <c r="G60">
        <v>0.44166624089006767</v>
      </c>
      <c r="H60">
        <v>0.50213876850832695</v>
      </c>
      <c r="I60">
        <v>0.47970039964248923</v>
      </c>
      <c r="J60">
        <v>0.46838339864022049</v>
      </c>
      <c r="K60">
        <v>0.4636580822974925</v>
      </c>
      <c r="L60">
        <v>0.41652772024458001</v>
      </c>
      <c r="M60">
        <v>0.40544036724970894</v>
      </c>
      <c r="N60">
        <v>0.31949911860116459</v>
      </c>
      <c r="O60">
        <v>0.33263609475762934</v>
      </c>
      <c r="P60">
        <v>0.35372615391772355</v>
      </c>
      <c r="Q60">
        <v>0.42269384004260935</v>
      </c>
      <c r="R60">
        <v>0.44123251874103936</v>
      </c>
      <c r="S60">
        <v>0.4295924786451687</v>
      </c>
      <c r="T60">
        <v>0.41189436546145702</v>
      </c>
      <c r="U60">
        <v>0.39211276531161193</v>
      </c>
      <c r="V60">
        <v>0.35506682012066099</v>
      </c>
      <c r="W60">
        <v>0.3218824084363851</v>
      </c>
      <c r="X60">
        <v>0.29882649110092585</v>
      </c>
      <c r="Y60">
        <v>0.29364041405460661</v>
      </c>
      <c r="Z60">
        <v>0.30792793030597315</v>
      </c>
      <c r="AA60">
        <v>0.38348668661481233</v>
      </c>
      <c r="AB60">
        <v>0.41301476631900202</v>
      </c>
      <c r="AC60">
        <v>0.44063677316617067</v>
      </c>
      <c r="AD60">
        <v>0.45172629373398243</v>
      </c>
      <c r="AE60">
        <v>0.44427466919300235</v>
      </c>
      <c r="AF60">
        <v>0.3678386262676942</v>
      </c>
      <c r="AG60">
        <v>0.26211108755773488</v>
      </c>
      <c r="AH60">
        <v>0.32390602837128785</v>
      </c>
      <c r="AI60">
        <v>0.31575468524829692</v>
      </c>
      <c r="AJ60">
        <v>0.32947604211691278</v>
      </c>
      <c r="AK60">
        <v>0.41861383843963157</v>
      </c>
      <c r="AL60">
        <v>0.48474200859248129</v>
      </c>
      <c r="AM60">
        <v>0.50004933963026332</v>
      </c>
      <c r="AN60">
        <v>0.47816217819806617</v>
      </c>
      <c r="AO60">
        <v>0.44930120292943221</v>
      </c>
      <c r="AP60">
        <v>0.39529112713805176</v>
      </c>
      <c r="AQ60">
        <v>0.3511533085603088</v>
      </c>
      <c r="EA60" t="s">
        <v>785</v>
      </c>
      <c r="EB60">
        <v>0.26851013199240742</v>
      </c>
      <c r="EC60">
        <v>0.25950186787496121</v>
      </c>
      <c r="ED60">
        <v>0.24854754341820259</v>
      </c>
      <c r="EE60">
        <v>0.23291938909172899</v>
      </c>
      <c r="EF60">
        <v>0.20837395720446927</v>
      </c>
      <c r="EG60">
        <v>0.24319824771028437</v>
      </c>
      <c r="EH60">
        <v>0.24785871993930492</v>
      </c>
      <c r="EI60">
        <v>0.23815080610138506</v>
      </c>
      <c r="EJ60">
        <v>0.26393809580744804</v>
      </c>
      <c r="EK60">
        <v>0.28123817576016474</v>
      </c>
      <c r="EL60">
        <v>0.24994082706691129</v>
      </c>
      <c r="EM60">
        <v>0.22001248643131563</v>
      </c>
      <c r="EN60">
        <v>0.19713417471591801</v>
      </c>
      <c r="EO60">
        <v>0.18795828299135123</v>
      </c>
      <c r="EP60">
        <v>0.20697682196154354</v>
      </c>
      <c r="EQ60">
        <v>0.24679257478427222</v>
      </c>
      <c r="ER60">
        <v>0.28089055152324621</v>
      </c>
      <c r="ES60">
        <v>0.27334417459262889</v>
      </c>
      <c r="ET60">
        <v>0.26459573799603792</v>
      </c>
      <c r="EU60">
        <v>0.27506710129726181</v>
      </c>
      <c r="EV60">
        <v>0.18506879524078201</v>
      </c>
      <c r="EW60">
        <v>0.14281605394213531</v>
      </c>
      <c r="EX60">
        <v>9.9875746964557741E-2</v>
      </c>
      <c r="EY60">
        <v>5.5324492901070735E-2</v>
      </c>
      <c r="EZ60">
        <v>4.1954672269044549E-2</v>
      </c>
      <c r="FA60">
        <v>5.7449708454257987E-2</v>
      </c>
      <c r="FB60">
        <v>7.7196206409934756E-2</v>
      </c>
      <c r="FC60">
        <v>9.9475644020014478E-2</v>
      </c>
      <c r="FD60">
        <v>0.10670680979531452</v>
      </c>
      <c r="FE60">
        <v>0.1647609472420731</v>
      </c>
      <c r="FF60">
        <v>0.16418000987138889</v>
      </c>
      <c r="FG60">
        <v>0.14871271191141663</v>
      </c>
      <c r="FH60">
        <v>0.13129158770091023</v>
      </c>
      <c r="FI60">
        <v>9.8971765288755245E-2</v>
      </c>
      <c r="FJ60">
        <v>9.255869976393942E-2</v>
      </c>
      <c r="FK60">
        <v>0.12130263041989811</v>
      </c>
      <c r="FL60">
        <v>0.13305494029132298</v>
      </c>
      <c r="FM60">
        <v>0.12993584528982832</v>
      </c>
      <c r="FN60">
        <v>0.15918680043306654</v>
      </c>
      <c r="FO60">
        <v>0.17437219696309647</v>
      </c>
      <c r="FQ60" t="s">
        <v>818</v>
      </c>
      <c r="FR60" t="s">
        <v>127</v>
      </c>
      <c r="FS60" t="s">
        <v>128</v>
      </c>
      <c r="FT60">
        <v>0.28583921252631855</v>
      </c>
    </row>
    <row r="61" spans="2:176" x14ac:dyDescent="0.45">
      <c r="B61" t="s">
        <v>787</v>
      </c>
      <c r="C61" t="s">
        <v>123</v>
      </c>
      <c r="D61">
        <v>0.48263006642198153</v>
      </c>
      <c r="E61">
        <v>0.46552193698742267</v>
      </c>
      <c r="F61">
        <v>0.4601340591934886</v>
      </c>
      <c r="G61">
        <v>0.46556587433817465</v>
      </c>
      <c r="H61">
        <v>0.54784206498626631</v>
      </c>
      <c r="I61">
        <v>0.5383950643124481</v>
      </c>
      <c r="J61">
        <v>0.51749032282396912</v>
      </c>
      <c r="K61">
        <v>0.49610106224399492</v>
      </c>
      <c r="L61">
        <v>0.46983576376242331</v>
      </c>
      <c r="M61">
        <v>0.48287292305315055</v>
      </c>
      <c r="N61">
        <v>0.41274259089611587</v>
      </c>
      <c r="O61">
        <v>0.3996074107018856</v>
      </c>
      <c r="P61">
        <v>0.40369425866266812</v>
      </c>
      <c r="Q61">
        <v>0.44950028586102642</v>
      </c>
      <c r="R61">
        <v>0.46304883871378733</v>
      </c>
      <c r="S61">
        <v>0.46379894168945185</v>
      </c>
      <c r="T61">
        <v>0.45341591216323307</v>
      </c>
      <c r="U61">
        <v>0.43603497379040657</v>
      </c>
      <c r="V61">
        <v>0.41907781347868206</v>
      </c>
      <c r="W61">
        <v>0.41317439573617731</v>
      </c>
      <c r="X61">
        <v>0.42658757407629588</v>
      </c>
      <c r="Y61">
        <v>0.4181276124938203</v>
      </c>
      <c r="Z61">
        <v>0.39939880186500482</v>
      </c>
      <c r="AA61">
        <v>0.43894838991885349</v>
      </c>
      <c r="AB61">
        <v>0.42433724394749867</v>
      </c>
      <c r="AC61">
        <v>0.43859972618371462</v>
      </c>
      <c r="AD61">
        <v>0.45546508121102275</v>
      </c>
      <c r="AE61">
        <v>0.42071577429694468</v>
      </c>
      <c r="AF61">
        <v>0.36175705966696553</v>
      </c>
      <c r="AG61">
        <v>0.35626697634579957</v>
      </c>
      <c r="AH61">
        <v>0.4107859730451478</v>
      </c>
      <c r="AI61">
        <v>0.37264900917723265</v>
      </c>
      <c r="AJ61">
        <v>0.38678123623041566</v>
      </c>
      <c r="AK61">
        <v>0.42231471698656925</v>
      </c>
      <c r="AL61">
        <v>0.48086603115555021</v>
      </c>
      <c r="AM61">
        <v>0.49160416987713723</v>
      </c>
      <c r="AN61">
        <v>0.46202575290949383</v>
      </c>
      <c r="AO61">
        <v>0.42072176515768828</v>
      </c>
      <c r="AP61">
        <v>0.41043858256442567</v>
      </c>
      <c r="AQ61">
        <v>0.41860895454975666</v>
      </c>
      <c r="EA61" t="s">
        <v>787</v>
      </c>
      <c r="EB61">
        <v>0.14387666402806215</v>
      </c>
      <c r="EC61">
        <v>0.13497838094405643</v>
      </c>
      <c r="ED61">
        <v>0.13578234073697595</v>
      </c>
      <c r="EE61">
        <v>0.12434824109305044</v>
      </c>
      <c r="EF61">
        <v>0.11820748928961808</v>
      </c>
      <c r="EG61">
        <v>0.13396469844420755</v>
      </c>
      <c r="EH61">
        <v>0.14317270638631077</v>
      </c>
      <c r="EI61">
        <v>0.14905820485559562</v>
      </c>
      <c r="EJ61">
        <v>0.16115877917554192</v>
      </c>
      <c r="EK61">
        <v>0.15079697468353562</v>
      </c>
      <c r="EL61">
        <v>0.12719635413240904</v>
      </c>
      <c r="EM61">
        <v>0.11588877348450248</v>
      </c>
      <c r="EN61">
        <v>0.10574544452164159</v>
      </c>
      <c r="EO61">
        <v>0.1056452725659319</v>
      </c>
      <c r="EP61">
        <v>0.12937031916993144</v>
      </c>
      <c r="EQ61">
        <v>0.15968468361259439</v>
      </c>
      <c r="ER61">
        <v>0.17954023447656128</v>
      </c>
      <c r="ES61">
        <v>0.17692302773696877</v>
      </c>
      <c r="ET61">
        <v>0.16020870504355911</v>
      </c>
      <c r="EU61">
        <v>0.14785076024086652</v>
      </c>
      <c r="EV61">
        <v>8.9222399280573503E-2</v>
      </c>
      <c r="EW61">
        <v>0.10089633609113338</v>
      </c>
      <c r="EX61">
        <v>8.3757972724220739E-2</v>
      </c>
      <c r="EY61">
        <v>5.4996316330254279E-2</v>
      </c>
      <c r="EZ61">
        <v>4.1387757051120792E-2</v>
      </c>
      <c r="FA61">
        <v>4.7128394748375657E-2</v>
      </c>
      <c r="FB61">
        <v>6.4841390082897479E-2</v>
      </c>
      <c r="FC61">
        <v>8.0848111824378788E-2</v>
      </c>
      <c r="FD61">
        <v>7.7632991245775718E-2</v>
      </c>
      <c r="FE61">
        <v>7.6181731771780142E-2</v>
      </c>
      <c r="FF61">
        <v>6.7162435813185317E-2</v>
      </c>
      <c r="FG61">
        <v>7.5608514385614445E-2</v>
      </c>
      <c r="FH61">
        <v>7.2079010034559077E-2</v>
      </c>
      <c r="FI61">
        <v>5.4698990719605829E-2</v>
      </c>
      <c r="FJ61">
        <v>4.7267588140554193E-2</v>
      </c>
      <c r="FK61">
        <v>5.9750384108530286E-2</v>
      </c>
      <c r="FL61">
        <v>6.9691079434552453E-2</v>
      </c>
      <c r="FM61">
        <v>7.1491001363596041E-2</v>
      </c>
      <c r="FN61">
        <v>7.6693416596738284E-2</v>
      </c>
      <c r="FO61">
        <v>7.0953168143651282E-2</v>
      </c>
      <c r="FQ61" t="s">
        <v>819</v>
      </c>
      <c r="FR61" t="s">
        <v>127</v>
      </c>
      <c r="FS61" t="s">
        <v>128</v>
      </c>
      <c r="FT61">
        <v>0.28475707968733499</v>
      </c>
    </row>
    <row r="62" spans="2:176" x14ac:dyDescent="0.45">
      <c r="B62" t="s">
        <v>789</v>
      </c>
      <c r="C62" t="s">
        <v>123</v>
      </c>
      <c r="D62">
        <v>0.44851122679378297</v>
      </c>
      <c r="E62">
        <v>0.44573423454612798</v>
      </c>
      <c r="F62">
        <v>0.4473667880437614</v>
      </c>
      <c r="G62">
        <v>0.4590763404878575</v>
      </c>
      <c r="H62">
        <v>0.52031350418934319</v>
      </c>
      <c r="I62">
        <v>0.49948186652389892</v>
      </c>
      <c r="J62">
        <v>0.47767755160554742</v>
      </c>
      <c r="K62">
        <v>0.47797952143617012</v>
      </c>
      <c r="L62">
        <v>0.4426967249598765</v>
      </c>
      <c r="M62">
        <v>0.44012718082743985</v>
      </c>
      <c r="N62">
        <v>0.3744377992360905</v>
      </c>
      <c r="O62">
        <v>0.37834772587915011</v>
      </c>
      <c r="P62">
        <v>0.39284947500453782</v>
      </c>
      <c r="Q62">
        <v>0.45191177656097414</v>
      </c>
      <c r="R62">
        <v>0.44484891844788427</v>
      </c>
      <c r="S62">
        <v>0.41602913859280755</v>
      </c>
      <c r="T62">
        <v>0.3920294554419701</v>
      </c>
      <c r="U62">
        <v>0.39712671765024093</v>
      </c>
      <c r="V62">
        <v>0.3945557961477979</v>
      </c>
      <c r="W62">
        <v>0.35284473385308845</v>
      </c>
      <c r="X62">
        <v>0.26348667326715652</v>
      </c>
      <c r="Y62">
        <v>0.30270753644649862</v>
      </c>
      <c r="Z62">
        <v>0.32076026584959616</v>
      </c>
      <c r="AA62">
        <v>0.39589672958385358</v>
      </c>
      <c r="AB62">
        <v>0.37730468318331079</v>
      </c>
      <c r="AC62">
        <v>0.38595479739975175</v>
      </c>
      <c r="AD62">
        <v>0.39291164367142095</v>
      </c>
      <c r="AE62">
        <v>0.37607863562523819</v>
      </c>
      <c r="AF62">
        <v>0.30241864861688184</v>
      </c>
      <c r="AG62">
        <v>0.21413712302801738</v>
      </c>
      <c r="AH62">
        <v>0.35268530139781251</v>
      </c>
      <c r="AI62">
        <v>0.38022137541640455</v>
      </c>
      <c r="AJ62">
        <v>0.39783860357989603</v>
      </c>
      <c r="AK62">
        <v>0.46134759052557645</v>
      </c>
      <c r="AL62">
        <v>0.51362919960797793</v>
      </c>
      <c r="AM62">
        <v>0.49637041915394631</v>
      </c>
      <c r="AN62">
        <v>0.46404304306846533</v>
      </c>
      <c r="AO62">
        <v>0.40062864114982422</v>
      </c>
      <c r="AP62">
        <v>0.33503665528031573</v>
      </c>
      <c r="AQ62">
        <v>0.30997850174950031</v>
      </c>
      <c r="EA62" t="s">
        <v>789</v>
      </c>
      <c r="EB62">
        <v>0.23480877165112329</v>
      </c>
      <c r="EC62">
        <v>0.2126094790728402</v>
      </c>
      <c r="ED62">
        <v>0.20467802630973822</v>
      </c>
      <c r="EE62">
        <v>0.1906077469079959</v>
      </c>
      <c r="EF62">
        <v>0.17988240690315244</v>
      </c>
      <c r="EG62">
        <v>0.2027604051649044</v>
      </c>
      <c r="EH62">
        <v>0.21337769662914999</v>
      </c>
      <c r="EI62">
        <v>0.20535768451920389</v>
      </c>
      <c r="EJ62">
        <v>0.21795384013325683</v>
      </c>
      <c r="EK62">
        <v>0.23498638794888704</v>
      </c>
      <c r="EL62">
        <v>0.19580427826133626</v>
      </c>
      <c r="EM62">
        <v>0.172821026427456</v>
      </c>
      <c r="EN62">
        <v>0.16058835725267392</v>
      </c>
      <c r="EO62">
        <v>0.16136405501651413</v>
      </c>
      <c r="EP62">
        <v>0.175489580237916</v>
      </c>
      <c r="EQ62">
        <v>0.20632725547429093</v>
      </c>
      <c r="ER62">
        <v>0.23648494575572837</v>
      </c>
      <c r="ES62">
        <v>0.25056322115957064</v>
      </c>
      <c r="ET62">
        <v>0.22898447481775311</v>
      </c>
      <c r="EU62">
        <v>0.21577945179375507</v>
      </c>
      <c r="EV62">
        <v>0.10465909068406808</v>
      </c>
      <c r="EW62">
        <v>7.9290118157768805E-2</v>
      </c>
      <c r="EX62">
        <v>5.8577646589924294E-2</v>
      </c>
      <c r="EY62">
        <v>3.8547221225196784E-2</v>
      </c>
      <c r="EZ62">
        <v>3.9344912482338991E-2</v>
      </c>
      <c r="FA62">
        <v>5.4181887384420868E-2</v>
      </c>
      <c r="FB62">
        <v>7.3444340792517618E-2</v>
      </c>
      <c r="FC62">
        <v>8.8259104620080894E-2</v>
      </c>
      <c r="FD62">
        <v>9.2749384190362869E-2</v>
      </c>
      <c r="FE62">
        <v>0.1169378889368675</v>
      </c>
      <c r="FF62">
        <v>0.12718263179855285</v>
      </c>
      <c r="FG62">
        <v>0.1120806443061549</v>
      </c>
      <c r="FH62">
        <v>0.10254881320364932</v>
      </c>
      <c r="FI62">
        <v>8.4828568187926515E-2</v>
      </c>
      <c r="FJ62">
        <v>9.2829137019029118E-2</v>
      </c>
      <c r="FK62">
        <v>0.11345848815898955</v>
      </c>
      <c r="FL62">
        <v>0.12127082575937143</v>
      </c>
      <c r="FM62">
        <v>0.1135065944932129</v>
      </c>
      <c r="FN62">
        <v>0.12808007013122713</v>
      </c>
      <c r="FO62">
        <v>0.14996587196207797</v>
      </c>
      <c r="FQ62" t="s">
        <v>776</v>
      </c>
      <c r="FR62" t="s">
        <v>127</v>
      </c>
      <c r="FS62" t="s">
        <v>128</v>
      </c>
      <c r="FT62">
        <v>0.45617386872269783</v>
      </c>
    </row>
    <row r="63" spans="2:176" x14ac:dyDescent="0.45">
      <c r="B63" t="s">
        <v>791</v>
      </c>
      <c r="C63" t="s">
        <v>123</v>
      </c>
      <c r="D63">
        <v>0.33524080129230949</v>
      </c>
      <c r="E63">
        <v>0.35937515018044452</v>
      </c>
      <c r="F63">
        <v>0.36796309329501697</v>
      </c>
      <c r="G63">
        <v>0.37550544161713179</v>
      </c>
      <c r="H63">
        <v>0.38184164999626619</v>
      </c>
      <c r="I63">
        <v>0.35076347119889079</v>
      </c>
      <c r="J63">
        <v>0.31951269606501714</v>
      </c>
      <c r="K63">
        <v>0.31512769100265642</v>
      </c>
      <c r="L63">
        <v>0.3126339635973604</v>
      </c>
      <c r="M63">
        <v>0.32380286881314624</v>
      </c>
      <c r="N63">
        <v>0.30143686412504572</v>
      </c>
      <c r="O63">
        <v>0.30648018817274031</v>
      </c>
      <c r="P63">
        <v>0.30930324845660778</v>
      </c>
      <c r="Q63">
        <v>0.30969293447369289</v>
      </c>
      <c r="R63">
        <v>0.31094938049959991</v>
      </c>
      <c r="S63">
        <v>0.29406651812002615</v>
      </c>
      <c r="T63">
        <v>0.27591416569331689</v>
      </c>
      <c r="U63">
        <v>0.25863354453812676</v>
      </c>
      <c r="V63">
        <v>0.26733500808350769</v>
      </c>
      <c r="W63">
        <v>0.29052449146857989</v>
      </c>
      <c r="X63">
        <v>0.39737417966703004</v>
      </c>
      <c r="Y63">
        <v>0.39945332029456804</v>
      </c>
      <c r="Z63">
        <v>0.39649619633649674</v>
      </c>
      <c r="AA63">
        <v>0.40056101214989298</v>
      </c>
      <c r="AB63">
        <v>0.40904609270031911</v>
      </c>
      <c r="AC63">
        <v>0.37623312040433732</v>
      </c>
      <c r="AD63">
        <v>0.33027120931068144</v>
      </c>
      <c r="AE63">
        <v>0.30376379645912333</v>
      </c>
      <c r="AF63">
        <v>0.30655854909263819</v>
      </c>
      <c r="AG63">
        <v>0.35081054446802395</v>
      </c>
      <c r="AH63">
        <v>0.32179885707332623</v>
      </c>
      <c r="AI63">
        <v>0.32682436318631108</v>
      </c>
      <c r="AJ63">
        <v>0.3332313591402653</v>
      </c>
      <c r="AK63">
        <v>0.33782009613233482</v>
      </c>
      <c r="AL63">
        <v>0.34727582738740392</v>
      </c>
      <c r="AM63">
        <v>0.3190868499958367</v>
      </c>
      <c r="AN63">
        <v>0.28746849877508757</v>
      </c>
      <c r="AO63">
        <v>0.27525653593493271</v>
      </c>
      <c r="AP63">
        <v>0.27150540330186146</v>
      </c>
      <c r="AQ63">
        <v>0.29865002909893423</v>
      </c>
      <c r="EA63" t="s">
        <v>791</v>
      </c>
      <c r="EB63">
        <v>0.35391249632086624</v>
      </c>
      <c r="EC63">
        <v>0.34193302689966554</v>
      </c>
      <c r="ED63">
        <v>0.32946052076280063</v>
      </c>
      <c r="EE63">
        <v>0.33019534692514668</v>
      </c>
      <c r="EF63">
        <v>0.33960784979524716</v>
      </c>
      <c r="EG63">
        <v>0.37408436759580166</v>
      </c>
      <c r="EH63">
        <v>0.40799656748117352</v>
      </c>
      <c r="EI63">
        <v>0.40366748496636717</v>
      </c>
      <c r="EJ63">
        <v>0.37721647392579138</v>
      </c>
      <c r="EK63">
        <v>0.36080890598686061</v>
      </c>
      <c r="EL63">
        <v>0.35614259246661056</v>
      </c>
      <c r="EM63">
        <v>0.33403207255146883</v>
      </c>
      <c r="EN63">
        <v>0.3207573774381941</v>
      </c>
      <c r="EO63">
        <v>0.33651706622815625</v>
      </c>
      <c r="EP63">
        <v>0.33948047215648736</v>
      </c>
      <c r="EQ63">
        <v>0.38112013999674188</v>
      </c>
      <c r="ER63">
        <v>0.42558968991883972</v>
      </c>
      <c r="ES63">
        <v>0.443833138219557</v>
      </c>
      <c r="ET63">
        <v>0.42904016064805994</v>
      </c>
      <c r="EU63">
        <v>0.39067636529845312</v>
      </c>
      <c r="EV63">
        <v>0.24908052112764881</v>
      </c>
      <c r="EW63">
        <v>0.22918379727836977</v>
      </c>
      <c r="EX63">
        <v>0.21979628136887069</v>
      </c>
      <c r="EY63">
        <v>0.2110452599073887</v>
      </c>
      <c r="EZ63">
        <v>0.21413441626981064</v>
      </c>
      <c r="FA63">
        <v>0.23817208340771331</v>
      </c>
      <c r="FB63">
        <v>0.27575192466557191</v>
      </c>
      <c r="FC63">
        <v>0.31448849534128887</v>
      </c>
      <c r="FD63">
        <v>0.32489702646728758</v>
      </c>
      <c r="FE63">
        <v>0.30109263830668659</v>
      </c>
      <c r="FF63">
        <v>0.35421604966526787</v>
      </c>
      <c r="FG63">
        <v>0.34286263826256047</v>
      </c>
      <c r="FH63">
        <v>0.33912720641404304</v>
      </c>
      <c r="FI63">
        <v>0.33486334374410531</v>
      </c>
      <c r="FJ63">
        <v>0.34232172152561846</v>
      </c>
      <c r="FK63">
        <v>0.37489697933782867</v>
      </c>
      <c r="FL63">
        <v>0.39942339262293025</v>
      </c>
      <c r="FM63">
        <v>0.39433948515147382</v>
      </c>
      <c r="FN63">
        <v>0.3923703134916724</v>
      </c>
      <c r="FO63">
        <v>0.37880198611526017</v>
      </c>
      <c r="FQ63" t="s">
        <v>778</v>
      </c>
      <c r="FR63" t="s">
        <v>127</v>
      </c>
      <c r="FS63" t="s">
        <v>128</v>
      </c>
      <c r="FT63">
        <v>0.46543083516400646</v>
      </c>
    </row>
    <row r="64" spans="2:176" x14ac:dyDescent="0.45">
      <c r="B64" t="s">
        <v>793</v>
      </c>
      <c r="C64" t="s">
        <v>123</v>
      </c>
      <c r="D64">
        <v>0.41562351706543421</v>
      </c>
      <c r="E64">
        <v>0.41336239660319735</v>
      </c>
      <c r="F64">
        <v>0.4109382563431348</v>
      </c>
      <c r="G64">
        <v>0.41525033417366747</v>
      </c>
      <c r="H64">
        <v>0.41201607731556644</v>
      </c>
      <c r="I64">
        <v>0.42795337236790276</v>
      </c>
      <c r="J64">
        <v>0.43792897574469236</v>
      </c>
      <c r="K64">
        <v>0.44424402959913833</v>
      </c>
      <c r="L64">
        <v>0.44147047401276662</v>
      </c>
      <c r="M64">
        <v>0.43307749326602241</v>
      </c>
      <c r="N64">
        <v>0.37721768966075997</v>
      </c>
      <c r="O64">
        <v>0.41331920109303538</v>
      </c>
      <c r="P64">
        <v>0.40831050934709845</v>
      </c>
      <c r="Q64">
        <v>0.41908769322344785</v>
      </c>
      <c r="R64">
        <v>0.42922983730279257</v>
      </c>
      <c r="S64">
        <v>0.39944986965784757</v>
      </c>
      <c r="T64">
        <v>0.36675658782783782</v>
      </c>
      <c r="U64">
        <v>0.3474365274244029</v>
      </c>
      <c r="V64">
        <v>0.34511785087751035</v>
      </c>
      <c r="W64">
        <v>0.34208695119501659</v>
      </c>
      <c r="X64">
        <v>0.29050469507697596</v>
      </c>
      <c r="Y64">
        <v>0.31391793170600929</v>
      </c>
      <c r="Z64">
        <v>0.32277721097242457</v>
      </c>
      <c r="AA64">
        <v>0.37102593211089546</v>
      </c>
      <c r="AB64">
        <v>0.34279484016454204</v>
      </c>
      <c r="AC64">
        <v>0.26366242267391521</v>
      </c>
      <c r="AD64">
        <v>0.22111673287852343</v>
      </c>
      <c r="AE64">
        <v>0.19650119407360486</v>
      </c>
      <c r="AF64">
        <v>0.19337595654980355</v>
      </c>
      <c r="AG64">
        <v>0.23153636199592725</v>
      </c>
      <c r="AH64">
        <v>0.43019159661902578</v>
      </c>
      <c r="AI64">
        <v>0.43898631383445164</v>
      </c>
      <c r="AJ64">
        <v>0.4406948427631377</v>
      </c>
      <c r="AK64">
        <v>0.44870255590556807</v>
      </c>
      <c r="AL64">
        <v>0.45912482514080766</v>
      </c>
      <c r="AM64">
        <v>0.40981635849025422</v>
      </c>
      <c r="AN64">
        <v>0.3685985564319455</v>
      </c>
      <c r="AO64">
        <v>0.33943158747435559</v>
      </c>
      <c r="AP64">
        <v>0.34421480920168046</v>
      </c>
      <c r="AQ64">
        <v>0.36648240785727104</v>
      </c>
      <c r="EA64" t="s">
        <v>793</v>
      </c>
      <c r="EB64">
        <v>0.16183556837715074</v>
      </c>
      <c r="EC64">
        <v>0.1643278879072097</v>
      </c>
      <c r="ED64">
        <v>0.15592348009116241</v>
      </c>
      <c r="EE64">
        <v>0.15002548615386352</v>
      </c>
      <c r="EF64">
        <v>0.13956761358771841</v>
      </c>
      <c r="EG64">
        <v>0.16848431042319983</v>
      </c>
      <c r="EH64">
        <v>0.18480550259522346</v>
      </c>
      <c r="EI64">
        <v>0.17919297633198703</v>
      </c>
      <c r="EJ64">
        <v>0.16740080209798955</v>
      </c>
      <c r="EK64">
        <v>0.16023840324210098</v>
      </c>
      <c r="EL64">
        <v>0.10583868539510914</v>
      </c>
      <c r="EM64">
        <v>0.10838814055932397</v>
      </c>
      <c r="EN64">
        <v>0.10703359139914673</v>
      </c>
      <c r="EO64">
        <v>0.12282482118033677</v>
      </c>
      <c r="EP64">
        <v>0.13607857766750789</v>
      </c>
      <c r="EQ64">
        <v>0.16466768192054373</v>
      </c>
      <c r="ER64">
        <v>0.17448928084521495</v>
      </c>
      <c r="ES64">
        <v>0.16152436430365752</v>
      </c>
      <c r="ET64">
        <v>0.13628770130330772</v>
      </c>
      <c r="EU64">
        <v>0.11428897949802748</v>
      </c>
      <c r="EV64">
        <v>3.4610209061611379E-2</v>
      </c>
      <c r="EW64">
        <v>3.1494109887957339E-2</v>
      </c>
      <c r="EX64">
        <v>2.8889550902726664E-2</v>
      </c>
      <c r="EY64">
        <v>3.1501104057843975E-2</v>
      </c>
      <c r="EZ64">
        <v>4.0328971450536356E-2</v>
      </c>
      <c r="FA64">
        <v>5.9729924630235527E-2</v>
      </c>
      <c r="FB64">
        <v>7.1000938590542753E-2</v>
      </c>
      <c r="FC64">
        <v>7.6711319743403728E-2</v>
      </c>
      <c r="FD64">
        <v>6.8973602440623893E-2</v>
      </c>
      <c r="FE64">
        <v>5.2284034374597034E-2</v>
      </c>
      <c r="FF64">
        <v>9.8412803407010585E-2</v>
      </c>
      <c r="FG64">
        <v>9.7732980628898278E-2</v>
      </c>
      <c r="FH64">
        <v>0.1008710697025534</v>
      </c>
      <c r="FI64">
        <v>0.10232957028586363</v>
      </c>
      <c r="FJ64">
        <v>0.11709547813656224</v>
      </c>
      <c r="FK64">
        <v>0.14413088391170745</v>
      </c>
      <c r="FL64">
        <v>0.15090118405203126</v>
      </c>
      <c r="FM64">
        <v>0.13129464866735821</v>
      </c>
      <c r="FN64">
        <v>0.11620844845000207</v>
      </c>
      <c r="FO64">
        <v>0.10425391310924806</v>
      </c>
      <c r="FQ64" t="s">
        <v>780</v>
      </c>
      <c r="FR64" t="s">
        <v>127</v>
      </c>
      <c r="FS64" t="s">
        <v>128</v>
      </c>
      <c r="FT64">
        <v>0.42377472495285629</v>
      </c>
    </row>
    <row r="65" spans="2:176" x14ac:dyDescent="0.45">
      <c r="B65" t="s">
        <v>795</v>
      </c>
      <c r="C65" t="s">
        <v>123</v>
      </c>
      <c r="D65">
        <v>0.34376748223049353</v>
      </c>
      <c r="E65">
        <v>0.35114083895871118</v>
      </c>
      <c r="F65">
        <v>0.36776280615407797</v>
      </c>
      <c r="G65">
        <v>0.37069437188485388</v>
      </c>
      <c r="H65">
        <v>0.38549954063762315</v>
      </c>
      <c r="I65">
        <v>0.39490786295004249</v>
      </c>
      <c r="J65">
        <v>0.38784769452484436</v>
      </c>
      <c r="K65">
        <v>0.37554316456823666</v>
      </c>
      <c r="L65">
        <v>0.36226109233066167</v>
      </c>
      <c r="M65">
        <v>0.37359501613015711</v>
      </c>
      <c r="N65">
        <v>0.40996501199085339</v>
      </c>
      <c r="O65">
        <v>0.39613244861237012</v>
      </c>
      <c r="P65">
        <v>0.39668304260930343</v>
      </c>
      <c r="Q65">
        <v>0.39425173282250275</v>
      </c>
      <c r="R65">
        <v>0.40538256426748281</v>
      </c>
      <c r="S65">
        <v>0.38964941686603694</v>
      </c>
      <c r="T65">
        <v>0.37412855825245539</v>
      </c>
      <c r="U65">
        <v>0.34547756832245391</v>
      </c>
      <c r="V65">
        <v>0.34811813050803686</v>
      </c>
      <c r="W65">
        <v>0.40640700751108511</v>
      </c>
      <c r="X65">
        <v>0.28376945044331653</v>
      </c>
      <c r="Y65">
        <v>0.34558564833635097</v>
      </c>
      <c r="Z65">
        <v>0.38748569350435341</v>
      </c>
      <c r="AA65">
        <v>0.42917627119120472</v>
      </c>
      <c r="AB65">
        <v>0.40966298672454837</v>
      </c>
      <c r="AC65">
        <v>0.35565853448393003</v>
      </c>
      <c r="AD65">
        <v>0.29528805647401646</v>
      </c>
      <c r="AE65">
        <v>0.25484714414296339</v>
      </c>
      <c r="AF65">
        <v>0.23353039322316099</v>
      </c>
      <c r="AG65">
        <v>0.22900100136195323</v>
      </c>
      <c r="AH65">
        <v>0.40835016049043049</v>
      </c>
      <c r="AI65">
        <v>0.41345598622423835</v>
      </c>
      <c r="AJ65">
        <v>0.4213984833410177</v>
      </c>
      <c r="AK65">
        <v>0.42658848531110399</v>
      </c>
      <c r="AL65">
        <v>0.39902145138397921</v>
      </c>
      <c r="AM65">
        <v>0.37615270091218006</v>
      </c>
      <c r="AN65">
        <v>0.36280869721885062</v>
      </c>
      <c r="AO65">
        <v>0.35551978900802084</v>
      </c>
      <c r="AP65">
        <v>0.36945342576477791</v>
      </c>
      <c r="AQ65">
        <v>0.39222886036586602</v>
      </c>
      <c r="EA65" t="s">
        <v>795</v>
      </c>
      <c r="EB65">
        <v>0.23487948810315276</v>
      </c>
      <c r="EC65">
        <v>0.24673247199412987</v>
      </c>
      <c r="ED65">
        <v>0.25081864428058925</v>
      </c>
      <c r="EE65">
        <v>0.24363352331639337</v>
      </c>
      <c r="EF65">
        <v>0.22168802492682091</v>
      </c>
      <c r="EG65">
        <v>0.26149200936707379</v>
      </c>
      <c r="EH65">
        <v>0.25634297304338033</v>
      </c>
      <c r="EI65">
        <v>0.24175018509254886</v>
      </c>
      <c r="EJ65">
        <v>0.23009548045676342</v>
      </c>
      <c r="EK65">
        <v>0.2273493073787233</v>
      </c>
      <c r="EL65">
        <v>0.15402419648498666</v>
      </c>
      <c r="EM65">
        <v>0.16850618399289888</v>
      </c>
      <c r="EN65">
        <v>0.17452169187584146</v>
      </c>
      <c r="EO65">
        <v>0.20007175300599339</v>
      </c>
      <c r="EP65">
        <v>0.21356331058750241</v>
      </c>
      <c r="EQ65">
        <v>0.24922107296172058</v>
      </c>
      <c r="ER65">
        <v>0.24600527724863647</v>
      </c>
      <c r="ES65">
        <v>0.22429246041323286</v>
      </c>
      <c r="ET65">
        <v>0.18693785304620397</v>
      </c>
      <c r="EU65">
        <v>0.15857238971634585</v>
      </c>
      <c r="EV65">
        <v>4.0139015458477582E-2</v>
      </c>
      <c r="EW65">
        <v>4.0750671195917729E-2</v>
      </c>
      <c r="EX65">
        <v>3.9271308489165546E-2</v>
      </c>
      <c r="EY65">
        <v>4.2869269002817546E-2</v>
      </c>
      <c r="EZ65">
        <v>5.1785281066549088E-2</v>
      </c>
      <c r="FA65">
        <v>6.6321990924085888E-2</v>
      </c>
      <c r="FB65">
        <v>8.328536501571962E-2</v>
      </c>
      <c r="FC65">
        <v>0.10072852441783887</v>
      </c>
      <c r="FD65">
        <v>9.0482104377959838E-2</v>
      </c>
      <c r="FE65">
        <v>5.331189020451603E-2</v>
      </c>
      <c r="FF65">
        <v>0.1510752584561629</v>
      </c>
      <c r="FG65">
        <v>0.15214072268152209</v>
      </c>
      <c r="FH65">
        <v>0.15544330875037898</v>
      </c>
      <c r="FI65">
        <v>0.15614176991828177</v>
      </c>
      <c r="FJ65">
        <v>0.16224045893093184</v>
      </c>
      <c r="FK65">
        <v>0.20599136235888155</v>
      </c>
      <c r="FL65">
        <v>0.20614456636532222</v>
      </c>
      <c r="FM65">
        <v>0.17819967743933671</v>
      </c>
      <c r="FN65">
        <v>0.15626434533082334</v>
      </c>
      <c r="FO65">
        <v>0.14428141951535589</v>
      </c>
      <c r="FQ65" t="s">
        <v>782</v>
      </c>
      <c r="FR65" t="s">
        <v>127</v>
      </c>
      <c r="FS65" t="s">
        <v>128</v>
      </c>
      <c r="FT65">
        <v>0.45142207126372591</v>
      </c>
    </row>
    <row r="66" spans="2:176" x14ac:dyDescent="0.45">
      <c r="B66" t="s">
        <v>797</v>
      </c>
      <c r="C66" t="s">
        <v>123</v>
      </c>
      <c r="D66">
        <v>0.34330713056575818</v>
      </c>
      <c r="E66">
        <v>0.34737193620580398</v>
      </c>
      <c r="F66">
        <v>0.36202129436369457</v>
      </c>
      <c r="G66">
        <v>0.36769994690285357</v>
      </c>
      <c r="H66">
        <v>0.37504668263350832</v>
      </c>
      <c r="I66">
        <v>0.38020575239499205</v>
      </c>
      <c r="J66">
        <v>0.3782841056353321</v>
      </c>
      <c r="K66">
        <v>0.37316915564541642</v>
      </c>
      <c r="L66">
        <v>0.37313538649947814</v>
      </c>
      <c r="M66">
        <v>0.36266135222366419</v>
      </c>
      <c r="N66">
        <v>0.37408171501199766</v>
      </c>
      <c r="O66">
        <v>0.38025901134162926</v>
      </c>
      <c r="P66">
        <v>0.38728809636346045</v>
      </c>
      <c r="Q66">
        <v>0.39098366803910894</v>
      </c>
      <c r="R66">
        <v>0.37643006904780446</v>
      </c>
      <c r="S66">
        <v>0.3620872704468775</v>
      </c>
      <c r="T66">
        <v>0.34762205160222825</v>
      </c>
      <c r="U66">
        <v>0.3470567655572806</v>
      </c>
      <c r="V66">
        <v>0.36403148331842283</v>
      </c>
      <c r="W66">
        <v>0.38075990333606213</v>
      </c>
      <c r="X66">
        <v>0.37776740521873953</v>
      </c>
      <c r="Y66">
        <v>0.40127181454459437</v>
      </c>
      <c r="Z66">
        <v>0.44420711705748767</v>
      </c>
      <c r="AA66">
        <v>0.45969375634426146</v>
      </c>
      <c r="AB66">
        <v>0.4145259929294407</v>
      </c>
      <c r="AC66">
        <v>0.31872168704367543</v>
      </c>
      <c r="AD66">
        <v>0.25251343261727971</v>
      </c>
      <c r="AE66">
        <v>0.24471203200490527</v>
      </c>
      <c r="AF66">
        <v>0.2853392660148234</v>
      </c>
      <c r="AG66">
        <v>0.33960708618790408</v>
      </c>
      <c r="AH66">
        <v>0.39465633958788332</v>
      </c>
      <c r="AI66">
        <v>0.37300790994374894</v>
      </c>
      <c r="AJ66">
        <v>0.37978124661069146</v>
      </c>
      <c r="AK66">
        <v>0.37265892285684682</v>
      </c>
      <c r="AL66">
        <v>0.37088816040738359</v>
      </c>
      <c r="AM66">
        <v>0.3659243834401083</v>
      </c>
      <c r="AN66">
        <v>0.34347323925041262</v>
      </c>
      <c r="AO66">
        <v>0.35538418922454434</v>
      </c>
      <c r="AP66">
        <v>0.38351844533433177</v>
      </c>
      <c r="AQ66">
        <v>0.39887322386030161</v>
      </c>
      <c r="EA66" t="s">
        <v>797</v>
      </c>
      <c r="EB66">
        <v>0.27825179001995509</v>
      </c>
      <c r="EC66">
        <v>0.28174509256768082</v>
      </c>
      <c r="ED66">
        <v>0.28841613129383575</v>
      </c>
      <c r="EE66">
        <v>0.28863157962440172</v>
      </c>
      <c r="EF66">
        <v>0.26383778667273566</v>
      </c>
      <c r="EG66">
        <v>0.27570059210723336</v>
      </c>
      <c r="EH66">
        <v>0.27244814844003373</v>
      </c>
      <c r="EI66">
        <v>0.26331158520264741</v>
      </c>
      <c r="EJ66">
        <v>0.25307039800778275</v>
      </c>
      <c r="EK66">
        <v>0.25902016500597613</v>
      </c>
      <c r="EL66">
        <v>0.18829734133463982</v>
      </c>
      <c r="EM66">
        <v>0.21778867650655281</v>
      </c>
      <c r="EN66">
        <v>0.23073707447458819</v>
      </c>
      <c r="EO66">
        <v>0.24555206748789754</v>
      </c>
      <c r="EP66">
        <v>0.24366045277866633</v>
      </c>
      <c r="EQ66">
        <v>0.26202402635457167</v>
      </c>
      <c r="ER66">
        <v>0.26289985932612447</v>
      </c>
      <c r="ES66">
        <v>0.25187219852839654</v>
      </c>
      <c r="ET66">
        <v>0.21703027960919979</v>
      </c>
      <c r="EU66">
        <v>0.18801476348231769</v>
      </c>
      <c r="EV66">
        <v>5.6433518073349058E-2</v>
      </c>
      <c r="EW66">
        <v>5.7975005648646279E-2</v>
      </c>
      <c r="EX66">
        <v>6.3537584746313103E-2</v>
      </c>
      <c r="EY66">
        <v>7.3232141091473718E-2</v>
      </c>
      <c r="EZ66">
        <v>7.9252683013079306E-2</v>
      </c>
      <c r="FA66">
        <v>9.9289784311749243E-2</v>
      </c>
      <c r="FB66">
        <v>0.12360764807118654</v>
      </c>
      <c r="FC66">
        <v>0.12466518055899738</v>
      </c>
      <c r="FD66">
        <v>9.2204737724319669E-2</v>
      </c>
      <c r="FE66">
        <v>5.9988149429556138E-2</v>
      </c>
      <c r="FF66">
        <v>0.19789462191146609</v>
      </c>
      <c r="FG66">
        <v>0.20135633552548363</v>
      </c>
      <c r="FH66">
        <v>0.20679329429172322</v>
      </c>
      <c r="FI66">
        <v>0.20672084301858748</v>
      </c>
      <c r="FJ66">
        <v>0.19619699541139332</v>
      </c>
      <c r="FK66">
        <v>0.21781174978054135</v>
      </c>
      <c r="FL66">
        <v>0.22518009172060857</v>
      </c>
      <c r="FM66">
        <v>0.2130933868046431</v>
      </c>
      <c r="FN66">
        <v>0.20404014916414231</v>
      </c>
      <c r="FO66">
        <v>0.19865733174973926</v>
      </c>
      <c r="FQ66" t="s">
        <v>784</v>
      </c>
      <c r="FR66" t="s">
        <v>127</v>
      </c>
      <c r="FS66" t="s">
        <v>128</v>
      </c>
      <c r="FT66">
        <v>0.57049543917525336</v>
      </c>
    </row>
    <row r="67" spans="2:176" x14ac:dyDescent="0.45">
      <c r="B67" t="s">
        <v>799</v>
      </c>
      <c r="C67" t="s">
        <v>123</v>
      </c>
      <c r="D67">
        <v>0.43294976649276901</v>
      </c>
      <c r="E67">
        <v>0.43510321626888021</v>
      </c>
      <c r="F67">
        <v>0.42892407335922356</v>
      </c>
      <c r="G67">
        <v>0.43514363950534146</v>
      </c>
      <c r="H67">
        <v>0.47595860668298734</v>
      </c>
      <c r="I67">
        <v>0.48111417272653229</v>
      </c>
      <c r="J67">
        <v>0.49685563630446339</v>
      </c>
      <c r="K67">
        <v>0.4887604980010154</v>
      </c>
      <c r="L67">
        <v>0.44927765963654576</v>
      </c>
      <c r="M67">
        <v>0.43307947739660785</v>
      </c>
      <c r="N67">
        <v>0.34591254289327039</v>
      </c>
      <c r="O67">
        <v>0.34981051421569626</v>
      </c>
      <c r="P67">
        <v>0.37629547609658892</v>
      </c>
      <c r="Q67">
        <v>0.43767497506700914</v>
      </c>
      <c r="R67">
        <v>0.43120123300264768</v>
      </c>
      <c r="S67">
        <v>0.41907287187200504</v>
      </c>
      <c r="T67">
        <v>0.40370482257368101</v>
      </c>
      <c r="U67">
        <v>0.39628819079191685</v>
      </c>
      <c r="V67">
        <v>0.38020335221877238</v>
      </c>
      <c r="W67">
        <v>0.33815816555999478</v>
      </c>
      <c r="X67">
        <v>0.35996092254032264</v>
      </c>
      <c r="Y67">
        <v>0.38569377836621332</v>
      </c>
      <c r="Z67">
        <v>0.38105126064161376</v>
      </c>
      <c r="AA67">
        <v>0.39193614964742096</v>
      </c>
      <c r="AB67">
        <v>0.36073780094746583</v>
      </c>
      <c r="AC67">
        <v>0.37941610324583214</v>
      </c>
      <c r="AD67">
        <v>0.39263407947708012</v>
      </c>
      <c r="AE67">
        <v>0.38814068102452443</v>
      </c>
      <c r="AF67">
        <v>0.31636127345064535</v>
      </c>
      <c r="AG67">
        <v>0.25067833491610408</v>
      </c>
      <c r="AH67">
        <v>0.35950867346395665</v>
      </c>
      <c r="AI67">
        <v>0.37984637108800157</v>
      </c>
      <c r="AJ67">
        <v>0.3890270105539419</v>
      </c>
      <c r="AK67">
        <v>0.44079875257302104</v>
      </c>
      <c r="AL67">
        <v>0.46258324485566582</v>
      </c>
      <c r="AM67">
        <v>0.47017320907408511</v>
      </c>
      <c r="AN67">
        <v>0.43482192248426982</v>
      </c>
      <c r="AO67">
        <v>0.40009574616988075</v>
      </c>
      <c r="AP67">
        <v>0.40474985771603766</v>
      </c>
      <c r="AQ67">
        <v>0.37564934524304283</v>
      </c>
      <c r="EA67" t="s">
        <v>799</v>
      </c>
      <c r="EB67">
        <v>0.16514349311875742</v>
      </c>
      <c r="EC67">
        <v>0.15664967728105633</v>
      </c>
      <c r="ED67">
        <v>0.1514688723053304</v>
      </c>
      <c r="EE67">
        <v>0.13805753139951477</v>
      </c>
      <c r="EF67">
        <v>0.12711279951569238</v>
      </c>
      <c r="EG67">
        <v>0.14840381409168382</v>
      </c>
      <c r="EH67">
        <v>0.16617374584191041</v>
      </c>
      <c r="EI67">
        <v>0.16438256032593995</v>
      </c>
      <c r="EJ67">
        <v>0.17096199410203344</v>
      </c>
      <c r="EK67">
        <v>0.16831084754796916</v>
      </c>
      <c r="EL67">
        <v>0.15152139834119668</v>
      </c>
      <c r="EM67">
        <v>0.14446111952567575</v>
      </c>
      <c r="EN67">
        <v>0.14419542899471335</v>
      </c>
      <c r="EO67">
        <v>0.14260776233524389</v>
      </c>
      <c r="EP67">
        <v>0.15429942698839394</v>
      </c>
      <c r="EQ67">
        <v>0.1756977201040418</v>
      </c>
      <c r="ER67">
        <v>0.19421484352024473</v>
      </c>
      <c r="ES67">
        <v>0.20237012786618011</v>
      </c>
      <c r="ET67">
        <v>0.18099267405853592</v>
      </c>
      <c r="EU67">
        <v>0.16689569113992192</v>
      </c>
      <c r="EV67">
        <v>0.11752468020148692</v>
      </c>
      <c r="EW67">
        <v>9.3329493896146462E-2</v>
      </c>
      <c r="EX67">
        <v>7.1673597037051645E-2</v>
      </c>
      <c r="EY67">
        <v>4.2132414167098897E-2</v>
      </c>
      <c r="EZ67">
        <v>3.7650712373888805E-2</v>
      </c>
      <c r="FA67">
        <v>4.4028733981538296E-2</v>
      </c>
      <c r="FB67">
        <v>5.7666147676630121E-2</v>
      </c>
      <c r="FC67">
        <v>7.3271526713954774E-2</v>
      </c>
      <c r="FD67">
        <v>8.4367692215199255E-2</v>
      </c>
      <c r="FE67">
        <v>0.1205925889906351</v>
      </c>
      <c r="FF67">
        <v>0.13479451502968029</v>
      </c>
      <c r="FG67">
        <v>0.12997669812562615</v>
      </c>
      <c r="FH67">
        <v>0.12382075521402942</v>
      </c>
      <c r="FI67">
        <v>0.10711365288560704</v>
      </c>
      <c r="FJ67">
        <v>9.5046802446955125E-2</v>
      </c>
      <c r="FK67">
        <v>0.11367228935739415</v>
      </c>
      <c r="FL67">
        <v>0.1185816042800717</v>
      </c>
      <c r="FM67">
        <v>0.11541011313188163</v>
      </c>
      <c r="FN67">
        <v>0.1336436003385249</v>
      </c>
      <c r="FO67">
        <v>0.14700513476829405</v>
      </c>
      <c r="FQ67" t="s">
        <v>786</v>
      </c>
      <c r="FR67" t="s">
        <v>127</v>
      </c>
      <c r="FS67" t="s">
        <v>128</v>
      </c>
      <c r="FT67">
        <v>0.37359413973599842</v>
      </c>
    </row>
    <row r="68" spans="2:176" x14ac:dyDescent="0.45">
      <c r="B68" t="s">
        <v>801</v>
      </c>
      <c r="C68" t="s">
        <v>123</v>
      </c>
      <c r="D68">
        <v>0.41580695231966669</v>
      </c>
      <c r="E68">
        <v>0.42034853342868811</v>
      </c>
      <c r="F68">
        <v>0.42578615652323193</v>
      </c>
      <c r="G68">
        <v>0.42437630372694429</v>
      </c>
      <c r="H68">
        <v>0.4567730704840981</v>
      </c>
      <c r="I68">
        <v>0.45085079626922914</v>
      </c>
      <c r="J68">
        <v>0.46030355784806931</v>
      </c>
      <c r="K68">
        <v>0.45501793209838282</v>
      </c>
      <c r="L68">
        <v>0.42748917578202639</v>
      </c>
      <c r="M68">
        <v>0.40962113890285429</v>
      </c>
      <c r="N68">
        <v>0.30079378723353428</v>
      </c>
      <c r="O68">
        <v>0.33458638727189527</v>
      </c>
      <c r="P68">
        <v>0.3734615796402474</v>
      </c>
      <c r="Q68">
        <v>0.42115426826290331</v>
      </c>
      <c r="R68">
        <v>0.45094586985245594</v>
      </c>
      <c r="S68">
        <v>0.4191338330924822</v>
      </c>
      <c r="T68">
        <v>0.39365254980383785</v>
      </c>
      <c r="U68">
        <v>0.3713791676146711</v>
      </c>
      <c r="V68">
        <v>0.3341014068942188</v>
      </c>
      <c r="W68">
        <v>0.30387741833397336</v>
      </c>
      <c r="X68">
        <v>0.24378077158050554</v>
      </c>
      <c r="Y68">
        <v>0.2890820297224404</v>
      </c>
      <c r="Z68">
        <v>0.34470448551105048</v>
      </c>
      <c r="AA68">
        <v>0.42590700666456427</v>
      </c>
      <c r="AB68">
        <v>0.42054910320928901</v>
      </c>
      <c r="AC68">
        <v>0.39850617225581564</v>
      </c>
      <c r="AD68">
        <v>0.36978702923526935</v>
      </c>
      <c r="AE68">
        <v>0.35452867358578749</v>
      </c>
      <c r="AF68">
        <v>0.30793531859558665</v>
      </c>
      <c r="AG68">
        <v>0.24255009774060401</v>
      </c>
      <c r="AH68">
        <v>0.3019763606505102</v>
      </c>
      <c r="AI68">
        <v>0.35035633477252393</v>
      </c>
      <c r="AJ68">
        <v>0.36151259041547484</v>
      </c>
      <c r="AK68">
        <v>0.45104913149014564</v>
      </c>
      <c r="AL68">
        <v>0.48771402046386808</v>
      </c>
      <c r="AM68">
        <v>0.46922651353136541</v>
      </c>
      <c r="AN68">
        <v>0.44029299667546185</v>
      </c>
      <c r="AO68">
        <v>0.40262644915205853</v>
      </c>
      <c r="AP68">
        <v>0.34706412799070102</v>
      </c>
      <c r="AQ68">
        <v>0.29763677996576376</v>
      </c>
      <c r="EA68" t="s">
        <v>801</v>
      </c>
      <c r="EB68">
        <v>0.23502817986338861</v>
      </c>
      <c r="EC68">
        <v>0.23050298360470384</v>
      </c>
      <c r="ED68">
        <v>0.21799963458580687</v>
      </c>
      <c r="EE68">
        <v>0.19685428645648975</v>
      </c>
      <c r="EF68">
        <v>0.18981243525700436</v>
      </c>
      <c r="EG68">
        <v>0.22698024655562396</v>
      </c>
      <c r="EH68">
        <v>0.23133821459324036</v>
      </c>
      <c r="EI68">
        <v>0.22108578734533535</v>
      </c>
      <c r="EJ68">
        <v>0.23002929723613083</v>
      </c>
      <c r="EK68">
        <v>0.23613979707408755</v>
      </c>
      <c r="EL68">
        <v>0.19073332788443814</v>
      </c>
      <c r="EM68">
        <v>0.16553469202693935</v>
      </c>
      <c r="EN68">
        <v>0.15598495520096964</v>
      </c>
      <c r="EO68">
        <v>0.15578929630747815</v>
      </c>
      <c r="EP68">
        <v>0.18040443074975412</v>
      </c>
      <c r="EQ68">
        <v>0.22309890188890838</v>
      </c>
      <c r="ER68">
        <v>0.25341054392865148</v>
      </c>
      <c r="ES68">
        <v>0.25123861114072793</v>
      </c>
      <c r="ET68">
        <v>0.22088389072979595</v>
      </c>
      <c r="EU68">
        <v>0.21302101197192008</v>
      </c>
      <c r="EV68">
        <v>0.12047342285661758</v>
      </c>
      <c r="EW68">
        <v>8.2419699745370639E-2</v>
      </c>
      <c r="EX68">
        <v>6.0737157033015299E-2</v>
      </c>
      <c r="EY68">
        <v>3.8796376786482692E-2</v>
      </c>
      <c r="EZ68">
        <v>3.9663857316774409E-2</v>
      </c>
      <c r="FA68">
        <v>5.8522416760683774E-2</v>
      </c>
      <c r="FB68">
        <v>7.7238307975651954E-2</v>
      </c>
      <c r="FC68">
        <v>9.703815734277281E-2</v>
      </c>
      <c r="FD68">
        <v>0.12789668414760777</v>
      </c>
      <c r="FE68">
        <v>0.18198643494282488</v>
      </c>
      <c r="FF68">
        <v>0.14179048468988051</v>
      </c>
      <c r="FG68">
        <v>0.12850043584482626</v>
      </c>
      <c r="FH68">
        <v>0.12601631564247376</v>
      </c>
      <c r="FI68">
        <v>0.11171085465650479</v>
      </c>
      <c r="FJ68">
        <v>0.11669196502629901</v>
      </c>
      <c r="FK68">
        <v>0.15855148612597977</v>
      </c>
      <c r="FL68">
        <v>0.1746007950923813</v>
      </c>
      <c r="FM68">
        <v>0.16115269702032761</v>
      </c>
      <c r="FN68">
        <v>0.16574997126514368</v>
      </c>
      <c r="FO68">
        <v>0.16901380997462334</v>
      </c>
      <c r="FQ68" t="s">
        <v>788</v>
      </c>
      <c r="FR68" t="s">
        <v>127</v>
      </c>
      <c r="FS68" t="s">
        <v>128</v>
      </c>
      <c r="FT68">
        <v>0.3809761414708514</v>
      </c>
    </row>
    <row r="69" spans="2:176" x14ac:dyDescent="0.45">
      <c r="B69" t="s">
        <v>803</v>
      </c>
      <c r="C69" t="s">
        <v>123</v>
      </c>
      <c r="D69">
        <v>0.36572579053948834</v>
      </c>
      <c r="E69">
        <v>0.38334434942001239</v>
      </c>
      <c r="F69">
        <v>0.38017748997750084</v>
      </c>
      <c r="G69">
        <v>0.38725054022678623</v>
      </c>
      <c r="H69">
        <v>0.44375735900389313</v>
      </c>
      <c r="I69">
        <v>0.45128462933113866</v>
      </c>
      <c r="J69">
        <v>0.44216438394018764</v>
      </c>
      <c r="K69">
        <v>0.44753609784639853</v>
      </c>
      <c r="L69">
        <v>0.41174157640602493</v>
      </c>
      <c r="M69">
        <v>0.36785589912010158</v>
      </c>
      <c r="N69">
        <v>0.26841117258246283</v>
      </c>
      <c r="O69">
        <v>0.31201527167655146</v>
      </c>
      <c r="P69">
        <v>0.34775607680411685</v>
      </c>
      <c r="Q69">
        <v>0.42209571013811392</v>
      </c>
      <c r="R69">
        <v>0.44653119252047685</v>
      </c>
      <c r="S69">
        <v>0.43489945131834451</v>
      </c>
      <c r="T69">
        <v>0.40891028125518314</v>
      </c>
      <c r="U69">
        <v>0.37434315580558486</v>
      </c>
      <c r="V69">
        <v>0.32502243242213974</v>
      </c>
      <c r="W69">
        <v>0.26083195842676005</v>
      </c>
      <c r="X69">
        <v>0.24094020108249492</v>
      </c>
      <c r="Y69">
        <v>0.29200127614812771</v>
      </c>
      <c r="Z69">
        <v>0.32504341125513325</v>
      </c>
      <c r="AA69">
        <v>0.41363646992045727</v>
      </c>
      <c r="AB69">
        <v>0.42182016698066505</v>
      </c>
      <c r="AC69">
        <v>0.4088978667290189</v>
      </c>
      <c r="AD69">
        <v>0.36668159529114042</v>
      </c>
      <c r="AE69">
        <v>0.33534983739444141</v>
      </c>
      <c r="AF69">
        <v>0.29286453827565972</v>
      </c>
      <c r="AG69">
        <v>0.22443401107597352</v>
      </c>
      <c r="AH69">
        <v>0.27745959741780662</v>
      </c>
      <c r="AI69">
        <v>0.32608559409595961</v>
      </c>
      <c r="AJ69">
        <v>0.34298801146764074</v>
      </c>
      <c r="AK69">
        <v>0.41607894321507638</v>
      </c>
      <c r="AL69">
        <v>0.45582917706976145</v>
      </c>
      <c r="AM69">
        <v>0.44707793693810011</v>
      </c>
      <c r="AN69">
        <v>0.43170999073234145</v>
      </c>
      <c r="AO69">
        <v>0.39890292187163534</v>
      </c>
      <c r="AP69">
        <v>0.32123831250524953</v>
      </c>
      <c r="AQ69">
        <v>0.25142855619920884</v>
      </c>
      <c r="EA69" t="s">
        <v>803</v>
      </c>
      <c r="EB69">
        <v>0.29379768930787353</v>
      </c>
      <c r="EC69">
        <v>0.28507175988357647</v>
      </c>
      <c r="ED69">
        <v>0.27801724762884067</v>
      </c>
      <c r="EE69">
        <v>0.26104209731476519</v>
      </c>
      <c r="EF69">
        <v>0.24098029685437217</v>
      </c>
      <c r="EG69">
        <v>0.27933856005471325</v>
      </c>
      <c r="EH69">
        <v>0.28583304309981472</v>
      </c>
      <c r="EI69">
        <v>0.27954998056908725</v>
      </c>
      <c r="EJ69">
        <v>0.28875210854385625</v>
      </c>
      <c r="EK69">
        <v>0.29184501785634009</v>
      </c>
      <c r="EL69">
        <v>0.27675738205676897</v>
      </c>
      <c r="EM69">
        <v>0.23872773929884633</v>
      </c>
      <c r="EN69">
        <v>0.22432448957998644</v>
      </c>
      <c r="EO69">
        <v>0.22985693263333432</v>
      </c>
      <c r="EP69">
        <v>0.24096881679047735</v>
      </c>
      <c r="EQ69">
        <v>0.2777180798568038</v>
      </c>
      <c r="ER69">
        <v>0.30021065809020242</v>
      </c>
      <c r="ES69">
        <v>0.30135175832862787</v>
      </c>
      <c r="ET69">
        <v>0.28227932724625432</v>
      </c>
      <c r="EU69">
        <v>0.301637287805465</v>
      </c>
      <c r="EV69">
        <v>0.21453694226130104</v>
      </c>
      <c r="EW69">
        <v>0.16086333884278356</v>
      </c>
      <c r="EX69">
        <v>0.12074144161697857</v>
      </c>
      <c r="EY69">
        <v>8.2434605488098556E-2</v>
      </c>
      <c r="EZ69">
        <v>7.6180628803531936E-2</v>
      </c>
      <c r="FA69">
        <v>9.1894799065778465E-2</v>
      </c>
      <c r="FB69">
        <v>0.11403528966171081</v>
      </c>
      <c r="FC69">
        <v>0.1513337277944545</v>
      </c>
      <c r="FD69">
        <v>0.20884086595344317</v>
      </c>
      <c r="FE69">
        <v>0.29321879407116125</v>
      </c>
      <c r="FF69">
        <v>0.22947006837360215</v>
      </c>
      <c r="FG69">
        <v>0.21109357171260537</v>
      </c>
      <c r="FH69">
        <v>0.20990530362372586</v>
      </c>
      <c r="FI69">
        <v>0.18557901400690918</v>
      </c>
      <c r="FJ69">
        <v>0.1845335581975974</v>
      </c>
      <c r="FK69">
        <v>0.22132405684696493</v>
      </c>
      <c r="FL69">
        <v>0.23539570449704589</v>
      </c>
      <c r="FM69">
        <v>0.21676595556267569</v>
      </c>
      <c r="FN69">
        <v>0.23528811251723775</v>
      </c>
      <c r="FO69">
        <v>0.25823045427427949</v>
      </c>
      <c r="FQ69" t="s">
        <v>790</v>
      </c>
      <c r="FR69" t="s">
        <v>127</v>
      </c>
      <c r="FS69" t="s">
        <v>128</v>
      </c>
      <c r="FT69">
        <v>0.3665657762100481</v>
      </c>
    </row>
    <row r="70" spans="2:176" x14ac:dyDescent="0.45">
      <c r="B70" t="s">
        <v>805</v>
      </c>
      <c r="C70" t="s">
        <v>123</v>
      </c>
      <c r="D70">
        <v>0.48199995667571577</v>
      </c>
      <c r="E70">
        <v>0.50108369601835412</v>
      </c>
      <c r="F70">
        <v>0.49343557136831739</v>
      </c>
      <c r="G70">
        <v>0.48703607645385893</v>
      </c>
      <c r="H70">
        <v>0.48635850632321836</v>
      </c>
      <c r="I70">
        <v>0.46031192842556584</v>
      </c>
      <c r="J70">
        <v>0.43428405832400785</v>
      </c>
      <c r="K70">
        <v>0.41288159985108336</v>
      </c>
      <c r="L70">
        <v>0.43240576852229073</v>
      </c>
      <c r="M70">
        <v>0.4564009126403446</v>
      </c>
      <c r="N70">
        <v>0.4694825201017252</v>
      </c>
      <c r="O70">
        <v>0.45832101776788203</v>
      </c>
      <c r="P70">
        <v>0.46277204426255647</v>
      </c>
      <c r="Q70">
        <v>0.48090674796993227</v>
      </c>
      <c r="R70">
        <v>0.4458521736581218</v>
      </c>
      <c r="S70">
        <v>0.36232178178448349</v>
      </c>
      <c r="T70">
        <v>0.33481139532000032</v>
      </c>
      <c r="U70">
        <v>0.34209273774315457</v>
      </c>
      <c r="V70">
        <v>0.36272798663908523</v>
      </c>
      <c r="W70">
        <v>0.41830525954168335</v>
      </c>
      <c r="X70">
        <v>0.42546582570659336</v>
      </c>
      <c r="Y70">
        <v>0.44236567434118024</v>
      </c>
      <c r="Z70">
        <v>0.44894714728820961</v>
      </c>
      <c r="AA70">
        <v>0.44239063657547756</v>
      </c>
      <c r="AB70">
        <v>0.38992759105104696</v>
      </c>
      <c r="AC70">
        <v>0.35185983088829653</v>
      </c>
      <c r="AD70">
        <v>0.32771014191832415</v>
      </c>
      <c r="AE70">
        <v>0.33559413713285435</v>
      </c>
      <c r="AF70">
        <v>0.35542955178292807</v>
      </c>
      <c r="AG70">
        <v>0.3823446958589744</v>
      </c>
      <c r="AH70">
        <v>0.44133672145194908</v>
      </c>
      <c r="AI70">
        <v>0.45531982257336401</v>
      </c>
      <c r="AJ70">
        <v>0.46573130962906656</v>
      </c>
      <c r="AK70">
        <v>0.47293424065555695</v>
      </c>
      <c r="AL70">
        <v>0.41869225702778617</v>
      </c>
      <c r="AM70">
        <v>0.38707902518507736</v>
      </c>
      <c r="AN70">
        <v>0.35629399373731213</v>
      </c>
      <c r="AO70">
        <v>0.3636719930457345</v>
      </c>
      <c r="AP70">
        <v>0.40664662242665989</v>
      </c>
      <c r="AQ70">
        <v>0.45066620964888665</v>
      </c>
      <c r="EA70" t="s">
        <v>805</v>
      </c>
      <c r="EB70">
        <v>0.20585571465231389</v>
      </c>
      <c r="EC70">
        <v>0.20423095042409581</v>
      </c>
      <c r="ED70">
        <v>0.20222153752715039</v>
      </c>
      <c r="EE70">
        <v>0.20013126447490406</v>
      </c>
      <c r="EF70">
        <v>0.18252306775662686</v>
      </c>
      <c r="EG70">
        <v>0.20400000656540512</v>
      </c>
      <c r="EH70">
        <v>0.21868784845054981</v>
      </c>
      <c r="EI70">
        <v>0.22891432959078234</v>
      </c>
      <c r="EJ70">
        <v>0.22788866147008008</v>
      </c>
      <c r="EK70">
        <v>0.21030310695656265</v>
      </c>
      <c r="EL70">
        <v>0.18068869762833639</v>
      </c>
      <c r="EM70">
        <v>0.16643634695108478</v>
      </c>
      <c r="EN70">
        <v>0.165971714111146</v>
      </c>
      <c r="EO70">
        <v>0.16731050499717562</v>
      </c>
      <c r="EP70">
        <v>0.19098515674492433</v>
      </c>
      <c r="EQ70">
        <v>0.24574400868703564</v>
      </c>
      <c r="ER70">
        <v>0.29184645134867621</v>
      </c>
      <c r="ES70">
        <v>0.29328577207544182</v>
      </c>
      <c r="ET70">
        <v>0.26094847529953563</v>
      </c>
      <c r="EU70">
        <v>0.22069422666132313</v>
      </c>
      <c r="EV70">
        <v>8.9031719444538165E-2</v>
      </c>
      <c r="EW70">
        <v>7.7550415764696651E-2</v>
      </c>
      <c r="EX70">
        <v>7.4636493815040922E-2</v>
      </c>
      <c r="EY70">
        <v>8.6365952537399773E-2</v>
      </c>
      <c r="EZ70">
        <v>0.10132656419413093</v>
      </c>
      <c r="FA70">
        <v>0.14347580869401108</v>
      </c>
      <c r="FB70">
        <v>0.16142779970205881</v>
      </c>
      <c r="FC70">
        <v>0.14823711227700698</v>
      </c>
      <c r="FD70">
        <v>0.12850099891665245</v>
      </c>
      <c r="FE70">
        <v>0.10884415988298486</v>
      </c>
      <c r="FF70">
        <v>0.20735115803300649</v>
      </c>
      <c r="FG70">
        <v>0.21200464300798899</v>
      </c>
      <c r="FH70">
        <v>0.21683028127140661</v>
      </c>
      <c r="FI70">
        <v>0.20944204891102686</v>
      </c>
      <c r="FJ70">
        <v>0.19759405899872345</v>
      </c>
      <c r="FK70">
        <v>0.21277578492238172</v>
      </c>
      <c r="FL70">
        <v>0.2268235128021778</v>
      </c>
      <c r="FM70">
        <v>0.23548202577963179</v>
      </c>
      <c r="FN70">
        <v>0.23221245612859764</v>
      </c>
      <c r="FO70">
        <v>0.23418329069074176</v>
      </c>
      <c r="FQ70" t="s">
        <v>792</v>
      </c>
      <c r="FR70" t="s">
        <v>127</v>
      </c>
      <c r="FS70" t="s">
        <v>128</v>
      </c>
      <c r="FT70">
        <v>0.48590520471755883</v>
      </c>
    </row>
    <row r="71" spans="2:176" x14ac:dyDescent="0.45">
      <c r="B71" t="s">
        <v>807</v>
      </c>
      <c r="C71" t="s">
        <v>123</v>
      </c>
      <c r="D71">
        <v>0.54794113789843468</v>
      </c>
      <c r="E71">
        <v>0.53140601223765416</v>
      </c>
      <c r="F71">
        <v>0.54006316812792743</v>
      </c>
      <c r="G71">
        <v>0.55654450706061243</v>
      </c>
      <c r="H71">
        <v>0.55608921797359978</v>
      </c>
      <c r="I71">
        <v>0.56173819796373159</v>
      </c>
      <c r="J71">
        <v>0.52976570143201129</v>
      </c>
      <c r="K71">
        <v>0.48357594893423655</v>
      </c>
      <c r="L71">
        <v>0.48683382578129331</v>
      </c>
      <c r="M71">
        <v>0.54254781423795928</v>
      </c>
      <c r="N71">
        <v>0.54794030354730772</v>
      </c>
      <c r="O71">
        <v>0.54097240294420201</v>
      </c>
      <c r="P71">
        <v>0.5596905013369895</v>
      </c>
      <c r="Q71">
        <v>0.56032191263507836</v>
      </c>
      <c r="R71">
        <v>0.47754661915854885</v>
      </c>
      <c r="S71">
        <v>0.38667298264122923</v>
      </c>
      <c r="T71">
        <v>0.37721324887260216</v>
      </c>
      <c r="U71">
        <v>0.40048121688367749</v>
      </c>
      <c r="V71">
        <v>0.44343374382471029</v>
      </c>
      <c r="W71">
        <v>0.50924208183120856</v>
      </c>
      <c r="X71">
        <v>0.35041877636054586</v>
      </c>
      <c r="Y71">
        <v>0.40044106416024738</v>
      </c>
      <c r="Z71">
        <v>0.41605307259660845</v>
      </c>
      <c r="AA71">
        <v>0.43193955565499748</v>
      </c>
      <c r="AB71">
        <v>0.34744942142370017</v>
      </c>
      <c r="AC71">
        <v>0.2892885669490427</v>
      </c>
      <c r="AD71">
        <v>0.28686480503374234</v>
      </c>
      <c r="AE71">
        <v>0.29765412354603504</v>
      </c>
      <c r="AF71">
        <v>0.33116005051403513</v>
      </c>
      <c r="AG71">
        <v>0.3611988323121158</v>
      </c>
      <c r="AH71">
        <v>0.50215072376094727</v>
      </c>
      <c r="AI71">
        <v>0.51095103221550509</v>
      </c>
      <c r="AJ71">
        <v>0.51959467385409142</v>
      </c>
      <c r="AK71">
        <v>0.54367109457821927</v>
      </c>
      <c r="AL71">
        <v>0.48537889307677756</v>
      </c>
      <c r="AM71">
        <v>0.41828494038935427</v>
      </c>
      <c r="AN71">
        <v>0.37679861497966521</v>
      </c>
      <c r="AO71">
        <v>0.37821053415740208</v>
      </c>
      <c r="AP71">
        <v>0.45120395806010549</v>
      </c>
      <c r="AQ71">
        <v>0.51486410094207236</v>
      </c>
      <c r="EA71" t="s">
        <v>807</v>
      </c>
      <c r="EB71">
        <v>8.9041001010789642E-2</v>
      </c>
      <c r="EC71">
        <v>8.3641182792942137E-2</v>
      </c>
      <c r="ED71">
        <v>8.1310508439006904E-2</v>
      </c>
      <c r="EE71">
        <v>8.1390051785597786E-2</v>
      </c>
      <c r="EF71">
        <v>6.6627937568248141E-2</v>
      </c>
      <c r="EG71">
        <v>8.7663548759236515E-2</v>
      </c>
      <c r="EH71">
        <v>0.10047340287645865</v>
      </c>
      <c r="EI71">
        <v>9.8988238500896844E-2</v>
      </c>
      <c r="EJ71">
        <v>8.9790023894359666E-2</v>
      </c>
      <c r="EK71">
        <v>8.4334598373863159E-2</v>
      </c>
      <c r="EL71">
        <v>8.1012369723200958E-2</v>
      </c>
      <c r="EM71">
        <v>7.6507518429855773E-2</v>
      </c>
      <c r="EN71">
        <v>7.4966825658718692E-2</v>
      </c>
      <c r="EO71">
        <v>7.545180839445928E-2</v>
      </c>
      <c r="EP71">
        <v>0.10838264768371238</v>
      </c>
      <c r="EQ71">
        <v>0.16420507344478014</v>
      </c>
      <c r="ER71">
        <v>0.19353690938315476</v>
      </c>
      <c r="ES71">
        <v>0.18698388395790497</v>
      </c>
      <c r="ET71">
        <v>0.14831793354950723</v>
      </c>
      <c r="EU71">
        <v>0.10068819982478854</v>
      </c>
      <c r="EV71">
        <v>2.2069487632910275E-2</v>
      </c>
      <c r="EW71">
        <v>2.0491258336140006E-2</v>
      </c>
      <c r="EX71">
        <v>1.7744845610096767E-2</v>
      </c>
      <c r="EY71">
        <v>2.1011337548059048E-2</v>
      </c>
      <c r="EZ71">
        <v>4.2686006325074348E-2</v>
      </c>
      <c r="FA71">
        <v>8.0623729947863307E-2</v>
      </c>
      <c r="FB71">
        <v>9.2688351171091199E-2</v>
      </c>
      <c r="FC71">
        <v>7.6594334363977876E-2</v>
      </c>
      <c r="FD71">
        <v>4.9630619667764025E-2</v>
      </c>
      <c r="FE71">
        <v>2.8452113490936386E-2</v>
      </c>
      <c r="FF71">
        <v>7.4179326506986554E-2</v>
      </c>
      <c r="FG71">
        <v>6.8589393130713397E-2</v>
      </c>
      <c r="FH71">
        <v>7.0484216213686862E-2</v>
      </c>
      <c r="FI71">
        <v>6.5012943392982803E-2</v>
      </c>
      <c r="FJ71">
        <v>6.599521758751227E-2</v>
      </c>
      <c r="FK71">
        <v>9.4713566581728859E-2</v>
      </c>
      <c r="FL71">
        <v>0.11011866508000581</v>
      </c>
      <c r="FM71">
        <v>0.10223774511141928</v>
      </c>
      <c r="FN71">
        <v>8.4773759616047634E-2</v>
      </c>
      <c r="FO71">
        <v>8.2851207664154547E-2</v>
      </c>
      <c r="FQ71" t="s">
        <v>794</v>
      </c>
      <c r="FR71" t="s">
        <v>127</v>
      </c>
      <c r="FS71" t="s">
        <v>128</v>
      </c>
      <c r="FT71">
        <v>0.39943157063134127</v>
      </c>
    </row>
    <row r="72" spans="2:176" x14ac:dyDescent="0.45">
      <c r="B72" t="s">
        <v>809</v>
      </c>
      <c r="C72" t="s">
        <v>123</v>
      </c>
      <c r="D72">
        <v>0.4617311625286446</v>
      </c>
      <c r="E72">
        <v>0.47824649214925447</v>
      </c>
      <c r="F72">
        <v>0.48732659834873143</v>
      </c>
      <c r="G72">
        <v>0.49128390657591675</v>
      </c>
      <c r="H72">
        <v>0.52021907049074068</v>
      </c>
      <c r="I72">
        <v>0.50485254504093657</v>
      </c>
      <c r="J72">
        <v>0.48278549741299648</v>
      </c>
      <c r="K72">
        <v>0.46419027472939661</v>
      </c>
      <c r="L72">
        <v>0.43735263740418839</v>
      </c>
      <c r="M72">
        <v>0.45631453045443821</v>
      </c>
      <c r="N72">
        <v>0.33867698615446751</v>
      </c>
      <c r="O72">
        <v>0.36466608445211485</v>
      </c>
      <c r="P72">
        <v>0.38907863526383718</v>
      </c>
      <c r="Q72">
        <v>0.44776875018892986</v>
      </c>
      <c r="R72">
        <v>0.44627069247746498</v>
      </c>
      <c r="S72">
        <v>0.40996368455419679</v>
      </c>
      <c r="T72">
        <v>0.37844685765280722</v>
      </c>
      <c r="U72">
        <v>0.37841285074107411</v>
      </c>
      <c r="V72">
        <v>0.35843503575535096</v>
      </c>
      <c r="W72">
        <v>0.34940199997787874</v>
      </c>
      <c r="X72">
        <v>0.33238943260943082</v>
      </c>
      <c r="Y72">
        <v>0.3150533413256173</v>
      </c>
      <c r="Z72">
        <v>0.35071750839315197</v>
      </c>
      <c r="AA72">
        <v>0.43182412631016226</v>
      </c>
      <c r="AB72">
        <v>0.44893308587357045</v>
      </c>
      <c r="AC72">
        <v>0.47849926950313909</v>
      </c>
      <c r="AD72">
        <v>0.4592601542317184</v>
      </c>
      <c r="AE72">
        <v>0.42981292281774602</v>
      </c>
      <c r="AF72">
        <v>0.37982846581338808</v>
      </c>
      <c r="AG72">
        <v>0.32870234251281416</v>
      </c>
      <c r="AH72">
        <v>0.34964352003878418</v>
      </c>
      <c r="AI72">
        <v>0.36211111826309061</v>
      </c>
      <c r="AJ72">
        <v>0.37559980255479841</v>
      </c>
      <c r="AK72">
        <v>0.44391614612357216</v>
      </c>
      <c r="AL72">
        <v>0.48563574643758273</v>
      </c>
      <c r="AM72">
        <v>0.46902153507423394</v>
      </c>
      <c r="AN72">
        <v>0.45112961347200864</v>
      </c>
      <c r="AO72">
        <v>0.43461287059115056</v>
      </c>
      <c r="AP72">
        <v>0.40980630301636839</v>
      </c>
      <c r="AQ72">
        <v>0.38962509521299965</v>
      </c>
      <c r="EA72" t="s">
        <v>809</v>
      </c>
      <c r="EB72">
        <v>0.17001091887314812</v>
      </c>
      <c r="EC72">
        <v>0.16996423994928531</v>
      </c>
      <c r="ED72">
        <v>0.16284077094333529</v>
      </c>
      <c r="EE72">
        <v>0.15106733272724265</v>
      </c>
      <c r="EF72">
        <v>0.15117117547239647</v>
      </c>
      <c r="EG72">
        <v>0.19099544790426881</v>
      </c>
      <c r="EH72">
        <v>0.19664339837808997</v>
      </c>
      <c r="EI72">
        <v>0.17916327798712628</v>
      </c>
      <c r="EJ72">
        <v>0.177377833427659</v>
      </c>
      <c r="EK72">
        <v>0.18027400481045699</v>
      </c>
      <c r="EL72">
        <v>0.14120198495538314</v>
      </c>
      <c r="EM72">
        <v>0.12968278007198558</v>
      </c>
      <c r="EN72">
        <v>0.11757600297954117</v>
      </c>
      <c r="EO72">
        <v>0.12145728608640398</v>
      </c>
      <c r="EP72">
        <v>0.14934693282347439</v>
      </c>
      <c r="EQ72">
        <v>0.19734768631964258</v>
      </c>
      <c r="ER72">
        <v>0.2281212473876815</v>
      </c>
      <c r="ES72">
        <v>0.2219030238676874</v>
      </c>
      <c r="ET72">
        <v>0.18424282167621681</v>
      </c>
      <c r="EU72">
        <v>0.16304076907583073</v>
      </c>
      <c r="EV72">
        <v>0.11747675130807407</v>
      </c>
      <c r="EW72">
        <v>8.3834888861225296E-2</v>
      </c>
      <c r="EX72">
        <v>5.9980473593033948E-2</v>
      </c>
      <c r="EY72">
        <v>4.1960607328978904E-2</v>
      </c>
      <c r="EZ72">
        <v>4.4339320570671942E-2</v>
      </c>
      <c r="FA72">
        <v>7.0029619272951371E-2</v>
      </c>
      <c r="FB72">
        <v>8.3216607951731844E-2</v>
      </c>
      <c r="FC72">
        <v>8.8316191316004017E-2</v>
      </c>
      <c r="FD72">
        <v>8.6301530286328726E-2</v>
      </c>
      <c r="FE72">
        <v>0.12652334640543236</v>
      </c>
      <c r="FF72">
        <v>0.12111064303409694</v>
      </c>
      <c r="FG72">
        <v>0.10546022361289917</v>
      </c>
      <c r="FH72">
        <v>9.6426471022632548E-2</v>
      </c>
      <c r="FI72">
        <v>7.5066597379870773E-2</v>
      </c>
      <c r="FJ72">
        <v>7.4693413843112996E-2</v>
      </c>
      <c r="FK72">
        <v>0.11705392812447545</v>
      </c>
      <c r="FL72">
        <v>0.13543605063061726</v>
      </c>
      <c r="FM72">
        <v>0.13219355460287763</v>
      </c>
      <c r="FN72">
        <v>0.1360309236835624</v>
      </c>
      <c r="FO72">
        <v>0.1268993594367753</v>
      </c>
      <c r="FQ72" t="s">
        <v>796</v>
      </c>
      <c r="FR72" t="s">
        <v>127</v>
      </c>
      <c r="FS72" t="s">
        <v>128</v>
      </c>
      <c r="FT72">
        <v>0.4759567822088861</v>
      </c>
    </row>
    <row r="73" spans="2:176" x14ac:dyDescent="0.45">
      <c r="B73" t="s">
        <v>811</v>
      </c>
      <c r="C73" t="s">
        <v>123</v>
      </c>
      <c r="D73">
        <v>0.38253405361802262</v>
      </c>
      <c r="E73">
        <v>0.38027676673825922</v>
      </c>
      <c r="F73">
        <v>0.37904115314481884</v>
      </c>
      <c r="G73">
        <v>0.38114627695741132</v>
      </c>
      <c r="H73">
        <v>0.42053700684269446</v>
      </c>
      <c r="I73">
        <v>0.39744493385978785</v>
      </c>
      <c r="J73">
        <v>0.39073460155058776</v>
      </c>
      <c r="K73">
        <v>0.39051704203449511</v>
      </c>
      <c r="L73">
        <v>0.38144075460817284</v>
      </c>
      <c r="M73">
        <v>0.38696795058731581</v>
      </c>
      <c r="N73">
        <v>0.35316314466806115</v>
      </c>
      <c r="O73">
        <v>0.38367738011418651</v>
      </c>
      <c r="P73">
        <v>0.39690465188549728</v>
      </c>
      <c r="Q73">
        <v>0.39866102109483131</v>
      </c>
      <c r="R73">
        <v>0.39527571739285045</v>
      </c>
      <c r="S73">
        <v>0.38571263629245633</v>
      </c>
      <c r="T73">
        <v>0.36379963443182867</v>
      </c>
      <c r="U73">
        <v>0.34536693179747563</v>
      </c>
      <c r="V73">
        <v>0.32583795049698788</v>
      </c>
      <c r="W73">
        <v>0.32404192290919109</v>
      </c>
      <c r="X73">
        <v>0.2460946758254057</v>
      </c>
      <c r="Y73">
        <v>0.26759501057359381</v>
      </c>
      <c r="Z73">
        <v>0.33804377147328385</v>
      </c>
      <c r="AA73">
        <v>0.43475360367209737</v>
      </c>
      <c r="AB73">
        <v>0.44938059420074694</v>
      </c>
      <c r="AC73">
        <v>0.43794344621717568</v>
      </c>
      <c r="AD73">
        <v>0.38510524189772616</v>
      </c>
      <c r="AE73">
        <v>0.31973838682745109</v>
      </c>
      <c r="AF73">
        <v>0.23853688989412494</v>
      </c>
      <c r="AG73">
        <v>0.21645609506377703</v>
      </c>
      <c r="AH73">
        <v>0.3759555891606024</v>
      </c>
      <c r="AI73">
        <v>0.41317434134748676</v>
      </c>
      <c r="AJ73">
        <v>0.42247763586456516</v>
      </c>
      <c r="AK73">
        <v>0.44268029180891599</v>
      </c>
      <c r="AL73">
        <v>0.43212638902501332</v>
      </c>
      <c r="AM73">
        <v>0.4052463361603984</v>
      </c>
      <c r="AN73">
        <v>0.37664868721692457</v>
      </c>
      <c r="AO73">
        <v>0.3506091907239765</v>
      </c>
      <c r="AP73">
        <v>0.30124413694963093</v>
      </c>
      <c r="AQ73">
        <v>0.31128474048342986</v>
      </c>
      <c r="EA73" t="s">
        <v>811</v>
      </c>
      <c r="EB73">
        <v>0.2869671345027508</v>
      </c>
      <c r="EC73">
        <v>0.29278719435984812</v>
      </c>
      <c r="ED73">
        <v>0.28516396763929719</v>
      </c>
      <c r="EE73">
        <v>0.27114863198971145</v>
      </c>
      <c r="EF73">
        <v>0.27957801259306669</v>
      </c>
      <c r="EG73">
        <v>0.32088503525823331</v>
      </c>
      <c r="EH73">
        <v>0.31481112064080868</v>
      </c>
      <c r="EI73">
        <v>0.28333419341302268</v>
      </c>
      <c r="EJ73">
        <v>0.2806638050915819</v>
      </c>
      <c r="EK73">
        <v>0.27991053922216053</v>
      </c>
      <c r="EL73">
        <v>0.19849667912751806</v>
      </c>
      <c r="EM73">
        <v>0.1990694808280552</v>
      </c>
      <c r="EN73">
        <v>0.19864395290110004</v>
      </c>
      <c r="EO73">
        <v>0.23766241100546304</v>
      </c>
      <c r="EP73">
        <v>0.24673864335060014</v>
      </c>
      <c r="EQ73">
        <v>0.28081397110361606</v>
      </c>
      <c r="ER73">
        <v>0.30464124337335524</v>
      </c>
      <c r="ES73">
        <v>0.29603769967117166</v>
      </c>
      <c r="ET73">
        <v>0.25655913107957218</v>
      </c>
      <c r="EU73">
        <v>0.22345717621700784</v>
      </c>
      <c r="EV73">
        <v>8.9101601604850825E-2</v>
      </c>
      <c r="EW73">
        <v>6.7381398933351974E-2</v>
      </c>
      <c r="EX73">
        <v>5.4892793045801754E-2</v>
      </c>
      <c r="EY73">
        <v>5.375297366347935E-2</v>
      </c>
      <c r="EZ73">
        <v>5.7405900360333224E-2</v>
      </c>
      <c r="FA73">
        <v>7.9152655733632352E-2</v>
      </c>
      <c r="FB73">
        <v>0.10209429355976207</v>
      </c>
      <c r="FC73">
        <v>0.12926882094925599</v>
      </c>
      <c r="FD73">
        <v>0.15648070698169644</v>
      </c>
      <c r="FE73">
        <v>0.14115595273880957</v>
      </c>
      <c r="FF73">
        <v>0.1841427828968632</v>
      </c>
      <c r="FG73">
        <v>0.18230678684882845</v>
      </c>
      <c r="FH73">
        <v>0.18059964146224503</v>
      </c>
      <c r="FI73">
        <v>0.17786481168701382</v>
      </c>
      <c r="FJ73">
        <v>0.20080412325707583</v>
      </c>
      <c r="FK73">
        <v>0.24010060134149874</v>
      </c>
      <c r="FL73">
        <v>0.24724417925820874</v>
      </c>
      <c r="FM73">
        <v>0.22798444835067577</v>
      </c>
      <c r="FN73">
        <v>0.22186511781479576</v>
      </c>
      <c r="FO73">
        <v>0.19639358207946844</v>
      </c>
      <c r="FQ73" t="s">
        <v>798</v>
      </c>
      <c r="FR73" t="s">
        <v>127</v>
      </c>
      <c r="FS73" t="s">
        <v>128</v>
      </c>
      <c r="FT73">
        <v>0.48985953474366362</v>
      </c>
    </row>
    <row r="74" spans="2:176" x14ac:dyDescent="0.45">
      <c r="B74" t="s">
        <v>813</v>
      </c>
      <c r="C74" t="s">
        <v>123</v>
      </c>
      <c r="D74">
        <v>0.49184248970549471</v>
      </c>
      <c r="E74">
        <v>0.49962361174926179</v>
      </c>
      <c r="F74">
        <v>0.48226414399176903</v>
      </c>
      <c r="G74">
        <v>0.47638574244275839</v>
      </c>
      <c r="H74">
        <v>0.49585185164280293</v>
      </c>
      <c r="I74">
        <v>0.45771408124631446</v>
      </c>
      <c r="J74">
        <v>0.43598279120985256</v>
      </c>
      <c r="K74">
        <v>0.43787494090562629</v>
      </c>
      <c r="L74">
        <v>0.45692790497741159</v>
      </c>
      <c r="M74">
        <v>0.46756052523781272</v>
      </c>
      <c r="N74">
        <v>0.45160113985486172</v>
      </c>
      <c r="O74">
        <v>0.47805206254283739</v>
      </c>
      <c r="P74">
        <v>0.48618356248148364</v>
      </c>
      <c r="Q74">
        <v>0.48589862331263761</v>
      </c>
      <c r="R74">
        <v>0.4557625398153321</v>
      </c>
      <c r="S74">
        <v>0.42197600031539512</v>
      </c>
      <c r="T74">
        <v>0.39795351543672391</v>
      </c>
      <c r="U74">
        <v>0.37481809974450592</v>
      </c>
      <c r="V74">
        <v>0.38524940078898096</v>
      </c>
      <c r="W74">
        <v>0.42458596668520676</v>
      </c>
      <c r="X74">
        <v>0.25331069246124127</v>
      </c>
      <c r="Y74">
        <v>0.27892593489869716</v>
      </c>
      <c r="Z74">
        <v>0.30820995021421482</v>
      </c>
      <c r="AA74">
        <v>0.41865804551458358</v>
      </c>
      <c r="AB74">
        <v>0.40275584200769426</v>
      </c>
      <c r="AC74">
        <v>0.37287805159498533</v>
      </c>
      <c r="AD74">
        <v>0.35035372505461487</v>
      </c>
      <c r="AE74">
        <v>0.32667775643164315</v>
      </c>
      <c r="AF74">
        <v>0.32472590149687142</v>
      </c>
      <c r="AG74">
        <v>0.29781855040025446</v>
      </c>
      <c r="AH74">
        <v>0.41283022539695163</v>
      </c>
      <c r="AI74">
        <v>0.42557910167754792</v>
      </c>
      <c r="AJ74">
        <v>0.43794262097250797</v>
      </c>
      <c r="AK74">
        <v>0.50659889790221124</v>
      </c>
      <c r="AL74">
        <v>0.54141502541502806</v>
      </c>
      <c r="AM74">
        <v>0.4858663012715933</v>
      </c>
      <c r="AN74">
        <v>0.4413748414593468</v>
      </c>
      <c r="AO74">
        <v>0.37837733606467788</v>
      </c>
      <c r="AP74">
        <v>0.35395308499085326</v>
      </c>
      <c r="AQ74">
        <v>0.39339019019947347</v>
      </c>
      <c r="EA74" t="s">
        <v>813</v>
      </c>
      <c r="EB74">
        <v>0.18295013476352728</v>
      </c>
      <c r="EC74">
        <v>0.17918932753458705</v>
      </c>
      <c r="ED74">
        <v>0.17267740658606828</v>
      </c>
      <c r="EE74">
        <v>0.16118282720966262</v>
      </c>
      <c r="EF74">
        <v>0.1608285090496889</v>
      </c>
      <c r="EG74">
        <v>0.19028707408383233</v>
      </c>
      <c r="EH74">
        <v>0.20569668393214266</v>
      </c>
      <c r="EI74">
        <v>0.18989204189647413</v>
      </c>
      <c r="EJ74">
        <v>0.18035825975514055</v>
      </c>
      <c r="EK74">
        <v>0.18070886517980797</v>
      </c>
      <c r="EL74">
        <v>0.14409114038208273</v>
      </c>
      <c r="EM74">
        <v>0.13562223994399114</v>
      </c>
      <c r="EN74">
        <v>0.12774564351060591</v>
      </c>
      <c r="EO74">
        <v>0.13431436422857621</v>
      </c>
      <c r="EP74">
        <v>0.15438681229975043</v>
      </c>
      <c r="EQ74">
        <v>0.19112109108456354</v>
      </c>
      <c r="ER74">
        <v>0.21465804340581041</v>
      </c>
      <c r="ES74">
        <v>0.20328227769754648</v>
      </c>
      <c r="ET74">
        <v>0.16913197700053079</v>
      </c>
      <c r="EU74">
        <v>0.15183805977448589</v>
      </c>
      <c r="EV74">
        <v>3.6500520947893411E-2</v>
      </c>
      <c r="EW74">
        <v>3.1224847041118796E-2</v>
      </c>
      <c r="EX74">
        <v>2.4870735666174367E-2</v>
      </c>
      <c r="EY74">
        <v>2.786059846368074E-2</v>
      </c>
      <c r="EZ74">
        <v>3.5506225917047878E-2</v>
      </c>
      <c r="FA74">
        <v>5.6173546469880514E-2</v>
      </c>
      <c r="FB74">
        <v>7.3162383335496323E-2</v>
      </c>
      <c r="FC74">
        <v>8.0077142810149826E-2</v>
      </c>
      <c r="FD74">
        <v>7.5194228655995024E-2</v>
      </c>
      <c r="FE74">
        <v>5.162490803046884E-2</v>
      </c>
      <c r="FF74">
        <v>5.5060934525970946E-2</v>
      </c>
      <c r="FG74">
        <v>4.8903606453455546E-2</v>
      </c>
      <c r="FH74">
        <v>4.7118593620265083E-2</v>
      </c>
      <c r="FI74">
        <v>4.4404808045906886E-2</v>
      </c>
      <c r="FJ74">
        <v>5.6758665354265055E-2</v>
      </c>
      <c r="FK74">
        <v>7.7416444386356253E-2</v>
      </c>
      <c r="FL74">
        <v>8.6285907980647336E-2</v>
      </c>
      <c r="FM74">
        <v>8.4107952143162426E-2</v>
      </c>
      <c r="FN74">
        <v>7.2219970264622096E-2</v>
      </c>
      <c r="FO74">
        <v>6.3510660385758214E-2</v>
      </c>
      <c r="FQ74" t="s">
        <v>800</v>
      </c>
      <c r="FR74" t="s">
        <v>127</v>
      </c>
      <c r="FS74" t="s">
        <v>128</v>
      </c>
      <c r="FT74">
        <v>0.42590084614068613</v>
      </c>
    </row>
    <row r="75" spans="2:176" x14ac:dyDescent="0.45">
      <c r="B75" t="s">
        <v>814</v>
      </c>
      <c r="C75" t="s">
        <v>123</v>
      </c>
      <c r="D75">
        <v>0.35841181984620829</v>
      </c>
      <c r="E75">
        <v>0.35619628321602104</v>
      </c>
      <c r="F75">
        <v>0.35344044507548583</v>
      </c>
      <c r="G75">
        <v>0.3590097190391382</v>
      </c>
      <c r="H75">
        <v>0.41906732153096565</v>
      </c>
      <c r="I75">
        <v>0.44439031999939282</v>
      </c>
      <c r="J75">
        <v>0.43768962444467274</v>
      </c>
      <c r="K75">
        <v>0.42048871672393179</v>
      </c>
      <c r="L75">
        <v>0.42443606011916796</v>
      </c>
      <c r="M75">
        <v>0.39894783345730217</v>
      </c>
      <c r="N75">
        <v>0.46422438893021911</v>
      </c>
      <c r="O75">
        <v>0.46589996753646268</v>
      </c>
      <c r="P75">
        <v>0.45514268220428938</v>
      </c>
      <c r="Q75">
        <v>0.49279311297665179</v>
      </c>
      <c r="R75">
        <v>0.48644345951776302</v>
      </c>
      <c r="S75">
        <v>0.4332602226848043</v>
      </c>
      <c r="T75">
        <v>0.39223084600363656</v>
      </c>
      <c r="U75">
        <v>0.37975431443375507</v>
      </c>
      <c r="V75">
        <v>0.42525587759829664</v>
      </c>
      <c r="W75">
        <v>0.49399987310602395</v>
      </c>
      <c r="X75">
        <v>0.53180159368373314</v>
      </c>
      <c r="Y75">
        <v>0.58646331941344521</v>
      </c>
      <c r="Z75">
        <v>0.61392222890520898</v>
      </c>
      <c r="AA75">
        <v>0.54188238162149849</v>
      </c>
      <c r="AB75">
        <v>0.3436706901354642</v>
      </c>
      <c r="AC75">
        <v>0.23468738928952812</v>
      </c>
      <c r="AD75">
        <v>0.17904285232228589</v>
      </c>
      <c r="AE75">
        <v>0.16162949477656852</v>
      </c>
      <c r="AF75">
        <v>0.20774483151028714</v>
      </c>
      <c r="AG75">
        <v>0.328991267400635</v>
      </c>
      <c r="AH75">
        <v>0.52351425395450757</v>
      </c>
      <c r="AI75">
        <v>0.51234958658182839</v>
      </c>
      <c r="AJ75">
        <v>0.51720556191563238</v>
      </c>
      <c r="AK75">
        <v>0.56413958906888861</v>
      </c>
      <c r="AL75">
        <v>0.58477676557627156</v>
      </c>
      <c r="AM75">
        <v>0.53881861006027354</v>
      </c>
      <c r="AN75">
        <v>0.44059862640705699</v>
      </c>
      <c r="AO75">
        <v>0.34389280571214698</v>
      </c>
      <c r="AP75">
        <v>0.42559418949686945</v>
      </c>
      <c r="AQ75">
        <v>0.52386857758553618</v>
      </c>
      <c r="EA75" t="s">
        <v>814</v>
      </c>
      <c r="EB75">
        <v>0.37078089203060793</v>
      </c>
      <c r="EC75">
        <v>0.39732972320299181</v>
      </c>
      <c r="ED75">
        <v>0.39954229172587102</v>
      </c>
      <c r="EE75">
        <v>0.37759951279234927</v>
      </c>
      <c r="EF75">
        <v>0.34094109546117651</v>
      </c>
      <c r="EG75">
        <v>0.34478356602075882</v>
      </c>
      <c r="EH75">
        <v>0.33227472378829981</v>
      </c>
      <c r="EI75">
        <v>0.31312979560411941</v>
      </c>
      <c r="EJ75">
        <v>0.31257790597836033</v>
      </c>
      <c r="EK75">
        <v>0.32863605129304624</v>
      </c>
      <c r="EL75">
        <v>0.22976507451337425</v>
      </c>
      <c r="EM75">
        <v>0.24406329830846968</v>
      </c>
      <c r="EN75">
        <v>0.24458245889167912</v>
      </c>
      <c r="EO75">
        <v>0.24660529088791261</v>
      </c>
      <c r="EP75">
        <v>0.24221098093456955</v>
      </c>
      <c r="EQ75">
        <v>0.28455096062748586</v>
      </c>
      <c r="ER75">
        <v>0.31459854733323317</v>
      </c>
      <c r="ES75">
        <v>0.30457864405824792</v>
      </c>
      <c r="ET75">
        <v>0.25111893130963531</v>
      </c>
      <c r="EU75">
        <v>0.22071452195749516</v>
      </c>
      <c r="EV75">
        <v>3.907389523571466E-2</v>
      </c>
      <c r="EW75">
        <v>3.7145519545831424E-2</v>
      </c>
      <c r="EX75">
        <v>3.1032574227192217E-2</v>
      </c>
      <c r="EY75">
        <v>3.1169060259202297E-2</v>
      </c>
      <c r="EZ75">
        <v>4.2719655426998064E-2</v>
      </c>
      <c r="FA75">
        <v>8.25108697215714E-2</v>
      </c>
      <c r="FB75">
        <v>0.13676194205942344</v>
      </c>
      <c r="FC75">
        <v>0.15354366105880451</v>
      </c>
      <c r="FD75">
        <v>0.10228167277812474</v>
      </c>
      <c r="FE75">
        <v>4.8866938148519029E-2</v>
      </c>
      <c r="FF75">
        <v>0.14629434687230661</v>
      </c>
      <c r="FG75">
        <v>0.1531932709661559</v>
      </c>
      <c r="FH75">
        <v>0.14992330179511104</v>
      </c>
      <c r="FI75">
        <v>0.1253817494504488</v>
      </c>
      <c r="FJ75">
        <v>0.11907103545124648</v>
      </c>
      <c r="FK75">
        <v>0.12953478492909998</v>
      </c>
      <c r="FL75">
        <v>0.15140732442585905</v>
      </c>
      <c r="FM75">
        <v>0.16714331698169957</v>
      </c>
      <c r="FN75">
        <v>0.15551196481341162</v>
      </c>
      <c r="FO75">
        <v>0.14344417980832957</v>
      </c>
      <c r="FQ75" t="s">
        <v>802</v>
      </c>
      <c r="FR75" t="s">
        <v>127</v>
      </c>
      <c r="FS75" t="s">
        <v>128</v>
      </c>
      <c r="FT75">
        <v>0.46169971983593477</v>
      </c>
    </row>
    <row r="76" spans="2:176" x14ac:dyDescent="0.45">
      <c r="B76" t="s">
        <v>815</v>
      </c>
      <c r="C76" t="s">
        <v>123</v>
      </c>
      <c r="D76">
        <v>0.36737783889993575</v>
      </c>
      <c r="E76">
        <v>0.38008441630827511</v>
      </c>
      <c r="F76">
        <v>0.38905852073889163</v>
      </c>
      <c r="G76">
        <v>0.39938883666074476</v>
      </c>
      <c r="H76">
        <v>0.42404284838511458</v>
      </c>
      <c r="I76">
        <v>0.42358007817017401</v>
      </c>
      <c r="J76">
        <v>0.38974761122057328</v>
      </c>
      <c r="K76">
        <v>0.34414313151521525</v>
      </c>
      <c r="L76">
        <v>0.32848042069069922</v>
      </c>
      <c r="M76">
        <v>0.34742036533156717</v>
      </c>
      <c r="N76">
        <v>0.38864536826374602</v>
      </c>
      <c r="O76">
        <v>0.41687530404157952</v>
      </c>
      <c r="P76">
        <v>0.43108518460029538</v>
      </c>
      <c r="Q76">
        <v>0.43819126421541499</v>
      </c>
      <c r="R76">
        <v>0.42477178604618615</v>
      </c>
      <c r="S76">
        <v>0.34246954347111086</v>
      </c>
      <c r="T76">
        <v>0.2748652293462685</v>
      </c>
      <c r="U76">
        <v>0.26070364662767392</v>
      </c>
      <c r="V76">
        <v>0.29571119744045687</v>
      </c>
      <c r="W76">
        <v>0.37354218094579528</v>
      </c>
      <c r="X76">
        <v>0.41064332793068414</v>
      </c>
      <c r="Y76">
        <v>0.3982494402544296</v>
      </c>
      <c r="Z76">
        <v>0.38853836814067438</v>
      </c>
      <c r="AA76">
        <v>0.35849124756796236</v>
      </c>
      <c r="AB76">
        <v>0.29385600396719486</v>
      </c>
      <c r="AC76">
        <v>0.18476643370443049</v>
      </c>
      <c r="AD76">
        <v>0.15505060150754252</v>
      </c>
      <c r="AE76">
        <v>0.18501188718930775</v>
      </c>
      <c r="AF76">
        <v>0.2217790334592773</v>
      </c>
      <c r="AG76">
        <v>0.34396086645439899</v>
      </c>
      <c r="AH76">
        <v>0.4961124695784242</v>
      </c>
      <c r="AI76">
        <v>0.49531563654682553</v>
      </c>
      <c r="AJ76">
        <v>0.49676593771036925</v>
      </c>
      <c r="AK76">
        <v>0.5091125615622607</v>
      </c>
      <c r="AL76">
        <v>0.50831087910363359</v>
      </c>
      <c r="AM76">
        <v>0.45366817500310597</v>
      </c>
      <c r="AN76">
        <v>0.3672395907916769</v>
      </c>
      <c r="AO76">
        <v>0.31025264772495897</v>
      </c>
      <c r="AP76">
        <v>0.35471118919762601</v>
      </c>
      <c r="AQ76">
        <v>0.47119939430315361</v>
      </c>
      <c r="EA76" t="s">
        <v>815</v>
      </c>
      <c r="EB76">
        <v>0.30338354409887203</v>
      </c>
      <c r="EC76">
        <v>0.32736725748706968</v>
      </c>
      <c r="ED76">
        <v>0.32948272127186257</v>
      </c>
      <c r="EE76">
        <v>0.31343791760573064</v>
      </c>
      <c r="EF76">
        <v>0.30595541865728226</v>
      </c>
      <c r="EG76">
        <v>0.30769482907525186</v>
      </c>
      <c r="EH76">
        <v>0.30804999948309958</v>
      </c>
      <c r="EI76">
        <v>0.30222272681541185</v>
      </c>
      <c r="EJ76">
        <v>0.29823323267031054</v>
      </c>
      <c r="EK76">
        <v>0.28313347445781578</v>
      </c>
      <c r="EL76">
        <v>0.17805155544293674</v>
      </c>
      <c r="EM76">
        <v>0.1822096504759376</v>
      </c>
      <c r="EN76">
        <v>0.1858381455822552</v>
      </c>
      <c r="EO76">
        <v>0.18946315243111825</v>
      </c>
      <c r="EP76">
        <v>0.20280419107050357</v>
      </c>
      <c r="EQ76">
        <v>0.25550362503665014</v>
      </c>
      <c r="ER76">
        <v>0.31151591961103942</v>
      </c>
      <c r="ES76">
        <v>0.31329683679736897</v>
      </c>
      <c r="ET76">
        <v>0.25117623150181623</v>
      </c>
      <c r="EU76">
        <v>0.19731049215478369</v>
      </c>
      <c r="EV76">
        <v>4.9436559416371997E-2</v>
      </c>
      <c r="EW76">
        <v>5.3596094450654358E-2</v>
      </c>
      <c r="EX76">
        <v>5.0831785532998774E-2</v>
      </c>
      <c r="EY76">
        <v>5.6542624032344897E-2</v>
      </c>
      <c r="EZ76">
        <v>7.0864607918863773E-2</v>
      </c>
      <c r="FA76">
        <v>0.13424625680039845</v>
      </c>
      <c r="FB76">
        <v>0.18013654275819824</v>
      </c>
      <c r="FC76">
        <v>0.1734992035430325</v>
      </c>
      <c r="FD76">
        <v>0.12597689538507584</v>
      </c>
      <c r="FE76">
        <v>6.5503098159381878E-2</v>
      </c>
      <c r="FF76">
        <v>0.12651885456877218</v>
      </c>
      <c r="FG76">
        <v>0.13387783191246541</v>
      </c>
      <c r="FH76">
        <v>0.1323482382643969</v>
      </c>
      <c r="FI76">
        <v>0.12121799712415221</v>
      </c>
      <c r="FJ76">
        <v>0.11505990504279422</v>
      </c>
      <c r="FK76">
        <v>0.12867820596909579</v>
      </c>
      <c r="FL76">
        <v>0.1571580839080356</v>
      </c>
      <c r="FM76">
        <v>0.16687533254045941</v>
      </c>
      <c r="FN76">
        <v>0.16045596122428846</v>
      </c>
      <c r="FO76">
        <v>0.13783945303048087</v>
      </c>
      <c r="FQ76" t="s">
        <v>804</v>
      </c>
      <c r="FR76" t="s">
        <v>127</v>
      </c>
      <c r="FS76" t="s">
        <v>128</v>
      </c>
      <c r="FT76">
        <v>0.60902393612207495</v>
      </c>
    </row>
    <row r="77" spans="2:176" x14ac:dyDescent="0.45">
      <c r="B77" t="s">
        <v>816</v>
      </c>
      <c r="C77" t="s">
        <v>123</v>
      </c>
      <c r="D77">
        <v>0.44415106907248153</v>
      </c>
      <c r="E77">
        <v>0.45784322987116705</v>
      </c>
      <c r="F77">
        <v>0.4549781059831281</v>
      </c>
      <c r="G77">
        <v>0.46031204086090016</v>
      </c>
      <c r="H77">
        <v>0.48464156705374223</v>
      </c>
      <c r="I77">
        <v>0.47356365299240816</v>
      </c>
      <c r="J77">
        <v>0.46567629132739896</v>
      </c>
      <c r="K77">
        <v>0.45206495604231745</v>
      </c>
      <c r="L77">
        <v>0.43965465487636196</v>
      </c>
      <c r="M77">
        <v>0.43297388503878809</v>
      </c>
      <c r="N77">
        <v>0.41469925097887123</v>
      </c>
      <c r="O77">
        <v>0.44476209892186552</v>
      </c>
      <c r="P77">
        <v>0.46670827618368604</v>
      </c>
      <c r="Q77">
        <v>0.47034893483588963</v>
      </c>
      <c r="R77">
        <v>0.41712336130198852</v>
      </c>
      <c r="S77">
        <v>0.36770483608948645</v>
      </c>
      <c r="T77">
        <v>0.36822893448011729</v>
      </c>
      <c r="U77">
        <v>0.39458318687290361</v>
      </c>
      <c r="V77">
        <v>0.38409285482640804</v>
      </c>
      <c r="W77">
        <v>0.38337558942642347</v>
      </c>
      <c r="X77">
        <v>0.40106490945299794</v>
      </c>
      <c r="Y77">
        <v>0.417155771320463</v>
      </c>
      <c r="Z77">
        <v>0.46882324776921047</v>
      </c>
      <c r="AA77">
        <v>0.47667034390692264</v>
      </c>
      <c r="AB77">
        <v>0.46325771344808303</v>
      </c>
      <c r="AC77">
        <v>0.44459769365406099</v>
      </c>
      <c r="AD77">
        <v>0.47639413494274985</v>
      </c>
      <c r="AE77">
        <v>0.45606181312042993</v>
      </c>
      <c r="AF77">
        <v>0.40250197562557072</v>
      </c>
      <c r="AG77">
        <v>0.35392113960139443</v>
      </c>
      <c r="AH77">
        <v>0.39610279245876628</v>
      </c>
      <c r="AI77">
        <v>0.42755844077821026</v>
      </c>
      <c r="AJ77">
        <v>0.44944037601832199</v>
      </c>
      <c r="AK77">
        <v>0.4800113374182855</v>
      </c>
      <c r="AL77">
        <v>0.46015534138967845</v>
      </c>
      <c r="AM77">
        <v>0.44027065607603016</v>
      </c>
      <c r="AN77">
        <v>0.43251242481353391</v>
      </c>
      <c r="AO77">
        <v>0.41354643344058134</v>
      </c>
      <c r="AP77">
        <v>0.36913565363963252</v>
      </c>
      <c r="AQ77">
        <v>0.3615866014240906</v>
      </c>
      <c r="EA77" t="s">
        <v>816</v>
      </c>
      <c r="EB77">
        <v>0.24025766344315738</v>
      </c>
      <c r="EC77">
        <v>0.2551749971220697</v>
      </c>
      <c r="ED77">
        <v>0.25917865946790702</v>
      </c>
      <c r="EE77">
        <v>0.25194427042293011</v>
      </c>
      <c r="EF77">
        <v>0.24853511227551672</v>
      </c>
      <c r="EG77">
        <v>0.28121069839027568</v>
      </c>
      <c r="EH77">
        <v>0.27457090503096843</v>
      </c>
      <c r="EI77">
        <v>0.25984557021566929</v>
      </c>
      <c r="EJ77">
        <v>0.25247350636653476</v>
      </c>
      <c r="EK77">
        <v>0.23605382882157422</v>
      </c>
      <c r="EL77">
        <v>0.19121342292945603</v>
      </c>
      <c r="EM77">
        <v>0.17961936471451997</v>
      </c>
      <c r="EN77">
        <v>0.17381372310444734</v>
      </c>
      <c r="EO77">
        <v>0.19087458678667837</v>
      </c>
      <c r="EP77">
        <v>0.21793684345455205</v>
      </c>
      <c r="EQ77">
        <v>0.25438338296844742</v>
      </c>
      <c r="ER77">
        <v>0.27285912170212134</v>
      </c>
      <c r="ES77">
        <v>0.25668759559001925</v>
      </c>
      <c r="ET77">
        <v>0.24242628012796391</v>
      </c>
      <c r="EU77">
        <v>0.22871480376023942</v>
      </c>
      <c r="EV77">
        <v>0.14656704858410688</v>
      </c>
      <c r="EW77">
        <v>0.11372691710549679</v>
      </c>
      <c r="EX77">
        <v>8.9923299108884164E-2</v>
      </c>
      <c r="EY77">
        <v>8.8531381258117756E-2</v>
      </c>
      <c r="EZ77">
        <v>8.7075047024941427E-2</v>
      </c>
      <c r="FA77">
        <v>0.10967506894330922</v>
      </c>
      <c r="FB77">
        <v>0.12706133677461778</v>
      </c>
      <c r="FC77">
        <v>0.15729211773945967</v>
      </c>
      <c r="FD77">
        <v>0.18269116524123094</v>
      </c>
      <c r="FE77">
        <v>0.18434776137671058</v>
      </c>
      <c r="FF77">
        <v>0.21537880563944461</v>
      </c>
      <c r="FG77">
        <v>0.21063044560942815</v>
      </c>
      <c r="FH77">
        <v>0.20710497052554805</v>
      </c>
      <c r="FI77">
        <v>0.18763234074269672</v>
      </c>
      <c r="FJ77">
        <v>0.18428310808369286</v>
      </c>
      <c r="FK77">
        <v>0.21010020206005417</v>
      </c>
      <c r="FL77">
        <v>0.22623017616499241</v>
      </c>
      <c r="FM77">
        <v>0.25100666278591699</v>
      </c>
      <c r="FN77">
        <v>0.27776121328541903</v>
      </c>
      <c r="FO77">
        <v>0.25711668331509263</v>
      </c>
      <c r="FQ77" t="s">
        <v>806</v>
      </c>
      <c r="FR77" t="s">
        <v>127</v>
      </c>
      <c r="FS77" t="s">
        <v>128</v>
      </c>
      <c r="FT77">
        <v>0.48245711527848018</v>
      </c>
    </row>
    <row r="78" spans="2:176" x14ac:dyDescent="0.45">
      <c r="B78" t="s">
        <v>817</v>
      </c>
      <c r="C78" t="s">
        <v>123</v>
      </c>
      <c r="D78">
        <v>0.3873252603342347</v>
      </c>
      <c r="E78">
        <v>0.39378960773013877</v>
      </c>
      <c r="F78">
        <v>0.40425992481000517</v>
      </c>
      <c r="G78">
        <v>0.40748243740057705</v>
      </c>
      <c r="H78">
        <v>0.41583245318968298</v>
      </c>
      <c r="I78">
        <v>0.39505943845369862</v>
      </c>
      <c r="J78">
        <v>0.38427484153383368</v>
      </c>
      <c r="K78">
        <v>0.38672142064342241</v>
      </c>
      <c r="L78">
        <v>0.38699526024354541</v>
      </c>
      <c r="M78">
        <v>0.38846805177941185</v>
      </c>
      <c r="N78">
        <v>0.35375658595650161</v>
      </c>
      <c r="O78">
        <v>0.35893183504834814</v>
      </c>
      <c r="P78">
        <v>0.39447699424838206</v>
      </c>
      <c r="Q78">
        <v>0.41383134962019319</v>
      </c>
      <c r="R78">
        <v>0.38334841180464696</v>
      </c>
      <c r="S78">
        <v>0.36446958767216497</v>
      </c>
      <c r="T78">
        <v>0.36733861885007224</v>
      </c>
      <c r="U78">
        <v>0.37896969492600979</v>
      </c>
      <c r="V78">
        <v>0.38232298910763357</v>
      </c>
      <c r="W78">
        <v>0.37859077472481301</v>
      </c>
      <c r="X78">
        <v>0.3566805040912116</v>
      </c>
      <c r="Y78">
        <v>0.37869791040855444</v>
      </c>
      <c r="Z78">
        <v>0.40777363988044141</v>
      </c>
      <c r="AA78">
        <v>0.43121077478804409</v>
      </c>
      <c r="AB78">
        <v>0.42169261577778056</v>
      </c>
      <c r="AC78">
        <v>0.44104360001863746</v>
      </c>
      <c r="AD78">
        <v>0.40813898138066579</v>
      </c>
      <c r="AE78">
        <v>0.35756078104786554</v>
      </c>
      <c r="AF78">
        <v>0.30656327945937711</v>
      </c>
      <c r="AG78">
        <v>0.30281391085154319</v>
      </c>
      <c r="AH78">
        <v>0.36323634815394534</v>
      </c>
      <c r="AI78">
        <v>0.37544422193437688</v>
      </c>
      <c r="AJ78">
        <v>0.38514982556921662</v>
      </c>
      <c r="AK78">
        <v>0.39211586717580588</v>
      </c>
      <c r="AL78">
        <v>0.3811539262027181</v>
      </c>
      <c r="AM78">
        <v>0.37697114006545451</v>
      </c>
      <c r="AN78">
        <v>0.37146500622063383</v>
      </c>
      <c r="AO78">
        <v>0.35651824386511771</v>
      </c>
      <c r="AP78">
        <v>0.34840961890446037</v>
      </c>
      <c r="AQ78">
        <v>0.36935868334089655</v>
      </c>
      <c r="EA78" t="s">
        <v>817</v>
      </c>
      <c r="EB78">
        <v>0.20504619823225867</v>
      </c>
      <c r="EC78">
        <v>0.21734702573129039</v>
      </c>
      <c r="ED78">
        <v>0.22257378278955209</v>
      </c>
      <c r="EE78">
        <v>0.21775471330311572</v>
      </c>
      <c r="EF78">
        <v>0.20384039755383226</v>
      </c>
      <c r="EG78">
        <v>0.24029101707262646</v>
      </c>
      <c r="EH78">
        <v>0.23890590071873158</v>
      </c>
      <c r="EI78">
        <v>0.21905808797045592</v>
      </c>
      <c r="EJ78">
        <v>0.20818052776856391</v>
      </c>
      <c r="EK78">
        <v>0.19921783410636773</v>
      </c>
      <c r="EL78">
        <v>0.15277495926929674</v>
      </c>
      <c r="EM78">
        <v>0.15269946719238098</v>
      </c>
      <c r="EN78">
        <v>0.16054800502919478</v>
      </c>
      <c r="EO78">
        <v>0.19028271146442027</v>
      </c>
      <c r="EP78">
        <v>0.20473131174143461</v>
      </c>
      <c r="EQ78">
        <v>0.24743350172166245</v>
      </c>
      <c r="ER78">
        <v>0.25337093007800471</v>
      </c>
      <c r="ES78">
        <v>0.24043043292092445</v>
      </c>
      <c r="ET78">
        <v>0.20339819479332072</v>
      </c>
      <c r="EU78">
        <v>0.17241611482902106</v>
      </c>
      <c r="EV78">
        <v>0.10061783116899196</v>
      </c>
      <c r="EW78">
        <v>8.695757783677284E-2</v>
      </c>
      <c r="EX78">
        <v>7.8520615781551215E-2</v>
      </c>
      <c r="EY78">
        <v>9.4486579522013101E-2</v>
      </c>
      <c r="EZ78">
        <v>9.6619538791182999E-2</v>
      </c>
      <c r="FA78">
        <v>0.11254360300860636</v>
      </c>
      <c r="FB78">
        <v>0.13224604335277404</v>
      </c>
      <c r="FC78">
        <v>0.16266218596000034</v>
      </c>
      <c r="FD78">
        <v>0.16379354196353632</v>
      </c>
      <c r="FE78">
        <v>0.13460875915198606</v>
      </c>
      <c r="FF78">
        <v>0.19939595702593391</v>
      </c>
      <c r="FG78">
        <v>0.19217365801548916</v>
      </c>
      <c r="FH78">
        <v>0.18853219231781093</v>
      </c>
      <c r="FI78">
        <v>0.19227324365747422</v>
      </c>
      <c r="FJ78">
        <v>0.19853394582808714</v>
      </c>
      <c r="FK78">
        <v>0.22726107470759926</v>
      </c>
      <c r="FL78">
        <v>0.24407845424450031</v>
      </c>
      <c r="FM78">
        <v>0.2292693384288905</v>
      </c>
      <c r="FN78">
        <v>0.22117204496941173</v>
      </c>
      <c r="FO78">
        <v>0.21372882130166831</v>
      </c>
      <c r="FQ78" t="s">
        <v>808</v>
      </c>
      <c r="FR78" t="s">
        <v>127</v>
      </c>
      <c r="FS78" t="s">
        <v>128</v>
      </c>
      <c r="FT78">
        <v>0.60114123964593846</v>
      </c>
    </row>
    <row r="79" spans="2:176" x14ac:dyDescent="0.45">
      <c r="B79" t="s">
        <v>818</v>
      </c>
      <c r="C79" t="s">
        <v>123</v>
      </c>
      <c r="D79">
        <v>0.45417056570194286</v>
      </c>
      <c r="E79">
        <v>0.42146202800410332</v>
      </c>
      <c r="F79">
        <v>0.43974544789938247</v>
      </c>
      <c r="G79">
        <v>0.45991727030463925</v>
      </c>
      <c r="H79">
        <v>0.48614608903700135</v>
      </c>
      <c r="I79">
        <v>0.50166941226509643</v>
      </c>
      <c r="J79">
        <v>0.47468972279989291</v>
      </c>
      <c r="K79">
        <v>0.44473922728765308</v>
      </c>
      <c r="L79">
        <v>0.44805372837845064</v>
      </c>
      <c r="M79">
        <v>0.46263390589247216</v>
      </c>
      <c r="N79">
        <v>0.47788092688836231</v>
      </c>
      <c r="O79">
        <v>0.46091843789399589</v>
      </c>
      <c r="P79">
        <v>0.47193072595748597</v>
      </c>
      <c r="Q79">
        <v>0.47428320483457792</v>
      </c>
      <c r="R79">
        <v>0.44713408665394111</v>
      </c>
      <c r="S79">
        <v>0.40027968719913254</v>
      </c>
      <c r="T79">
        <v>0.34940818259374312</v>
      </c>
      <c r="U79">
        <v>0.32243952997205888</v>
      </c>
      <c r="V79">
        <v>0.34325147972461112</v>
      </c>
      <c r="W79">
        <v>0.41089674877417337</v>
      </c>
      <c r="X79">
        <v>0.42418253596759992</v>
      </c>
      <c r="Y79">
        <v>0.50193958508114944</v>
      </c>
      <c r="Z79">
        <v>0.51076527823965945</v>
      </c>
      <c r="AA79">
        <v>0.49346999879359937</v>
      </c>
      <c r="AB79">
        <v>0.3565644893625447</v>
      </c>
      <c r="AC79">
        <v>0.25194231386525401</v>
      </c>
      <c r="AD79">
        <v>0.20498684996718469</v>
      </c>
      <c r="AE79">
        <v>0.22271502470544804</v>
      </c>
      <c r="AF79">
        <v>0.28617742180667805</v>
      </c>
      <c r="AG79">
        <v>0.36635666853902099</v>
      </c>
      <c r="AH79">
        <v>0.50417465599689337</v>
      </c>
      <c r="AI79">
        <v>0.48955389336212751</v>
      </c>
      <c r="AJ79">
        <v>0.49970960928153974</v>
      </c>
      <c r="AK79">
        <v>0.51495575195404919</v>
      </c>
      <c r="AL79">
        <v>0.47280724888324827</v>
      </c>
      <c r="AM79">
        <v>0.43486848521259719</v>
      </c>
      <c r="AN79">
        <v>0.3912757595749155</v>
      </c>
      <c r="AO79">
        <v>0.35940549462729943</v>
      </c>
      <c r="AP79">
        <v>0.40713373266805192</v>
      </c>
      <c r="AQ79">
        <v>0.48517952178514678</v>
      </c>
      <c r="EA79" t="s">
        <v>818</v>
      </c>
      <c r="EB79">
        <v>0.20067945269759299</v>
      </c>
      <c r="EC79">
        <v>0.20116918652195459</v>
      </c>
      <c r="ED79">
        <v>0.20305503221486387</v>
      </c>
      <c r="EE79">
        <v>0.20234967377724752</v>
      </c>
      <c r="EF79">
        <v>0.19306560556631255</v>
      </c>
      <c r="EG79">
        <v>0.21654039045980986</v>
      </c>
      <c r="EH79">
        <v>0.22681615797581781</v>
      </c>
      <c r="EI79">
        <v>0.23322670378568869</v>
      </c>
      <c r="EJ79">
        <v>0.23487813095268326</v>
      </c>
      <c r="EK79">
        <v>0.21265669527487752</v>
      </c>
      <c r="EL79">
        <v>0.15741933593910723</v>
      </c>
      <c r="EM79">
        <v>0.17137724393968054</v>
      </c>
      <c r="EN79">
        <v>0.17484675674505437</v>
      </c>
      <c r="EO79">
        <v>0.17079953359515543</v>
      </c>
      <c r="EP79">
        <v>0.19018502606486523</v>
      </c>
      <c r="EQ79">
        <v>0.25757357421174198</v>
      </c>
      <c r="ER79">
        <v>0.30214375931500409</v>
      </c>
      <c r="ES79">
        <v>0.2945853678500398</v>
      </c>
      <c r="ET79">
        <v>0.2304914494997215</v>
      </c>
      <c r="EU79">
        <v>0.17339835597529898</v>
      </c>
      <c r="EV79">
        <v>4.1218677391950405E-2</v>
      </c>
      <c r="EW79">
        <v>4.3417837528102174E-2</v>
      </c>
      <c r="EX79">
        <v>3.972920924524017E-2</v>
      </c>
      <c r="EY79">
        <v>4.2473553515921893E-2</v>
      </c>
      <c r="EZ79">
        <v>5.5112239151428578E-2</v>
      </c>
      <c r="FA79">
        <v>0.10201608186398244</v>
      </c>
      <c r="FB79">
        <v>0.14031336165250169</v>
      </c>
      <c r="FC79">
        <v>0.14344838200351676</v>
      </c>
      <c r="FD79">
        <v>0.1021375294066153</v>
      </c>
      <c r="FE79">
        <v>5.9182561818982606E-2</v>
      </c>
      <c r="FF79">
        <v>0.13865250507900195</v>
      </c>
      <c r="FG79">
        <v>0.13433897944814896</v>
      </c>
      <c r="FH79">
        <v>0.13165565533378501</v>
      </c>
      <c r="FI79">
        <v>0.12038127342290153</v>
      </c>
      <c r="FJ79">
        <v>0.12208643364362509</v>
      </c>
      <c r="FK79">
        <v>0.15646590203221011</v>
      </c>
      <c r="FL79">
        <v>0.17916150864476491</v>
      </c>
      <c r="FM79">
        <v>0.19492471312319515</v>
      </c>
      <c r="FN79">
        <v>0.17537037917526985</v>
      </c>
      <c r="FO79">
        <v>0.15201210920224559</v>
      </c>
      <c r="FQ79" t="s">
        <v>810</v>
      </c>
      <c r="FR79" t="s">
        <v>127</v>
      </c>
      <c r="FS79" t="s">
        <v>128</v>
      </c>
      <c r="FT79">
        <v>0.41951945947188285</v>
      </c>
    </row>
    <row r="80" spans="2:176" x14ac:dyDescent="0.45">
      <c r="B80" t="s">
        <v>819</v>
      </c>
      <c r="C80" t="s">
        <v>123</v>
      </c>
      <c r="D80">
        <v>0.4541350075345269</v>
      </c>
      <c r="E80">
        <v>0.45664175319282474</v>
      </c>
      <c r="F80">
        <v>0.45899353560449924</v>
      </c>
      <c r="G80">
        <v>0.47645504041986947</v>
      </c>
      <c r="H80">
        <v>0.494541129254565</v>
      </c>
      <c r="I80">
        <v>0.48220371622258723</v>
      </c>
      <c r="J80">
        <v>0.44988649175638307</v>
      </c>
      <c r="K80">
        <v>0.4675269652219281</v>
      </c>
      <c r="L80">
        <v>0.48230883642495115</v>
      </c>
      <c r="M80">
        <v>0.46168850968815328</v>
      </c>
      <c r="N80">
        <v>0.48382656113887168</v>
      </c>
      <c r="O80">
        <v>0.46673963633541482</v>
      </c>
      <c r="P80">
        <v>0.47193610119874158</v>
      </c>
      <c r="Q80">
        <v>0.47948928350529552</v>
      </c>
      <c r="R80">
        <v>0.43542792422402338</v>
      </c>
      <c r="S80">
        <v>0.36745182684682243</v>
      </c>
      <c r="T80">
        <v>0.33149764216733935</v>
      </c>
      <c r="U80">
        <v>0.38112819208603538</v>
      </c>
      <c r="V80">
        <v>0.46519925709426496</v>
      </c>
      <c r="W80">
        <v>0.49635583613303169</v>
      </c>
      <c r="X80">
        <v>0.54431544611747484</v>
      </c>
      <c r="Y80">
        <v>0.55161563928612922</v>
      </c>
      <c r="Z80">
        <v>0.5279879182236209</v>
      </c>
      <c r="AA80">
        <v>0.37570475878327358</v>
      </c>
      <c r="AB80">
        <v>0.23936480966775497</v>
      </c>
      <c r="AC80">
        <v>0.17980285453745043</v>
      </c>
      <c r="AD80">
        <v>0.19635694868701875</v>
      </c>
      <c r="AE80">
        <v>0.23552387095258476</v>
      </c>
      <c r="AF80">
        <v>0.28084380119630192</v>
      </c>
      <c r="AG80">
        <v>0.38008363600428174</v>
      </c>
      <c r="AH80">
        <v>0.52153804044559382</v>
      </c>
      <c r="AI80">
        <v>0.53554678218947049</v>
      </c>
      <c r="AJ80">
        <v>0.55789589624936686</v>
      </c>
      <c r="AK80">
        <v>0.5873278448016126</v>
      </c>
      <c r="AL80">
        <v>0.56043919780374374</v>
      </c>
      <c r="AM80">
        <v>0.40208506676607353</v>
      </c>
      <c r="AN80">
        <v>0.29767385125334134</v>
      </c>
      <c r="AO80">
        <v>0.40489366784638503</v>
      </c>
      <c r="AP80">
        <v>0.5843540545806104</v>
      </c>
      <c r="AQ80">
        <v>0.58339773177251419</v>
      </c>
      <c r="EA80" t="s">
        <v>819</v>
      </c>
      <c r="EB80">
        <v>0.25986041909927138</v>
      </c>
      <c r="EC80">
        <v>0.28580881259094071</v>
      </c>
      <c r="ED80">
        <v>0.28659614117853616</v>
      </c>
      <c r="EE80">
        <v>0.27257399953161621</v>
      </c>
      <c r="EF80">
        <v>0.25487762609434012</v>
      </c>
      <c r="EG80">
        <v>0.27021457208902605</v>
      </c>
      <c r="EH80">
        <v>0.25870537249620312</v>
      </c>
      <c r="EI80">
        <v>0.23265555397052495</v>
      </c>
      <c r="EJ80">
        <v>0.2207921274533837</v>
      </c>
      <c r="EK80">
        <v>0.23483504322872742</v>
      </c>
      <c r="EL80">
        <v>0.18726445360476501</v>
      </c>
      <c r="EM80">
        <v>0.18493739896658132</v>
      </c>
      <c r="EN80">
        <v>0.17579094990157404</v>
      </c>
      <c r="EO80">
        <v>0.16529953500282857</v>
      </c>
      <c r="EP80">
        <v>0.17405110178503061</v>
      </c>
      <c r="EQ80">
        <v>0.22773446186028448</v>
      </c>
      <c r="ER80">
        <v>0.25186588188421771</v>
      </c>
      <c r="ES80">
        <v>0.22991291292609847</v>
      </c>
      <c r="ET80">
        <v>0.19013452153888072</v>
      </c>
      <c r="EU80">
        <v>0.18353678437260817</v>
      </c>
      <c r="EV80">
        <v>4.4263724192780733E-2</v>
      </c>
      <c r="EW80">
        <v>4.2108523254550445E-2</v>
      </c>
      <c r="EX80">
        <v>3.4776875355579474E-2</v>
      </c>
      <c r="EY80">
        <v>3.536014308463846E-2</v>
      </c>
      <c r="EZ80">
        <v>5.5094740642982892E-2</v>
      </c>
      <c r="FA80">
        <v>0.10995425253148784</v>
      </c>
      <c r="FB80">
        <v>0.13014580816749202</v>
      </c>
      <c r="FC80">
        <v>9.7144684704880163E-2</v>
      </c>
      <c r="FD80">
        <v>5.1063361065858126E-2</v>
      </c>
      <c r="FE80">
        <v>3.1215940690018974E-2</v>
      </c>
      <c r="FF80">
        <v>0.15142685614381296</v>
      </c>
      <c r="FG80">
        <v>0.15648539095573749</v>
      </c>
      <c r="FH80">
        <v>0.15734514750233733</v>
      </c>
      <c r="FI80">
        <v>0.13993289295787636</v>
      </c>
      <c r="FJ80">
        <v>0.1218027660631328</v>
      </c>
      <c r="FK80">
        <v>0.1429077283873724</v>
      </c>
      <c r="FL80">
        <v>0.17558579434197299</v>
      </c>
      <c r="FM80">
        <v>0.15842269198589398</v>
      </c>
      <c r="FN80">
        <v>0.14805544641093432</v>
      </c>
      <c r="FO80">
        <v>0.16075207161535754</v>
      </c>
      <c r="FQ80" t="s">
        <v>812</v>
      </c>
      <c r="FR80" t="s">
        <v>127</v>
      </c>
      <c r="FS80" t="s">
        <v>128</v>
      </c>
      <c r="FT80">
        <v>0.44858140956327014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FA9F-71EC-4191-83FA-5CD00BE8A23D}">
  <dimension ref="A9:S90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region=ESP")</f>
        <v>~TFM_DINS-AT: region=ESP</v>
      </c>
      <c r="H9" t="str">
        <f>IF(A11="x","DeActivated","~TFM_DINS-AT: region=ESP")</f>
        <v>~TFM_DINS-AT: region=ESP</v>
      </c>
      <c r="L9" t="str">
        <f>IF(A11="x","DeActivated","~TFM_DINS-AT: region=ESP")</f>
        <v>~TFM_DINS-AT: region=ESP</v>
      </c>
      <c r="P9" t="str">
        <f>IF(A11="x","DeActivated","~TFM_INS-AT: region=ESP")</f>
        <v>~TFM_INS-AT: region=ESP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8.5943189764055683E-2</v>
      </c>
      <c r="P11">
        <v>2020</v>
      </c>
      <c r="Q11" t="s">
        <v>214</v>
      </c>
      <c r="R11">
        <v>0.29123333333333329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7.7770473040409627E-2</v>
      </c>
      <c r="P12">
        <v>2020</v>
      </c>
      <c r="Q12" t="s">
        <v>216</v>
      </c>
      <c r="R12">
        <v>0.26276666666666665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0.14020705274104439</v>
      </c>
      <c r="P13">
        <v>2020</v>
      </c>
      <c r="Q13" t="s">
        <v>217</v>
      </c>
      <c r="R13">
        <v>0.17423333333333332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8.2028368880788571E-2</v>
      </c>
      <c r="P14">
        <v>2020</v>
      </c>
      <c r="Q14" t="s">
        <v>218</v>
      </c>
      <c r="R14">
        <v>0.18556666666666666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7.9978345245006022E-2</v>
      </c>
      <c r="P15">
        <v>2021</v>
      </c>
      <c r="Q15" t="s">
        <v>214</v>
      </c>
      <c r="R15">
        <v>0.34033333333333332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8.9403512999017609E-2</v>
      </c>
      <c r="P16">
        <v>2021</v>
      </c>
      <c r="Q16" t="s">
        <v>216</v>
      </c>
      <c r="R16">
        <v>0.2532666666666667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9.7596402926816594E-2</v>
      </c>
      <c r="P17">
        <v>2021</v>
      </c>
      <c r="Q17" t="s">
        <v>217</v>
      </c>
      <c r="R17">
        <v>0.18123333333333333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9.5409752467957798E-2</v>
      </c>
      <c r="P18">
        <v>2021</v>
      </c>
      <c r="Q18" t="s">
        <v>218</v>
      </c>
      <c r="R18">
        <v>0.11786666666666668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7.7319555332529433E-2</v>
      </c>
      <c r="P19">
        <v>2022</v>
      </c>
      <c r="Q19" t="s">
        <v>214</v>
      </c>
      <c r="R19">
        <v>0.18453333333333333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8.164044903030776E-2</v>
      </c>
      <c r="P20">
        <v>2022</v>
      </c>
      <c r="Q20" t="s">
        <v>216</v>
      </c>
      <c r="R20">
        <v>0.17300000000000001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0.1110997368195743</v>
      </c>
      <c r="P21">
        <v>2022</v>
      </c>
      <c r="Q21" t="s">
        <v>217</v>
      </c>
      <c r="R21">
        <v>0.11270000000000001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8.2326915623739172E-2</v>
      </c>
      <c r="P22">
        <v>2022</v>
      </c>
      <c r="Q22" t="s">
        <v>218</v>
      </c>
      <c r="R22">
        <v>0.12203333333333333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0.12097521997519167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0.1013097833018668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8.9020374971834793E-2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9.2290632896335989E-2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0.10347957388987061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0.12351700266450383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0.11439612499178353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0.12803620747748412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0.14503494635609582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7.3224985052285696E-2</v>
      </c>
    </row>
    <row r="33" spans="3:14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0.12526554735551576</v>
      </c>
    </row>
    <row r="34" spans="3:14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0.12122271614804458</v>
      </c>
    </row>
    <row r="35" spans="3:14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0.13827314844186844</v>
      </c>
    </row>
    <row r="36" spans="3:14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0.14157290388831356</v>
      </c>
    </row>
    <row r="37" spans="3:14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0.13170417007089408</v>
      </c>
    </row>
    <row r="38" spans="3:14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0.13922031602281137</v>
      </c>
    </row>
    <row r="39" spans="3:14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0.13570398771997283</v>
      </c>
    </row>
    <row r="40" spans="3:14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0.13286129918350276</v>
      </c>
    </row>
    <row r="41" spans="3:14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0.1191409276904174</v>
      </c>
    </row>
    <row r="42" spans="3:14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0.13267845734065498</v>
      </c>
    </row>
    <row r="43" spans="3:14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0.15964647090841777</v>
      </c>
    </row>
    <row r="44" spans="3:14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0.12968491293961515</v>
      </c>
    </row>
    <row r="45" spans="3:14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9.9611184141193965E-2</v>
      </c>
    </row>
    <row r="46" spans="3:14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9.0624103785467591E-2</v>
      </c>
    </row>
    <row r="47" spans="3:14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8.0561156207244577E-2</v>
      </c>
    </row>
    <row r="48" spans="3:14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0.11235032873081297</v>
      </c>
    </row>
    <row r="49" spans="3:14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0.12401161044940445</v>
      </c>
    </row>
    <row r="50" spans="3:14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0.12120784316125111</v>
      </c>
    </row>
    <row r="51" spans="3:14" x14ac:dyDescent="0.45">
      <c r="H51" t="s">
        <v>219</v>
      </c>
      <c r="I51" t="s">
        <v>5</v>
      </c>
    </row>
    <row r="52" spans="3:14" x14ac:dyDescent="0.45">
      <c r="H52" t="s">
        <v>219</v>
      </c>
      <c r="I52" t="s">
        <v>9</v>
      </c>
    </row>
    <row r="53" spans="3:14" x14ac:dyDescent="0.45">
      <c r="H53" t="s">
        <v>219</v>
      </c>
      <c r="I53" t="s">
        <v>10</v>
      </c>
    </row>
    <row r="54" spans="3:14" x14ac:dyDescent="0.45">
      <c r="H54" t="s">
        <v>219</v>
      </c>
      <c r="I54" t="s">
        <v>11</v>
      </c>
    </row>
    <row r="55" spans="3:14" x14ac:dyDescent="0.45">
      <c r="H55" t="s">
        <v>219</v>
      </c>
      <c r="I55" t="s">
        <v>12</v>
      </c>
    </row>
    <row r="56" spans="3:14" x14ac:dyDescent="0.45">
      <c r="H56" t="s">
        <v>219</v>
      </c>
      <c r="I56" t="s">
        <v>13</v>
      </c>
    </row>
    <row r="57" spans="3:14" x14ac:dyDescent="0.45">
      <c r="H57" t="s">
        <v>219</v>
      </c>
      <c r="I57" t="s">
        <v>14</v>
      </c>
    </row>
    <row r="58" spans="3:14" x14ac:dyDescent="0.45">
      <c r="H58" t="s">
        <v>219</v>
      </c>
      <c r="I58" t="s">
        <v>15</v>
      </c>
    </row>
    <row r="59" spans="3:14" x14ac:dyDescent="0.45">
      <c r="H59" t="s">
        <v>219</v>
      </c>
      <c r="I59" t="s">
        <v>16</v>
      </c>
    </row>
    <row r="60" spans="3:14" x14ac:dyDescent="0.45">
      <c r="H60" t="s">
        <v>219</v>
      </c>
      <c r="I60" t="s">
        <v>17</v>
      </c>
    </row>
    <row r="61" spans="3:14" x14ac:dyDescent="0.45">
      <c r="H61" t="s">
        <v>219</v>
      </c>
      <c r="I61" t="s">
        <v>18</v>
      </c>
    </row>
    <row r="62" spans="3:14" x14ac:dyDescent="0.45">
      <c r="H62" t="s">
        <v>219</v>
      </c>
      <c r="I62" t="s">
        <v>19</v>
      </c>
    </row>
    <row r="63" spans="3:14" x14ac:dyDescent="0.45">
      <c r="H63" t="s">
        <v>219</v>
      </c>
      <c r="I63" t="s">
        <v>20</v>
      </c>
    </row>
    <row r="64" spans="3:14" x14ac:dyDescent="0.45">
      <c r="H64" t="s">
        <v>219</v>
      </c>
      <c r="I64" t="s">
        <v>21</v>
      </c>
    </row>
    <row r="65" spans="8:9" x14ac:dyDescent="0.45">
      <c r="H65" t="s">
        <v>219</v>
      </c>
      <c r="I65" t="s">
        <v>22</v>
      </c>
    </row>
    <row r="66" spans="8:9" x14ac:dyDescent="0.45">
      <c r="H66" t="s">
        <v>219</v>
      </c>
      <c r="I66" t="s">
        <v>23</v>
      </c>
    </row>
    <row r="67" spans="8:9" x14ac:dyDescent="0.45">
      <c r="H67" t="s">
        <v>219</v>
      </c>
      <c r="I67" t="s">
        <v>24</v>
      </c>
    </row>
    <row r="68" spans="8:9" x14ac:dyDescent="0.45">
      <c r="H68" t="s">
        <v>219</v>
      </c>
      <c r="I68" t="s">
        <v>25</v>
      </c>
    </row>
    <row r="69" spans="8:9" x14ac:dyDescent="0.45">
      <c r="H69" t="s">
        <v>219</v>
      </c>
      <c r="I69" t="s">
        <v>26</v>
      </c>
    </row>
    <row r="70" spans="8:9" x14ac:dyDescent="0.45">
      <c r="H70" t="s">
        <v>219</v>
      </c>
      <c r="I70" t="s">
        <v>27</v>
      </c>
    </row>
    <row r="71" spans="8:9" x14ac:dyDescent="0.45">
      <c r="H71" t="s">
        <v>219</v>
      </c>
      <c r="I71" t="s">
        <v>28</v>
      </c>
    </row>
    <row r="72" spans="8:9" x14ac:dyDescent="0.45">
      <c r="H72" t="s">
        <v>219</v>
      </c>
      <c r="I72" t="s">
        <v>29</v>
      </c>
    </row>
    <row r="73" spans="8:9" x14ac:dyDescent="0.45">
      <c r="H73" t="s">
        <v>219</v>
      </c>
      <c r="I73" t="s">
        <v>30</v>
      </c>
    </row>
    <row r="74" spans="8:9" x14ac:dyDescent="0.45">
      <c r="H74" t="s">
        <v>219</v>
      </c>
      <c r="I74" t="s">
        <v>31</v>
      </c>
    </row>
    <row r="75" spans="8:9" x14ac:dyDescent="0.45">
      <c r="H75" t="s">
        <v>219</v>
      </c>
      <c r="I75" t="s">
        <v>32</v>
      </c>
    </row>
    <row r="76" spans="8:9" x14ac:dyDescent="0.45">
      <c r="H76" t="s">
        <v>219</v>
      </c>
      <c r="I76" t="s">
        <v>33</v>
      </c>
    </row>
    <row r="77" spans="8:9" x14ac:dyDescent="0.45">
      <c r="H77" t="s">
        <v>219</v>
      </c>
      <c r="I77" t="s">
        <v>34</v>
      </c>
    </row>
    <row r="78" spans="8:9" x14ac:dyDescent="0.45">
      <c r="H78" t="s">
        <v>219</v>
      </c>
      <c r="I78" t="s">
        <v>35</v>
      </c>
    </row>
    <row r="79" spans="8:9" x14ac:dyDescent="0.45">
      <c r="H79" t="s">
        <v>219</v>
      </c>
      <c r="I79" t="s">
        <v>36</v>
      </c>
    </row>
    <row r="80" spans="8:9" x14ac:dyDescent="0.45">
      <c r="H80" t="s">
        <v>219</v>
      </c>
      <c r="I80" t="s">
        <v>37</v>
      </c>
    </row>
    <row r="81" spans="8:9" x14ac:dyDescent="0.45">
      <c r="H81" t="s">
        <v>219</v>
      </c>
      <c r="I81" t="s">
        <v>38</v>
      </c>
    </row>
    <row r="82" spans="8:9" x14ac:dyDescent="0.45">
      <c r="H82" t="s">
        <v>219</v>
      </c>
      <c r="I82" t="s">
        <v>39</v>
      </c>
    </row>
    <row r="83" spans="8:9" x14ac:dyDescent="0.45">
      <c r="H83" t="s">
        <v>219</v>
      </c>
      <c r="I83" t="s">
        <v>40</v>
      </c>
    </row>
    <row r="84" spans="8:9" x14ac:dyDescent="0.45">
      <c r="H84" t="s">
        <v>219</v>
      </c>
      <c r="I84" t="s">
        <v>41</v>
      </c>
    </row>
    <row r="85" spans="8:9" x14ac:dyDescent="0.45">
      <c r="H85" t="s">
        <v>219</v>
      </c>
      <c r="I85" t="s">
        <v>42</v>
      </c>
    </row>
    <row r="86" spans="8:9" x14ac:dyDescent="0.45">
      <c r="H86" t="s">
        <v>219</v>
      </c>
      <c r="I86" t="s">
        <v>43</v>
      </c>
    </row>
    <row r="87" spans="8:9" x14ac:dyDescent="0.45">
      <c r="H87" t="s">
        <v>219</v>
      </c>
      <c r="I87" t="s">
        <v>44</v>
      </c>
    </row>
    <row r="88" spans="8:9" x14ac:dyDescent="0.45">
      <c r="H88" t="s">
        <v>219</v>
      </c>
      <c r="I88" t="s">
        <v>45</v>
      </c>
    </row>
    <row r="89" spans="8:9" x14ac:dyDescent="0.45">
      <c r="H89" t="s">
        <v>219</v>
      </c>
      <c r="I89" t="s">
        <v>46</v>
      </c>
    </row>
    <row r="90" spans="8:9" x14ac:dyDescent="0.45">
      <c r="H90" t="s">
        <v>219</v>
      </c>
      <c r="I90" t="s">
        <v>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D189-3B57-4872-9DF0-96122FE66C70}">
  <dimension ref="B9:O4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region=NLD")</f>
        <v>~TFM_DINS-AT: region=NLD</v>
      </c>
      <c r="G9" t="str">
        <f>IF(A11="x","DeActivated","~TFM_DINS-AT: region=NLD")</f>
        <v>~TFM_DINS-AT: region=NLD</v>
      </c>
      <c r="L9" t="str">
        <f>IF(A11="x","DeActivated","~TFM_DINS-AT: region=NLD")</f>
        <v>~TFM_DINS-AT: region=NLD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820</v>
      </c>
      <c r="C11" t="s">
        <v>5</v>
      </c>
      <c r="D11">
        <v>0</v>
      </c>
      <c r="E11" t="s">
        <v>6</v>
      </c>
      <c r="G11" t="s">
        <v>821</v>
      </c>
      <c r="H11" t="s">
        <v>5</v>
      </c>
      <c r="I11">
        <v>7.087944962919647E-2</v>
      </c>
      <c r="J11" t="s">
        <v>6</v>
      </c>
      <c r="L11" t="s">
        <v>822</v>
      </c>
      <c r="M11" t="s">
        <v>5</v>
      </c>
      <c r="N11">
        <v>6.0157879832260758E-2</v>
      </c>
      <c r="O11" t="s">
        <v>6</v>
      </c>
    </row>
    <row r="12" spans="2:15" x14ac:dyDescent="0.45">
      <c r="B12" t="s">
        <v>820</v>
      </c>
      <c r="C12" t="s">
        <v>9</v>
      </c>
      <c r="D12">
        <v>0</v>
      </c>
      <c r="E12" t="s">
        <v>6</v>
      </c>
      <c r="G12" t="s">
        <v>821</v>
      </c>
      <c r="H12" t="s">
        <v>9</v>
      </c>
      <c r="I12">
        <v>2.8585308930481949E-2</v>
      </c>
      <c r="J12" t="s">
        <v>6</v>
      </c>
      <c r="L12" t="s">
        <v>822</v>
      </c>
      <c r="M12" t="s">
        <v>9</v>
      </c>
      <c r="N12">
        <v>2.3987935784197664E-2</v>
      </c>
      <c r="O12" t="s">
        <v>6</v>
      </c>
    </row>
    <row r="13" spans="2:15" x14ac:dyDescent="0.45">
      <c r="B13" t="s">
        <v>820</v>
      </c>
      <c r="C13" t="s">
        <v>10</v>
      </c>
      <c r="D13">
        <v>0</v>
      </c>
      <c r="E13" t="s">
        <v>6</v>
      </c>
      <c r="G13" t="s">
        <v>821</v>
      </c>
      <c r="H13" t="s">
        <v>10</v>
      </c>
      <c r="I13">
        <v>2.8854085380582022E-2</v>
      </c>
      <c r="J13" t="s">
        <v>6</v>
      </c>
      <c r="L13" t="s">
        <v>822</v>
      </c>
      <c r="M13" t="s">
        <v>10</v>
      </c>
      <c r="N13">
        <v>2.4052826824981638E-2</v>
      </c>
      <c r="O13" t="s">
        <v>6</v>
      </c>
    </row>
    <row r="14" spans="2:15" x14ac:dyDescent="0.45">
      <c r="B14" t="s">
        <v>820</v>
      </c>
      <c r="C14" t="s">
        <v>11</v>
      </c>
      <c r="D14">
        <v>7.6281144702928603E-3</v>
      </c>
      <c r="E14" t="s">
        <v>6</v>
      </c>
      <c r="G14" t="s">
        <v>821</v>
      </c>
      <c r="H14" t="s">
        <v>11</v>
      </c>
      <c r="I14">
        <v>2.8552828714609849E-2</v>
      </c>
      <c r="J14" t="s">
        <v>6</v>
      </c>
      <c r="L14" t="s">
        <v>822</v>
      </c>
      <c r="M14" t="s">
        <v>11</v>
      </c>
      <c r="N14">
        <v>2.3311844363751041E-2</v>
      </c>
      <c r="O14" t="s">
        <v>6</v>
      </c>
    </row>
    <row r="15" spans="2:15" x14ac:dyDescent="0.45">
      <c r="B15" t="s">
        <v>820</v>
      </c>
      <c r="C15" t="s">
        <v>12</v>
      </c>
      <c r="D15">
        <v>3.2649267118022407E-2</v>
      </c>
      <c r="E15" t="s">
        <v>6</v>
      </c>
      <c r="G15" t="s">
        <v>821</v>
      </c>
      <c r="H15" t="s">
        <v>12</v>
      </c>
      <c r="I15">
        <v>2.4180333011595799E-2</v>
      </c>
      <c r="J15" t="s">
        <v>6</v>
      </c>
      <c r="L15" t="s">
        <v>822</v>
      </c>
      <c r="M15" t="s">
        <v>12</v>
      </c>
      <c r="N15">
        <v>2.2469223620721648E-2</v>
      </c>
      <c r="O15" t="s">
        <v>6</v>
      </c>
    </row>
    <row r="16" spans="2:15" x14ac:dyDescent="0.45">
      <c r="B16" t="s">
        <v>820</v>
      </c>
      <c r="C16" t="s">
        <v>13</v>
      </c>
      <c r="D16">
        <v>4.2591749433932381E-2</v>
      </c>
      <c r="E16" t="s">
        <v>6</v>
      </c>
      <c r="G16" t="s">
        <v>821</v>
      </c>
      <c r="H16" t="s">
        <v>13</v>
      </c>
      <c r="I16">
        <v>2.4612706017610113E-2</v>
      </c>
      <c r="J16" t="s">
        <v>6</v>
      </c>
      <c r="L16" t="s">
        <v>822</v>
      </c>
      <c r="M16" t="s">
        <v>13</v>
      </c>
      <c r="N16">
        <v>2.2265310970752936E-2</v>
      </c>
      <c r="O16" t="s">
        <v>6</v>
      </c>
    </row>
    <row r="17" spans="2:15" x14ac:dyDescent="0.45">
      <c r="B17" t="s">
        <v>820</v>
      </c>
      <c r="C17" t="s">
        <v>14</v>
      </c>
      <c r="D17">
        <v>2.6939262370658457E-2</v>
      </c>
      <c r="E17" t="s">
        <v>6</v>
      </c>
      <c r="G17" t="s">
        <v>821</v>
      </c>
      <c r="H17" t="s">
        <v>14</v>
      </c>
      <c r="I17">
        <v>2.5141056007235568E-2</v>
      </c>
      <c r="J17" t="s">
        <v>6</v>
      </c>
      <c r="L17" t="s">
        <v>822</v>
      </c>
      <c r="M17" t="s">
        <v>14</v>
      </c>
      <c r="N17">
        <v>2.2899174948520361E-2</v>
      </c>
      <c r="O17" t="s">
        <v>6</v>
      </c>
    </row>
    <row r="18" spans="2:15" x14ac:dyDescent="0.45">
      <c r="B18" t="s">
        <v>820</v>
      </c>
      <c r="C18" t="s">
        <v>15</v>
      </c>
      <c r="D18">
        <v>4.0353445016648179E-3</v>
      </c>
      <c r="E18" t="s">
        <v>6</v>
      </c>
      <c r="G18" t="s">
        <v>821</v>
      </c>
      <c r="H18" t="s">
        <v>15</v>
      </c>
      <c r="I18">
        <v>2.6391025222586736E-2</v>
      </c>
      <c r="J18" t="s">
        <v>6</v>
      </c>
      <c r="L18" t="s">
        <v>822</v>
      </c>
      <c r="M18" t="s">
        <v>15</v>
      </c>
      <c r="N18">
        <v>2.4352204940939176E-2</v>
      </c>
      <c r="O18" t="s">
        <v>6</v>
      </c>
    </row>
    <row r="19" spans="2:15" x14ac:dyDescent="0.45">
      <c r="B19" t="s">
        <v>820</v>
      </c>
      <c r="C19" t="s">
        <v>16</v>
      </c>
      <c r="D19">
        <v>0</v>
      </c>
      <c r="E19" t="s">
        <v>6</v>
      </c>
      <c r="G19" t="s">
        <v>821</v>
      </c>
      <c r="H19" t="s">
        <v>16</v>
      </c>
      <c r="I19">
        <v>2.8142947160410624E-2</v>
      </c>
      <c r="J19" t="s">
        <v>6</v>
      </c>
      <c r="L19" t="s">
        <v>822</v>
      </c>
      <c r="M19" t="s">
        <v>16</v>
      </c>
      <c r="N19">
        <v>2.4852355235823107E-2</v>
      </c>
      <c r="O19" t="s">
        <v>6</v>
      </c>
    </row>
    <row r="20" spans="2:15" x14ac:dyDescent="0.45">
      <c r="B20" t="s">
        <v>820</v>
      </c>
      <c r="C20" t="s">
        <v>17</v>
      </c>
      <c r="D20">
        <v>0</v>
      </c>
      <c r="E20" t="s">
        <v>6</v>
      </c>
      <c r="G20" t="s">
        <v>821</v>
      </c>
      <c r="H20" t="s">
        <v>17</v>
      </c>
      <c r="I20">
        <v>4.2672177497653327E-2</v>
      </c>
      <c r="J20" t="s">
        <v>6</v>
      </c>
      <c r="L20" t="s">
        <v>822</v>
      </c>
      <c r="M20" t="s">
        <v>17</v>
      </c>
      <c r="N20">
        <v>3.6820768783047089E-2</v>
      </c>
      <c r="O20" t="s">
        <v>6</v>
      </c>
    </row>
    <row r="21" spans="2:15" x14ac:dyDescent="0.45">
      <c r="B21" t="s">
        <v>820</v>
      </c>
      <c r="C21" t="s">
        <v>18</v>
      </c>
      <c r="D21">
        <v>0</v>
      </c>
      <c r="E21" t="s">
        <v>6</v>
      </c>
      <c r="G21" t="s">
        <v>821</v>
      </c>
      <c r="H21" t="s">
        <v>18</v>
      </c>
      <c r="I21">
        <v>5.216770808921186E-2</v>
      </c>
      <c r="J21" t="s">
        <v>6</v>
      </c>
      <c r="L21" t="s">
        <v>822</v>
      </c>
      <c r="M21" t="s">
        <v>18</v>
      </c>
      <c r="N21">
        <v>5.3762706624298953E-2</v>
      </c>
      <c r="O21" t="s">
        <v>6</v>
      </c>
    </row>
    <row r="22" spans="2:15" x14ac:dyDescent="0.45">
      <c r="B22" t="s">
        <v>820</v>
      </c>
      <c r="C22" t="s">
        <v>19</v>
      </c>
      <c r="D22">
        <v>3.0481376441547772E-4</v>
      </c>
      <c r="E22" t="s">
        <v>6</v>
      </c>
      <c r="G22" t="s">
        <v>821</v>
      </c>
      <c r="H22" t="s">
        <v>19</v>
      </c>
      <c r="I22">
        <v>2.0380378640065217E-2</v>
      </c>
      <c r="J22" t="s">
        <v>6</v>
      </c>
      <c r="L22" t="s">
        <v>822</v>
      </c>
      <c r="M22" t="s">
        <v>19</v>
      </c>
      <c r="N22">
        <v>2.1515838781939807E-2</v>
      </c>
      <c r="O22" t="s">
        <v>6</v>
      </c>
    </row>
    <row r="23" spans="2:15" x14ac:dyDescent="0.45">
      <c r="B23" t="s">
        <v>820</v>
      </c>
      <c r="C23" t="s">
        <v>20</v>
      </c>
      <c r="D23">
        <v>9.769166296006479E-3</v>
      </c>
      <c r="E23" t="s">
        <v>6</v>
      </c>
      <c r="G23" t="s">
        <v>821</v>
      </c>
      <c r="H23" t="s">
        <v>20</v>
      </c>
      <c r="I23">
        <v>1.9553458144584746E-2</v>
      </c>
      <c r="J23" t="s">
        <v>6</v>
      </c>
      <c r="L23" t="s">
        <v>822</v>
      </c>
      <c r="M23" t="s">
        <v>20</v>
      </c>
      <c r="N23">
        <v>2.1571989075074679E-2</v>
      </c>
      <c r="O23" t="s">
        <v>6</v>
      </c>
    </row>
    <row r="24" spans="2:15" x14ac:dyDescent="0.45">
      <c r="B24" t="s">
        <v>820</v>
      </c>
      <c r="C24" t="s">
        <v>21</v>
      </c>
      <c r="D24">
        <v>4.6429038635807843E-2</v>
      </c>
      <c r="E24" t="s">
        <v>6</v>
      </c>
      <c r="G24" t="s">
        <v>821</v>
      </c>
      <c r="H24" t="s">
        <v>21</v>
      </c>
      <c r="I24">
        <v>1.9789223673662829E-2</v>
      </c>
      <c r="J24" t="s">
        <v>6</v>
      </c>
      <c r="L24" t="s">
        <v>822</v>
      </c>
      <c r="M24" t="s">
        <v>21</v>
      </c>
      <c r="N24">
        <v>2.1206684286629623E-2</v>
      </c>
      <c r="O24" t="s">
        <v>6</v>
      </c>
    </row>
    <row r="25" spans="2:15" x14ac:dyDescent="0.45">
      <c r="B25" t="s">
        <v>820</v>
      </c>
      <c r="C25" t="s">
        <v>22</v>
      </c>
      <c r="D25">
        <v>7.8442475915994098E-2</v>
      </c>
      <c r="E25" t="s">
        <v>6</v>
      </c>
      <c r="G25" t="s">
        <v>821</v>
      </c>
      <c r="H25" t="s">
        <v>22</v>
      </c>
      <c r="I25">
        <v>1.7611712005351471E-2</v>
      </c>
      <c r="J25" t="s">
        <v>6</v>
      </c>
      <c r="L25" t="s">
        <v>822</v>
      </c>
      <c r="M25" t="s">
        <v>22</v>
      </c>
      <c r="N25">
        <v>2.0780226160288837E-2</v>
      </c>
      <c r="O25" t="s">
        <v>6</v>
      </c>
    </row>
    <row r="26" spans="2:15" x14ac:dyDescent="0.45">
      <c r="B26" t="s">
        <v>820</v>
      </c>
      <c r="C26" t="s">
        <v>23</v>
      </c>
      <c r="D26">
        <v>8.7607869788938267E-2</v>
      </c>
      <c r="E26" t="s">
        <v>6</v>
      </c>
      <c r="G26" t="s">
        <v>821</v>
      </c>
      <c r="H26" t="s">
        <v>23</v>
      </c>
      <c r="I26">
        <v>1.9588364134060642E-2</v>
      </c>
      <c r="J26" t="s">
        <v>6</v>
      </c>
      <c r="L26" t="s">
        <v>822</v>
      </c>
      <c r="M26" t="s">
        <v>23</v>
      </c>
      <c r="N26">
        <v>2.1143302849441367E-2</v>
      </c>
      <c r="O26" t="s">
        <v>6</v>
      </c>
    </row>
    <row r="27" spans="2:15" x14ac:dyDescent="0.45">
      <c r="B27" t="s">
        <v>820</v>
      </c>
      <c r="C27" t="s">
        <v>24</v>
      </c>
      <c r="D27">
        <v>7.1049116876738524E-2</v>
      </c>
      <c r="E27" t="s">
        <v>6</v>
      </c>
      <c r="G27" t="s">
        <v>821</v>
      </c>
      <c r="H27" t="s">
        <v>24</v>
      </c>
      <c r="I27">
        <v>1.98207350268415E-2</v>
      </c>
      <c r="J27" t="s">
        <v>6</v>
      </c>
      <c r="L27" t="s">
        <v>822</v>
      </c>
      <c r="M27" t="s">
        <v>24</v>
      </c>
      <c r="N27">
        <v>2.1990499770999497E-2</v>
      </c>
      <c r="O27" t="s">
        <v>6</v>
      </c>
    </row>
    <row r="28" spans="2:15" x14ac:dyDescent="0.45">
      <c r="B28" t="s">
        <v>820</v>
      </c>
      <c r="C28" t="s">
        <v>25</v>
      </c>
      <c r="D28">
        <v>3.4613915440310117E-2</v>
      </c>
      <c r="E28" t="s">
        <v>6</v>
      </c>
      <c r="G28" t="s">
        <v>821</v>
      </c>
      <c r="H28" t="s">
        <v>25</v>
      </c>
      <c r="I28">
        <v>1.9436409826824465E-2</v>
      </c>
      <c r="J28" t="s">
        <v>6</v>
      </c>
      <c r="L28" t="s">
        <v>822</v>
      </c>
      <c r="M28" t="s">
        <v>25</v>
      </c>
      <c r="N28">
        <v>2.2963172476593154E-2</v>
      </c>
      <c r="O28" t="s">
        <v>6</v>
      </c>
    </row>
    <row r="29" spans="2:15" x14ac:dyDescent="0.45">
      <c r="B29" t="s">
        <v>820</v>
      </c>
      <c r="C29" t="s">
        <v>26</v>
      </c>
      <c r="D29">
        <v>3.7179190945824938E-3</v>
      </c>
      <c r="E29" t="s">
        <v>6</v>
      </c>
      <c r="G29" t="s">
        <v>821</v>
      </c>
      <c r="H29" t="s">
        <v>26</v>
      </c>
      <c r="I29">
        <v>2.0475558766369324E-2</v>
      </c>
      <c r="J29" t="s">
        <v>6</v>
      </c>
      <c r="L29" t="s">
        <v>822</v>
      </c>
      <c r="M29" t="s">
        <v>26</v>
      </c>
      <c r="N29">
        <v>2.347255330457193E-2</v>
      </c>
      <c r="O29" t="s">
        <v>6</v>
      </c>
    </row>
    <row r="30" spans="2:15" x14ac:dyDescent="0.45">
      <c r="B30" t="s">
        <v>820</v>
      </c>
      <c r="C30" t="s">
        <v>27</v>
      </c>
      <c r="D30">
        <v>7.9390403084087711E-6</v>
      </c>
      <c r="E30" t="s">
        <v>6</v>
      </c>
      <c r="G30" t="s">
        <v>821</v>
      </c>
      <c r="H30" t="s">
        <v>27</v>
      </c>
      <c r="I30">
        <v>3.3206859225616732E-2</v>
      </c>
      <c r="J30" t="s">
        <v>6</v>
      </c>
      <c r="L30" t="s">
        <v>822</v>
      </c>
      <c r="M30" t="s">
        <v>27</v>
      </c>
      <c r="N30">
        <v>3.4226956422215599E-2</v>
      </c>
      <c r="O30" t="s">
        <v>6</v>
      </c>
    </row>
    <row r="31" spans="2:15" x14ac:dyDescent="0.45">
      <c r="B31" t="s">
        <v>820</v>
      </c>
      <c r="C31" t="s">
        <v>28</v>
      </c>
      <c r="D31">
        <v>0</v>
      </c>
      <c r="E31" t="s">
        <v>6</v>
      </c>
      <c r="G31" t="s">
        <v>821</v>
      </c>
      <c r="H31" t="s">
        <v>28</v>
      </c>
      <c r="I31">
        <v>3.8158589362881142E-2</v>
      </c>
      <c r="J31" t="s">
        <v>6</v>
      </c>
      <c r="L31" t="s">
        <v>822</v>
      </c>
      <c r="M31" t="s">
        <v>28</v>
      </c>
      <c r="N31">
        <v>4.1119425912537394E-2</v>
      </c>
      <c r="O31" t="s">
        <v>6</v>
      </c>
    </row>
    <row r="32" spans="2:15" x14ac:dyDescent="0.45">
      <c r="B32" t="s">
        <v>820</v>
      </c>
      <c r="C32" t="s">
        <v>29</v>
      </c>
      <c r="D32">
        <v>9.1427678595832793E-4</v>
      </c>
      <c r="E32" t="s">
        <v>6</v>
      </c>
      <c r="G32" t="s">
        <v>821</v>
      </c>
      <c r="H32" t="s">
        <v>29</v>
      </c>
      <c r="I32">
        <v>1.3544906279470461E-2</v>
      </c>
      <c r="J32" t="s">
        <v>6</v>
      </c>
      <c r="L32" t="s">
        <v>822</v>
      </c>
      <c r="M32" t="s">
        <v>29</v>
      </c>
      <c r="N32">
        <v>1.538627273614282E-2</v>
      </c>
      <c r="O32" t="s">
        <v>6</v>
      </c>
    </row>
    <row r="33" spans="2:15" x14ac:dyDescent="0.45">
      <c r="B33" t="s">
        <v>820</v>
      </c>
      <c r="C33" t="s">
        <v>30</v>
      </c>
      <c r="D33">
        <v>1.5271986357354524E-2</v>
      </c>
      <c r="E33" t="s">
        <v>6</v>
      </c>
      <c r="G33" t="s">
        <v>821</v>
      </c>
      <c r="H33" t="s">
        <v>30</v>
      </c>
      <c r="I33">
        <v>1.1986332372988242E-2</v>
      </c>
      <c r="J33" t="s">
        <v>6</v>
      </c>
      <c r="L33" t="s">
        <v>822</v>
      </c>
      <c r="M33" t="s">
        <v>30</v>
      </c>
      <c r="N33">
        <v>1.5537065121180407E-2</v>
      </c>
      <c r="O33" t="s">
        <v>6</v>
      </c>
    </row>
    <row r="34" spans="2:15" x14ac:dyDescent="0.45">
      <c r="B34" t="s">
        <v>820</v>
      </c>
      <c r="C34" t="s">
        <v>31</v>
      </c>
      <c r="D34">
        <v>5.2025346927768425E-2</v>
      </c>
      <c r="E34" t="s">
        <v>6</v>
      </c>
      <c r="G34" t="s">
        <v>821</v>
      </c>
      <c r="H34" t="s">
        <v>31</v>
      </c>
      <c r="I34">
        <v>1.1627151694755233E-2</v>
      </c>
      <c r="J34" t="s">
        <v>6</v>
      </c>
      <c r="L34" t="s">
        <v>822</v>
      </c>
      <c r="M34" t="s">
        <v>31</v>
      </c>
      <c r="N34">
        <v>1.4248825830716558E-2</v>
      </c>
      <c r="O34" t="s">
        <v>6</v>
      </c>
    </row>
    <row r="35" spans="2:15" x14ac:dyDescent="0.45">
      <c r="B35" t="s">
        <v>820</v>
      </c>
      <c r="C35" t="s">
        <v>32</v>
      </c>
      <c r="D35">
        <v>8.2458414285015588E-2</v>
      </c>
      <c r="E35" t="s">
        <v>6</v>
      </c>
      <c r="G35" t="s">
        <v>821</v>
      </c>
      <c r="H35" t="s">
        <v>32</v>
      </c>
      <c r="I35">
        <v>1.0054157051487439E-2</v>
      </c>
      <c r="J35" t="s">
        <v>6</v>
      </c>
      <c r="L35" t="s">
        <v>822</v>
      </c>
      <c r="M35" t="s">
        <v>32</v>
      </c>
      <c r="N35">
        <v>1.3404496143966582E-2</v>
      </c>
      <c r="O35" t="s">
        <v>6</v>
      </c>
    </row>
    <row r="36" spans="2:15" x14ac:dyDescent="0.45">
      <c r="B36" t="s">
        <v>820</v>
      </c>
      <c r="C36" t="s">
        <v>33</v>
      </c>
      <c r="D36">
        <v>9.1388155329673773E-2</v>
      </c>
      <c r="E36" t="s">
        <v>6</v>
      </c>
      <c r="G36" t="s">
        <v>821</v>
      </c>
      <c r="H36" t="s">
        <v>33</v>
      </c>
      <c r="I36">
        <v>1.2263538959509452E-2</v>
      </c>
      <c r="J36" t="s">
        <v>6</v>
      </c>
      <c r="L36" t="s">
        <v>822</v>
      </c>
      <c r="M36" t="s">
        <v>33</v>
      </c>
      <c r="N36">
        <v>1.40108946600969E-2</v>
      </c>
      <c r="O36" t="s">
        <v>6</v>
      </c>
    </row>
    <row r="37" spans="2:15" x14ac:dyDescent="0.45">
      <c r="B37" t="s">
        <v>820</v>
      </c>
      <c r="C37" t="s">
        <v>34</v>
      </c>
      <c r="D37">
        <v>7.6926856035879398E-2</v>
      </c>
      <c r="E37" t="s">
        <v>6</v>
      </c>
      <c r="G37" t="s">
        <v>821</v>
      </c>
      <c r="H37" t="s">
        <v>34</v>
      </c>
      <c r="I37">
        <v>1.2725518888738177E-2</v>
      </c>
      <c r="J37" t="s">
        <v>6</v>
      </c>
      <c r="L37" t="s">
        <v>822</v>
      </c>
      <c r="M37" t="s">
        <v>34</v>
      </c>
      <c r="N37">
        <v>1.4840489226864503E-2</v>
      </c>
      <c r="O37" t="s">
        <v>6</v>
      </c>
    </row>
    <row r="38" spans="2:15" x14ac:dyDescent="0.45">
      <c r="B38" t="s">
        <v>820</v>
      </c>
      <c r="C38" t="s">
        <v>35</v>
      </c>
      <c r="D38">
        <v>4.3532717619136192E-2</v>
      </c>
      <c r="E38" t="s">
        <v>6</v>
      </c>
      <c r="G38" t="s">
        <v>821</v>
      </c>
      <c r="H38" t="s">
        <v>35</v>
      </c>
      <c r="I38">
        <v>1.2626850154738583E-2</v>
      </c>
      <c r="J38" t="s">
        <v>6</v>
      </c>
      <c r="L38" t="s">
        <v>822</v>
      </c>
      <c r="M38" t="s">
        <v>35</v>
      </c>
      <c r="N38">
        <v>1.5615008427016056E-2</v>
      </c>
      <c r="O38" t="s">
        <v>6</v>
      </c>
    </row>
    <row r="39" spans="2:15" x14ac:dyDescent="0.45">
      <c r="B39" t="s">
        <v>820</v>
      </c>
      <c r="C39" t="s">
        <v>36</v>
      </c>
      <c r="D39">
        <v>8.7470240434215953E-3</v>
      </c>
      <c r="E39" t="s">
        <v>6</v>
      </c>
      <c r="G39" t="s">
        <v>821</v>
      </c>
      <c r="H39" t="s">
        <v>36</v>
      </c>
      <c r="I39">
        <v>1.3395383726343614E-2</v>
      </c>
      <c r="J39" t="s">
        <v>6</v>
      </c>
      <c r="L39" t="s">
        <v>822</v>
      </c>
      <c r="M39" t="s">
        <v>36</v>
      </c>
      <c r="N39">
        <v>1.5949370144755365E-2</v>
      </c>
      <c r="O39" t="s">
        <v>6</v>
      </c>
    </row>
    <row r="40" spans="2:15" x14ac:dyDescent="0.45">
      <c r="B40" t="s">
        <v>820</v>
      </c>
      <c r="C40" t="s">
        <v>37</v>
      </c>
      <c r="D40">
        <v>1.6420358904471695E-4</v>
      </c>
      <c r="E40" t="s">
        <v>6</v>
      </c>
      <c r="G40" t="s">
        <v>821</v>
      </c>
      <c r="H40" t="s">
        <v>37</v>
      </c>
      <c r="I40">
        <v>2.417357580242124E-2</v>
      </c>
      <c r="J40" t="s">
        <v>6</v>
      </c>
      <c r="L40" t="s">
        <v>822</v>
      </c>
      <c r="M40" t="s">
        <v>37</v>
      </c>
      <c r="N40">
        <v>2.4943337343859392E-2</v>
      </c>
      <c r="O40" t="s">
        <v>6</v>
      </c>
    </row>
    <row r="41" spans="2:15" x14ac:dyDescent="0.45">
      <c r="B41" t="s">
        <v>820</v>
      </c>
      <c r="C41" t="s">
        <v>38</v>
      </c>
      <c r="D41">
        <v>0</v>
      </c>
      <c r="E41" t="s">
        <v>6</v>
      </c>
      <c r="G41" t="s">
        <v>821</v>
      </c>
      <c r="H41" t="s">
        <v>38</v>
      </c>
      <c r="I41">
        <v>5.8209573839987254E-2</v>
      </c>
      <c r="J41" t="s">
        <v>6</v>
      </c>
      <c r="L41" t="s">
        <v>822</v>
      </c>
      <c r="M41" t="s">
        <v>38</v>
      </c>
      <c r="N41">
        <v>5.5475545339982786E-2</v>
      </c>
      <c r="O41" t="s">
        <v>6</v>
      </c>
    </row>
    <row r="42" spans="2:15" x14ac:dyDescent="0.45">
      <c r="B42" t="s">
        <v>820</v>
      </c>
      <c r="C42" t="s">
        <v>39</v>
      </c>
      <c r="D42">
        <v>0</v>
      </c>
      <c r="E42" t="s">
        <v>6</v>
      </c>
      <c r="G42" t="s">
        <v>821</v>
      </c>
      <c r="H42" t="s">
        <v>39</v>
      </c>
      <c r="I42">
        <v>2.2835722854283681E-2</v>
      </c>
      <c r="J42" t="s">
        <v>6</v>
      </c>
      <c r="L42" t="s">
        <v>822</v>
      </c>
      <c r="M42" t="s">
        <v>39</v>
      </c>
      <c r="N42">
        <v>2.1957297250294182E-2</v>
      </c>
      <c r="O42" t="s">
        <v>6</v>
      </c>
    </row>
    <row r="43" spans="2:15" x14ac:dyDescent="0.45">
      <c r="B43" t="s">
        <v>820</v>
      </c>
      <c r="C43" t="s">
        <v>40</v>
      </c>
      <c r="D43">
        <v>2.3143352200544333E-3</v>
      </c>
      <c r="E43" t="s">
        <v>6</v>
      </c>
      <c r="G43" t="s">
        <v>821</v>
      </c>
      <c r="H43" t="s">
        <v>40</v>
      </c>
      <c r="I43">
        <v>2.2399237550157349E-2</v>
      </c>
      <c r="J43" t="s">
        <v>6</v>
      </c>
      <c r="L43" t="s">
        <v>822</v>
      </c>
      <c r="M43" t="s">
        <v>40</v>
      </c>
      <c r="N43">
        <v>2.2111899688782681E-2</v>
      </c>
      <c r="O43" t="s">
        <v>6</v>
      </c>
    </row>
    <row r="44" spans="2:15" x14ac:dyDescent="0.45">
      <c r="B44" t="s">
        <v>820</v>
      </c>
      <c r="C44" t="s">
        <v>41</v>
      </c>
      <c r="D44">
        <v>2.4766044104400035E-2</v>
      </c>
      <c r="E44" t="s">
        <v>6</v>
      </c>
      <c r="G44" t="s">
        <v>821</v>
      </c>
      <c r="H44" t="s">
        <v>41</v>
      </c>
      <c r="I44">
        <v>2.126540034069533E-2</v>
      </c>
      <c r="J44" t="s">
        <v>6</v>
      </c>
      <c r="L44" t="s">
        <v>822</v>
      </c>
      <c r="M44" t="s">
        <v>41</v>
      </c>
      <c r="N44">
        <v>2.1937434774323892E-2</v>
      </c>
      <c r="O44" t="s">
        <v>6</v>
      </c>
    </row>
    <row r="45" spans="2:15" x14ac:dyDescent="0.45">
      <c r="B45" t="s">
        <v>820</v>
      </c>
      <c r="C45" t="s">
        <v>42</v>
      </c>
      <c r="D45">
        <v>4.9735808316125604E-2</v>
      </c>
      <c r="E45" t="s">
        <v>6</v>
      </c>
      <c r="G45" t="s">
        <v>821</v>
      </c>
      <c r="H45" t="s">
        <v>42</v>
      </c>
      <c r="I45">
        <v>1.8664607979285448E-2</v>
      </c>
      <c r="J45" t="s">
        <v>6</v>
      </c>
      <c r="L45" t="s">
        <v>822</v>
      </c>
      <c r="M45" t="s">
        <v>42</v>
      </c>
      <c r="N45">
        <v>2.1853199037821444E-2</v>
      </c>
      <c r="O45" t="s">
        <v>6</v>
      </c>
    </row>
    <row r="46" spans="2:15" x14ac:dyDescent="0.45">
      <c r="B46" t="s">
        <v>820</v>
      </c>
      <c r="C46" t="s">
        <v>43</v>
      </c>
      <c r="D46">
        <v>5.5885160865533433E-2</v>
      </c>
      <c r="E46" t="s">
        <v>6</v>
      </c>
      <c r="G46" t="s">
        <v>821</v>
      </c>
      <c r="H46" t="s">
        <v>43</v>
      </c>
      <c r="I46">
        <v>2.1207333394147182E-2</v>
      </c>
      <c r="J46" t="s">
        <v>6</v>
      </c>
      <c r="L46" t="s">
        <v>822</v>
      </c>
      <c r="M46" t="s">
        <v>43</v>
      </c>
      <c r="N46">
        <v>2.2242715597888998E-2</v>
      </c>
      <c r="O46" t="s">
        <v>6</v>
      </c>
    </row>
    <row r="47" spans="2:15" x14ac:dyDescent="0.45">
      <c r="B47" t="s">
        <v>820</v>
      </c>
      <c r="C47" t="s">
        <v>44</v>
      </c>
      <c r="D47">
        <v>3.9213562616702877E-2</v>
      </c>
      <c r="E47" t="s">
        <v>6</v>
      </c>
      <c r="G47" t="s">
        <v>821</v>
      </c>
      <c r="H47" t="s">
        <v>44</v>
      </c>
      <c r="I47">
        <v>2.1769370348510998E-2</v>
      </c>
      <c r="J47" t="s">
        <v>6</v>
      </c>
      <c r="L47" t="s">
        <v>822</v>
      </c>
      <c r="M47" t="s">
        <v>44</v>
      </c>
      <c r="N47">
        <v>2.2270320003085587E-2</v>
      </c>
      <c r="O47" t="s">
        <v>6</v>
      </c>
    </row>
    <row r="48" spans="2:15" x14ac:dyDescent="0.45">
      <c r="B48" t="s">
        <v>820</v>
      </c>
      <c r="C48" t="s">
        <v>45</v>
      </c>
      <c r="D48">
        <v>1.0666585717663778E-2</v>
      </c>
      <c r="E48" t="s">
        <v>6</v>
      </c>
      <c r="G48" t="s">
        <v>821</v>
      </c>
      <c r="H48" t="s">
        <v>45</v>
      </c>
      <c r="I48">
        <v>2.167186449159203E-2</v>
      </c>
      <c r="J48" t="s">
        <v>6</v>
      </c>
      <c r="L48" t="s">
        <v>822</v>
      </c>
      <c r="M48" t="s">
        <v>45</v>
      </c>
      <c r="N48">
        <v>2.2282251877265107E-2</v>
      </c>
      <c r="O48" t="s">
        <v>6</v>
      </c>
    </row>
    <row r="49" spans="2:15" x14ac:dyDescent="0.45">
      <c r="B49" t="s">
        <v>820</v>
      </c>
      <c r="C49" t="s">
        <v>46</v>
      </c>
      <c r="D49">
        <v>2.0352943859725594E-4</v>
      </c>
      <c r="E49" t="s">
        <v>6</v>
      </c>
      <c r="G49" t="s">
        <v>821</v>
      </c>
      <c r="H49" t="s">
        <v>46</v>
      </c>
      <c r="I49">
        <v>2.3495044078298277E-2</v>
      </c>
      <c r="J49" t="s">
        <v>6</v>
      </c>
      <c r="L49" t="s">
        <v>822</v>
      </c>
      <c r="M49" t="s">
        <v>46</v>
      </c>
      <c r="N49">
        <v>2.3082807598506866E-2</v>
      </c>
      <c r="O49" t="s">
        <v>6</v>
      </c>
    </row>
    <row r="50" spans="2:15" x14ac:dyDescent="0.45">
      <c r="B50" t="s">
        <v>820</v>
      </c>
      <c r="C50" t="s">
        <v>47</v>
      </c>
      <c r="D50">
        <v>0</v>
      </c>
      <c r="E50" t="s">
        <v>6</v>
      </c>
      <c r="G50" t="s">
        <v>821</v>
      </c>
      <c r="H50" t="s">
        <v>47</v>
      </c>
      <c r="I50">
        <v>3.7883515725154422E-2</v>
      </c>
      <c r="J50" t="s">
        <v>6</v>
      </c>
      <c r="L50" t="s">
        <v>822</v>
      </c>
      <c r="M50" t="s">
        <v>47</v>
      </c>
      <c r="N50">
        <v>3.3927888227863627E-2</v>
      </c>
      <c r="O50" t="s">
        <v>6</v>
      </c>
    </row>
    <row r="51" spans="2:15" x14ac:dyDescent="0.45">
      <c r="B51" t="s">
        <v>823</v>
      </c>
      <c r="C51" t="s">
        <v>5</v>
      </c>
      <c r="D51">
        <v>0</v>
      </c>
      <c r="E51" t="s">
        <v>6</v>
      </c>
      <c r="G51" t="s">
        <v>824</v>
      </c>
      <c r="H51" t="s">
        <v>5</v>
      </c>
      <c r="I51">
        <v>7.3683849475818283E-2</v>
      </c>
      <c r="J51" t="s">
        <v>6</v>
      </c>
      <c r="L51" t="s">
        <v>825</v>
      </c>
      <c r="M51" t="s">
        <v>5</v>
      </c>
      <c r="N51">
        <v>5.9232845412690908E-2</v>
      </c>
      <c r="O51" t="s">
        <v>6</v>
      </c>
    </row>
    <row r="52" spans="2:15" x14ac:dyDescent="0.45">
      <c r="B52" t="s">
        <v>823</v>
      </c>
      <c r="C52" t="s">
        <v>9</v>
      </c>
      <c r="D52">
        <v>0</v>
      </c>
      <c r="E52" t="s">
        <v>6</v>
      </c>
      <c r="G52" t="s">
        <v>824</v>
      </c>
      <c r="H52" t="s">
        <v>9</v>
      </c>
      <c r="I52">
        <v>2.9202533727250703E-2</v>
      </c>
      <c r="J52" t="s">
        <v>6</v>
      </c>
      <c r="L52" t="s">
        <v>825</v>
      </c>
      <c r="M52" t="s">
        <v>9</v>
      </c>
      <c r="N52">
        <v>2.3599042011175755E-2</v>
      </c>
      <c r="O52" t="s">
        <v>6</v>
      </c>
    </row>
    <row r="53" spans="2:15" x14ac:dyDescent="0.45">
      <c r="B53" t="s">
        <v>823</v>
      </c>
      <c r="C53" t="s">
        <v>10</v>
      </c>
      <c r="D53">
        <v>0</v>
      </c>
      <c r="E53" t="s">
        <v>6</v>
      </c>
      <c r="G53" t="s">
        <v>824</v>
      </c>
      <c r="H53" t="s">
        <v>10</v>
      </c>
      <c r="I53">
        <v>2.8700890554648122E-2</v>
      </c>
      <c r="J53" t="s">
        <v>6</v>
      </c>
      <c r="L53" t="s">
        <v>825</v>
      </c>
      <c r="M53" t="s">
        <v>10</v>
      </c>
      <c r="N53">
        <v>2.3580462824593085E-2</v>
      </c>
      <c r="O53" t="s">
        <v>6</v>
      </c>
    </row>
    <row r="54" spans="2:15" x14ac:dyDescent="0.45">
      <c r="B54" t="s">
        <v>823</v>
      </c>
      <c r="C54" t="s">
        <v>11</v>
      </c>
      <c r="D54">
        <v>8.1011519448438828E-3</v>
      </c>
      <c r="E54" t="s">
        <v>6</v>
      </c>
      <c r="G54" t="s">
        <v>824</v>
      </c>
      <c r="H54" t="s">
        <v>11</v>
      </c>
      <c r="I54">
        <v>2.8851525019439259E-2</v>
      </c>
      <c r="J54" t="s">
        <v>6</v>
      </c>
      <c r="L54" t="s">
        <v>825</v>
      </c>
      <c r="M54" t="s">
        <v>11</v>
      </c>
      <c r="N54">
        <v>2.3450318847401456E-2</v>
      </c>
      <c r="O54" t="s">
        <v>6</v>
      </c>
    </row>
    <row r="55" spans="2:15" x14ac:dyDescent="0.45">
      <c r="B55" t="s">
        <v>823</v>
      </c>
      <c r="C55" t="s">
        <v>12</v>
      </c>
      <c r="D55">
        <v>3.3244712465488907E-2</v>
      </c>
      <c r="E55" t="s">
        <v>6</v>
      </c>
      <c r="G55" t="s">
        <v>824</v>
      </c>
      <c r="H55" t="s">
        <v>12</v>
      </c>
      <c r="I55">
        <v>2.4347086735290121E-2</v>
      </c>
      <c r="J55" t="s">
        <v>6</v>
      </c>
      <c r="L55" t="s">
        <v>825</v>
      </c>
      <c r="M55" t="s">
        <v>12</v>
      </c>
      <c r="N55">
        <v>2.3500737491982445E-2</v>
      </c>
      <c r="O55" t="s">
        <v>6</v>
      </c>
    </row>
    <row r="56" spans="2:15" x14ac:dyDescent="0.45">
      <c r="B56" t="s">
        <v>823</v>
      </c>
      <c r="C56" t="s">
        <v>13</v>
      </c>
      <c r="D56">
        <v>3.9431053836031869E-2</v>
      </c>
      <c r="E56" t="s">
        <v>6</v>
      </c>
      <c r="G56" t="s">
        <v>824</v>
      </c>
      <c r="H56" t="s">
        <v>13</v>
      </c>
      <c r="I56">
        <v>2.5236792871891543E-2</v>
      </c>
      <c r="J56" t="s">
        <v>6</v>
      </c>
      <c r="L56" t="s">
        <v>825</v>
      </c>
      <c r="M56" t="s">
        <v>13</v>
      </c>
      <c r="N56">
        <v>2.3385391825605534E-2</v>
      </c>
      <c r="O56" t="s">
        <v>6</v>
      </c>
    </row>
    <row r="57" spans="2:15" x14ac:dyDescent="0.45">
      <c r="B57" t="s">
        <v>823</v>
      </c>
      <c r="C57" t="s">
        <v>14</v>
      </c>
      <c r="D57">
        <v>2.4203520756861226E-2</v>
      </c>
      <c r="E57" t="s">
        <v>6</v>
      </c>
      <c r="G57" t="s">
        <v>824</v>
      </c>
      <c r="H57" t="s">
        <v>14</v>
      </c>
      <c r="I57">
        <v>2.5767913259348931E-2</v>
      </c>
      <c r="J57" t="s">
        <v>6</v>
      </c>
      <c r="L57" t="s">
        <v>825</v>
      </c>
      <c r="M57" t="s">
        <v>14</v>
      </c>
      <c r="N57">
        <v>2.3311132690460312E-2</v>
      </c>
      <c r="O57" t="s">
        <v>6</v>
      </c>
    </row>
    <row r="58" spans="2:15" x14ac:dyDescent="0.45">
      <c r="B58" t="s">
        <v>823</v>
      </c>
      <c r="C58" t="s">
        <v>15</v>
      </c>
      <c r="D58">
        <v>3.6501954632842146E-3</v>
      </c>
      <c r="E58" t="s">
        <v>6</v>
      </c>
      <c r="G58" t="s">
        <v>824</v>
      </c>
      <c r="H58" t="s">
        <v>15</v>
      </c>
      <c r="I58">
        <v>2.6742123792665773E-2</v>
      </c>
      <c r="J58" t="s">
        <v>6</v>
      </c>
      <c r="L58" t="s">
        <v>825</v>
      </c>
      <c r="M58" t="s">
        <v>15</v>
      </c>
      <c r="N58">
        <v>2.3975095939904319E-2</v>
      </c>
      <c r="O58" t="s">
        <v>6</v>
      </c>
    </row>
    <row r="59" spans="2:15" x14ac:dyDescent="0.45">
      <c r="B59" t="s">
        <v>823</v>
      </c>
      <c r="C59" t="s">
        <v>16</v>
      </c>
      <c r="D59">
        <v>0</v>
      </c>
      <c r="E59" t="s">
        <v>6</v>
      </c>
      <c r="G59" t="s">
        <v>824</v>
      </c>
      <c r="H59" t="s">
        <v>16</v>
      </c>
      <c r="I59">
        <v>2.8160434604825327E-2</v>
      </c>
      <c r="J59" t="s">
        <v>6</v>
      </c>
      <c r="L59" t="s">
        <v>825</v>
      </c>
      <c r="M59" t="s">
        <v>16</v>
      </c>
      <c r="N59">
        <v>2.4303018167353255E-2</v>
      </c>
      <c r="O59" t="s">
        <v>6</v>
      </c>
    </row>
    <row r="60" spans="2:15" x14ac:dyDescent="0.45">
      <c r="B60" t="s">
        <v>823</v>
      </c>
      <c r="C60" t="s">
        <v>17</v>
      </c>
      <c r="D60">
        <v>0</v>
      </c>
      <c r="E60" t="s">
        <v>6</v>
      </c>
      <c r="G60" t="s">
        <v>824</v>
      </c>
      <c r="H60" t="s">
        <v>17</v>
      </c>
      <c r="I60">
        <v>4.2786390434667719E-2</v>
      </c>
      <c r="J60" t="s">
        <v>6</v>
      </c>
      <c r="L60" t="s">
        <v>825</v>
      </c>
      <c r="M60" t="s">
        <v>17</v>
      </c>
      <c r="N60">
        <v>3.6404369184097979E-2</v>
      </c>
      <c r="O60" t="s">
        <v>6</v>
      </c>
    </row>
    <row r="61" spans="2:15" x14ac:dyDescent="0.45">
      <c r="B61" t="s">
        <v>823</v>
      </c>
      <c r="C61" t="s">
        <v>18</v>
      </c>
      <c r="D61">
        <v>0</v>
      </c>
      <c r="E61" t="s">
        <v>6</v>
      </c>
      <c r="G61" t="s">
        <v>824</v>
      </c>
      <c r="H61" t="s">
        <v>18</v>
      </c>
      <c r="I61">
        <v>5.1179581410746536E-2</v>
      </c>
      <c r="J61" t="s">
        <v>6</v>
      </c>
      <c r="L61" t="s">
        <v>825</v>
      </c>
      <c r="M61" t="s">
        <v>18</v>
      </c>
      <c r="N61">
        <v>5.334035171912465E-2</v>
      </c>
      <c r="O61" t="s">
        <v>6</v>
      </c>
    </row>
    <row r="62" spans="2:15" x14ac:dyDescent="0.45">
      <c r="B62" t="s">
        <v>823</v>
      </c>
      <c r="C62" t="s">
        <v>19</v>
      </c>
      <c r="D62">
        <v>3.9801336545774329E-4</v>
      </c>
      <c r="E62" t="s">
        <v>6</v>
      </c>
      <c r="G62" t="s">
        <v>824</v>
      </c>
      <c r="H62" t="s">
        <v>19</v>
      </c>
      <c r="I62">
        <v>2.0608196246066378E-2</v>
      </c>
      <c r="J62" t="s">
        <v>6</v>
      </c>
      <c r="L62" t="s">
        <v>825</v>
      </c>
      <c r="M62" t="s">
        <v>19</v>
      </c>
      <c r="N62">
        <v>2.135693177204042E-2</v>
      </c>
      <c r="O62" t="s">
        <v>6</v>
      </c>
    </row>
    <row r="63" spans="2:15" x14ac:dyDescent="0.45">
      <c r="B63" t="s">
        <v>823</v>
      </c>
      <c r="C63" t="s">
        <v>20</v>
      </c>
      <c r="D63">
        <v>1.1914824945058392E-2</v>
      </c>
      <c r="E63" t="s">
        <v>6</v>
      </c>
      <c r="G63" t="s">
        <v>824</v>
      </c>
      <c r="H63" t="s">
        <v>20</v>
      </c>
      <c r="I63">
        <v>1.961211007640255E-2</v>
      </c>
      <c r="J63" t="s">
        <v>6</v>
      </c>
      <c r="L63" t="s">
        <v>825</v>
      </c>
      <c r="M63" t="s">
        <v>20</v>
      </c>
      <c r="N63">
        <v>2.1480846959466098E-2</v>
      </c>
      <c r="O63" t="s">
        <v>6</v>
      </c>
    </row>
    <row r="64" spans="2:15" x14ac:dyDescent="0.45">
      <c r="B64" t="s">
        <v>823</v>
      </c>
      <c r="C64" t="s">
        <v>21</v>
      </c>
      <c r="D64">
        <v>5.0331788418047731E-2</v>
      </c>
      <c r="E64" t="s">
        <v>6</v>
      </c>
      <c r="G64" t="s">
        <v>824</v>
      </c>
      <c r="H64" t="s">
        <v>21</v>
      </c>
      <c r="I64">
        <v>1.9206591075476776E-2</v>
      </c>
      <c r="J64" t="s">
        <v>6</v>
      </c>
      <c r="L64" t="s">
        <v>825</v>
      </c>
      <c r="M64" t="s">
        <v>21</v>
      </c>
      <c r="N64">
        <v>2.1591369037801698E-2</v>
      </c>
      <c r="O64" t="s">
        <v>6</v>
      </c>
    </row>
    <row r="65" spans="2:15" x14ac:dyDescent="0.45">
      <c r="B65" t="s">
        <v>823</v>
      </c>
      <c r="C65" t="s">
        <v>22</v>
      </c>
      <c r="D65">
        <v>8.1141266765333675E-2</v>
      </c>
      <c r="E65" t="s">
        <v>6</v>
      </c>
      <c r="G65" t="s">
        <v>824</v>
      </c>
      <c r="H65" t="s">
        <v>22</v>
      </c>
      <c r="I65">
        <v>1.582399311375059E-2</v>
      </c>
      <c r="J65" t="s">
        <v>6</v>
      </c>
      <c r="L65" t="s">
        <v>825</v>
      </c>
      <c r="M65" t="s">
        <v>22</v>
      </c>
      <c r="N65">
        <v>2.1748560652285392E-2</v>
      </c>
      <c r="O65" t="s">
        <v>6</v>
      </c>
    </row>
    <row r="66" spans="2:15" x14ac:dyDescent="0.45">
      <c r="B66" t="s">
        <v>823</v>
      </c>
      <c r="C66" t="s">
        <v>23</v>
      </c>
      <c r="D66">
        <v>8.4027231816333009E-2</v>
      </c>
      <c r="E66" t="s">
        <v>6</v>
      </c>
      <c r="G66" t="s">
        <v>824</v>
      </c>
      <c r="H66" t="s">
        <v>23</v>
      </c>
      <c r="I66">
        <v>1.8394890136424549E-2</v>
      </c>
      <c r="J66" t="s">
        <v>6</v>
      </c>
      <c r="L66" t="s">
        <v>825</v>
      </c>
      <c r="M66" t="s">
        <v>23</v>
      </c>
      <c r="N66">
        <v>2.2179006967203069E-2</v>
      </c>
      <c r="O66" t="s">
        <v>6</v>
      </c>
    </row>
    <row r="67" spans="2:15" x14ac:dyDescent="0.45">
      <c r="B67" t="s">
        <v>823</v>
      </c>
      <c r="C67" t="s">
        <v>24</v>
      </c>
      <c r="D67">
        <v>6.4172782733387057E-2</v>
      </c>
      <c r="E67" t="s">
        <v>6</v>
      </c>
      <c r="G67" t="s">
        <v>824</v>
      </c>
      <c r="H67" t="s">
        <v>24</v>
      </c>
      <c r="I67">
        <v>1.9409685531980716E-2</v>
      </c>
      <c r="J67" t="s">
        <v>6</v>
      </c>
      <c r="L67" t="s">
        <v>825</v>
      </c>
      <c r="M67" t="s">
        <v>24</v>
      </c>
      <c r="N67">
        <v>2.2632203062132664E-2</v>
      </c>
      <c r="O67" t="s">
        <v>6</v>
      </c>
    </row>
    <row r="68" spans="2:15" x14ac:dyDescent="0.45">
      <c r="B68" t="s">
        <v>823</v>
      </c>
      <c r="C68" t="s">
        <v>25</v>
      </c>
      <c r="D68">
        <v>3.0242063644083283E-2</v>
      </c>
      <c r="E68" t="s">
        <v>6</v>
      </c>
      <c r="G68" t="s">
        <v>824</v>
      </c>
      <c r="H68" t="s">
        <v>25</v>
      </c>
      <c r="I68">
        <v>1.8970142781920062E-2</v>
      </c>
      <c r="J68" t="s">
        <v>6</v>
      </c>
      <c r="L68" t="s">
        <v>825</v>
      </c>
      <c r="M68" t="s">
        <v>25</v>
      </c>
      <c r="N68">
        <v>2.2786885627031069E-2</v>
      </c>
      <c r="O68" t="s">
        <v>6</v>
      </c>
    </row>
    <row r="69" spans="2:15" x14ac:dyDescent="0.45">
      <c r="B69" t="s">
        <v>823</v>
      </c>
      <c r="C69" t="s">
        <v>26</v>
      </c>
      <c r="D69">
        <v>3.1164111127106589E-3</v>
      </c>
      <c r="E69" t="s">
        <v>6</v>
      </c>
      <c r="G69" t="s">
        <v>824</v>
      </c>
      <c r="H69" t="s">
        <v>26</v>
      </c>
      <c r="I69">
        <v>1.9742993493632684E-2</v>
      </c>
      <c r="J69" t="s">
        <v>6</v>
      </c>
      <c r="L69" t="s">
        <v>825</v>
      </c>
      <c r="M69" t="s">
        <v>26</v>
      </c>
      <c r="N69">
        <v>2.28252636345278E-2</v>
      </c>
      <c r="O69" t="s">
        <v>6</v>
      </c>
    </row>
    <row r="70" spans="2:15" x14ac:dyDescent="0.45">
      <c r="B70" t="s">
        <v>823</v>
      </c>
      <c r="C70" t="s">
        <v>27</v>
      </c>
      <c r="D70">
        <v>1.4253053479276668E-6</v>
      </c>
      <c r="E70" t="s">
        <v>6</v>
      </c>
      <c r="G70" t="s">
        <v>824</v>
      </c>
      <c r="H70" t="s">
        <v>27</v>
      </c>
      <c r="I70">
        <v>3.2085142860664523E-2</v>
      </c>
      <c r="J70" t="s">
        <v>6</v>
      </c>
      <c r="L70" t="s">
        <v>825</v>
      </c>
      <c r="M70" t="s">
        <v>27</v>
      </c>
      <c r="N70">
        <v>3.3590727459066001E-2</v>
      </c>
      <c r="O70" t="s">
        <v>6</v>
      </c>
    </row>
    <row r="71" spans="2:15" x14ac:dyDescent="0.45">
      <c r="B71" t="s">
        <v>823</v>
      </c>
      <c r="C71" t="s">
        <v>28</v>
      </c>
      <c r="D71">
        <v>0</v>
      </c>
      <c r="E71" t="s">
        <v>6</v>
      </c>
      <c r="G71" t="s">
        <v>824</v>
      </c>
      <c r="H71" t="s">
        <v>28</v>
      </c>
      <c r="I71">
        <v>3.78291850125997E-2</v>
      </c>
      <c r="J71" t="s">
        <v>6</v>
      </c>
      <c r="L71" t="s">
        <v>825</v>
      </c>
      <c r="M71" t="s">
        <v>28</v>
      </c>
      <c r="N71">
        <v>3.9608096490065796E-2</v>
      </c>
      <c r="O71" t="s">
        <v>6</v>
      </c>
    </row>
    <row r="72" spans="2:15" x14ac:dyDescent="0.45">
      <c r="B72" t="s">
        <v>823</v>
      </c>
      <c r="C72" t="s">
        <v>29</v>
      </c>
      <c r="D72">
        <v>1.2137344243061128E-3</v>
      </c>
      <c r="E72" t="s">
        <v>6</v>
      </c>
      <c r="G72" t="s">
        <v>824</v>
      </c>
      <c r="H72" t="s">
        <v>29</v>
      </c>
      <c r="I72">
        <v>1.4010622205940801E-2</v>
      </c>
      <c r="J72" t="s">
        <v>6</v>
      </c>
      <c r="L72" t="s">
        <v>825</v>
      </c>
      <c r="M72" t="s">
        <v>29</v>
      </c>
      <c r="N72">
        <v>1.5526777275946499E-2</v>
      </c>
      <c r="O72" t="s">
        <v>6</v>
      </c>
    </row>
    <row r="73" spans="2:15" x14ac:dyDescent="0.45">
      <c r="B73" t="s">
        <v>823</v>
      </c>
      <c r="C73" t="s">
        <v>30</v>
      </c>
      <c r="D73">
        <v>1.787206053615719E-2</v>
      </c>
      <c r="E73" t="s">
        <v>6</v>
      </c>
      <c r="G73" t="s">
        <v>824</v>
      </c>
      <c r="H73" t="s">
        <v>30</v>
      </c>
      <c r="I73">
        <v>1.2226612468696272E-2</v>
      </c>
      <c r="J73" t="s">
        <v>6</v>
      </c>
      <c r="L73" t="s">
        <v>825</v>
      </c>
      <c r="M73" t="s">
        <v>30</v>
      </c>
      <c r="N73">
        <v>1.5206840820279561E-2</v>
      </c>
      <c r="O73" t="s">
        <v>6</v>
      </c>
    </row>
    <row r="74" spans="2:15" x14ac:dyDescent="0.45">
      <c r="B74" t="s">
        <v>823</v>
      </c>
      <c r="C74" t="s">
        <v>31</v>
      </c>
      <c r="D74">
        <v>5.6946218722842126E-2</v>
      </c>
      <c r="E74" t="s">
        <v>6</v>
      </c>
      <c r="G74" t="s">
        <v>824</v>
      </c>
      <c r="H74" t="s">
        <v>31</v>
      </c>
      <c r="I74">
        <v>1.1168976341852627E-2</v>
      </c>
      <c r="J74" t="s">
        <v>6</v>
      </c>
      <c r="L74" t="s">
        <v>825</v>
      </c>
      <c r="M74" t="s">
        <v>31</v>
      </c>
      <c r="N74">
        <v>1.4393815386413945E-2</v>
      </c>
      <c r="O74" t="s">
        <v>6</v>
      </c>
    </row>
    <row r="75" spans="2:15" x14ac:dyDescent="0.45">
      <c r="B75" t="s">
        <v>823</v>
      </c>
      <c r="C75" t="s">
        <v>32</v>
      </c>
      <c r="D75">
        <v>8.5455200004017226E-2</v>
      </c>
      <c r="E75" t="s">
        <v>6</v>
      </c>
      <c r="G75" t="s">
        <v>824</v>
      </c>
      <c r="H75" t="s">
        <v>32</v>
      </c>
      <c r="I75">
        <v>9.3746146547182552E-3</v>
      </c>
      <c r="J75" t="s">
        <v>6</v>
      </c>
      <c r="L75" t="s">
        <v>825</v>
      </c>
      <c r="M75" t="s">
        <v>32</v>
      </c>
      <c r="N75">
        <v>1.3745228576146778E-2</v>
      </c>
      <c r="O75" t="s">
        <v>6</v>
      </c>
    </row>
    <row r="76" spans="2:15" x14ac:dyDescent="0.45">
      <c r="B76" t="s">
        <v>823</v>
      </c>
      <c r="C76" t="s">
        <v>33</v>
      </c>
      <c r="D76">
        <v>9.1181818818646482E-2</v>
      </c>
      <c r="E76" t="s">
        <v>6</v>
      </c>
      <c r="G76" t="s">
        <v>824</v>
      </c>
      <c r="H76" t="s">
        <v>33</v>
      </c>
      <c r="I76">
        <v>1.1218921114672764E-2</v>
      </c>
      <c r="J76" t="s">
        <v>6</v>
      </c>
      <c r="L76" t="s">
        <v>825</v>
      </c>
      <c r="M76" t="s">
        <v>33</v>
      </c>
      <c r="N76">
        <v>1.3892955727536177E-2</v>
      </c>
      <c r="O76" t="s">
        <v>6</v>
      </c>
    </row>
    <row r="77" spans="2:15" x14ac:dyDescent="0.45">
      <c r="B77" t="s">
        <v>823</v>
      </c>
      <c r="C77" t="s">
        <v>34</v>
      </c>
      <c r="D77">
        <v>7.5542457810772318E-2</v>
      </c>
      <c r="E77" t="s">
        <v>6</v>
      </c>
      <c r="G77" t="s">
        <v>824</v>
      </c>
      <c r="H77" t="s">
        <v>34</v>
      </c>
      <c r="I77">
        <v>1.240795417580183E-2</v>
      </c>
      <c r="J77" t="s">
        <v>6</v>
      </c>
      <c r="L77" t="s">
        <v>825</v>
      </c>
      <c r="M77" t="s">
        <v>34</v>
      </c>
      <c r="N77">
        <v>1.4061903555364616E-2</v>
      </c>
      <c r="O77" t="s">
        <v>6</v>
      </c>
    </row>
    <row r="78" spans="2:15" x14ac:dyDescent="0.45">
      <c r="B78" t="s">
        <v>823</v>
      </c>
      <c r="C78" t="s">
        <v>35</v>
      </c>
      <c r="D78">
        <v>4.2468243790090281E-2</v>
      </c>
      <c r="E78" t="s">
        <v>6</v>
      </c>
      <c r="G78" t="s">
        <v>824</v>
      </c>
      <c r="H78" t="s">
        <v>35</v>
      </c>
      <c r="I78">
        <v>1.1623215090530192E-2</v>
      </c>
      <c r="J78" t="s">
        <v>6</v>
      </c>
      <c r="L78" t="s">
        <v>825</v>
      </c>
      <c r="M78" t="s">
        <v>35</v>
      </c>
      <c r="N78">
        <v>1.3777602876590104E-2</v>
      </c>
      <c r="O78" t="s">
        <v>6</v>
      </c>
    </row>
    <row r="79" spans="2:15" x14ac:dyDescent="0.45">
      <c r="B79" t="s">
        <v>823</v>
      </c>
      <c r="C79" t="s">
        <v>36</v>
      </c>
      <c r="D79">
        <v>8.1993082827910742E-3</v>
      </c>
      <c r="E79" t="s">
        <v>6</v>
      </c>
      <c r="G79" t="s">
        <v>824</v>
      </c>
      <c r="H79" t="s">
        <v>36</v>
      </c>
      <c r="I79">
        <v>1.1617302325449446E-2</v>
      </c>
      <c r="J79" t="s">
        <v>6</v>
      </c>
      <c r="L79" t="s">
        <v>825</v>
      </c>
      <c r="M79" t="s">
        <v>36</v>
      </c>
      <c r="N79">
        <v>1.4057588531515498E-2</v>
      </c>
      <c r="O79" t="s">
        <v>6</v>
      </c>
    </row>
    <row r="80" spans="2:15" x14ac:dyDescent="0.45">
      <c r="B80" t="s">
        <v>823</v>
      </c>
      <c r="C80" t="s">
        <v>37</v>
      </c>
      <c r="D80">
        <v>1.1156084250663613E-4</v>
      </c>
      <c r="E80" t="s">
        <v>6</v>
      </c>
      <c r="G80" t="s">
        <v>824</v>
      </c>
      <c r="H80" t="s">
        <v>37</v>
      </c>
      <c r="I80">
        <v>2.3296724972423376E-2</v>
      </c>
      <c r="J80" t="s">
        <v>6</v>
      </c>
      <c r="L80" t="s">
        <v>825</v>
      </c>
      <c r="M80" t="s">
        <v>37</v>
      </c>
      <c r="N80">
        <v>2.1593981597279117E-2</v>
      </c>
      <c r="O80" t="s">
        <v>6</v>
      </c>
    </row>
    <row r="81" spans="2:15" x14ac:dyDescent="0.45">
      <c r="B81" t="s">
        <v>823</v>
      </c>
      <c r="C81" t="s">
        <v>38</v>
      </c>
      <c r="D81">
        <v>0</v>
      </c>
      <c r="E81" t="s">
        <v>6</v>
      </c>
      <c r="G81" t="s">
        <v>824</v>
      </c>
      <c r="H81" t="s">
        <v>38</v>
      </c>
      <c r="I81">
        <v>6.0532383875631667E-2</v>
      </c>
      <c r="J81" t="s">
        <v>6</v>
      </c>
      <c r="L81" t="s">
        <v>825</v>
      </c>
      <c r="M81" t="s">
        <v>38</v>
      </c>
      <c r="N81">
        <v>5.7117668393955406E-2</v>
      </c>
      <c r="O81" t="s">
        <v>6</v>
      </c>
    </row>
    <row r="82" spans="2:15" x14ac:dyDescent="0.45">
      <c r="B82" t="s">
        <v>823</v>
      </c>
      <c r="C82" t="s">
        <v>39</v>
      </c>
      <c r="D82">
        <v>0</v>
      </c>
      <c r="E82" t="s">
        <v>6</v>
      </c>
      <c r="G82" t="s">
        <v>824</v>
      </c>
      <c r="H82" t="s">
        <v>39</v>
      </c>
      <c r="I82">
        <v>2.3461748811804892E-2</v>
      </c>
      <c r="J82" t="s">
        <v>6</v>
      </c>
      <c r="L82" t="s">
        <v>825</v>
      </c>
      <c r="M82" t="s">
        <v>39</v>
      </c>
      <c r="N82">
        <v>2.3213552459583547E-2</v>
      </c>
      <c r="O82" t="s">
        <v>6</v>
      </c>
    </row>
    <row r="83" spans="2:15" x14ac:dyDescent="0.45">
      <c r="B83" t="s">
        <v>823</v>
      </c>
      <c r="C83" t="s">
        <v>40</v>
      </c>
      <c r="D83">
        <v>3.0794010387715752E-3</v>
      </c>
      <c r="E83" t="s">
        <v>6</v>
      </c>
      <c r="G83" t="s">
        <v>824</v>
      </c>
      <c r="H83" t="s">
        <v>40</v>
      </c>
      <c r="I83">
        <v>2.3238758273258088E-2</v>
      </c>
      <c r="J83" t="s">
        <v>6</v>
      </c>
      <c r="L83" t="s">
        <v>825</v>
      </c>
      <c r="M83" t="s">
        <v>40</v>
      </c>
      <c r="N83">
        <v>2.3008232204045669E-2</v>
      </c>
      <c r="O83" t="s">
        <v>6</v>
      </c>
    </row>
    <row r="84" spans="2:15" x14ac:dyDescent="0.45">
      <c r="B84" t="s">
        <v>823</v>
      </c>
      <c r="C84" t="s">
        <v>41</v>
      </c>
      <c r="D84">
        <v>2.8286707007066387E-2</v>
      </c>
      <c r="E84" t="s">
        <v>6</v>
      </c>
      <c r="G84" t="s">
        <v>824</v>
      </c>
      <c r="H84" t="s">
        <v>41</v>
      </c>
      <c r="I84">
        <v>2.2476602705680186E-2</v>
      </c>
      <c r="J84" t="s">
        <v>6</v>
      </c>
      <c r="L84" t="s">
        <v>825</v>
      </c>
      <c r="M84" t="s">
        <v>41</v>
      </c>
      <c r="N84">
        <v>2.2832312307562035E-2</v>
      </c>
      <c r="O84" t="s">
        <v>6</v>
      </c>
    </row>
    <row r="85" spans="2:15" x14ac:dyDescent="0.45">
      <c r="B85" t="s">
        <v>823</v>
      </c>
      <c r="C85" t="s">
        <v>42</v>
      </c>
      <c r="D85">
        <v>5.2551535844515905E-2</v>
      </c>
      <c r="E85" t="s">
        <v>6</v>
      </c>
      <c r="G85" t="s">
        <v>824</v>
      </c>
      <c r="H85" t="s">
        <v>42</v>
      </c>
      <c r="I85">
        <v>1.8899042782939177E-2</v>
      </c>
      <c r="J85" t="s">
        <v>6</v>
      </c>
      <c r="L85" t="s">
        <v>825</v>
      </c>
      <c r="M85" t="s">
        <v>42</v>
      </c>
      <c r="N85">
        <v>2.2787271716282347E-2</v>
      </c>
      <c r="O85" t="s">
        <v>6</v>
      </c>
    </row>
    <row r="86" spans="2:15" x14ac:dyDescent="0.45">
      <c r="B86" t="s">
        <v>823</v>
      </c>
      <c r="C86" t="s">
        <v>43</v>
      </c>
      <c r="D86">
        <v>5.581351366605921E-2</v>
      </c>
      <c r="E86" t="s">
        <v>6</v>
      </c>
      <c r="G86" t="s">
        <v>824</v>
      </c>
      <c r="H86" t="s">
        <v>43</v>
      </c>
      <c r="I86">
        <v>2.1214487316351976E-2</v>
      </c>
      <c r="J86" t="s">
        <v>6</v>
      </c>
      <c r="L86" t="s">
        <v>825</v>
      </c>
      <c r="M86" t="s">
        <v>43</v>
      </c>
      <c r="N86">
        <v>2.3027198363654067E-2</v>
      </c>
      <c r="O86" t="s">
        <v>6</v>
      </c>
    </row>
    <row r="87" spans="2:15" x14ac:dyDescent="0.45">
      <c r="B87" t="s">
        <v>823</v>
      </c>
      <c r="C87" t="s">
        <v>44</v>
      </c>
      <c r="D87">
        <v>3.7608975220688609E-2</v>
      </c>
      <c r="E87" t="s">
        <v>6</v>
      </c>
      <c r="G87" t="s">
        <v>824</v>
      </c>
      <c r="H87" t="s">
        <v>44</v>
      </c>
      <c r="I87">
        <v>2.1056445033727961E-2</v>
      </c>
      <c r="J87" t="s">
        <v>6</v>
      </c>
      <c r="L87" t="s">
        <v>825</v>
      </c>
      <c r="M87" t="s">
        <v>44</v>
      </c>
      <c r="N87">
        <v>2.329550842789509E-2</v>
      </c>
      <c r="O87" t="s">
        <v>6</v>
      </c>
    </row>
    <row r="88" spans="2:15" x14ac:dyDescent="0.45">
      <c r="B88" t="s">
        <v>823</v>
      </c>
      <c r="C88" t="s">
        <v>45</v>
      </c>
      <c r="D88">
        <v>9.5668222325182729E-3</v>
      </c>
      <c r="E88" t="s">
        <v>6</v>
      </c>
      <c r="G88" t="s">
        <v>824</v>
      </c>
      <c r="H88" t="s">
        <v>45</v>
      </c>
      <c r="I88">
        <v>2.1521701198009932E-2</v>
      </c>
      <c r="J88" t="s">
        <v>6</v>
      </c>
      <c r="L88" t="s">
        <v>825</v>
      </c>
      <c r="M88" t="s">
        <v>45</v>
      </c>
      <c r="N88">
        <v>2.3258033627352348E-2</v>
      </c>
      <c r="O88" t="s">
        <v>6</v>
      </c>
    </row>
    <row r="89" spans="2:15" x14ac:dyDescent="0.45">
      <c r="B89" t="s">
        <v>823</v>
      </c>
      <c r="C89" t="s">
        <v>46</v>
      </c>
      <c r="D89">
        <v>1.2599918597875855E-4</v>
      </c>
      <c r="E89" t="s">
        <v>6</v>
      </c>
      <c r="G89" t="s">
        <v>824</v>
      </c>
      <c r="H89" t="s">
        <v>46</v>
      </c>
      <c r="I89">
        <v>2.4819245208337629E-2</v>
      </c>
      <c r="J89" t="s">
        <v>6</v>
      </c>
      <c r="L89" t="s">
        <v>825</v>
      </c>
      <c r="M89" t="s">
        <v>46</v>
      </c>
      <c r="N89">
        <v>2.3167705951245475E-2</v>
      </c>
      <c r="O89" t="s">
        <v>6</v>
      </c>
    </row>
    <row r="90" spans="2:15" x14ac:dyDescent="0.45">
      <c r="B90" t="s">
        <v>823</v>
      </c>
      <c r="C90" t="s">
        <v>47</v>
      </c>
      <c r="D90">
        <v>0</v>
      </c>
      <c r="E90" t="s">
        <v>6</v>
      </c>
      <c r="G90" t="s">
        <v>824</v>
      </c>
      <c r="H90" t="s">
        <v>47</v>
      </c>
      <c r="I90">
        <v>3.9492589228661917E-2</v>
      </c>
      <c r="J90" t="s">
        <v>6</v>
      </c>
      <c r="L90" t="s">
        <v>825</v>
      </c>
      <c r="M90" t="s">
        <v>47</v>
      </c>
      <c r="N90">
        <v>3.4153164425342018E-2</v>
      </c>
      <c r="O90" t="s">
        <v>6</v>
      </c>
    </row>
    <row r="91" spans="2:15" x14ac:dyDescent="0.45">
      <c r="B91" t="s">
        <v>826</v>
      </c>
      <c r="C91" t="s">
        <v>5</v>
      </c>
      <c r="D91">
        <v>0</v>
      </c>
      <c r="E91" t="s">
        <v>6</v>
      </c>
      <c r="G91" t="s">
        <v>827</v>
      </c>
      <c r="H91" t="s">
        <v>5</v>
      </c>
      <c r="I91">
        <v>7.0872614205398338E-2</v>
      </c>
      <c r="J91" t="s">
        <v>6</v>
      </c>
      <c r="L91" t="s">
        <v>828</v>
      </c>
      <c r="M91" t="s">
        <v>5</v>
      </c>
      <c r="N91">
        <v>5.9162413028982792E-2</v>
      </c>
      <c r="O91" t="s">
        <v>6</v>
      </c>
    </row>
    <row r="92" spans="2:15" x14ac:dyDescent="0.45">
      <c r="B92" t="s">
        <v>826</v>
      </c>
      <c r="C92" t="s">
        <v>9</v>
      </c>
      <c r="D92">
        <v>0</v>
      </c>
      <c r="E92" t="s">
        <v>6</v>
      </c>
      <c r="G92" t="s">
        <v>827</v>
      </c>
      <c r="H92" t="s">
        <v>9</v>
      </c>
      <c r="I92">
        <v>2.7987558605602553E-2</v>
      </c>
      <c r="J92" t="s">
        <v>6</v>
      </c>
      <c r="L92" t="s">
        <v>828</v>
      </c>
      <c r="M92" t="s">
        <v>9</v>
      </c>
      <c r="N92">
        <v>2.378963500111966E-2</v>
      </c>
      <c r="O92" t="s">
        <v>6</v>
      </c>
    </row>
    <row r="93" spans="2:15" x14ac:dyDescent="0.45">
      <c r="B93" t="s">
        <v>826</v>
      </c>
      <c r="C93" t="s">
        <v>10</v>
      </c>
      <c r="D93">
        <v>0</v>
      </c>
      <c r="E93" t="s">
        <v>6</v>
      </c>
      <c r="G93" t="s">
        <v>827</v>
      </c>
      <c r="H93" t="s">
        <v>10</v>
      </c>
      <c r="I93">
        <v>2.838462645182244E-2</v>
      </c>
      <c r="J93" t="s">
        <v>6</v>
      </c>
      <c r="L93" t="s">
        <v>828</v>
      </c>
      <c r="M93" t="s">
        <v>10</v>
      </c>
      <c r="N93">
        <v>2.355400374143013E-2</v>
      </c>
      <c r="O93" t="s">
        <v>6</v>
      </c>
    </row>
    <row r="94" spans="2:15" x14ac:dyDescent="0.45">
      <c r="B94" t="s">
        <v>826</v>
      </c>
      <c r="C94" t="s">
        <v>11</v>
      </c>
      <c r="D94">
        <v>9.451947857014073E-3</v>
      </c>
      <c r="E94" t="s">
        <v>6</v>
      </c>
      <c r="G94" t="s">
        <v>827</v>
      </c>
      <c r="H94" t="s">
        <v>11</v>
      </c>
      <c r="I94">
        <v>2.8587444963051215E-2</v>
      </c>
      <c r="J94" t="s">
        <v>6</v>
      </c>
      <c r="L94" t="s">
        <v>828</v>
      </c>
      <c r="M94" t="s">
        <v>11</v>
      </c>
      <c r="N94">
        <v>2.3278470306363312E-2</v>
      </c>
      <c r="O94" t="s">
        <v>6</v>
      </c>
    </row>
    <row r="95" spans="2:15" x14ac:dyDescent="0.45">
      <c r="B95" t="s">
        <v>826</v>
      </c>
      <c r="C95" t="s">
        <v>12</v>
      </c>
      <c r="D95">
        <v>3.8571251292543463E-2</v>
      </c>
      <c r="E95" t="s">
        <v>6</v>
      </c>
      <c r="G95" t="s">
        <v>827</v>
      </c>
      <c r="H95" t="s">
        <v>12</v>
      </c>
      <c r="I95">
        <v>2.4003318815188267E-2</v>
      </c>
      <c r="J95" t="s">
        <v>6</v>
      </c>
      <c r="L95" t="s">
        <v>828</v>
      </c>
      <c r="M95" t="s">
        <v>12</v>
      </c>
      <c r="N95">
        <v>2.340516156297508E-2</v>
      </c>
      <c r="O95" t="s">
        <v>6</v>
      </c>
    </row>
    <row r="96" spans="2:15" x14ac:dyDescent="0.45">
      <c r="B96" t="s">
        <v>826</v>
      </c>
      <c r="C96" t="s">
        <v>13</v>
      </c>
      <c r="D96">
        <v>4.7673295544387276E-2</v>
      </c>
      <c r="E96" t="s">
        <v>6</v>
      </c>
      <c r="G96" t="s">
        <v>827</v>
      </c>
      <c r="H96" t="s">
        <v>13</v>
      </c>
      <c r="I96">
        <v>2.4420740306682724E-2</v>
      </c>
      <c r="J96" t="s">
        <v>6</v>
      </c>
      <c r="L96" t="s">
        <v>828</v>
      </c>
      <c r="M96" t="s">
        <v>13</v>
      </c>
      <c r="N96">
        <v>2.3547340076876436E-2</v>
      </c>
      <c r="O96" t="s">
        <v>6</v>
      </c>
    </row>
    <row r="97" spans="2:15" x14ac:dyDescent="0.45">
      <c r="B97" t="s">
        <v>826</v>
      </c>
      <c r="C97" t="s">
        <v>14</v>
      </c>
      <c r="D97">
        <v>3.1940098823814926E-2</v>
      </c>
      <c r="E97" t="s">
        <v>6</v>
      </c>
      <c r="G97" t="s">
        <v>827</v>
      </c>
      <c r="H97" t="s">
        <v>14</v>
      </c>
      <c r="I97">
        <v>2.4799698936849208E-2</v>
      </c>
      <c r="J97" t="s">
        <v>6</v>
      </c>
      <c r="L97" t="s">
        <v>828</v>
      </c>
      <c r="M97" t="s">
        <v>14</v>
      </c>
      <c r="N97">
        <v>2.3517002761543108E-2</v>
      </c>
      <c r="O97" t="s">
        <v>6</v>
      </c>
    </row>
    <row r="98" spans="2:15" x14ac:dyDescent="0.45">
      <c r="B98" t="s">
        <v>826</v>
      </c>
      <c r="C98" t="s">
        <v>15</v>
      </c>
      <c r="D98">
        <v>5.5869294599792943E-3</v>
      </c>
      <c r="E98" t="s">
        <v>6</v>
      </c>
      <c r="G98" t="s">
        <v>827</v>
      </c>
      <c r="H98" t="s">
        <v>15</v>
      </c>
      <c r="I98">
        <v>2.6244311994613724E-2</v>
      </c>
      <c r="J98" t="s">
        <v>6</v>
      </c>
      <c r="L98" t="s">
        <v>828</v>
      </c>
      <c r="M98" t="s">
        <v>15</v>
      </c>
      <c r="N98">
        <v>2.3632086748565664E-2</v>
      </c>
      <c r="O98" t="s">
        <v>6</v>
      </c>
    </row>
    <row r="99" spans="2:15" x14ac:dyDescent="0.45">
      <c r="B99" t="s">
        <v>826</v>
      </c>
      <c r="C99" t="s">
        <v>16</v>
      </c>
      <c r="D99">
        <v>0</v>
      </c>
      <c r="E99" t="s">
        <v>6</v>
      </c>
      <c r="G99" t="s">
        <v>827</v>
      </c>
      <c r="H99" t="s">
        <v>16</v>
      </c>
      <c r="I99">
        <v>2.7525872660829922E-2</v>
      </c>
      <c r="J99" t="s">
        <v>6</v>
      </c>
      <c r="L99" t="s">
        <v>828</v>
      </c>
      <c r="M99" t="s">
        <v>16</v>
      </c>
      <c r="N99">
        <v>2.3862740530839206E-2</v>
      </c>
      <c r="O99" t="s">
        <v>6</v>
      </c>
    </row>
    <row r="100" spans="2:15" x14ac:dyDescent="0.45">
      <c r="B100" t="s">
        <v>826</v>
      </c>
      <c r="C100" t="s">
        <v>17</v>
      </c>
      <c r="D100">
        <v>0</v>
      </c>
      <c r="E100" t="s">
        <v>6</v>
      </c>
      <c r="G100" t="s">
        <v>827</v>
      </c>
      <c r="H100" t="s">
        <v>17</v>
      </c>
      <c r="I100">
        <v>4.1965584504852119E-2</v>
      </c>
      <c r="J100" t="s">
        <v>6</v>
      </c>
      <c r="L100" t="s">
        <v>828</v>
      </c>
      <c r="M100" t="s">
        <v>17</v>
      </c>
      <c r="N100">
        <v>3.5925846908559253E-2</v>
      </c>
      <c r="O100" t="s">
        <v>6</v>
      </c>
    </row>
    <row r="101" spans="2:15" x14ac:dyDescent="0.45">
      <c r="B101" t="s">
        <v>826</v>
      </c>
      <c r="C101" t="s">
        <v>18</v>
      </c>
      <c r="D101">
        <v>0</v>
      </c>
      <c r="E101" t="s">
        <v>6</v>
      </c>
      <c r="G101" t="s">
        <v>827</v>
      </c>
      <c r="H101" t="s">
        <v>18</v>
      </c>
      <c r="I101">
        <v>5.257897704243205E-2</v>
      </c>
      <c r="J101" t="s">
        <v>6</v>
      </c>
      <c r="L101" t="s">
        <v>828</v>
      </c>
      <c r="M101" t="s">
        <v>18</v>
      </c>
      <c r="N101">
        <v>5.317598588229485E-2</v>
      </c>
      <c r="O101" t="s">
        <v>6</v>
      </c>
    </row>
    <row r="102" spans="2:15" x14ac:dyDescent="0.45">
      <c r="B102" t="s">
        <v>826</v>
      </c>
      <c r="C102" t="s">
        <v>19</v>
      </c>
      <c r="D102">
        <v>1.6522986164150912E-4</v>
      </c>
      <c r="E102" t="s">
        <v>6</v>
      </c>
      <c r="G102" t="s">
        <v>827</v>
      </c>
      <c r="H102" t="s">
        <v>19</v>
      </c>
      <c r="I102">
        <v>2.033999835301872E-2</v>
      </c>
      <c r="J102" t="s">
        <v>6</v>
      </c>
      <c r="L102" t="s">
        <v>828</v>
      </c>
      <c r="M102" t="s">
        <v>19</v>
      </c>
      <c r="N102">
        <v>2.1514840978455529E-2</v>
      </c>
      <c r="O102" t="s">
        <v>6</v>
      </c>
    </row>
    <row r="103" spans="2:15" x14ac:dyDescent="0.45">
      <c r="B103" t="s">
        <v>826</v>
      </c>
      <c r="C103" t="s">
        <v>20</v>
      </c>
      <c r="D103">
        <v>8.5441012306971629E-3</v>
      </c>
      <c r="E103" t="s">
        <v>6</v>
      </c>
      <c r="G103" t="s">
        <v>827</v>
      </c>
      <c r="H103" t="s">
        <v>20</v>
      </c>
      <c r="I103">
        <v>1.9640273798696904E-2</v>
      </c>
      <c r="J103" t="s">
        <v>6</v>
      </c>
      <c r="L103" t="s">
        <v>828</v>
      </c>
      <c r="M103" t="s">
        <v>20</v>
      </c>
      <c r="N103">
        <v>2.1627715073870707E-2</v>
      </c>
      <c r="O103" t="s">
        <v>6</v>
      </c>
    </row>
    <row r="104" spans="2:15" x14ac:dyDescent="0.45">
      <c r="B104" t="s">
        <v>826</v>
      </c>
      <c r="C104" t="s">
        <v>21</v>
      </c>
      <c r="D104">
        <v>4.3942104075462535E-2</v>
      </c>
      <c r="E104" t="s">
        <v>6</v>
      </c>
      <c r="G104" t="s">
        <v>827</v>
      </c>
      <c r="H104" t="s">
        <v>21</v>
      </c>
      <c r="I104">
        <v>2.0200978819653499E-2</v>
      </c>
      <c r="J104" t="s">
        <v>6</v>
      </c>
      <c r="L104" t="s">
        <v>828</v>
      </c>
      <c r="M104" t="s">
        <v>21</v>
      </c>
      <c r="N104">
        <v>2.1626238954775712E-2</v>
      </c>
      <c r="O104" t="s">
        <v>6</v>
      </c>
    </row>
    <row r="105" spans="2:15" x14ac:dyDescent="0.45">
      <c r="B105" t="s">
        <v>826</v>
      </c>
      <c r="C105" t="s">
        <v>22</v>
      </c>
      <c r="D105">
        <v>7.2879114527299074E-2</v>
      </c>
      <c r="E105" t="s">
        <v>6</v>
      </c>
      <c r="G105" t="s">
        <v>827</v>
      </c>
      <c r="H105" t="s">
        <v>22</v>
      </c>
      <c r="I105">
        <v>1.8522794173356148E-2</v>
      </c>
      <c r="J105" t="s">
        <v>6</v>
      </c>
      <c r="L105" t="s">
        <v>828</v>
      </c>
      <c r="M105" t="s">
        <v>22</v>
      </c>
      <c r="N105">
        <v>2.1613069217905428E-2</v>
      </c>
      <c r="O105" t="s">
        <v>6</v>
      </c>
    </row>
    <row r="106" spans="2:15" x14ac:dyDescent="0.45">
      <c r="B106" t="s">
        <v>826</v>
      </c>
      <c r="C106" t="s">
        <v>23</v>
      </c>
      <c r="D106">
        <v>8.1254584175061609E-2</v>
      </c>
      <c r="E106" t="s">
        <v>6</v>
      </c>
      <c r="G106" t="s">
        <v>827</v>
      </c>
      <c r="H106" t="s">
        <v>23</v>
      </c>
      <c r="I106">
        <v>2.0507987429863282E-2</v>
      </c>
      <c r="J106" t="s">
        <v>6</v>
      </c>
      <c r="L106" t="s">
        <v>828</v>
      </c>
      <c r="M106" t="s">
        <v>23</v>
      </c>
      <c r="N106">
        <v>2.2071991427808444E-2</v>
      </c>
      <c r="O106" t="s">
        <v>6</v>
      </c>
    </row>
    <row r="107" spans="2:15" x14ac:dyDescent="0.45">
      <c r="B107" t="s">
        <v>826</v>
      </c>
      <c r="C107" t="s">
        <v>24</v>
      </c>
      <c r="D107">
        <v>6.6028759870842557E-2</v>
      </c>
      <c r="E107" t="s">
        <v>6</v>
      </c>
      <c r="G107" t="s">
        <v>827</v>
      </c>
      <c r="H107" t="s">
        <v>24</v>
      </c>
      <c r="I107">
        <v>2.1168644829699084E-2</v>
      </c>
      <c r="J107" t="s">
        <v>6</v>
      </c>
      <c r="L107" t="s">
        <v>828</v>
      </c>
      <c r="M107" t="s">
        <v>24</v>
      </c>
      <c r="N107">
        <v>2.265680276673528E-2</v>
      </c>
      <c r="O107" t="s">
        <v>6</v>
      </c>
    </row>
    <row r="108" spans="2:15" x14ac:dyDescent="0.45">
      <c r="B108" t="s">
        <v>826</v>
      </c>
      <c r="C108" t="s">
        <v>25</v>
      </c>
      <c r="D108">
        <v>3.3195531283736444E-2</v>
      </c>
      <c r="E108" t="s">
        <v>6</v>
      </c>
      <c r="G108" t="s">
        <v>827</v>
      </c>
      <c r="H108" t="s">
        <v>25</v>
      </c>
      <c r="I108">
        <v>1.9847664705111668E-2</v>
      </c>
      <c r="J108" t="s">
        <v>6</v>
      </c>
      <c r="L108" t="s">
        <v>828</v>
      </c>
      <c r="M108" t="s">
        <v>25</v>
      </c>
      <c r="N108">
        <v>2.2780664904197584E-2</v>
      </c>
      <c r="O108" t="s">
        <v>6</v>
      </c>
    </row>
    <row r="109" spans="2:15" x14ac:dyDescent="0.45">
      <c r="B109" t="s">
        <v>826</v>
      </c>
      <c r="C109" t="s">
        <v>26</v>
      </c>
      <c r="D109">
        <v>4.2442448094025184E-3</v>
      </c>
      <c r="E109" t="s">
        <v>6</v>
      </c>
      <c r="G109" t="s">
        <v>827</v>
      </c>
      <c r="H109" t="s">
        <v>26</v>
      </c>
      <c r="I109">
        <v>2.0529804143353831E-2</v>
      </c>
      <c r="J109" t="s">
        <v>6</v>
      </c>
      <c r="L109" t="s">
        <v>828</v>
      </c>
      <c r="M109" t="s">
        <v>26</v>
      </c>
      <c r="N109">
        <v>2.2694343555589011E-2</v>
      </c>
      <c r="O109" t="s">
        <v>6</v>
      </c>
    </row>
    <row r="110" spans="2:15" x14ac:dyDescent="0.45">
      <c r="B110" t="s">
        <v>826</v>
      </c>
      <c r="C110" t="s">
        <v>27</v>
      </c>
      <c r="D110">
        <v>6.670183665694941E-6</v>
      </c>
      <c r="E110" t="s">
        <v>6</v>
      </c>
      <c r="G110" t="s">
        <v>827</v>
      </c>
      <c r="H110" t="s">
        <v>27</v>
      </c>
      <c r="I110">
        <v>3.3062107702070978E-2</v>
      </c>
      <c r="J110" t="s">
        <v>6</v>
      </c>
      <c r="L110" t="s">
        <v>828</v>
      </c>
      <c r="M110" t="s">
        <v>27</v>
      </c>
      <c r="N110">
        <v>3.3274129191013538E-2</v>
      </c>
      <c r="O110" t="s">
        <v>6</v>
      </c>
    </row>
    <row r="111" spans="2:15" x14ac:dyDescent="0.45">
      <c r="B111" t="s">
        <v>826</v>
      </c>
      <c r="C111" t="s">
        <v>28</v>
      </c>
      <c r="D111">
        <v>0</v>
      </c>
      <c r="E111" t="s">
        <v>6</v>
      </c>
      <c r="G111" t="s">
        <v>827</v>
      </c>
      <c r="H111" t="s">
        <v>28</v>
      </c>
      <c r="I111">
        <v>3.9273708243537056E-2</v>
      </c>
      <c r="J111" t="s">
        <v>6</v>
      </c>
      <c r="L111" t="s">
        <v>828</v>
      </c>
      <c r="M111" t="s">
        <v>28</v>
      </c>
      <c r="N111">
        <v>3.9512464537857887E-2</v>
      </c>
      <c r="O111" t="s">
        <v>6</v>
      </c>
    </row>
    <row r="112" spans="2:15" x14ac:dyDescent="0.45">
      <c r="B112" t="s">
        <v>826</v>
      </c>
      <c r="C112" t="s">
        <v>29</v>
      </c>
      <c r="D112">
        <v>6.9393815154667208E-4</v>
      </c>
      <c r="E112" t="s">
        <v>6</v>
      </c>
      <c r="G112" t="s">
        <v>827</v>
      </c>
      <c r="H112" t="s">
        <v>29</v>
      </c>
      <c r="I112">
        <v>1.3961358230488522E-2</v>
      </c>
      <c r="J112" t="s">
        <v>6</v>
      </c>
      <c r="L112" t="s">
        <v>828</v>
      </c>
      <c r="M112" t="s">
        <v>29</v>
      </c>
      <c r="N112">
        <v>1.5619866725963466E-2</v>
      </c>
      <c r="O112" t="s">
        <v>6</v>
      </c>
    </row>
    <row r="113" spans="2:15" x14ac:dyDescent="0.45">
      <c r="B113" t="s">
        <v>826</v>
      </c>
      <c r="C113" t="s">
        <v>30</v>
      </c>
      <c r="D113">
        <v>1.3699994484637868E-2</v>
      </c>
      <c r="E113" t="s">
        <v>6</v>
      </c>
      <c r="G113" t="s">
        <v>827</v>
      </c>
      <c r="H113" t="s">
        <v>30</v>
      </c>
      <c r="I113">
        <v>1.2040781834840704E-2</v>
      </c>
      <c r="J113" t="s">
        <v>6</v>
      </c>
      <c r="L113" t="s">
        <v>828</v>
      </c>
      <c r="M113" t="s">
        <v>30</v>
      </c>
      <c r="N113">
        <v>1.5051541854505232E-2</v>
      </c>
      <c r="O113" t="s">
        <v>6</v>
      </c>
    </row>
    <row r="114" spans="2:15" x14ac:dyDescent="0.45">
      <c r="B114" t="s">
        <v>826</v>
      </c>
      <c r="C114" t="s">
        <v>31</v>
      </c>
      <c r="D114">
        <v>5.0010839157304247E-2</v>
      </c>
      <c r="E114" t="s">
        <v>6</v>
      </c>
      <c r="G114" t="s">
        <v>827</v>
      </c>
      <c r="H114" t="s">
        <v>31</v>
      </c>
      <c r="I114">
        <v>1.1382833363081756E-2</v>
      </c>
      <c r="J114" t="s">
        <v>6</v>
      </c>
      <c r="L114" t="s">
        <v>828</v>
      </c>
      <c r="M114" t="s">
        <v>31</v>
      </c>
      <c r="N114">
        <v>1.4213320297574968E-2</v>
      </c>
      <c r="O114" t="s">
        <v>6</v>
      </c>
    </row>
    <row r="115" spans="2:15" x14ac:dyDescent="0.45">
      <c r="B115" t="s">
        <v>826</v>
      </c>
      <c r="C115" t="s">
        <v>32</v>
      </c>
      <c r="D115">
        <v>8.06600084033475E-2</v>
      </c>
      <c r="E115" t="s">
        <v>6</v>
      </c>
      <c r="G115" t="s">
        <v>827</v>
      </c>
      <c r="H115" t="s">
        <v>32</v>
      </c>
      <c r="I115">
        <v>9.5136713345749628E-3</v>
      </c>
      <c r="J115" t="s">
        <v>6</v>
      </c>
      <c r="L115" t="s">
        <v>828</v>
      </c>
      <c r="M115" t="s">
        <v>32</v>
      </c>
      <c r="N115">
        <v>1.3648758094742544E-2</v>
      </c>
      <c r="O115" t="s">
        <v>6</v>
      </c>
    </row>
    <row r="116" spans="2:15" x14ac:dyDescent="0.45">
      <c r="B116" t="s">
        <v>826</v>
      </c>
      <c r="C116" t="s">
        <v>33</v>
      </c>
      <c r="D116">
        <v>8.9951456140462266E-2</v>
      </c>
      <c r="E116" t="s">
        <v>6</v>
      </c>
      <c r="G116" t="s">
        <v>827</v>
      </c>
      <c r="H116" t="s">
        <v>33</v>
      </c>
      <c r="I116">
        <v>1.1767197625500813E-2</v>
      </c>
      <c r="J116" t="s">
        <v>6</v>
      </c>
      <c r="L116" t="s">
        <v>828</v>
      </c>
      <c r="M116" t="s">
        <v>33</v>
      </c>
      <c r="N116">
        <v>1.3909028219178637E-2</v>
      </c>
      <c r="O116" t="s">
        <v>6</v>
      </c>
    </row>
    <row r="117" spans="2:15" x14ac:dyDescent="0.45">
      <c r="B117" t="s">
        <v>826</v>
      </c>
      <c r="C117" t="s">
        <v>34</v>
      </c>
      <c r="D117">
        <v>7.8174716746146566E-2</v>
      </c>
      <c r="E117" t="s">
        <v>6</v>
      </c>
      <c r="G117" t="s">
        <v>827</v>
      </c>
      <c r="H117" t="s">
        <v>34</v>
      </c>
      <c r="I117">
        <v>1.2573042751362659E-2</v>
      </c>
      <c r="J117" t="s">
        <v>6</v>
      </c>
      <c r="L117" t="s">
        <v>828</v>
      </c>
      <c r="M117" t="s">
        <v>34</v>
      </c>
      <c r="N117">
        <v>1.4223176438660792E-2</v>
      </c>
      <c r="O117" t="s">
        <v>6</v>
      </c>
    </row>
    <row r="118" spans="2:15" x14ac:dyDescent="0.45">
      <c r="B118" t="s">
        <v>826</v>
      </c>
      <c r="C118" t="s">
        <v>35</v>
      </c>
      <c r="D118">
        <v>4.5597309359999179E-2</v>
      </c>
      <c r="E118" t="s">
        <v>6</v>
      </c>
      <c r="G118" t="s">
        <v>827</v>
      </c>
      <c r="H118" t="s">
        <v>35</v>
      </c>
      <c r="I118">
        <v>1.2692879969667047E-2</v>
      </c>
      <c r="J118" t="s">
        <v>6</v>
      </c>
      <c r="L118" t="s">
        <v>828</v>
      </c>
      <c r="M118" t="s">
        <v>35</v>
      </c>
      <c r="N118">
        <v>1.4027935575784509E-2</v>
      </c>
      <c r="O118" t="s">
        <v>6</v>
      </c>
    </row>
    <row r="119" spans="2:15" x14ac:dyDescent="0.45">
      <c r="B119" t="s">
        <v>826</v>
      </c>
      <c r="C119" t="s">
        <v>36</v>
      </c>
      <c r="D119">
        <v>9.5989657073440003E-3</v>
      </c>
      <c r="E119" t="s">
        <v>6</v>
      </c>
      <c r="G119" t="s">
        <v>827</v>
      </c>
      <c r="H119" t="s">
        <v>36</v>
      </c>
      <c r="I119">
        <v>1.3592904504868631E-2</v>
      </c>
      <c r="J119" t="s">
        <v>6</v>
      </c>
      <c r="L119" t="s">
        <v>828</v>
      </c>
      <c r="M119" t="s">
        <v>36</v>
      </c>
      <c r="N119">
        <v>1.3950034580069054E-2</v>
      </c>
      <c r="O119" t="s">
        <v>6</v>
      </c>
    </row>
    <row r="120" spans="2:15" x14ac:dyDescent="0.45">
      <c r="B120" t="s">
        <v>826</v>
      </c>
      <c r="C120" t="s">
        <v>37</v>
      </c>
      <c r="D120">
        <v>1.6686847821976441E-4</v>
      </c>
      <c r="E120" t="s">
        <v>6</v>
      </c>
      <c r="G120" t="s">
        <v>827</v>
      </c>
      <c r="H120" t="s">
        <v>37</v>
      </c>
      <c r="I120">
        <v>2.4644429578700087E-2</v>
      </c>
      <c r="J120" t="s">
        <v>6</v>
      </c>
      <c r="L120" t="s">
        <v>828</v>
      </c>
      <c r="M120" t="s">
        <v>37</v>
      </c>
      <c r="N120">
        <v>2.130403369109737E-2</v>
      </c>
      <c r="O120" t="s">
        <v>6</v>
      </c>
    </row>
    <row r="121" spans="2:15" x14ac:dyDescent="0.45">
      <c r="B121" t="s">
        <v>826</v>
      </c>
      <c r="C121" t="s">
        <v>38</v>
      </c>
      <c r="D121">
        <v>0</v>
      </c>
      <c r="E121" t="s">
        <v>6</v>
      </c>
      <c r="G121" t="s">
        <v>827</v>
      </c>
      <c r="H121" t="s">
        <v>38</v>
      </c>
      <c r="I121">
        <v>5.6923556411181402E-2</v>
      </c>
      <c r="J121" t="s">
        <v>6</v>
      </c>
      <c r="L121" t="s">
        <v>828</v>
      </c>
      <c r="M121" t="s">
        <v>38</v>
      </c>
      <c r="N121">
        <v>5.7845408974549123E-2</v>
      </c>
      <c r="O121" t="s">
        <v>6</v>
      </c>
    </row>
    <row r="122" spans="2:15" x14ac:dyDescent="0.45">
      <c r="B122" t="s">
        <v>826</v>
      </c>
      <c r="C122" t="s">
        <v>39</v>
      </c>
      <c r="D122">
        <v>0</v>
      </c>
      <c r="E122" t="s">
        <v>6</v>
      </c>
      <c r="G122" t="s">
        <v>827</v>
      </c>
      <c r="H122" t="s">
        <v>39</v>
      </c>
      <c r="I122">
        <v>2.2395756931178155E-2</v>
      </c>
      <c r="J122" t="s">
        <v>6</v>
      </c>
      <c r="L122" t="s">
        <v>828</v>
      </c>
      <c r="M122" t="s">
        <v>39</v>
      </c>
      <c r="N122">
        <v>2.3104597780724975E-2</v>
      </c>
      <c r="O122" t="s">
        <v>6</v>
      </c>
    </row>
    <row r="123" spans="2:15" x14ac:dyDescent="0.45">
      <c r="B123" t="s">
        <v>826</v>
      </c>
      <c r="C123" t="s">
        <v>40</v>
      </c>
      <c r="D123">
        <v>2.1587178102447208E-3</v>
      </c>
      <c r="E123" t="s">
        <v>6</v>
      </c>
      <c r="G123" t="s">
        <v>827</v>
      </c>
      <c r="H123" t="s">
        <v>40</v>
      </c>
      <c r="I123">
        <v>2.2103701253491176E-2</v>
      </c>
      <c r="J123" t="s">
        <v>6</v>
      </c>
      <c r="L123" t="s">
        <v>828</v>
      </c>
      <c r="M123" t="s">
        <v>40</v>
      </c>
      <c r="N123">
        <v>2.3137113460880151E-2</v>
      </c>
      <c r="O123" t="s">
        <v>6</v>
      </c>
    </row>
    <row r="124" spans="2:15" x14ac:dyDescent="0.45">
      <c r="B124" t="s">
        <v>826</v>
      </c>
      <c r="C124" t="s">
        <v>41</v>
      </c>
      <c r="D124">
        <v>2.5479626107882784E-2</v>
      </c>
      <c r="E124" t="s">
        <v>6</v>
      </c>
      <c r="G124" t="s">
        <v>827</v>
      </c>
      <c r="H124" t="s">
        <v>41</v>
      </c>
      <c r="I124">
        <v>2.113405615506176E-2</v>
      </c>
      <c r="J124" t="s">
        <v>6</v>
      </c>
      <c r="L124" t="s">
        <v>828</v>
      </c>
      <c r="M124" t="s">
        <v>41</v>
      </c>
      <c r="N124">
        <v>2.3056493084339567E-2</v>
      </c>
      <c r="O124" t="s">
        <v>6</v>
      </c>
    </row>
    <row r="125" spans="2:15" x14ac:dyDescent="0.45">
      <c r="B125" t="s">
        <v>826</v>
      </c>
      <c r="C125" t="s">
        <v>42</v>
      </c>
      <c r="D125">
        <v>5.1554261607752089E-2</v>
      </c>
      <c r="E125" t="s">
        <v>6</v>
      </c>
      <c r="G125" t="s">
        <v>827</v>
      </c>
      <c r="H125" t="s">
        <v>42</v>
      </c>
      <c r="I125">
        <v>1.8141366672685868E-2</v>
      </c>
      <c r="J125" t="s">
        <v>6</v>
      </c>
      <c r="L125" t="s">
        <v>828</v>
      </c>
      <c r="M125" t="s">
        <v>42</v>
      </c>
      <c r="N125">
        <v>2.3266968434581533E-2</v>
      </c>
      <c r="O125" t="s">
        <v>6</v>
      </c>
    </row>
    <row r="126" spans="2:15" x14ac:dyDescent="0.45">
      <c r="B126" t="s">
        <v>826</v>
      </c>
      <c r="C126" t="s">
        <v>43</v>
      </c>
      <c r="D126">
        <v>5.8034817764080419E-2</v>
      </c>
      <c r="E126" t="s">
        <v>6</v>
      </c>
      <c r="G126" t="s">
        <v>827</v>
      </c>
      <c r="H126" t="s">
        <v>43</v>
      </c>
      <c r="I126">
        <v>2.1125619292126065E-2</v>
      </c>
      <c r="J126" t="s">
        <v>6</v>
      </c>
      <c r="L126" t="s">
        <v>828</v>
      </c>
      <c r="M126" t="s">
        <v>43</v>
      </c>
      <c r="N126">
        <v>2.3400976411311961E-2</v>
      </c>
      <c r="O126" t="s">
        <v>6</v>
      </c>
    </row>
    <row r="127" spans="2:15" x14ac:dyDescent="0.45">
      <c r="B127" t="s">
        <v>826</v>
      </c>
      <c r="C127" t="s">
        <v>44</v>
      </c>
      <c r="D127">
        <v>3.8835271400024511E-2</v>
      </c>
      <c r="E127" t="s">
        <v>6</v>
      </c>
      <c r="G127" t="s">
        <v>827</v>
      </c>
      <c r="H127" t="s">
        <v>44</v>
      </c>
      <c r="I127">
        <v>2.1637743993149314E-2</v>
      </c>
      <c r="J127" t="s">
        <v>6</v>
      </c>
      <c r="L127" t="s">
        <v>828</v>
      </c>
      <c r="M127" t="s">
        <v>44</v>
      </c>
      <c r="N127">
        <v>2.3567611946003757E-2</v>
      </c>
      <c r="O127" t="s">
        <v>6</v>
      </c>
    </row>
    <row r="128" spans="2:15" x14ac:dyDescent="0.45">
      <c r="B128" t="s">
        <v>826</v>
      </c>
      <c r="C128" t="s">
        <v>45</v>
      </c>
      <c r="D128">
        <v>1.1600177321680963E-2</v>
      </c>
      <c r="E128" t="s">
        <v>6</v>
      </c>
      <c r="G128" t="s">
        <v>827</v>
      </c>
      <c r="H128" t="s">
        <v>45</v>
      </c>
      <c r="I128">
        <v>2.1858950216490189E-2</v>
      </c>
      <c r="J128" t="s">
        <v>6</v>
      </c>
      <c r="L128" t="s">
        <v>828</v>
      </c>
      <c r="M128" t="s">
        <v>45</v>
      </c>
      <c r="N128">
        <v>2.3307440979272325E-2</v>
      </c>
      <c r="O128" t="s">
        <v>6</v>
      </c>
    </row>
    <row r="129" spans="2:15" x14ac:dyDescent="0.45">
      <c r="B129" t="s">
        <v>826</v>
      </c>
      <c r="C129" t="s">
        <v>46</v>
      </c>
      <c r="D129">
        <v>2.9916836377843196E-4</v>
      </c>
      <c r="E129" t="s">
        <v>6</v>
      </c>
      <c r="G129" t="s">
        <v>827</v>
      </c>
      <c r="H129" t="s">
        <v>46</v>
      </c>
      <c r="I129">
        <v>2.4396126092437138E-2</v>
      </c>
      <c r="J129" t="s">
        <v>6</v>
      </c>
      <c r="L129" t="s">
        <v>828</v>
      </c>
      <c r="M129" t="s">
        <v>46</v>
      </c>
      <c r="N129">
        <v>2.2990848125807359E-2</v>
      </c>
      <c r="O129" t="s">
        <v>6</v>
      </c>
    </row>
    <row r="130" spans="2:15" x14ac:dyDescent="0.45">
      <c r="B130" t="s">
        <v>826</v>
      </c>
      <c r="C130" t="s">
        <v>47</v>
      </c>
      <c r="D130">
        <v>0</v>
      </c>
      <c r="E130" t="s">
        <v>6</v>
      </c>
      <c r="G130" t="s">
        <v>827</v>
      </c>
      <c r="H130" t="s">
        <v>47</v>
      </c>
      <c r="I130">
        <v>3.7649313103428762E-2</v>
      </c>
      <c r="J130" t="s">
        <v>6</v>
      </c>
      <c r="L130" t="s">
        <v>828</v>
      </c>
      <c r="M130" t="s">
        <v>47</v>
      </c>
      <c r="N130">
        <v>3.4151898167194064E-2</v>
      </c>
      <c r="O130" t="s">
        <v>6</v>
      </c>
    </row>
    <row r="131" spans="2:15" x14ac:dyDescent="0.45">
      <c r="B131" t="s">
        <v>829</v>
      </c>
      <c r="C131" t="s">
        <v>5</v>
      </c>
      <c r="D131">
        <v>0</v>
      </c>
      <c r="E131" t="s">
        <v>6</v>
      </c>
      <c r="G131" t="s">
        <v>830</v>
      </c>
      <c r="H131" t="s">
        <v>5</v>
      </c>
      <c r="I131">
        <v>6.8994917351973564E-2</v>
      </c>
      <c r="J131" t="s">
        <v>6</v>
      </c>
      <c r="L131" t="s">
        <v>831</v>
      </c>
      <c r="M131" t="s">
        <v>5</v>
      </c>
      <c r="N131">
        <v>5.9008157134589692E-2</v>
      </c>
      <c r="O131" t="s">
        <v>6</v>
      </c>
    </row>
    <row r="132" spans="2:15" x14ac:dyDescent="0.45">
      <c r="B132" t="s">
        <v>829</v>
      </c>
      <c r="C132" t="s">
        <v>9</v>
      </c>
      <c r="D132">
        <v>0</v>
      </c>
      <c r="E132" t="s">
        <v>6</v>
      </c>
      <c r="G132" t="s">
        <v>830</v>
      </c>
      <c r="H132" t="s">
        <v>9</v>
      </c>
      <c r="I132">
        <v>2.7020301216068347E-2</v>
      </c>
      <c r="J132" t="s">
        <v>6</v>
      </c>
      <c r="L132" t="s">
        <v>831</v>
      </c>
      <c r="M132" t="s">
        <v>9</v>
      </c>
      <c r="N132">
        <v>2.3487377925717926E-2</v>
      </c>
      <c r="O132" t="s">
        <v>6</v>
      </c>
    </row>
    <row r="133" spans="2:15" x14ac:dyDescent="0.45">
      <c r="B133" t="s">
        <v>829</v>
      </c>
      <c r="C133" t="s">
        <v>10</v>
      </c>
      <c r="D133">
        <v>0</v>
      </c>
      <c r="E133" t="s">
        <v>6</v>
      </c>
      <c r="G133" t="s">
        <v>830</v>
      </c>
      <c r="H133" t="s">
        <v>10</v>
      </c>
      <c r="I133">
        <v>2.7430503683273134E-2</v>
      </c>
      <c r="J133" t="s">
        <v>6</v>
      </c>
      <c r="L133" t="s">
        <v>831</v>
      </c>
      <c r="M133" t="s">
        <v>10</v>
      </c>
      <c r="N133">
        <v>2.3542640090321816E-2</v>
      </c>
      <c r="O133" t="s">
        <v>6</v>
      </c>
    </row>
    <row r="134" spans="2:15" x14ac:dyDescent="0.45">
      <c r="B134" t="s">
        <v>829</v>
      </c>
      <c r="C134" t="s">
        <v>11</v>
      </c>
      <c r="D134">
        <v>9.4381232329340831E-3</v>
      </c>
      <c r="E134" t="s">
        <v>6</v>
      </c>
      <c r="G134" t="s">
        <v>830</v>
      </c>
      <c r="H134" t="s">
        <v>11</v>
      </c>
      <c r="I134">
        <v>2.7706128534724078E-2</v>
      </c>
      <c r="J134" t="s">
        <v>6</v>
      </c>
      <c r="L134" t="s">
        <v>831</v>
      </c>
      <c r="M134" t="s">
        <v>11</v>
      </c>
      <c r="N134">
        <v>2.3238560865171665E-2</v>
      </c>
      <c r="O134" t="s">
        <v>6</v>
      </c>
    </row>
    <row r="135" spans="2:15" x14ac:dyDescent="0.45">
      <c r="B135" t="s">
        <v>829</v>
      </c>
      <c r="C135" t="s">
        <v>12</v>
      </c>
      <c r="D135">
        <v>3.8059887849895446E-2</v>
      </c>
      <c r="E135" t="s">
        <v>6</v>
      </c>
      <c r="G135" t="s">
        <v>830</v>
      </c>
      <c r="H135" t="s">
        <v>12</v>
      </c>
      <c r="I135">
        <v>2.3710435157793242E-2</v>
      </c>
      <c r="J135" t="s">
        <v>6</v>
      </c>
      <c r="L135" t="s">
        <v>831</v>
      </c>
      <c r="M135" t="s">
        <v>12</v>
      </c>
      <c r="N135">
        <v>2.3452508571316765E-2</v>
      </c>
      <c r="O135" t="s">
        <v>6</v>
      </c>
    </row>
    <row r="136" spans="2:15" x14ac:dyDescent="0.45">
      <c r="B136" t="s">
        <v>829</v>
      </c>
      <c r="C136" t="s">
        <v>13</v>
      </c>
      <c r="D136">
        <v>4.837542663052203E-2</v>
      </c>
      <c r="E136" t="s">
        <v>6</v>
      </c>
      <c r="G136" t="s">
        <v>830</v>
      </c>
      <c r="H136" t="s">
        <v>13</v>
      </c>
      <c r="I136">
        <v>2.4027298316507129E-2</v>
      </c>
      <c r="J136" t="s">
        <v>6</v>
      </c>
      <c r="L136" t="s">
        <v>831</v>
      </c>
      <c r="M136" t="s">
        <v>13</v>
      </c>
      <c r="N136">
        <v>2.3467657002831283E-2</v>
      </c>
      <c r="O136" t="s">
        <v>6</v>
      </c>
    </row>
    <row r="137" spans="2:15" x14ac:dyDescent="0.45">
      <c r="B137" t="s">
        <v>829</v>
      </c>
      <c r="C137" t="s">
        <v>14</v>
      </c>
      <c r="D137">
        <v>3.238532884702626E-2</v>
      </c>
      <c r="E137" t="s">
        <v>6</v>
      </c>
      <c r="G137" t="s">
        <v>830</v>
      </c>
      <c r="H137" t="s">
        <v>14</v>
      </c>
      <c r="I137">
        <v>2.4357920924156846E-2</v>
      </c>
      <c r="J137" t="s">
        <v>6</v>
      </c>
      <c r="L137" t="s">
        <v>831</v>
      </c>
      <c r="M137" t="s">
        <v>14</v>
      </c>
      <c r="N137">
        <v>2.3944058759302798E-2</v>
      </c>
      <c r="O137" t="s">
        <v>6</v>
      </c>
    </row>
    <row r="138" spans="2:15" x14ac:dyDescent="0.45">
      <c r="B138" t="s">
        <v>829</v>
      </c>
      <c r="C138" t="s">
        <v>15</v>
      </c>
      <c r="D138">
        <v>5.8317314883692311E-3</v>
      </c>
      <c r="E138" t="s">
        <v>6</v>
      </c>
      <c r="G138" t="s">
        <v>830</v>
      </c>
      <c r="H138" t="s">
        <v>15</v>
      </c>
      <c r="I138">
        <v>2.5501530077618916E-2</v>
      </c>
      <c r="J138" t="s">
        <v>6</v>
      </c>
      <c r="L138" t="s">
        <v>831</v>
      </c>
      <c r="M138" t="s">
        <v>15</v>
      </c>
      <c r="N138">
        <v>2.3403997746100587E-2</v>
      </c>
      <c r="O138" t="s">
        <v>6</v>
      </c>
    </row>
    <row r="139" spans="2:15" x14ac:dyDescent="0.45">
      <c r="B139" t="s">
        <v>829</v>
      </c>
      <c r="C139" t="s">
        <v>16</v>
      </c>
      <c r="D139">
        <v>0</v>
      </c>
      <c r="E139" t="s">
        <v>6</v>
      </c>
      <c r="G139" t="s">
        <v>830</v>
      </c>
      <c r="H139" t="s">
        <v>16</v>
      </c>
      <c r="I139">
        <v>2.6673131956114784E-2</v>
      </c>
      <c r="J139" t="s">
        <v>6</v>
      </c>
      <c r="L139" t="s">
        <v>831</v>
      </c>
      <c r="M139" t="s">
        <v>16</v>
      </c>
      <c r="N139">
        <v>2.3659031036139037E-2</v>
      </c>
      <c r="O139" t="s">
        <v>6</v>
      </c>
    </row>
    <row r="140" spans="2:15" x14ac:dyDescent="0.45">
      <c r="B140" t="s">
        <v>829</v>
      </c>
      <c r="C140" t="s">
        <v>17</v>
      </c>
      <c r="D140">
        <v>0</v>
      </c>
      <c r="E140" t="s">
        <v>6</v>
      </c>
      <c r="G140" t="s">
        <v>830</v>
      </c>
      <c r="H140" t="s">
        <v>17</v>
      </c>
      <c r="I140">
        <v>4.1216679387004372E-2</v>
      </c>
      <c r="J140" t="s">
        <v>6</v>
      </c>
      <c r="L140" t="s">
        <v>831</v>
      </c>
      <c r="M140" t="s">
        <v>17</v>
      </c>
      <c r="N140">
        <v>3.5158322791135066E-2</v>
      </c>
      <c r="O140" t="s">
        <v>6</v>
      </c>
    </row>
    <row r="141" spans="2:15" x14ac:dyDescent="0.45">
      <c r="B141" t="s">
        <v>829</v>
      </c>
      <c r="C141" t="s">
        <v>18</v>
      </c>
      <c r="D141">
        <v>0</v>
      </c>
      <c r="E141" t="s">
        <v>6</v>
      </c>
      <c r="G141" t="s">
        <v>830</v>
      </c>
      <c r="H141" t="s">
        <v>18</v>
      </c>
      <c r="I141">
        <v>5.4092676381008079E-2</v>
      </c>
      <c r="J141" t="s">
        <v>6</v>
      </c>
      <c r="L141" t="s">
        <v>831</v>
      </c>
      <c r="M141" t="s">
        <v>18</v>
      </c>
      <c r="N141">
        <v>5.3865285739310646E-2</v>
      </c>
      <c r="O141" t="s">
        <v>6</v>
      </c>
    </row>
    <row r="142" spans="2:15" x14ac:dyDescent="0.45">
      <c r="B142" t="s">
        <v>829</v>
      </c>
      <c r="C142" t="s">
        <v>19</v>
      </c>
      <c r="D142">
        <v>1.5904384541771681E-4</v>
      </c>
      <c r="E142" t="s">
        <v>6</v>
      </c>
      <c r="G142" t="s">
        <v>830</v>
      </c>
      <c r="H142" t="s">
        <v>19</v>
      </c>
      <c r="I142">
        <v>2.160475053777719E-2</v>
      </c>
      <c r="J142" t="s">
        <v>6</v>
      </c>
      <c r="L142" t="s">
        <v>831</v>
      </c>
      <c r="M142" t="s">
        <v>19</v>
      </c>
      <c r="N142">
        <v>2.0632267271443034E-2</v>
      </c>
      <c r="O142" t="s">
        <v>6</v>
      </c>
    </row>
    <row r="143" spans="2:15" x14ac:dyDescent="0.45">
      <c r="B143" t="s">
        <v>829</v>
      </c>
      <c r="C143" t="s">
        <v>20</v>
      </c>
      <c r="D143">
        <v>9.0496135664080712E-3</v>
      </c>
      <c r="E143" t="s">
        <v>6</v>
      </c>
      <c r="G143" t="s">
        <v>830</v>
      </c>
      <c r="H143" t="s">
        <v>20</v>
      </c>
      <c r="I143">
        <v>2.0753998601488449E-2</v>
      </c>
      <c r="J143" t="s">
        <v>6</v>
      </c>
      <c r="L143" t="s">
        <v>831</v>
      </c>
      <c r="M143" t="s">
        <v>20</v>
      </c>
      <c r="N143">
        <v>2.0310592749603458E-2</v>
      </c>
      <c r="O143" t="s">
        <v>6</v>
      </c>
    </row>
    <row r="144" spans="2:15" x14ac:dyDescent="0.45">
      <c r="B144" t="s">
        <v>829</v>
      </c>
      <c r="C144" t="s">
        <v>21</v>
      </c>
      <c r="D144">
        <v>4.3502618579147521E-2</v>
      </c>
      <c r="E144" t="s">
        <v>6</v>
      </c>
      <c r="G144" t="s">
        <v>830</v>
      </c>
      <c r="H144" t="s">
        <v>21</v>
      </c>
      <c r="I144">
        <v>2.0427521547393527E-2</v>
      </c>
      <c r="J144" t="s">
        <v>6</v>
      </c>
      <c r="L144" t="s">
        <v>831</v>
      </c>
      <c r="M144" t="s">
        <v>21</v>
      </c>
      <c r="N144">
        <v>2.0316463148297114E-2</v>
      </c>
      <c r="O144" t="s">
        <v>6</v>
      </c>
    </row>
    <row r="145" spans="2:15" x14ac:dyDescent="0.45">
      <c r="B145" t="s">
        <v>829</v>
      </c>
      <c r="C145" t="s">
        <v>22</v>
      </c>
      <c r="D145">
        <v>7.1306290429945421E-2</v>
      </c>
      <c r="E145" t="s">
        <v>6</v>
      </c>
      <c r="G145" t="s">
        <v>830</v>
      </c>
      <c r="H145" t="s">
        <v>22</v>
      </c>
      <c r="I145">
        <v>1.8437888965137341E-2</v>
      </c>
      <c r="J145" t="s">
        <v>6</v>
      </c>
      <c r="L145" t="s">
        <v>831</v>
      </c>
      <c r="M145" t="s">
        <v>22</v>
      </c>
      <c r="N145">
        <v>2.0771344452566121E-2</v>
      </c>
      <c r="O145" t="s">
        <v>6</v>
      </c>
    </row>
    <row r="146" spans="2:15" x14ac:dyDescent="0.45">
      <c r="B146" t="s">
        <v>829</v>
      </c>
      <c r="C146" t="s">
        <v>23</v>
      </c>
      <c r="D146">
        <v>8.0486145671400874E-2</v>
      </c>
      <c r="E146" t="s">
        <v>6</v>
      </c>
      <c r="G146" t="s">
        <v>830</v>
      </c>
      <c r="H146" t="s">
        <v>23</v>
      </c>
      <c r="I146">
        <v>2.0972431464553017E-2</v>
      </c>
      <c r="J146" t="s">
        <v>6</v>
      </c>
      <c r="L146" t="s">
        <v>831</v>
      </c>
      <c r="M146" t="s">
        <v>23</v>
      </c>
      <c r="N146">
        <v>2.1654785447451554E-2</v>
      </c>
      <c r="O146" t="s">
        <v>6</v>
      </c>
    </row>
    <row r="147" spans="2:15" x14ac:dyDescent="0.45">
      <c r="B147" t="s">
        <v>829</v>
      </c>
      <c r="C147" t="s">
        <v>24</v>
      </c>
      <c r="D147">
        <v>6.2555457787348501E-2</v>
      </c>
      <c r="E147" t="s">
        <v>6</v>
      </c>
      <c r="G147" t="s">
        <v>830</v>
      </c>
      <c r="H147" t="s">
        <v>24</v>
      </c>
      <c r="I147">
        <v>2.1633029173653218E-2</v>
      </c>
      <c r="J147" t="s">
        <v>6</v>
      </c>
      <c r="L147" t="s">
        <v>831</v>
      </c>
      <c r="M147" t="s">
        <v>24</v>
      </c>
      <c r="N147">
        <v>2.2314371412789507E-2</v>
      </c>
      <c r="O147" t="s">
        <v>6</v>
      </c>
    </row>
    <row r="148" spans="2:15" x14ac:dyDescent="0.45">
      <c r="B148" t="s">
        <v>829</v>
      </c>
      <c r="C148" t="s">
        <v>25</v>
      </c>
      <c r="D148">
        <v>3.0856632682854216E-2</v>
      </c>
      <c r="E148" t="s">
        <v>6</v>
      </c>
      <c r="G148" t="s">
        <v>830</v>
      </c>
      <c r="H148" t="s">
        <v>25</v>
      </c>
      <c r="I148">
        <v>2.0129989865056878E-2</v>
      </c>
      <c r="J148" t="s">
        <v>6</v>
      </c>
      <c r="L148" t="s">
        <v>831</v>
      </c>
      <c r="M148" t="s">
        <v>25</v>
      </c>
      <c r="N148">
        <v>2.2813581047652631E-2</v>
      </c>
      <c r="O148" t="s">
        <v>6</v>
      </c>
    </row>
    <row r="149" spans="2:15" x14ac:dyDescent="0.45">
      <c r="B149" t="s">
        <v>829</v>
      </c>
      <c r="C149" t="s">
        <v>26</v>
      </c>
      <c r="D149">
        <v>4.1974241640630556E-3</v>
      </c>
      <c r="E149" t="s">
        <v>6</v>
      </c>
      <c r="G149" t="s">
        <v>830</v>
      </c>
      <c r="H149" t="s">
        <v>26</v>
      </c>
      <c r="I149">
        <v>2.0015846821100785E-2</v>
      </c>
      <c r="J149" t="s">
        <v>6</v>
      </c>
      <c r="L149" t="s">
        <v>831</v>
      </c>
      <c r="M149" t="s">
        <v>26</v>
      </c>
      <c r="N149">
        <v>2.2520728066835787E-2</v>
      </c>
      <c r="O149" t="s">
        <v>6</v>
      </c>
    </row>
    <row r="150" spans="2:15" x14ac:dyDescent="0.45">
      <c r="B150" t="s">
        <v>829</v>
      </c>
      <c r="C150" t="s">
        <v>27</v>
      </c>
      <c r="D150">
        <v>3.5800347868774328E-6</v>
      </c>
      <c r="E150" t="s">
        <v>6</v>
      </c>
      <c r="G150" t="s">
        <v>830</v>
      </c>
      <c r="H150" t="s">
        <v>27</v>
      </c>
      <c r="I150">
        <v>3.2434346357063167E-2</v>
      </c>
      <c r="J150" t="s">
        <v>6</v>
      </c>
      <c r="L150" t="s">
        <v>831</v>
      </c>
      <c r="M150" t="s">
        <v>27</v>
      </c>
      <c r="N150">
        <v>3.3384412954953681E-2</v>
      </c>
      <c r="O150" t="s">
        <v>6</v>
      </c>
    </row>
    <row r="151" spans="2:15" x14ac:dyDescent="0.45">
      <c r="B151" t="s">
        <v>829</v>
      </c>
      <c r="C151" t="s">
        <v>28</v>
      </c>
      <c r="D151">
        <v>0</v>
      </c>
      <c r="E151" t="s">
        <v>6</v>
      </c>
      <c r="G151" t="s">
        <v>830</v>
      </c>
      <c r="H151" t="s">
        <v>28</v>
      </c>
      <c r="I151">
        <v>4.0523669294637861E-2</v>
      </c>
      <c r="J151" t="s">
        <v>6</v>
      </c>
      <c r="L151" t="s">
        <v>831</v>
      </c>
      <c r="M151" t="s">
        <v>28</v>
      </c>
      <c r="N151">
        <v>3.9670278535816228E-2</v>
      </c>
      <c r="O151" t="s">
        <v>6</v>
      </c>
    </row>
    <row r="152" spans="2:15" x14ac:dyDescent="0.45">
      <c r="B152" t="s">
        <v>829</v>
      </c>
      <c r="C152" t="s">
        <v>29</v>
      </c>
      <c r="D152">
        <v>6.8906673533293875E-4</v>
      </c>
      <c r="E152" t="s">
        <v>6</v>
      </c>
      <c r="G152" t="s">
        <v>830</v>
      </c>
      <c r="H152" t="s">
        <v>29</v>
      </c>
      <c r="I152">
        <v>1.4192365725620756E-2</v>
      </c>
      <c r="J152" t="s">
        <v>6</v>
      </c>
      <c r="L152" t="s">
        <v>831</v>
      </c>
      <c r="M152" t="s">
        <v>29</v>
      </c>
      <c r="N152">
        <v>1.6644505579675808E-2</v>
      </c>
      <c r="O152" t="s">
        <v>6</v>
      </c>
    </row>
    <row r="153" spans="2:15" x14ac:dyDescent="0.45">
      <c r="B153" t="s">
        <v>829</v>
      </c>
      <c r="C153" t="s">
        <v>30</v>
      </c>
      <c r="D153">
        <v>1.4028644667618582E-2</v>
      </c>
      <c r="E153" t="s">
        <v>6</v>
      </c>
      <c r="G153" t="s">
        <v>830</v>
      </c>
      <c r="H153" t="s">
        <v>30</v>
      </c>
      <c r="I153">
        <v>1.2308517057176498E-2</v>
      </c>
      <c r="J153" t="s">
        <v>6</v>
      </c>
      <c r="L153" t="s">
        <v>831</v>
      </c>
      <c r="M153" t="s">
        <v>30</v>
      </c>
      <c r="N153">
        <v>1.6196057064402733E-2</v>
      </c>
      <c r="O153" t="s">
        <v>6</v>
      </c>
    </row>
    <row r="154" spans="2:15" x14ac:dyDescent="0.45">
      <c r="B154" t="s">
        <v>829</v>
      </c>
      <c r="C154" t="s">
        <v>31</v>
      </c>
      <c r="D154">
        <v>5.125116901543704E-2</v>
      </c>
      <c r="E154" t="s">
        <v>6</v>
      </c>
      <c r="G154" t="s">
        <v>830</v>
      </c>
      <c r="H154" t="s">
        <v>31</v>
      </c>
      <c r="I154">
        <v>1.1820208055476289E-2</v>
      </c>
      <c r="J154" t="s">
        <v>6</v>
      </c>
      <c r="L154" t="s">
        <v>831</v>
      </c>
      <c r="M154" t="s">
        <v>31</v>
      </c>
      <c r="N154">
        <v>1.5449567722231144E-2</v>
      </c>
      <c r="O154" t="s">
        <v>6</v>
      </c>
    </row>
    <row r="155" spans="2:15" x14ac:dyDescent="0.45">
      <c r="B155" t="s">
        <v>829</v>
      </c>
      <c r="C155" t="s">
        <v>32</v>
      </c>
      <c r="D155">
        <v>8.2042761920470705E-2</v>
      </c>
      <c r="E155" t="s">
        <v>6</v>
      </c>
      <c r="G155" t="s">
        <v>830</v>
      </c>
      <c r="H155" t="s">
        <v>32</v>
      </c>
      <c r="I155">
        <v>9.7184937856932066E-3</v>
      </c>
      <c r="J155" t="s">
        <v>6</v>
      </c>
      <c r="L155" t="s">
        <v>831</v>
      </c>
      <c r="M155" t="s">
        <v>32</v>
      </c>
      <c r="N155">
        <v>1.486694151914069E-2</v>
      </c>
      <c r="O155" t="s">
        <v>6</v>
      </c>
    </row>
    <row r="156" spans="2:15" x14ac:dyDescent="0.45">
      <c r="B156" t="s">
        <v>829</v>
      </c>
      <c r="C156" t="s">
        <v>33</v>
      </c>
      <c r="D156">
        <v>8.917538114602569E-2</v>
      </c>
      <c r="E156" t="s">
        <v>6</v>
      </c>
      <c r="G156" t="s">
        <v>830</v>
      </c>
      <c r="H156" t="s">
        <v>33</v>
      </c>
      <c r="I156">
        <v>1.2030536351603139E-2</v>
      </c>
      <c r="J156" t="s">
        <v>6</v>
      </c>
      <c r="L156" t="s">
        <v>831</v>
      </c>
      <c r="M156" t="s">
        <v>33</v>
      </c>
      <c r="N156">
        <v>1.5147812533846847E-2</v>
      </c>
      <c r="O156" t="s">
        <v>6</v>
      </c>
    </row>
    <row r="157" spans="2:15" x14ac:dyDescent="0.45">
      <c r="B157" t="s">
        <v>829</v>
      </c>
      <c r="C157" t="s">
        <v>34</v>
      </c>
      <c r="D157">
        <v>7.6988035278185915E-2</v>
      </c>
      <c r="E157" t="s">
        <v>6</v>
      </c>
      <c r="G157" t="s">
        <v>830</v>
      </c>
      <c r="H157" t="s">
        <v>34</v>
      </c>
      <c r="I157">
        <v>1.2913507846701909E-2</v>
      </c>
      <c r="J157" t="s">
        <v>6</v>
      </c>
      <c r="L157" t="s">
        <v>831</v>
      </c>
      <c r="M157" t="s">
        <v>34</v>
      </c>
      <c r="N157">
        <v>1.5740294667331525E-2</v>
      </c>
      <c r="O157" t="s">
        <v>6</v>
      </c>
    </row>
    <row r="158" spans="2:15" x14ac:dyDescent="0.45">
      <c r="B158" t="s">
        <v>829</v>
      </c>
      <c r="C158" t="s">
        <v>35</v>
      </c>
      <c r="D158">
        <v>4.434922302952634E-2</v>
      </c>
      <c r="E158" t="s">
        <v>6</v>
      </c>
      <c r="G158" t="s">
        <v>830</v>
      </c>
      <c r="H158" t="s">
        <v>35</v>
      </c>
      <c r="I158">
        <v>1.3055193200011767E-2</v>
      </c>
      <c r="J158" t="s">
        <v>6</v>
      </c>
      <c r="L158" t="s">
        <v>831</v>
      </c>
      <c r="M158" t="s">
        <v>35</v>
      </c>
      <c r="N158">
        <v>1.552784954483539E-2</v>
      </c>
      <c r="O158" t="s">
        <v>6</v>
      </c>
    </row>
    <row r="159" spans="2:15" x14ac:dyDescent="0.45">
      <c r="B159" t="s">
        <v>829</v>
      </c>
      <c r="C159" t="s">
        <v>36</v>
      </c>
      <c r="D159">
        <v>9.523810135448953E-3</v>
      </c>
      <c r="E159" t="s">
        <v>6</v>
      </c>
      <c r="G159" t="s">
        <v>830</v>
      </c>
      <c r="H159" t="s">
        <v>36</v>
      </c>
      <c r="I159">
        <v>1.3993457218276046E-2</v>
      </c>
      <c r="J159" t="s">
        <v>6</v>
      </c>
      <c r="L159" t="s">
        <v>831</v>
      </c>
      <c r="M159" t="s">
        <v>36</v>
      </c>
      <c r="N159">
        <v>1.4934835206983375E-2</v>
      </c>
      <c r="O159" t="s">
        <v>6</v>
      </c>
    </row>
    <row r="160" spans="2:15" x14ac:dyDescent="0.45">
      <c r="B160" t="s">
        <v>829</v>
      </c>
      <c r="C160" t="s">
        <v>37</v>
      </c>
      <c r="D160">
        <v>1.472071791973546E-4</v>
      </c>
      <c r="E160" t="s">
        <v>6</v>
      </c>
      <c r="G160" t="s">
        <v>830</v>
      </c>
      <c r="H160" t="s">
        <v>37</v>
      </c>
      <c r="I160">
        <v>2.529289774416358E-2</v>
      </c>
      <c r="J160" t="s">
        <v>6</v>
      </c>
      <c r="L160" t="s">
        <v>831</v>
      </c>
      <c r="M160" t="s">
        <v>37</v>
      </c>
      <c r="N160">
        <v>2.1713705202556072E-2</v>
      </c>
      <c r="O160" t="s">
        <v>6</v>
      </c>
    </row>
    <row r="161" spans="2:15" x14ac:dyDescent="0.45">
      <c r="B161" t="s">
        <v>829</v>
      </c>
      <c r="C161" t="s">
        <v>38</v>
      </c>
      <c r="D161">
        <v>0</v>
      </c>
      <c r="E161" t="s">
        <v>6</v>
      </c>
      <c r="G161" t="s">
        <v>830</v>
      </c>
      <c r="H161" t="s">
        <v>38</v>
      </c>
      <c r="I161">
        <v>5.6093996080114887E-2</v>
      </c>
      <c r="J161" t="s">
        <v>6</v>
      </c>
      <c r="L161" t="s">
        <v>831</v>
      </c>
      <c r="M161" t="s">
        <v>38</v>
      </c>
      <c r="N161">
        <v>5.6661802471334836E-2</v>
      </c>
      <c r="O161" t="s">
        <v>6</v>
      </c>
    </row>
    <row r="162" spans="2:15" x14ac:dyDescent="0.45">
      <c r="B162" t="s">
        <v>829</v>
      </c>
      <c r="C162" t="s">
        <v>39</v>
      </c>
      <c r="D162">
        <v>0</v>
      </c>
      <c r="E162" t="s">
        <v>6</v>
      </c>
      <c r="G162" t="s">
        <v>830</v>
      </c>
      <c r="H162" t="s">
        <v>39</v>
      </c>
      <c r="I162">
        <v>2.1962323622310466E-2</v>
      </c>
      <c r="J162" t="s">
        <v>6</v>
      </c>
      <c r="L162" t="s">
        <v>831</v>
      </c>
      <c r="M162" t="s">
        <v>39</v>
      </c>
      <c r="N162">
        <v>2.2740893250600074E-2</v>
      </c>
      <c r="O162" t="s">
        <v>6</v>
      </c>
    </row>
    <row r="163" spans="2:15" x14ac:dyDescent="0.45">
      <c r="B163" t="s">
        <v>829</v>
      </c>
      <c r="C163" t="s">
        <v>40</v>
      </c>
      <c r="D163">
        <v>2.391940197098175E-3</v>
      </c>
      <c r="E163" t="s">
        <v>6</v>
      </c>
      <c r="G163" t="s">
        <v>830</v>
      </c>
      <c r="H163" t="s">
        <v>40</v>
      </c>
      <c r="I163">
        <v>2.21289453800519E-2</v>
      </c>
      <c r="J163" t="s">
        <v>6</v>
      </c>
      <c r="L163" t="s">
        <v>831</v>
      </c>
      <c r="M163" t="s">
        <v>40</v>
      </c>
      <c r="N163">
        <v>2.259568130017035E-2</v>
      </c>
      <c r="O163" t="s">
        <v>6</v>
      </c>
    </row>
    <row r="164" spans="2:15" x14ac:dyDescent="0.45">
      <c r="B164" t="s">
        <v>829</v>
      </c>
      <c r="C164" t="s">
        <v>41</v>
      </c>
      <c r="D164">
        <v>2.7453128826069418E-2</v>
      </c>
      <c r="E164" t="s">
        <v>6</v>
      </c>
      <c r="G164" t="s">
        <v>830</v>
      </c>
      <c r="H164" t="s">
        <v>41</v>
      </c>
      <c r="I164">
        <v>2.0816479390746455E-2</v>
      </c>
      <c r="J164" t="s">
        <v>6</v>
      </c>
      <c r="L164" t="s">
        <v>831</v>
      </c>
      <c r="M164" t="s">
        <v>41</v>
      </c>
      <c r="N164">
        <v>2.2263553199000533E-2</v>
      </c>
      <c r="O164" t="s">
        <v>6</v>
      </c>
    </row>
    <row r="165" spans="2:15" x14ac:dyDescent="0.45">
      <c r="B165" t="s">
        <v>829</v>
      </c>
      <c r="C165" t="s">
        <v>42</v>
      </c>
      <c r="D165">
        <v>5.5777423253057831E-2</v>
      </c>
      <c r="E165" t="s">
        <v>6</v>
      </c>
      <c r="G165" t="s">
        <v>830</v>
      </c>
      <c r="H165" t="s">
        <v>42</v>
      </c>
      <c r="I165">
        <v>1.8334745086282304E-2</v>
      </c>
      <c r="J165" t="s">
        <v>6</v>
      </c>
      <c r="L165" t="s">
        <v>831</v>
      </c>
      <c r="M165" t="s">
        <v>42</v>
      </c>
      <c r="N165">
        <v>2.2485379980855352E-2</v>
      </c>
      <c r="O165" t="s">
        <v>6</v>
      </c>
    </row>
    <row r="166" spans="2:15" x14ac:dyDescent="0.45">
      <c r="B166" t="s">
        <v>829</v>
      </c>
      <c r="C166" t="s">
        <v>43</v>
      </c>
      <c r="D166">
        <v>5.9177317948479004E-2</v>
      </c>
      <c r="E166" t="s">
        <v>6</v>
      </c>
      <c r="G166" t="s">
        <v>830</v>
      </c>
      <c r="H166" t="s">
        <v>43</v>
      </c>
      <c r="I166">
        <v>2.1352381938011856E-2</v>
      </c>
      <c r="J166" t="s">
        <v>6</v>
      </c>
      <c r="L166" t="s">
        <v>831</v>
      </c>
      <c r="M166" t="s">
        <v>43</v>
      </c>
      <c r="N166">
        <v>2.294597136395363E-2</v>
      </c>
      <c r="O166" t="s">
        <v>6</v>
      </c>
    </row>
    <row r="167" spans="2:15" x14ac:dyDescent="0.45">
      <c r="B167" t="s">
        <v>829</v>
      </c>
      <c r="C167" t="s">
        <v>44</v>
      </c>
      <c r="D167">
        <v>3.8861379630721733E-2</v>
      </c>
      <c r="E167" t="s">
        <v>6</v>
      </c>
      <c r="G167" t="s">
        <v>830</v>
      </c>
      <c r="H167" t="s">
        <v>44</v>
      </c>
      <c r="I167">
        <v>2.1787517434259225E-2</v>
      </c>
      <c r="J167" t="s">
        <v>6</v>
      </c>
      <c r="L167" t="s">
        <v>831</v>
      </c>
      <c r="M167" t="s">
        <v>44</v>
      </c>
      <c r="N167">
        <v>2.3157475727414795E-2</v>
      </c>
      <c r="O167" t="s">
        <v>6</v>
      </c>
    </row>
    <row r="168" spans="2:15" x14ac:dyDescent="0.45">
      <c r="B168" t="s">
        <v>829</v>
      </c>
      <c r="C168" t="s">
        <v>45</v>
      </c>
      <c r="D168">
        <v>1.162355001488179E-2</v>
      </c>
      <c r="E168" t="s">
        <v>6</v>
      </c>
      <c r="G168" t="s">
        <v>830</v>
      </c>
      <c r="H168" t="s">
        <v>45</v>
      </c>
      <c r="I168">
        <v>2.316036004790966E-2</v>
      </c>
      <c r="J168" t="s">
        <v>6</v>
      </c>
      <c r="L168" t="s">
        <v>831</v>
      </c>
      <c r="M168" t="s">
        <v>45</v>
      </c>
      <c r="N168">
        <v>2.3056978227771124E-2</v>
      </c>
      <c r="O168" t="s">
        <v>6</v>
      </c>
    </row>
    <row r="169" spans="2:15" x14ac:dyDescent="0.45">
      <c r="B169" t="s">
        <v>829</v>
      </c>
      <c r="C169" t="s">
        <v>46</v>
      </c>
      <c r="D169">
        <v>3.1265621232922573E-4</v>
      </c>
      <c r="E169" t="s">
        <v>6</v>
      </c>
      <c r="G169" t="s">
        <v>830</v>
      </c>
      <c r="H169" t="s">
        <v>46</v>
      </c>
      <c r="I169">
        <v>2.458107438894731E-2</v>
      </c>
      <c r="J169" t="s">
        <v>6</v>
      </c>
      <c r="L169" t="s">
        <v>831</v>
      </c>
      <c r="M169" t="s">
        <v>46</v>
      </c>
      <c r="N169">
        <v>2.2836171896738113E-2</v>
      </c>
      <c r="O169" t="s">
        <v>6</v>
      </c>
    </row>
    <row r="170" spans="2:15" x14ac:dyDescent="0.45">
      <c r="B170" t="s">
        <v>829</v>
      </c>
      <c r="C170" t="s">
        <v>47</v>
      </c>
      <c r="D170">
        <v>0</v>
      </c>
      <c r="E170" t="s">
        <v>6</v>
      </c>
      <c r="G170" t="s">
        <v>830</v>
      </c>
      <c r="H170" t="s">
        <v>47</v>
      </c>
      <c r="I170">
        <v>3.6792004032538836E-2</v>
      </c>
      <c r="J170" t="s">
        <v>6</v>
      </c>
      <c r="L170" t="s">
        <v>831</v>
      </c>
      <c r="M170" t="s">
        <v>47</v>
      </c>
      <c r="N170">
        <v>3.4418100791811214E-2</v>
      </c>
      <c r="O170" t="s">
        <v>6</v>
      </c>
    </row>
    <row r="171" spans="2:15" x14ac:dyDescent="0.45">
      <c r="B171" t="s">
        <v>832</v>
      </c>
      <c r="C171" t="s">
        <v>5</v>
      </c>
      <c r="D171">
        <v>0</v>
      </c>
      <c r="E171" t="s">
        <v>6</v>
      </c>
      <c r="G171" t="s">
        <v>833</v>
      </c>
      <c r="H171" t="s">
        <v>5</v>
      </c>
      <c r="I171">
        <v>6.169454122348457E-2</v>
      </c>
      <c r="J171" t="s">
        <v>6</v>
      </c>
      <c r="L171" t="s">
        <v>834</v>
      </c>
      <c r="M171" t="s">
        <v>5</v>
      </c>
      <c r="N171">
        <v>5.8573018195960905E-2</v>
      </c>
      <c r="O171" t="s">
        <v>6</v>
      </c>
    </row>
    <row r="172" spans="2:15" x14ac:dyDescent="0.45">
      <c r="B172" t="s">
        <v>832</v>
      </c>
      <c r="C172" t="s">
        <v>9</v>
      </c>
      <c r="D172">
        <v>0</v>
      </c>
      <c r="E172" t="s">
        <v>6</v>
      </c>
      <c r="G172" t="s">
        <v>833</v>
      </c>
      <c r="H172" t="s">
        <v>9</v>
      </c>
      <c r="I172">
        <v>2.4714496132262169E-2</v>
      </c>
      <c r="J172" t="s">
        <v>6</v>
      </c>
      <c r="L172" t="s">
        <v>834</v>
      </c>
      <c r="M172" t="s">
        <v>9</v>
      </c>
      <c r="N172">
        <v>2.3270866779430788E-2</v>
      </c>
      <c r="O172" t="s">
        <v>6</v>
      </c>
    </row>
    <row r="173" spans="2:15" x14ac:dyDescent="0.45">
      <c r="B173" t="s">
        <v>832</v>
      </c>
      <c r="C173" t="s">
        <v>10</v>
      </c>
      <c r="D173">
        <v>0</v>
      </c>
      <c r="E173" t="s">
        <v>6</v>
      </c>
      <c r="G173" t="s">
        <v>833</v>
      </c>
      <c r="H173" t="s">
        <v>10</v>
      </c>
      <c r="I173">
        <v>2.4769585886655891E-2</v>
      </c>
      <c r="J173" t="s">
        <v>6</v>
      </c>
      <c r="L173" t="s">
        <v>834</v>
      </c>
      <c r="M173" t="s">
        <v>10</v>
      </c>
      <c r="N173">
        <v>2.3171138591041408E-2</v>
      </c>
      <c r="O173" t="s">
        <v>6</v>
      </c>
    </row>
    <row r="174" spans="2:15" x14ac:dyDescent="0.45">
      <c r="B174" t="s">
        <v>832</v>
      </c>
      <c r="C174" t="s">
        <v>11</v>
      </c>
      <c r="D174">
        <v>9.7648839899811442E-3</v>
      </c>
      <c r="E174" t="s">
        <v>6</v>
      </c>
      <c r="G174" t="s">
        <v>833</v>
      </c>
      <c r="H174" t="s">
        <v>11</v>
      </c>
      <c r="I174">
        <v>2.4625613234978905E-2</v>
      </c>
      <c r="J174" t="s">
        <v>6</v>
      </c>
      <c r="L174" t="s">
        <v>834</v>
      </c>
      <c r="M174" t="s">
        <v>11</v>
      </c>
      <c r="N174">
        <v>2.3263167115059883E-2</v>
      </c>
      <c r="O174" t="s">
        <v>6</v>
      </c>
    </row>
    <row r="175" spans="2:15" x14ac:dyDescent="0.45">
      <c r="B175" t="s">
        <v>832</v>
      </c>
      <c r="C175" t="s">
        <v>12</v>
      </c>
      <c r="D175">
        <v>3.9297096153984162E-2</v>
      </c>
      <c r="E175" t="s">
        <v>6</v>
      </c>
      <c r="G175" t="s">
        <v>833</v>
      </c>
      <c r="H175" t="s">
        <v>12</v>
      </c>
      <c r="I175">
        <v>2.3849869611368511E-2</v>
      </c>
      <c r="J175" t="s">
        <v>6</v>
      </c>
      <c r="L175" t="s">
        <v>834</v>
      </c>
      <c r="M175" t="s">
        <v>12</v>
      </c>
      <c r="N175">
        <v>2.3613586041770124E-2</v>
      </c>
      <c r="O175" t="s">
        <v>6</v>
      </c>
    </row>
    <row r="176" spans="2:15" x14ac:dyDescent="0.45">
      <c r="B176" t="s">
        <v>832</v>
      </c>
      <c r="C176" t="s">
        <v>13</v>
      </c>
      <c r="D176">
        <v>4.726914450402056E-2</v>
      </c>
      <c r="E176" t="s">
        <v>6</v>
      </c>
      <c r="G176" t="s">
        <v>833</v>
      </c>
      <c r="H176" t="s">
        <v>13</v>
      </c>
      <c r="I176">
        <v>2.3898954718355646E-2</v>
      </c>
      <c r="J176" t="s">
        <v>6</v>
      </c>
      <c r="L176" t="s">
        <v>834</v>
      </c>
      <c r="M176" t="s">
        <v>13</v>
      </c>
      <c r="N176">
        <v>2.3422444693180191E-2</v>
      </c>
      <c r="O176" t="s">
        <v>6</v>
      </c>
    </row>
    <row r="177" spans="2:15" x14ac:dyDescent="0.45">
      <c r="B177" t="s">
        <v>832</v>
      </c>
      <c r="C177" t="s">
        <v>14</v>
      </c>
      <c r="D177">
        <v>2.9481710628602959E-2</v>
      </c>
      <c r="E177" t="s">
        <v>6</v>
      </c>
      <c r="G177" t="s">
        <v>833</v>
      </c>
      <c r="H177" t="s">
        <v>14</v>
      </c>
      <c r="I177">
        <v>2.3898983324236234E-2</v>
      </c>
      <c r="J177" t="s">
        <v>6</v>
      </c>
      <c r="L177" t="s">
        <v>834</v>
      </c>
      <c r="M177" t="s">
        <v>14</v>
      </c>
      <c r="N177">
        <v>2.379191952362486E-2</v>
      </c>
      <c r="O177" t="s">
        <v>6</v>
      </c>
    </row>
    <row r="178" spans="2:15" x14ac:dyDescent="0.45">
      <c r="B178" t="s">
        <v>832</v>
      </c>
      <c r="C178" t="s">
        <v>15</v>
      </c>
      <c r="D178">
        <v>4.7914148853110856E-3</v>
      </c>
      <c r="E178" t="s">
        <v>6</v>
      </c>
      <c r="G178" t="s">
        <v>833</v>
      </c>
      <c r="H178" t="s">
        <v>15</v>
      </c>
      <c r="I178">
        <v>2.4657861949416104E-2</v>
      </c>
      <c r="J178" t="s">
        <v>6</v>
      </c>
      <c r="L178" t="s">
        <v>834</v>
      </c>
      <c r="M178" t="s">
        <v>15</v>
      </c>
      <c r="N178">
        <v>2.3328693024190886E-2</v>
      </c>
      <c r="O178" t="s">
        <v>6</v>
      </c>
    </row>
    <row r="179" spans="2:15" x14ac:dyDescent="0.45">
      <c r="B179" t="s">
        <v>832</v>
      </c>
      <c r="C179" t="s">
        <v>16</v>
      </c>
      <c r="D179">
        <v>0</v>
      </c>
      <c r="E179" t="s">
        <v>6</v>
      </c>
      <c r="G179" t="s">
        <v>833</v>
      </c>
      <c r="H179" t="s">
        <v>16</v>
      </c>
      <c r="I179">
        <v>2.4921304481262885E-2</v>
      </c>
      <c r="J179" t="s">
        <v>6</v>
      </c>
      <c r="L179" t="s">
        <v>834</v>
      </c>
      <c r="M179" t="s">
        <v>16</v>
      </c>
      <c r="N179">
        <v>2.3583775409472246E-2</v>
      </c>
      <c r="O179" t="s">
        <v>6</v>
      </c>
    </row>
    <row r="180" spans="2:15" x14ac:dyDescent="0.45">
      <c r="B180" t="s">
        <v>832</v>
      </c>
      <c r="C180" t="s">
        <v>17</v>
      </c>
      <c r="D180">
        <v>0</v>
      </c>
      <c r="E180" t="s">
        <v>6</v>
      </c>
      <c r="G180" t="s">
        <v>833</v>
      </c>
      <c r="H180" t="s">
        <v>17</v>
      </c>
      <c r="I180">
        <v>3.7399635242864125E-2</v>
      </c>
      <c r="J180" t="s">
        <v>6</v>
      </c>
      <c r="L180" t="s">
        <v>834</v>
      </c>
      <c r="M180" t="s">
        <v>17</v>
      </c>
      <c r="N180">
        <v>3.5012545648334142E-2</v>
      </c>
      <c r="O180" t="s">
        <v>6</v>
      </c>
    </row>
    <row r="181" spans="2:15" x14ac:dyDescent="0.45">
      <c r="B181" t="s">
        <v>832</v>
      </c>
      <c r="C181" t="s">
        <v>18</v>
      </c>
      <c r="D181">
        <v>0</v>
      </c>
      <c r="E181" t="s">
        <v>6</v>
      </c>
      <c r="G181" t="s">
        <v>833</v>
      </c>
      <c r="H181" t="s">
        <v>18</v>
      </c>
      <c r="I181">
        <v>5.3801029188874631E-2</v>
      </c>
      <c r="J181" t="s">
        <v>6</v>
      </c>
      <c r="L181" t="s">
        <v>834</v>
      </c>
      <c r="M181" t="s">
        <v>18</v>
      </c>
      <c r="N181">
        <v>5.3283188006685696E-2</v>
      </c>
      <c r="O181" t="s">
        <v>6</v>
      </c>
    </row>
    <row r="182" spans="2:15" x14ac:dyDescent="0.45">
      <c r="B182" t="s">
        <v>832</v>
      </c>
      <c r="C182" t="s">
        <v>19</v>
      </c>
      <c r="D182">
        <v>2.1261703274212866E-4</v>
      </c>
      <c r="E182" t="s">
        <v>6</v>
      </c>
      <c r="G182" t="s">
        <v>833</v>
      </c>
      <c r="H182" t="s">
        <v>19</v>
      </c>
      <c r="I182">
        <v>2.0888446506526201E-2</v>
      </c>
      <c r="J182" t="s">
        <v>6</v>
      </c>
      <c r="L182" t="s">
        <v>834</v>
      </c>
      <c r="M182" t="s">
        <v>19</v>
      </c>
      <c r="N182">
        <v>2.0614235101979465E-2</v>
      </c>
      <c r="O182" t="s">
        <v>6</v>
      </c>
    </row>
    <row r="183" spans="2:15" x14ac:dyDescent="0.45">
      <c r="B183" t="s">
        <v>832</v>
      </c>
      <c r="C183" t="s">
        <v>20</v>
      </c>
      <c r="D183">
        <v>1.0052560976500582E-2</v>
      </c>
      <c r="E183" t="s">
        <v>6</v>
      </c>
      <c r="G183" t="s">
        <v>833</v>
      </c>
      <c r="H183" t="s">
        <v>20</v>
      </c>
      <c r="I183">
        <v>1.9888684462344732E-2</v>
      </c>
      <c r="J183" t="s">
        <v>6</v>
      </c>
      <c r="L183" t="s">
        <v>834</v>
      </c>
      <c r="M183" t="s">
        <v>20</v>
      </c>
      <c r="N183">
        <v>2.0675745652838369E-2</v>
      </c>
      <c r="O183" t="s">
        <v>6</v>
      </c>
    </row>
    <row r="184" spans="2:15" x14ac:dyDescent="0.45">
      <c r="B184" t="s">
        <v>832</v>
      </c>
      <c r="C184" t="s">
        <v>21</v>
      </c>
      <c r="D184">
        <v>4.7801055584849594E-2</v>
      </c>
      <c r="E184" t="s">
        <v>6</v>
      </c>
      <c r="G184" t="s">
        <v>833</v>
      </c>
      <c r="H184" t="s">
        <v>21</v>
      </c>
      <c r="I184">
        <v>1.9544825965791178E-2</v>
      </c>
      <c r="J184" t="s">
        <v>6</v>
      </c>
      <c r="L184" t="s">
        <v>834</v>
      </c>
      <c r="M184" t="s">
        <v>21</v>
      </c>
      <c r="N184">
        <v>2.0675358892431554E-2</v>
      </c>
      <c r="O184" t="s">
        <v>6</v>
      </c>
    </row>
    <row r="185" spans="2:15" x14ac:dyDescent="0.45">
      <c r="B185" t="s">
        <v>832</v>
      </c>
      <c r="C185" t="s">
        <v>22</v>
      </c>
      <c r="D185">
        <v>7.6192723234077275E-2</v>
      </c>
      <c r="E185" t="s">
        <v>6</v>
      </c>
      <c r="G185" t="s">
        <v>833</v>
      </c>
      <c r="H185" t="s">
        <v>22</v>
      </c>
      <c r="I185">
        <v>1.9039079283879108E-2</v>
      </c>
      <c r="J185" t="s">
        <v>6</v>
      </c>
      <c r="L185" t="s">
        <v>834</v>
      </c>
      <c r="M185" t="s">
        <v>22</v>
      </c>
      <c r="N185">
        <v>2.1098510067468216E-2</v>
      </c>
      <c r="O185" t="s">
        <v>6</v>
      </c>
    </row>
    <row r="186" spans="2:15" x14ac:dyDescent="0.45">
      <c r="B186" t="s">
        <v>832</v>
      </c>
      <c r="C186" t="s">
        <v>23</v>
      </c>
      <c r="D186">
        <v>8.1356536105866809E-2</v>
      </c>
      <c r="E186" t="s">
        <v>6</v>
      </c>
      <c r="G186" t="s">
        <v>833</v>
      </c>
      <c r="H186" t="s">
        <v>23</v>
      </c>
      <c r="I186">
        <v>1.9822443431392067E-2</v>
      </c>
      <c r="J186" t="s">
        <v>6</v>
      </c>
      <c r="L186" t="s">
        <v>834</v>
      </c>
      <c r="M186" t="s">
        <v>23</v>
      </c>
      <c r="N186">
        <v>2.1721150496726727E-2</v>
      </c>
      <c r="O186" t="s">
        <v>6</v>
      </c>
    </row>
    <row r="187" spans="2:15" x14ac:dyDescent="0.45">
      <c r="B187" t="s">
        <v>832</v>
      </c>
      <c r="C187" t="s">
        <v>24</v>
      </c>
      <c r="D187">
        <v>6.2507927412248046E-2</v>
      </c>
      <c r="E187" t="s">
        <v>6</v>
      </c>
      <c r="G187" t="s">
        <v>833</v>
      </c>
      <c r="H187" t="s">
        <v>24</v>
      </c>
      <c r="I187">
        <v>2.1024687429434308E-2</v>
      </c>
      <c r="J187" t="s">
        <v>6</v>
      </c>
      <c r="L187" t="s">
        <v>834</v>
      </c>
      <c r="M187" t="s">
        <v>24</v>
      </c>
      <c r="N187">
        <v>2.2389685292379592E-2</v>
      </c>
      <c r="O187" t="s">
        <v>6</v>
      </c>
    </row>
    <row r="188" spans="2:15" x14ac:dyDescent="0.45">
      <c r="B188" t="s">
        <v>832</v>
      </c>
      <c r="C188" t="s">
        <v>25</v>
      </c>
      <c r="D188">
        <v>2.9966398832605538E-2</v>
      </c>
      <c r="E188" t="s">
        <v>6</v>
      </c>
      <c r="G188" t="s">
        <v>833</v>
      </c>
      <c r="H188" t="s">
        <v>25</v>
      </c>
      <c r="I188">
        <v>2.1362894758900488E-2</v>
      </c>
      <c r="J188" t="s">
        <v>6</v>
      </c>
      <c r="L188" t="s">
        <v>834</v>
      </c>
      <c r="M188" t="s">
        <v>25</v>
      </c>
      <c r="N188">
        <v>2.2590834867441581E-2</v>
      </c>
      <c r="O188" t="s">
        <v>6</v>
      </c>
    </row>
    <row r="189" spans="2:15" x14ac:dyDescent="0.45">
      <c r="B189" t="s">
        <v>832</v>
      </c>
      <c r="C189" t="s">
        <v>26</v>
      </c>
      <c r="D189">
        <v>3.6740804966404767E-3</v>
      </c>
      <c r="E189" t="s">
        <v>6</v>
      </c>
      <c r="G189" t="s">
        <v>833</v>
      </c>
      <c r="H189" t="s">
        <v>26</v>
      </c>
      <c r="I189">
        <v>2.223806536110445E-2</v>
      </c>
      <c r="J189" t="s">
        <v>6</v>
      </c>
      <c r="L189" t="s">
        <v>834</v>
      </c>
      <c r="M189" t="s">
        <v>26</v>
      </c>
      <c r="N189">
        <v>2.2579292675418253E-2</v>
      </c>
      <c r="O189" t="s">
        <v>6</v>
      </c>
    </row>
    <row r="190" spans="2:15" x14ac:dyDescent="0.45">
      <c r="B190" t="s">
        <v>832</v>
      </c>
      <c r="C190" t="s">
        <v>27</v>
      </c>
      <c r="D190">
        <v>2.2834063812094863E-6</v>
      </c>
      <c r="E190" t="s">
        <v>6</v>
      </c>
      <c r="G190" t="s">
        <v>833</v>
      </c>
      <c r="H190" t="s">
        <v>27</v>
      </c>
      <c r="I190">
        <v>3.3067404047249671E-2</v>
      </c>
      <c r="J190" t="s">
        <v>6</v>
      </c>
      <c r="L190" t="s">
        <v>834</v>
      </c>
      <c r="M190" t="s">
        <v>27</v>
      </c>
      <c r="N190">
        <v>3.3726507811360357E-2</v>
      </c>
      <c r="O190" t="s">
        <v>6</v>
      </c>
    </row>
    <row r="191" spans="2:15" x14ac:dyDescent="0.45">
      <c r="B191" t="s">
        <v>832</v>
      </c>
      <c r="C191" t="s">
        <v>28</v>
      </c>
      <c r="D191">
        <v>0</v>
      </c>
      <c r="E191" t="s">
        <v>6</v>
      </c>
      <c r="G191" t="s">
        <v>833</v>
      </c>
      <c r="H191" t="s">
        <v>28</v>
      </c>
      <c r="I191">
        <v>3.9271720243238432E-2</v>
      </c>
      <c r="J191" t="s">
        <v>6</v>
      </c>
      <c r="L191" t="s">
        <v>834</v>
      </c>
      <c r="M191" t="s">
        <v>28</v>
      </c>
      <c r="N191">
        <v>3.9539436857280064E-2</v>
      </c>
      <c r="O191" t="s">
        <v>6</v>
      </c>
    </row>
    <row r="192" spans="2:15" x14ac:dyDescent="0.45">
      <c r="B192" t="s">
        <v>832</v>
      </c>
      <c r="C192" t="s">
        <v>29</v>
      </c>
      <c r="D192">
        <v>8.6958700834434497E-4</v>
      </c>
      <c r="E192" t="s">
        <v>6</v>
      </c>
      <c r="G192" t="s">
        <v>833</v>
      </c>
      <c r="H192" t="s">
        <v>29</v>
      </c>
      <c r="I192">
        <v>1.5496730647012817E-2</v>
      </c>
      <c r="J192" t="s">
        <v>6</v>
      </c>
      <c r="L192" t="s">
        <v>834</v>
      </c>
      <c r="M192" t="s">
        <v>29</v>
      </c>
      <c r="N192">
        <v>1.6322107908451681E-2</v>
      </c>
      <c r="O192" t="s">
        <v>6</v>
      </c>
    </row>
    <row r="193" spans="2:15" x14ac:dyDescent="0.45">
      <c r="B193" t="s">
        <v>832</v>
      </c>
      <c r="C193" t="s">
        <v>30</v>
      </c>
      <c r="D193">
        <v>1.534868587582567E-2</v>
      </c>
      <c r="E193" t="s">
        <v>6</v>
      </c>
      <c r="G193" t="s">
        <v>833</v>
      </c>
      <c r="H193" t="s">
        <v>30</v>
      </c>
      <c r="I193">
        <v>1.4806294166730436E-2</v>
      </c>
      <c r="J193" t="s">
        <v>6</v>
      </c>
      <c r="L193" t="s">
        <v>834</v>
      </c>
      <c r="M193" t="s">
        <v>30</v>
      </c>
      <c r="N193">
        <v>1.5955959658895701E-2</v>
      </c>
      <c r="O193" t="s">
        <v>6</v>
      </c>
    </row>
    <row r="194" spans="2:15" x14ac:dyDescent="0.45">
      <c r="B194" t="s">
        <v>832</v>
      </c>
      <c r="C194" t="s">
        <v>31</v>
      </c>
      <c r="D194">
        <v>5.234080403004001E-2</v>
      </c>
      <c r="E194" t="s">
        <v>6</v>
      </c>
      <c r="G194" t="s">
        <v>833</v>
      </c>
      <c r="H194" t="s">
        <v>31</v>
      </c>
      <c r="I194">
        <v>1.4756508572939284E-2</v>
      </c>
      <c r="J194" t="s">
        <v>6</v>
      </c>
      <c r="L194" t="s">
        <v>834</v>
      </c>
      <c r="M194" t="s">
        <v>31</v>
      </c>
      <c r="N194">
        <v>1.5423721000869098E-2</v>
      </c>
      <c r="O194" t="s">
        <v>6</v>
      </c>
    </row>
    <row r="195" spans="2:15" x14ac:dyDescent="0.45">
      <c r="B195" t="s">
        <v>832</v>
      </c>
      <c r="C195" t="s">
        <v>32</v>
      </c>
      <c r="D195">
        <v>8.1616204573039308E-2</v>
      </c>
      <c r="E195" t="s">
        <v>6</v>
      </c>
      <c r="G195" t="s">
        <v>833</v>
      </c>
      <c r="H195" t="s">
        <v>32</v>
      </c>
      <c r="I195">
        <v>1.4166472464056048E-2</v>
      </c>
      <c r="J195" t="s">
        <v>6</v>
      </c>
      <c r="L195" t="s">
        <v>834</v>
      </c>
      <c r="M195" t="s">
        <v>32</v>
      </c>
      <c r="N195">
        <v>1.5020330253810743E-2</v>
      </c>
      <c r="O195" t="s">
        <v>6</v>
      </c>
    </row>
    <row r="196" spans="2:15" x14ac:dyDescent="0.45">
      <c r="B196" t="s">
        <v>832</v>
      </c>
      <c r="C196" t="s">
        <v>33</v>
      </c>
      <c r="D196">
        <v>8.8137621356943988E-2</v>
      </c>
      <c r="E196" t="s">
        <v>6</v>
      </c>
      <c r="G196" t="s">
        <v>833</v>
      </c>
      <c r="H196" t="s">
        <v>33</v>
      </c>
      <c r="I196">
        <v>1.5392023511843895E-2</v>
      </c>
      <c r="J196" t="s">
        <v>6</v>
      </c>
      <c r="L196" t="s">
        <v>834</v>
      </c>
      <c r="M196" t="s">
        <v>33</v>
      </c>
      <c r="N196">
        <v>1.5470327142939819E-2</v>
      </c>
      <c r="O196" t="s">
        <v>6</v>
      </c>
    </row>
    <row r="197" spans="2:15" x14ac:dyDescent="0.45">
      <c r="B197" t="s">
        <v>832</v>
      </c>
      <c r="C197" t="s">
        <v>34</v>
      </c>
      <c r="D197">
        <v>7.4306476570086308E-2</v>
      </c>
      <c r="E197" t="s">
        <v>6</v>
      </c>
      <c r="G197" t="s">
        <v>833</v>
      </c>
      <c r="H197" t="s">
        <v>34</v>
      </c>
      <c r="I197">
        <v>1.6372319190951078E-2</v>
      </c>
      <c r="J197" t="s">
        <v>6</v>
      </c>
      <c r="L197" t="s">
        <v>834</v>
      </c>
      <c r="M197" t="s">
        <v>34</v>
      </c>
      <c r="N197">
        <v>1.6011414688007711E-2</v>
      </c>
      <c r="O197" t="s">
        <v>6</v>
      </c>
    </row>
    <row r="198" spans="2:15" x14ac:dyDescent="0.45">
      <c r="B198" t="s">
        <v>832</v>
      </c>
      <c r="C198" t="s">
        <v>35</v>
      </c>
      <c r="D198">
        <v>4.2799211376567066E-2</v>
      </c>
      <c r="E198" t="s">
        <v>6</v>
      </c>
      <c r="G198" t="s">
        <v>833</v>
      </c>
      <c r="H198" t="s">
        <v>35</v>
      </c>
      <c r="I198">
        <v>1.6125891581015177E-2</v>
      </c>
      <c r="J198" t="s">
        <v>6</v>
      </c>
      <c r="L198" t="s">
        <v>834</v>
      </c>
      <c r="M198" t="s">
        <v>35</v>
      </c>
      <c r="N198">
        <v>1.5767643105422172E-2</v>
      </c>
      <c r="O198" t="s">
        <v>6</v>
      </c>
    </row>
    <row r="199" spans="2:15" x14ac:dyDescent="0.45">
      <c r="B199" t="s">
        <v>832</v>
      </c>
      <c r="C199" t="s">
        <v>36</v>
      </c>
      <c r="D199">
        <v>8.9128180482241411E-3</v>
      </c>
      <c r="E199" t="s">
        <v>6</v>
      </c>
      <c r="G199" t="s">
        <v>833</v>
      </c>
      <c r="H199" t="s">
        <v>36</v>
      </c>
      <c r="I199">
        <v>1.5534457206413757E-2</v>
      </c>
      <c r="J199" t="s">
        <v>6</v>
      </c>
      <c r="L199" t="s">
        <v>834</v>
      </c>
      <c r="M199" t="s">
        <v>36</v>
      </c>
      <c r="N199">
        <v>1.484888545386231E-2</v>
      </c>
      <c r="O199" t="s">
        <v>6</v>
      </c>
    </row>
    <row r="200" spans="2:15" x14ac:dyDescent="0.45">
      <c r="B200" t="s">
        <v>832</v>
      </c>
      <c r="C200" t="s">
        <v>37</v>
      </c>
      <c r="D200">
        <v>1.2282483904284275E-4</v>
      </c>
      <c r="E200" t="s">
        <v>6</v>
      </c>
      <c r="G200" t="s">
        <v>833</v>
      </c>
      <c r="H200" t="s">
        <v>37</v>
      </c>
      <c r="I200">
        <v>2.3985228027503171E-2</v>
      </c>
      <c r="J200" t="s">
        <v>6</v>
      </c>
      <c r="L200" t="s">
        <v>834</v>
      </c>
      <c r="M200" t="s">
        <v>37</v>
      </c>
      <c r="N200">
        <v>2.1519903139025274E-2</v>
      </c>
      <c r="O200" t="s">
        <v>6</v>
      </c>
    </row>
    <row r="201" spans="2:15" x14ac:dyDescent="0.45">
      <c r="B201" t="s">
        <v>832</v>
      </c>
      <c r="C201" t="s">
        <v>38</v>
      </c>
      <c r="D201">
        <v>0</v>
      </c>
      <c r="E201" t="s">
        <v>6</v>
      </c>
      <c r="G201" t="s">
        <v>833</v>
      </c>
      <c r="H201" t="s">
        <v>38</v>
      </c>
      <c r="I201">
        <v>5.6899961372819295E-2</v>
      </c>
      <c r="J201" t="s">
        <v>6</v>
      </c>
      <c r="L201" t="s">
        <v>834</v>
      </c>
      <c r="M201" t="s">
        <v>38</v>
      </c>
      <c r="N201">
        <v>5.6715581710750279E-2</v>
      </c>
      <c r="O201" t="s">
        <v>6</v>
      </c>
    </row>
    <row r="202" spans="2:15" x14ac:dyDescent="0.45">
      <c r="B202" t="s">
        <v>832</v>
      </c>
      <c r="C202" t="s">
        <v>39</v>
      </c>
      <c r="D202">
        <v>0</v>
      </c>
      <c r="E202" t="s">
        <v>6</v>
      </c>
      <c r="G202" t="s">
        <v>833</v>
      </c>
      <c r="H202" t="s">
        <v>39</v>
      </c>
      <c r="I202">
        <v>2.2153413401663352E-2</v>
      </c>
      <c r="J202" t="s">
        <v>6</v>
      </c>
      <c r="L202" t="s">
        <v>834</v>
      </c>
      <c r="M202" t="s">
        <v>39</v>
      </c>
      <c r="N202">
        <v>2.2952302378607799E-2</v>
      </c>
      <c r="O202" t="s">
        <v>6</v>
      </c>
    </row>
    <row r="203" spans="2:15" x14ac:dyDescent="0.45">
      <c r="B203" t="s">
        <v>832</v>
      </c>
      <c r="C203" t="s">
        <v>40</v>
      </c>
      <c r="D203">
        <v>2.8078609762312084E-3</v>
      </c>
      <c r="E203" t="s">
        <v>6</v>
      </c>
      <c r="G203" t="s">
        <v>833</v>
      </c>
      <c r="H203" t="s">
        <v>40</v>
      </c>
      <c r="I203">
        <v>2.1993977296932594E-2</v>
      </c>
      <c r="J203" t="s">
        <v>6</v>
      </c>
      <c r="L203" t="s">
        <v>834</v>
      </c>
      <c r="M203" t="s">
        <v>40</v>
      </c>
      <c r="N203">
        <v>2.2595421247348146E-2</v>
      </c>
      <c r="O203" t="s">
        <v>6</v>
      </c>
    </row>
    <row r="204" spans="2:15" x14ac:dyDescent="0.45">
      <c r="B204" t="s">
        <v>832</v>
      </c>
      <c r="C204" t="s">
        <v>41</v>
      </c>
      <c r="D204">
        <v>2.8149211168143506E-2</v>
      </c>
      <c r="E204" t="s">
        <v>6</v>
      </c>
      <c r="G204" t="s">
        <v>833</v>
      </c>
      <c r="H204" t="s">
        <v>41</v>
      </c>
      <c r="I204">
        <v>2.2026938564835133E-2</v>
      </c>
      <c r="J204" t="s">
        <v>6</v>
      </c>
      <c r="L204" t="s">
        <v>834</v>
      </c>
      <c r="M204" t="s">
        <v>41</v>
      </c>
      <c r="N204">
        <v>2.2483416762964639E-2</v>
      </c>
      <c r="O204" t="s">
        <v>6</v>
      </c>
    </row>
    <row r="205" spans="2:15" x14ac:dyDescent="0.45">
      <c r="B205" t="s">
        <v>832</v>
      </c>
      <c r="C205" t="s">
        <v>42</v>
      </c>
      <c r="D205">
        <v>5.5255587917218775E-2</v>
      </c>
      <c r="E205" t="s">
        <v>6</v>
      </c>
      <c r="G205" t="s">
        <v>833</v>
      </c>
      <c r="H205" t="s">
        <v>42</v>
      </c>
      <c r="I205">
        <v>2.1179424981882983E-2</v>
      </c>
      <c r="J205" t="s">
        <v>6</v>
      </c>
      <c r="L205" t="s">
        <v>834</v>
      </c>
      <c r="M205" t="s">
        <v>42</v>
      </c>
      <c r="N205">
        <v>2.2573428059235491E-2</v>
      </c>
      <c r="O205" t="s">
        <v>6</v>
      </c>
    </row>
    <row r="206" spans="2:15" x14ac:dyDescent="0.45">
      <c r="B206" t="s">
        <v>832</v>
      </c>
      <c r="C206" t="s">
        <v>43</v>
      </c>
      <c r="D206">
        <v>5.8804319965089349E-2</v>
      </c>
      <c r="E206" t="s">
        <v>6</v>
      </c>
      <c r="G206" t="s">
        <v>833</v>
      </c>
      <c r="H206" t="s">
        <v>43</v>
      </c>
      <c r="I206">
        <v>2.1971758157285717E-2</v>
      </c>
      <c r="J206" t="s">
        <v>6</v>
      </c>
      <c r="L206" t="s">
        <v>834</v>
      </c>
      <c r="M206" t="s">
        <v>43</v>
      </c>
      <c r="N206">
        <v>2.2889286848825456E-2</v>
      </c>
      <c r="O206" t="s">
        <v>6</v>
      </c>
    </row>
    <row r="207" spans="2:15" x14ac:dyDescent="0.45">
      <c r="B207" t="s">
        <v>832</v>
      </c>
      <c r="C207" t="s">
        <v>44</v>
      </c>
      <c r="D207">
        <v>3.7556613921122348E-2</v>
      </c>
      <c r="E207" t="s">
        <v>6</v>
      </c>
      <c r="G207" t="s">
        <v>833</v>
      </c>
      <c r="H207" t="s">
        <v>44</v>
      </c>
      <c r="I207">
        <v>2.2846130464507338E-2</v>
      </c>
      <c r="J207" t="s">
        <v>6</v>
      </c>
      <c r="L207" t="s">
        <v>834</v>
      </c>
      <c r="M207" t="s">
        <v>44</v>
      </c>
      <c r="N207">
        <v>2.3056869369008276E-2</v>
      </c>
      <c r="O207" t="s">
        <v>6</v>
      </c>
    </row>
    <row r="208" spans="2:15" x14ac:dyDescent="0.45">
      <c r="B208" t="s">
        <v>832</v>
      </c>
      <c r="C208" t="s">
        <v>45</v>
      </c>
      <c r="D208">
        <v>1.036957183278802E-2</v>
      </c>
      <c r="E208" t="s">
        <v>6</v>
      </c>
      <c r="G208" t="s">
        <v>833</v>
      </c>
      <c r="H208" t="s">
        <v>45</v>
      </c>
      <c r="I208">
        <v>2.2553809132529024E-2</v>
      </c>
      <c r="J208" t="s">
        <v>6</v>
      </c>
      <c r="L208" t="s">
        <v>834</v>
      </c>
      <c r="M208" t="s">
        <v>45</v>
      </c>
      <c r="N208">
        <v>2.3230583204992099E-2</v>
      </c>
      <c r="O208" t="s">
        <v>6</v>
      </c>
    </row>
    <row r="209" spans="2:15" x14ac:dyDescent="0.45">
      <c r="B209" t="s">
        <v>832</v>
      </c>
      <c r="C209" t="s">
        <v>46</v>
      </c>
      <c r="D209">
        <v>2.3216729747851716E-4</v>
      </c>
      <c r="E209" t="s">
        <v>6</v>
      </c>
      <c r="G209" t="s">
        <v>833</v>
      </c>
      <c r="H209" t="s">
        <v>46</v>
      </c>
      <c r="I209">
        <v>2.2713453240874898E-2</v>
      </c>
      <c r="J209" t="s">
        <v>6</v>
      </c>
      <c r="L209" t="s">
        <v>834</v>
      </c>
      <c r="M209" t="s">
        <v>46</v>
      </c>
      <c r="N209">
        <v>2.2992028685423847E-2</v>
      </c>
      <c r="O209" t="s">
        <v>6</v>
      </c>
    </row>
    <row r="210" spans="2:15" x14ac:dyDescent="0.45">
      <c r="B210" t="s">
        <v>832</v>
      </c>
      <c r="C210" t="s">
        <v>47</v>
      </c>
      <c r="D210">
        <v>0</v>
      </c>
      <c r="E210" t="s">
        <v>6</v>
      </c>
      <c r="G210" t="s">
        <v>833</v>
      </c>
      <c r="H210" t="s">
        <v>47</v>
      </c>
      <c r="I210">
        <v>3.464508153458512E-2</v>
      </c>
      <c r="J210" t="s">
        <v>6</v>
      </c>
      <c r="L210" t="s">
        <v>834</v>
      </c>
      <c r="M210" t="s">
        <v>47</v>
      </c>
      <c r="N210">
        <v>3.4245688637484152E-2</v>
      </c>
      <c r="O210" t="s">
        <v>6</v>
      </c>
    </row>
    <row r="211" spans="2:15" x14ac:dyDescent="0.45">
      <c r="B211" t="s">
        <v>835</v>
      </c>
      <c r="C211" t="s">
        <v>5</v>
      </c>
      <c r="D211">
        <v>0</v>
      </c>
      <c r="E211" t="s">
        <v>6</v>
      </c>
      <c r="G211" t="s">
        <v>836</v>
      </c>
      <c r="H211" t="s">
        <v>5</v>
      </c>
      <c r="I211">
        <v>5.9614885259592992E-2</v>
      </c>
      <c r="J211" t="s">
        <v>6</v>
      </c>
    </row>
    <row r="212" spans="2:15" x14ac:dyDescent="0.45">
      <c r="B212" t="s">
        <v>835</v>
      </c>
      <c r="C212" t="s">
        <v>9</v>
      </c>
      <c r="D212">
        <v>0</v>
      </c>
      <c r="E212" t="s">
        <v>6</v>
      </c>
      <c r="G212" t="s">
        <v>836</v>
      </c>
      <c r="H212" t="s">
        <v>9</v>
      </c>
      <c r="I212">
        <v>2.3491052977562432E-2</v>
      </c>
      <c r="J212" t="s">
        <v>6</v>
      </c>
    </row>
    <row r="213" spans="2:15" x14ac:dyDescent="0.45">
      <c r="B213" t="s">
        <v>835</v>
      </c>
      <c r="C213" t="s">
        <v>10</v>
      </c>
      <c r="D213">
        <v>0</v>
      </c>
      <c r="E213" t="s">
        <v>6</v>
      </c>
      <c r="G213" t="s">
        <v>836</v>
      </c>
      <c r="H213" t="s">
        <v>10</v>
      </c>
      <c r="I213">
        <v>2.3452429706112672E-2</v>
      </c>
      <c r="J213" t="s">
        <v>6</v>
      </c>
    </row>
    <row r="214" spans="2:15" x14ac:dyDescent="0.45">
      <c r="B214" t="s">
        <v>835</v>
      </c>
      <c r="C214" t="s">
        <v>11</v>
      </c>
      <c r="D214">
        <v>9.3401439103508038E-3</v>
      </c>
      <c r="E214" t="s">
        <v>6</v>
      </c>
      <c r="G214" t="s">
        <v>836</v>
      </c>
      <c r="H214" t="s">
        <v>11</v>
      </c>
      <c r="I214">
        <v>2.3302783903445798E-2</v>
      </c>
      <c r="J214" t="s">
        <v>6</v>
      </c>
    </row>
    <row r="215" spans="2:15" x14ac:dyDescent="0.45">
      <c r="B215" t="s">
        <v>835</v>
      </c>
      <c r="C215" t="s">
        <v>12</v>
      </c>
      <c r="D215">
        <v>3.7634630929502484E-2</v>
      </c>
      <c r="E215" t="s">
        <v>6</v>
      </c>
      <c r="G215" t="s">
        <v>836</v>
      </c>
      <c r="H215" t="s">
        <v>12</v>
      </c>
      <c r="I215">
        <v>2.2907847037598392E-2</v>
      </c>
      <c r="J215" t="s">
        <v>6</v>
      </c>
    </row>
    <row r="216" spans="2:15" x14ac:dyDescent="0.45">
      <c r="B216" t="s">
        <v>835</v>
      </c>
      <c r="C216" t="s">
        <v>13</v>
      </c>
      <c r="D216">
        <v>4.6565875486689237E-2</v>
      </c>
      <c r="E216" t="s">
        <v>6</v>
      </c>
      <c r="G216" t="s">
        <v>836</v>
      </c>
      <c r="H216" t="s">
        <v>13</v>
      </c>
      <c r="I216">
        <v>2.2630130533702233E-2</v>
      </c>
      <c r="J216" t="s">
        <v>6</v>
      </c>
    </row>
    <row r="217" spans="2:15" x14ac:dyDescent="0.45">
      <c r="B217" t="s">
        <v>835</v>
      </c>
      <c r="C217" t="s">
        <v>14</v>
      </c>
      <c r="D217">
        <v>2.8502987703425235E-2</v>
      </c>
      <c r="E217" t="s">
        <v>6</v>
      </c>
      <c r="G217" t="s">
        <v>836</v>
      </c>
      <c r="H217" t="s">
        <v>14</v>
      </c>
      <c r="I217">
        <v>2.3021085427263235E-2</v>
      </c>
      <c r="J217" t="s">
        <v>6</v>
      </c>
    </row>
    <row r="218" spans="2:15" x14ac:dyDescent="0.45">
      <c r="B218" t="s">
        <v>835</v>
      </c>
      <c r="C218" t="s">
        <v>15</v>
      </c>
      <c r="D218">
        <v>4.4385624386799718E-3</v>
      </c>
      <c r="E218" t="s">
        <v>6</v>
      </c>
      <c r="G218" t="s">
        <v>836</v>
      </c>
      <c r="H218" t="s">
        <v>15</v>
      </c>
      <c r="I218">
        <v>2.3886270203596328E-2</v>
      </c>
      <c r="J218" t="s">
        <v>6</v>
      </c>
    </row>
    <row r="219" spans="2:15" x14ac:dyDescent="0.45">
      <c r="B219" t="s">
        <v>835</v>
      </c>
      <c r="C219" t="s">
        <v>16</v>
      </c>
      <c r="D219">
        <v>0</v>
      </c>
      <c r="E219" t="s">
        <v>6</v>
      </c>
      <c r="G219" t="s">
        <v>836</v>
      </c>
      <c r="H219" t="s">
        <v>16</v>
      </c>
      <c r="I219">
        <v>2.4117687777766347E-2</v>
      </c>
      <c r="J219" t="s">
        <v>6</v>
      </c>
    </row>
    <row r="220" spans="2:15" x14ac:dyDescent="0.45">
      <c r="B220" t="s">
        <v>835</v>
      </c>
      <c r="C220" t="s">
        <v>17</v>
      </c>
      <c r="D220">
        <v>0</v>
      </c>
      <c r="E220" t="s">
        <v>6</v>
      </c>
      <c r="G220" t="s">
        <v>836</v>
      </c>
      <c r="H220" t="s">
        <v>17</v>
      </c>
      <c r="I220">
        <v>3.5938638641789089E-2</v>
      </c>
      <c r="J220" t="s">
        <v>6</v>
      </c>
    </row>
    <row r="221" spans="2:15" x14ac:dyDescent="0.45">
      <c r="B221" t="s">
        <v>835</v>
      </c>
      <c r="C221" t="s">
        <v>18</v>
      </c>
      <c r="D221">
        <v>0</v>
      </c>
      <c r="E221" t="s">
        <v>6</v>
      </c>
      <c r="G221" t="s">
        <v>836</v>
      </c>
      <c r="H221" t="s">
        <v>18</v>
      </c>
      <c r="I221">
        <v>5.4581338252864375E-2</v>
      </c>
      <c r="J221" t="s">
        <v>6</v>
      </c>
    </row>
    <row r="222" spans="2:15" x14ac:dyDescent="0.45">
      <c r="B222" t="s">
        <v>835</v>
      </c>
      <c r="C222" t="s">
        <v>19</v>
      </c>
      <c r="D222">
        <v>2.591255083101788E-4</v>
      </c>
      <c r="E222" t="s">
        <v>6</v>
      </c>
      <c r="G222" t="s">
        <v>836</v>
      </c>
      <c r="H222" t="s">
        <v>19</v>
      </c>
      <c r="I222">
        <v>2.0838119505436521E-2</v>
      </c>
      <c r="J222" t="s">
        <v>6</v>
      </c>
    </row>
    <row r="223" spans="2:15" x14ac:dyDescent="0.45">
      <c r="B223" t="s">
        <v>835</v>
      </c>
      <c r="C223" t="s">
        <v>20</v>
      </c>
      <c r="D223">
        <v>9.9564686421603175E-3</v>
      </c>
      <c r="E223" t="s">
        <v>6</v>
      </c>
      <c r="G223" t="s">
        <v>836</v>
      </c>
      <c r="H223" t="s">
        <v>20</v>
      </c>
      <c r="I223">
        <v>2.041313962502863E-2</v>
      </c>
      <c r="J223" t="s">
        <v>6</v>
      </c>
    </row>
    <row r="224" spans="2:15" x14ac:dyDescent="0.45">
      <c r="B224" t="s">
        <v>835</v>
      </c>
      <c r="C224" t="s">
        <v>21</v>
      </c>
      <c r="D224">
        <v>4.6969894819694664E-2</v>
      </c>
      <c r="E224" t="s">
        <v>6</v>
      </c>
      <c r="G224" t="s">
        <v>836</v>
      </c>
      <c r="H224" t="s">
        <v>21</v>
      </c>
      <c r="I224">
        <v>2.0569728817809618E-2</v>
      </c>
      <c r="J224" t="s">
        <v>6</v>
      </c>
    </row>
    <row r="225" spans="2:10" x14ac:dyDescent="0.45">
      <c r="B225" t="s">
        <v>835</v>
      </c>
      <c r="C225" t="s">
        <v>22</v>
      </c>
      <c r="D225">
        <v>7.6336197762270602E-2</v>
      </c>
      <c r="E225" t="s">
        <v>6</v>
      </c>
      <c r="G225" t="s">
        <v>836</v>
      </c>
      <c r="H225" t="s">
        <v>22</v>
      </c>
      <c r="I225">
        <v>1.9830087185813642E-2</v>
      </c>
      <c r="J225" t="s">
        <v>6</v>
      </c>
    </row>
    <row r="226" spans="2:10" x14ac:dyDescent="0.45">
      <c r="B226" t="s">
        <v>835</v>
      </c>
      <c r="C226" t="s">
        <v>23</v>
      </c>
      <c r="D226">
        <v>8.334139039825228E-2</v>
      </c>
      <c r="E226" t="s">
        <v>6</v>
      </c>
      <c r="G226" t="s">
        <v>836</v>
      </c>
      <c r="H226" t="s">
        <v>23</v>
      </c>
      <c r="I226">
        <v>2.0596335908391165E-2</v>
      </c>
      <c r="J226" t="s">
        <v>6</v>
      </c>
    </row>
    <row r="227" spans="2:10" x14ac:dyDescent="0.45">
      <c r="B227" t="s">
        <v>835</v>
      </c>
      <c r="C227" t="s">
        <v>24</v>
      </c>
      <c r="D227">
        <v>6.409784420436658E-2</v>
      </c>
      <c r="E227" t="s">
        <v>6</v>
      </c>
      <c r="G227" t="s">
        <v>836</v>
      </c>
      <c r="H227" t="s">
        <v>24</v>
      </c>
      <c r="I227">
        <v>2.1717050850234954E-2</v>
      </c>
      <c r="J227" t="s">
        <v>6</v>
      </c>
    </row>
    <row r="228" spans="2:10" x14ac:dyDescent="0.45">
      <c r="B228" t="s">
        <v>835</v>
      </c>
      <c r="C228" t="s">
        <v>25</v>
      </c>
      <c r="D228">
        <v>3.1548227188146177E-2</v>
      </c>
      <c r="E228" t="s">
        <v>6</v>
      </c>
      <c r="G228" t="s">
        <v>836</v>
      </c>
      <c r="H228" t="s">
        <v>25</v>
      </c>
      <c r="I228">
        <v>2.2623225490348842E-2</v>
      </c>
      <c r="J228" t="s">
        <v>6</v>
      </c>
    </row>
    <row r="229" spans="2:10" x14ac:dyDescent="0.45">
      <c r="B229" t="s">
        <v>835</v>
      </c>
      <c r="C229" t="s">
        <v>26</v>
      </c>
      <c r="D229">
        <v>3.6529930887887994E-3</v>
      </c>
      <c r="E229" t="s">
        <v>6</v>
      </c>
      <c r="G229" t="s">
        <v>836</v>
      </c>
      <c r="H229" t="s">
        <v>26</v>
      </c>
      <c r="I229">
        <v>2.3323458247075862E-2</v>
      </c>
      <c r="J229" t="s">
        <v>6</v>
      </c>
    </row>
    <row r="230" spans="2:10" x14ac:dyDescent="0.45">
      <c r="B230" t="s">
        <v>835</v>
      </c>
      <c r="C230" t="s">
        <v>27</v>
      </c>
      <c r="D230">
        <v>4.1341975261334525E-6</v>
      </c>
      <c r="E230" t="s">
        <v>6</v>
      </c>
      <c r="G230" t="s">
        <v>836</v>
      </c>
      <c r="H230" t="s">
        <v>27</v>
      </c>
      <c r="I230">
        <v>3.4158245084719908E-2</v>
      </c>
      <c r="J230" t="s">
        <v>6</v>
      </c>
    </row>
    <row r="231" spans="2:10" x14ac:dyDescent="0.45">
      <c r="B231" t="s">
        <v>835</v>
      </c>
      <c r="C231" t="s">
        <v>28</v>
      </c>
      <c r="D231">
        <v>0</v>
      </c>
      <c r="E231" t="s">
        <v>6</v>
      </c>
      <c r="G231" t="s">
        <v>836</v>
      </c>
      <c r="H231" t="s">
        <v>28</v>
      </c>
      <c r="I231">
        <v>4.097350287582547E-2</v>
      </c>
      <c r="J231" t="s">
        <v>6</v>
      </c>
    </row>
    <row r="232" spans="2:10" x14ac:dyDescent="0.45">
      <c r="B232" t="s">
        <v>835</v>
      </c>
      <c r="C232" t="s">
        <v>29</v>
      </c>
      <c r="D232">
        <v>8.9646555127678512E-4</v>
      </c>
      <c r="E232" t="s">
        <v>6</v>
      </c>
      <c r="G232" t="s">
        <v>836</v>
      </c>
      <c r="H232" t="s">
        <v>29</v>
      </c>
      <c r="I232">
        <v>1.6612504538517366E-2</v>
      </c>
      <c r="J232" t="s">
        <v>6</v>
      </c>
    </row>
    <row r="233" spans="2:10" x14ac:dyDescent="0.45">
      <c r="B233" t="s">
        <v>835</v>
      </c>
      <c r="C233" t="s">
        <v>30</v>
      </c>
      <c r="D233">
        <v>1.5437315053613182E-2</v>
      </c>
      <c r="E233" t="s">
        <v>6</v>
      </c>
      <c r="G233" t="s">
        <v>836</v>
      </c>
      <c r="H233" t="s">
        <v>30</v>
      </c>
      <c r="I233">
        <v>1.6231105728278909E-2</v>
      </c>
      <c r="J233" t="s">
        <v>6</v>
      </c>
    </row>
    <row r="234" spans="2:10" x14ac:dyDescent="0.45">
      <c r="B234" t="s">
        <v>835</v>
      </c>
      <c r="C234" t="s">
        <v>31</v>
      </c>
      <c r="D234">
        <v>5.2272459712520675E-2</v>
      </c>
      <c r="E234" t="s">
        <v>6</v>
      </c>
      <c r="G234" t="s">
        <v>836</v>
      </c>
      <c r="H234" t="s">
        <v>31</v>
      </c>
      <c r="I234">
        <v>1.614071891624282E-2</v>
      </c>
      <c r="J234" t="s">
        <v>6</v>
      </c>
    </row>
    <row r="235" spans="2:10" x14ac:dyDescent="0.45">
      <c r="B235" t="s">
        <v>835</v>
      </c>
      <c r="C235" t="s">
        <v>32</v>
      </c>
      <c r="D235">
        <v>8.1443254004201521E-2</v>
      </c>
      <c r="E235" t="s">
        <v>6</v>
      </c>
      <c r="G235" t="s">
        <v>836</v>
      </c>
      <c r="H235" t="s">
        <v>32</v>
      </c>
      <c r="I235">
        <v>1.4803592438572591E-2</v>
      </c>
      <c r="J235" t="s">
        <v>6</v>
      </c>
    </row>
    <row r="236" spans="2:10" x14ac:dyDescent="0.45">
      <c r="B236" t="s">
        <v>835</v>
      </c>
      <c r="C236" t="s">
        <v>33</v>
      </c>
      <c r="D236">
        <v>9.0003365159870244E-2</v>
      </c>
      <c r="E236" t="s">
        <v>6</v>
      </c>
      <c r="G236" t="s">
        <v>836</v>
      </c>
      <c r="H236" t="s">
        <v>33</v>
      </c>
      <c r="I236">
        <v>1.5261492468360234E-2</v>
      </c>
      <c r="J236" t="s">
        <v>6</v>
      </c>
    </row>
    <row r="237" spans="2:10" x14ac:dyDescent="0.45">
      <c r="B237" t="s">
        <v>835</v>
      </c>
      <c r="C237" t="s">
        <v>34</v>
      </c>
      <c r="D237">
        <v>7.6080664363907702E-2</v>
      </c>
      <c r="E237" t="s">
        <v>6</v>
      </c>
      <c r="G237" t="s">
        <v>836</v>
      </c>
      <c r="H237" t="s">
        <v>34</v>
      </c>
      <c r="I237">
        <v>1.5886315355574596E-2</v>
      </c>
      <c r="J237" t="s">
        <v>6</v>
      </c>
    </row>
    <row r="238" spans="2:10" x14ac:dyDescent="0.45">
      <c r="B238" t="s">
        <v>835</v>
      </c>
      <c r="C238" t="s">
        <v>35</v>
      </c>
      <c r="D238">
        <v>4.3567005713629904E-2</v>
      </c>
      <c r="E238" t="s">
        <v>6</v>
      </c>
      <c r="G238" t="s">
        <v>836</v>
      </c>
      <c r="H238" t="s">
        <v>35</v>
      </c>
      <c r="I238">
        <v>1.6154895428108749E-2</v>
      </c>
      <c r="J238" t="s">
        <v>6</v>
      </c>
    </row>
    <row r="239" spans="2:10" x14ac:dyDescent="0.45">
      <c r="B239" t="s">
        <v>835</v>
      </c>
      <c r="C239" t="s">
        <v>36</v>
      </c>
      <c r="D239">
        <v>8.9762633346130265E-3</v>
      </c>
      <c r="E239" t="s">
        <v>6</v>
      </c>
      <c r="G239" t="s">
        <v>836</v>
      </c>
      <c r="H239" t="s">
        <v>36</v>
      </c>
      <c r="I239">
        <v>1.6111726445816901E-2</v>
      </c>
      <c r="J239" t="s">
        <v>6</v>
      </c>
    </row>
    <row r="240" spans="2:10" x14ac:dyDescent="0.45">
      <c r="B240" t="s">
        <v>835</v>
      </c>
      <c r="C240" t="s">
        <v>37</v>
      </c>
      <c r="D240">
        <v>1.4388249224722859E-4</v>
      </c>
      <c r="E240" t="s">
        <v>6</v>
      </c>
      <c r="G240" t="s">
        <v>836</v>
      </c>
      <c r="H240" t="s">
        <v>37</v>
      </c>
      <c r="I240">
        <v>2.4560732581175502E-2</v>
      </c>
      <c r="J240" t="s">
        <v>6</v>
      </c>
    </row>
    <row r="241" spans="2:10" x14ac:dyDescent="0.45">
      <c r="B241" t="s">
        <v>835</v>
      </c>
      <c r="C241" t="s">
        <v>38</v>
      </c>
      <c r="D241">
        <v>0</v>
      </c>
      <c r="E241" t="s">
        <v>6</v>
      </c>
      <c r="G241" t="s">
        <v>836</v>
      </c>
      <c r="H241" t="s">
        <v>38</v>
      </c>
      <c r="I241">
        <v>5.5458065800091862E-2</v>
      </c>
      <c r="J241" t="s">
        <v>6</v>
      </c>
    </row>
    <row r="242" spans="2:10" x14ac:dyDescent="0.45">
      <c r="B242" t="s">
        <v>835</v>
      </c>
      <c r="C242" t="s">
        <v>39</v>
      </c>
      <c r="D242">
        <v>0</v>
      </c>
      <c r="E242" t="s">
        <v>6</v>
      </c>
      <c r="G242" t="s">
        <v>836</v>
      </c>
      <c r="H242" t="s">
        <v>39</v>
      </c>
      <c r="I242">
        <v>2.1498103644896873E-2</v>
      </c>
      <c r="J242" t="s">
        <v>6</v>
      </c>
    </row>
    <row r="243" spans="2:10" x14ac:dyDescent="0.45">
      <c r="B243" t="s">
        <v>835</v>
      </c>
      <c r="C243" t="s">
        <v>40</v>
      </c>
      <c r="D243">
        <v>2.6425565014647459E-3</v>
      </c>
      <c r="E243" t="s">
        <v>6</v>
      </c>
      <c r="G243" t="s">
        <v>836</v>
      </c>
      <c r="H243" t="s">
        <v>40</v>
      </c>
      <c r="I243">
        <v>2.1437475818830102E-2</v>
      </c>
      <c r="J243" t="s">
        <v>6</v>
      </c>
    </row>
    <row r="244" spans="2:10" x14ac:dyDescent="0.45">
      <c r="B244" t="s">
        <v>835</v>
      </c>
      <c r="C244" t="s">
        <v>41</v>
      </c>
      <c r="D244">
        <v>2.6774099538353181E-2</v>
      </c>
      <c r="E244" t="s">
        <v>6</v>
      </c>
      <c r="G244" t="s">
        <v>836</v>
      </c>
      <c r="H244" t="s">
        <v>41</v>
      </c>
      <c r="I244">
        <v>2.1804590402495827E-2</v>
      </c>
      <c r="J244" t="s">
        <v>6</v>
      </c>
    </row>
    <row r="245" spans="2:10" x14ac:dyDescent="0.45">
      <c r="B245" t="s">
        <v>835</v>
      </c>
      <c r="C245" t="s">
        <v>42</v>
      </c>
      <c r="D245">
        <v>5.2940685120670426E-2</v>
      </c>
      <c r="E245" t="s">
        <v>6</v>
      </c>
      <c r="G245" t="s">
        <v>836</v>
      </c>
      <c r="H245" t="s">
        <v>42</v>
      </c>
      <c r="I245">
        <v>2.1384545700267078E-2</v>
      </c>
      <c r="J245" t="s">
        <v>6</v>
      </c>
    </row>
    <row r="246" spans="2:10" x14ac:dyDescent="0.45">
      <c r="B246" t="s">
        <v>835</v>
      </c>
      <c r="C246" t="s">
        <v>43</v>
      </c>
      <c r="D246">
        <v>5.7122190705045997E-2</v>
      </c>
      <c r="E246" t="s">
        <v>6</v>
      </c>
      <c r="G246" t="s">
        <v>836</v>
      </c>
      <c r="H246" t="s">
        <v>43</v>
      </c>
      <c r="I246">
        <v>2.2064155759612132E-2</v>
      </c>
      <c r="J246" t="s">
        <v>6</v>
      </c>
    </row>
    <row r="247" spans="2:10" x14ac:dyDescent="0.45">
      <c r="B247" t="s">
        <v>835</v>
      </c>
      <c r="C247" t="s">
        <v>44</v>
      </c>
      <c r="D247">
        <v>3.8422159910509922E-2</v>
      </c>
      <c r="E247" t="s">
        <v>6</v>
      </c>
      <c r="G247" t="s">
        <v>836</v>
      </c>
      <c r="H247" t="s">
        <v>44</v>
      </c>
      <c r="I247">
        <v>2.2697047769880095E-2</v>
      </c>
      <c r="J247" t="s">
        <v>6</v>
      </c>
    </row>
    <row r="248" spans="2:10" x14ac:dyDescent="0.45">
      <c r="B248" t="s">
        <v>835</v>
      </c>
      <c r="C248" t="s">
        <v>45</v>
      </c>
      <c r="D248">
        <v>1.0415994952914561E-2</v>
      </c>
      <c r="E248" t="s">
        <v>6</v>
      </c>
      <c r="G248" t="s">
        <v>836</v>
      </c>
      <c r="H248" t="s">
        <v>45</v>
      </c>
      <c r="I248">
        <v>2.285225620706445E-2</v>
      </c>
      <c r="J248" t="s">
        <v>6</v>
      </c>
    </row>
    <row r="249" spans="2:10" x14ac:dyDescent="0.45">
      <c r="B249" t="s">
        <v>835</v>
      </c>
      <c r="C249" t="s">
        <v>46</v>
      </c>
      <c r="D249">
        <v>2.131616070001773E-4</v>
      </c>
      <c r="E249" t="s">
        <v>6</v>
      </c>
      <c r="G249" t="s">
        <v>836</v>
      </c>
      <c r="H249" t="s">
        <v>46</v>
      </c>
      <c r="I249">
        <v>2.277082687791639E-2</v>
      </c>
      <c r="J249" t="s">
        <v>6</v>
      </c>
    </row>
    <row r="250" spans="2:10" x14ac:dyDescent="0.45">
      <c r="B250" t="s">
        <v>835</v>
      </c>
      <c r="C250" t="s">
        <v>47</v>
      </c>
      <c r="D250">
        <v>0</v>
      </c>
      <c r="E250" t="s">
        <v>6</v>
      </c>
      <c r="G250" t="s">
        <v>836</v>
      </c>
      <c r="H250" t="s">
        <v>47</v>
      </c>
      <c r="I250">
        <v>3.4282804806318318E-2</v>
      </c>
      <c r="J250" t="s">
        <v>6</v>
      </c>
    </row>
    <row r="251" spans="2:10" x14ac:dyDescent="0.45">
      <c r="B251" t="s">
        <v>837</v>
      </c>
      <c r="C251" t="s">
        <v>5</v>
      </c>
      <c r="D251">
        <v>0</v>
      </c>
      <c r="E251" t="s">
        <v>6</v>
      </c>
      <c r="G251" t="s">
        <v>838</v>
      </c>
      <c r="H251" t="s">
        <v>5</v>
      </c>
      <c r="I251">
        <v>6.3291605408628701E-2</v>
      </c>
      <c r="J251" t="s">
        <v>6</v>
      </c>
    </row>
    <row r="252" spans="2:10" x14ac:dyDescent="0.45">
      <c r="B252" t="s">
        <v>837</v>
      </c>
      <c r="C252" t="s">
        <v>9</v>
      </c>
      <c r="D252">
        <v>0</v>
      </c>
      <c r="E252" t="s">
        <v>6</v>
      </c>
      <c r="G252" t="s">
        <v>838</v>
      </c>
      <c r="H252" t="s">
        <v>9</v>
      </c>
      <c r="I252">
        <v>2.4879630476417853E-2</v>
      </c>
      <c r="J252" t="s">
        <v>6</v>
      </c>
    </row>
    <row r="253" spans="2:10" x14ac:dyDescent="0.45">
      <c r="B253" t="s">
        <v>837</v>
      </c>
      <c r="C253" t="s">
        <v>10</v>
      </c>
      <c r="D253">
        <v>0</v>
      </c>
      <c r="E253" t="s">
        <v>6</v>
      </c>
      <c r="G253" t="s">
        <v>838</v>
      </c>
      <c r="H253" t="s">
        <v>10</v>
      </c>
      <c r="I253">
        <v>2.51255764754055E-2</v>
      </c>
      <c r="J253" t="s">
        <v>6</v>
      </c>
    </row>
    <row r="254" spans="2:10" x14ac:dyDescent="0.45">
      <c r="B254" t="s">
        <v>837</v>
      </c>
      <c r="C254" t="s">
        <v>11</v>
      </c>
      <c r="D254">
        <v>8.8180669861462283E-3</v>
      </c>
      <c r="E254" t="s">
        <v>6</v>
      </c>
      <c r="G254" t="s">
        <v>838</v>
      </c>
      <c r="H254" t="s">
        <v>11</v>
      </c>
      <c r="I254">
        <v>2.4972519575565653E-2</v>
      </c>
      <c r="J254" t="s">
        <v>6</v>
      </c>
    </row>
    <row r="255" spans="2:10" x14ac:dyDescent="0.45">
      <c r="B255" t="s">
        <v>837</v>
      </c>
      <c r="C255" t="s">
        <v>12</v>
      </c>
      <c r="D255">
        <v>3.4764062002313911E-2</v>
      </c>
      <c r="E255" t="s">
        <v>6</v>
      </c>
      <c r="G255" t="s">
        <v>838</v>
      </c>
      <c r="H255" t="s">
        <v>12</v>
      </c>
      <c r="I255">
        <v>2.3097526924640371E-2</v>
      </c>
      <c r="J255" t="s">
        <v>6</v>
      </c>
    </row>
    <row r="256" spans="2:10" x14ac:dyDescent="0.45">
      <c r="B256" t="s">
        <v>837</v>
      </c>
      <c r="C256" t="s">
        <v>13</v>
      </c>
      <c r="D256">
        <v>4.0222399685995579E-2</v>
      </c>
      <c r="E256" t="s">
        <v>6</v>
      </c>
      <c r="G256" t="s">
        <v>838</v>
      </c>
      <c r="H256" t="s">
        <v>13</v>
      </c>
      <c r="I256">
        <v>2.3131222147692993E-2</v>
      </c>
      <c r="J256" t="s">
        <v>6</v>
      </c>
    </row>
    <row r="257" spans="2:10" x14ac:dyDescent="0.45">
      <c r="B257" t="s">
        <v>837</v>
      </c>
      <c r="C257" t="s">
        <v>14</v>
      </c>
      <c r="D257">
        <v>2.5079611086732952E-2</v>
      </c>
      <c r="E257" t="s">
        <v>6</v>
      </c>
      <c r="G257" t="s">
        <v>838</v>
      </c>
      <c r="H257" t="s">
        <v>14</v>
      </c>
      <c r="I257">
        <v>2.3604657805218764E-2</v>
      </c>
      <c r="J257" t="s">
        <v>6</v>
      </c>
    </row>
    <row r="258" spans="2:10" x14ac:dyDescent="0.45">
      <c r="B258" t="s">
        <v>837</v>
      </c>
      <c r="C258" t="s">
        <v>15</v>
      </c>
      <c r="D258">
        <v>3.6146755550377097E-3</v>
      </c>
      <c r="E258" t="s">
        <v>6</v>
      </c>
      <c r="G258" t="s">
        <v>838</v>
      </c>
      <c r="H258" t="s">
        <v>15</v>
      </c>
      <c r="I258">
        <v>2.4893350406736493E-2</v>
      </c>
      <c r="J258" t="s">
        <v>6</v>
      </c>
    </row>
    <row r="259" spans="2:10" x14ac:dyDescent="0.45">
      <c r="B259" t="s">
        <v>837</v>
      </c>
      <c r="C259" t="s">
        <v>16</v>
      </c>
      <c r="D259">
        <v>0</v>
      </c>
      <c r="E259" t="s">
        <v>6</v>
      </c>
      <c r="G259" t="s">
        <v>838</v>
      </c>
      <c r="H259" t="s">
        <v>16</v>
      </c>
      <c r="I259">
        <v>2.5731349707977719E-2</v>
      </c>
      <c r="J259" t="s">
        <v>6</v>
      </c>
    </row>
    <row r="260" spans="2:10" x14ac:dyDescent="0.45">
      <c r="B260" t="s">
        <v>837</v>
      </c>
      <c r="C260" t="s">
        <v>17</v>
      </c>
      <c r="D260">
        <v>0</v>
      </c>
      <c r="E260" t="s">
        <v>6</v>
      </c>
      <c r="G260" t="s">
        <v>838</v>
      </c>
      <c r="H260" t="s">
        <v>17</v>
      </c>
      <c r="I260">
        <v>3.8656656664691633E-2</v>
      </c>
      <c r="J260" t="s">
        <v>6</v>
      </c>
    </row>
    <row r="261" spans="2:10" x14ac:dyDescent="0.45">
      <c r="B261" t="s">
        <v>837</v>
      </c>
      <c r="C261" t="s">
        <v>18</v>
      </c>
      <c r="D261">
        <v>0</v>
      </c>
      <c r="E261" t="s">
        <v>6</v>
      </c>
      <c r="G261" t="s">
        <v>838</v>
      </c>
      <c r="H261" t="s">
        <v>18</v>
      </c>
      <c r="I261">
        <v>5.41645800698735E-2</v>
      </c>
      <c r="J261" t="s">
        <v>6</v>
      </c>
    </row>
    <row r="262" spans="2:10" x14ac:dyDescent="0.45">
      <c r="B262" t="s">
        <v>837</v>
      </c>
      <c r="C262" t="s">
        <v>19</v>
      </c>
      <c r="D262">
        <v>3.7775979972287036E-4</v>
      </c>
      <c r="E262" t="s">
        <v>6</v>
      </c>
      <c r="G262" t="s">
        <v>838</v>
      </c>
      <c r="H262" t="s">
        <v>19</v>
      </c>
      <c r="I262">
        <v>2.1201911056026344E-2</v>
      </c>
      <c r="J262" t="s">
        <v>6</v>
      </c>
    </row>
    <row r="263" spans="2:10" x14ac:dyDescent="0.45">
      <c r="B263" t="s">
        <v>837</v>
      </c>
      <c r="C263" t="s">
        <v>20</v>
      </c>
      <c r="D263">
        <v>1.2053955497347496E-2</v>
      </c>
      <c r="E263" t="s">
        <v>6</v>
      </c>
      <c r="G263" t="s">
        <v>838</v>
      </c>
      <c r="H263" t="s">
        <v>20</v>
      </c>
      <c r="I263">
        <v>2.0634133079986513E-2</v>
      </c>
      <c r="J263" t="s">
        <v>6</v>
      </c>
    </row>
    <row r="264" spans="2:10" x14ac:dyDescent="0.45">
      <c r="B264" t="s">
        <v>837</v>
      </c>
      <c r="C264" t="s">
        <v>21</v>
      </c>
      <c r="D264">
        <v>5.1058548231261311E-2</v>
      </c>
      <c r="E264" t="s">
        <v>6</v>
      </c>
      <c r="G264" t="s">
        <v>838</v>
      </c>
      <c r="H264" t="s">
        <v>21</v>
      </c>
      <c r="I264">
        <v>2.0522540331795104E-2</v>
      </c>
      <c r="J264" t="s">
        <v>6</v>
      </c>
    </row>
    <row r="265" spans="2:10" x14ac:dyDescent="0.45">
      <c r="B265" t="s">
        <v>837</v>
      </c>
      <c r="C265" t="s">
        <v>22</v>
      </c>
      <c r="D265">
        <v>7.9821708846431916E-2</v>
      </c>
      <c r="E265" t="s">
        <v>6</v>
      </c>
      <c r="G265" t="s">
        <v>838</v>
      </c>
      <c r="H265" t="s">
        <v>22</v>
      </c>
      <c r="I265">
        <v>1.8818933022493878E-2</v>
      </c>
      <c r="J265" t="s">
        <v>6</v>
      </c>
    </row>
    <row r="266" spans="2:10" x14ac:dyDescent="0.45">
      <c r="B266" t="s">
        <v>837</v>
      </c>
      <c r="C266" t="s">
        <v>23</v>
      </c>
      <c r="D266">
        <v>8.390728261166891E-2</v>
      </c>
      <c r="E266" t="s">
        <v>6</v>
      </c>
      <c r="G266" t="s">
        <v>838</v>
      </c>
      <c r="H266" t="s">
        <v>23</v>
      </c>
      <c r="I266">
        <v>1.9748152856167739E-2</v>
      </c>
      <c r="J266" t="s">
        <v>6</v>
      </c>
    </row>
    <row r="267" spans="2:10" x14ac:dyDescent="0.45">
      <c r="B267" t="s">
        <v>837</v>
      </c>
      <c r="C267" t="s">
        <v>24</v>
      </c>
      <c r="D267">
        <v>6.4176412491561793E-2</v>
      </c>
      <c r="E267" t="s">
        <v>6</v>
      </c>
      <c r="G267" t="s">
        <v>838</v>
      </c>
      <c r="H267" t="s">
        <v>24</v>
      </c>
      <c r="I267">
        <v>2.0951853737709889E-2</v>
      </c>
      <c r="J267" t="s">
        <v>6</v>
      </c>
    </row>
    <row r="268" spans="2:10" x14ac:dyDescent="0.45">
      <c r="B268" t="s">
        <v>837</v>
      </c>
      <c r="C268" t="s">
        <v>25</v>
      </c>
      <c r="D268">
        <v>2.9190946585119532E-2</v>
      </c>
      <c r="E268" t="s">
        <v>6</v>
      </c>
      <c r="G268" t="s">
        <v>838</v>
      </c>
      <c r="H268" t="s">
        <v>25</v>
      </c>
      <c r="I268">
        <v>2.2026226382891766E-2</v>
      </c>
      <c r="J268" t="s">
        <v>6</v>
      </c>
    </row>
    <row r="269" spans="2:10" x14ac:dyDescent="0.45">
      <c r="B269" t="s">
        <v>837</v>
      </c>
      <c r="C269" t="s">
        <v>26</v>
      </c>
      <c r="D269">
        <v>2.9459027399264619E-3</v>
      </c>
      <c r="E269" t="s">
        <v>6</v>
      </c>
      <c r="G269" t="s">
        <v>838</v>
      </c>
      <c r="H269" t="s">
        <v>26</v>
      </c>
      <c r="I269">
        <v>2.3118029698275144E-2</v>
      </c>
      <c r="J269" t="s">
        <v>6</v>
      </c>
    </row>
    <row r="270" spans="2:10" x14ac:dyDescent="0.45">
      <c r="B270" t="s">
        <v>837</v>
      </c>
      <c r="C270" t="s">
        <v>27</v>
      </c>
      <c r="D270">
        <v>1.088356305923549E-8</v>
      </c>
      <c r="E270" t="s">
        <v>6</v>
      </c>
      <c r="G270" t="s">
        <v>838</v>
      </c>
      <c r="H270" t="s">
        <v>27</v>
      </c>
      <c r="I270">
        <v>3.4930376592423991E-2</v>
      </c>
      <c r="J270" t="s">
        <v>6</v>
      </c>
    </row>
    <row r="271" spans="2:10" x14ac:dyDescent="0.45">
      <c r="B271" t="s">
        <v>837</v>
      </c>
      <c r="C271" t="s">
        <v>28</v>
      </c>
      <c r="D271">
        <v>0</v>
      </c>
      <c r="E271" t="s">
        <v>6</v>
      </c>
      <c r="G271" t="s">
        <v>838</v>
      </c>
      <c r="H271" t="s">
        <v>28</v>
      </c>
      <c r="I271">
        <v>4.0105652448029584E-2</v>
      </c>
      <c r="J271" t="s">
        <v>6</v>
      </c>
    </row>
    <row r="272" spans="2:10" x14ac:dyDescent="0.45">
      <c r="B272" t="s">
        <v>837</v>
      </c>
      <c r="C272" t="s">
        <v>29</v>
      </c>
      <c r="D272">
        <v>1.1960337811648474E-3</v>
      </c>
      <c r="E272" t="s">
        <v>6</v>
      </c>
      <c r="G272" t="s">
        <v>838</v>
      </c>
      <c r="H272" t="s">
        <v>29</v>
      </c>
      <c r="I272">
        <v>1.5212209395425271E-2</v>
      </c>
      <c r="J272" t="s">
        <v>6</v>
      </c>
    </row>
    <row r="273" spans="2:10" x14ac:dyDescent="0.45">
      <c r="B273" t="s">
        <v>837</v>
      </c>
      <c r="C273" t="s">
        <v>30</v>
      </c>
      <c r="D273">
        <v>1.8200893037295909E-2</v>
      </c>
      <c r="E273" t="s">
        <v>6</v>
      </c>
      <c r="G273" t="s">
        <v>838</v>
      </c>
      <c r="H273" t="s">
        <v>30</v>
      </c>
      <c r="I273">
        <v>1.4300304725078745E-2</v>
      </c>
      <c r="J273" t="s">
        <v>6</v>
      </c>
    </row>
    <row r="274" spans="2:10" x14ac:dyDescent="0.45">
      <c r="B274" t="s">
        <v>837</v>
      </c>
      <c r="C274" t="s">
        <v>31</v>
      </c>
      <c r="D274">
        <v>5.7429774856660627E-2</v>
      </c>
      <c r="E274" t="s">
        <v>6</v>
      </c>
      <c r="G274" t="s">
        <v>838</v>
      </c>
      <c r="H274" t="s">
        <v>31</v>
      </c>
      <c r="I274">
        <v>1.4691691014326404E-2</v>
      </c>
      <c r="J274" t="s">
        <v>6</v>
      </c>
    </row>
    <row r="275" spans="2:10" x14ac:dyDescent="0.45">
      <c r="B275" t="s">
        <v>837</v>
      </c>
      <c r="C275" t="s">
        <v>32</v>
      </c>
      <c r="D275">
        <v>8.4564589904558618E-2</v>
      </c>
      <c r="E275" t="s">
        <v>6</v>
      </c>
      <c r="G275" t="s">
        <v>838</v>
      </c>
      <c r="H275" t="s">
        <v>32</v>
      </c>
      <c r="I275">
        <v>1.3069258304339651E-2</v>
      </c>
      <c r="J275" t="s">
        <v>6</v>
      </c>
    </row>
    <row r="276" spans="2:10" x14ac:dyDescent="0.45">
      <c r="B276" t="s">
        <v>837</v>
      </c>
      <c r="C276" t="s">
        <v>33</v>
      </c>
      <c r="D276">
        <v>8.9955737969045824E-2</v>
      </c>
      <c r="E276" t="s">
        <v>6</v>
      </c>
      <c r="G276" t="s">
        <v>838</v>
      </c>
      <c r="H276" t="s">
        <v>33</v>
      </c>
      <c r="I276">
        <v>1.4346738601891226E-2</v>
      </c>
      <c r="J276" t="s">
        <v>6</v>
      </c>
    </row>
    <row r="277" spans="2:10" x14ac:dyDescent="0.45">
      <c r="B277" t="s">
        <v>837</v>
      </c>
      <c r="C277" t="s">
        <v>34</v>
      </c>
      <c r="D277">
        <v>7.428134337711384E-2</v>
      </c>
      <c r="E277" t="s">
        <v>6</v>
      </c>
      <c r="G277" t="s">
        <v>838</v>
      </c>
      <c r="H277" t="s">
        <v>34</v>
      </c>
      <c r="I277">
        <v>1.5077582350283839E-2</v>
      </c>
      <c r="J277" t="s">
        <v>6</v>
      </c>
    </row>
    <row r="278" spans="2:10" x14ac:dyDescent="0.45">
      <c r="B278" t="s">
        <v>837</v>
      </c>
      <c r="C278" t="s">
        <v>35</v>
      </c>
      <c r="D278">
        <v>4.1142662875341726E-2</v>
      </c>
      <c r="E278" t="s">
        <v>6</v>
      </c>
      <c r="G278" t="s">
        <v>838</v>
      </c>
      <c r="H278" t="s">
        <v>35</v>
      </c>
      <c r="I278">
        <v>1.518809032586237E-2</v>
      </c>
      <c r="J278" t="s">
        <v>6</v>
      </c>
    </row>
    <row r="279" spans="2:10" x14ac:dyDescent="0.45">
      <c r="B279" t="s">
        <v>837</v>
      </c>
      <c r="C279" t="s">
        <v>36</v>
      </c>
      <c r="D279">
        <v>7.9156352598402837E-3</v>
      </c>
      <c r="E279" t="s">
        <v>6</v>
      </c>
      <c r="G279" t="s">
        <v>838</v>
      </c>
      <c r="H279" t="s">
        <v>36</v>
      </c>
      <c r="I279">
        <v>1.535289385745228E-2</v>
      </c>
      <c r="J279" t="s">
        <v>6</v>
      </c>
    </row>
    <row r="280" spans="2:10" x14ac:dyDescent="0.45">
      <c r="B280" t="s">
        <v>837</v>
      </c>
      <c r="C280" t="s">
        <v>37</v>
      </c>
      <c r="D280">
        <v>7.3182332240335942E-5</v>
      </c>
      <c r="E280" t="s">
        <v>6</v>
      </c>
      <c r="G280" t="s">
        <v>838</v>
      </c>
      <c r="H280" t="s">
        <v>37</v>
      </c>
      <c r="I280">
        <v>2.4427726988321592E-2</v>
      </c>
      <c r="J280" t="s">
        <v>6</v>
      </c>
    </row>
    <row r="281" spans="2:10" x14ac:dyDescent="0.45">
      <c r="B281" t="s">
        <v>837</v>
      </c>
      <c r="C281" t="s">
        <v>38</v>
      </c>
      <c r="D281">
        <v>0</v>
      </c>
      <c r="E281" t="s">
        <v>6</v>
      </c>
      <c r="G281" t="s">
        <v>838</v>
      </c>
      <c r="H281" t="s">
        <v>38</v>
      </c>
      <c r="I281">
        <v>5.451893770546138E-2</v>
      </c>
      <c r="J281" t="s">
        <v>6</v>
      </c>
    </row>
    <row r="282" spans="2:10" x14ac:dyDescent="0.45">
      <c r="B282" t="s">
        <v>837</v>
      </c>
      <c r="C282" t="s">
        <v>39</v>
      </c>
      <c r="D282">
        <v>0</v>
      </c>
      <c r="E282" t="s">
        <v>6</v>
      </c>
      <c r="G282" t="s">
        <v>838</v>
      </c>
      <c r="H282" t="s">
        <v>39</v>
      </c>
      <c r="I282">
        <v>2.1359964476779177E-2</v>
      </c>
      <c r="J282" t="s">
        <v>6</v>
      </c>
    </row>
    <row r="283" spans="2:10" x14ac:dyDescent="0.45">
      <c r="B283" t="s">
        <v>837</v>
      </c>
      <c r="C283" t="s">
        <v>40</v>
      </c>
      <c r="D283">
        <v>3.2752030914207099E-3</v>
      </c>
      <c r="E283" t="s">
        <v>6</v>
      </c>
      <c r="G283" t="s">
        <v>838</v>
      </c>
      <c r="H283" t="s">
        <v>40</v>
      </c>
      <c r="I283">
        <v>2.1315162782381773E-2</v>
      </c>
      <c r="J283" t="s">
        <v>6</v>
      </c>
    </row>
    <row r="284" spans="2:10" x14ac:dyDescent="0.45">
      <c r="B284" t="s">
        <v>837</v>
      </c>
      <c r="C284" t="s">
        <v>41</v>
      </c>
      <c r="D284">
        <v>2.9294756714630114E-2</v>
      </c>
      <c r="E284" t="s">
        <v>6</v>
      </c>
      <c r="G284" t="s">
        <v>838</v>
      </c>
      <c r="H284" t="s">
        <v>41</v>
      </c>
      <c r="I284">
        <v>2.1739603282791811E-2</v>
      </c>
      <c r="J284" t="s">
        <v>6</v>
      </c>
    </row>
    <row r="285" spans="2:10" x14ac:dyDescent="0.45">
      <c r="B285" t="s">
        <v>837</v>
      </c>
      <c r="C285" t="s">
        <v>42</v>
      </c>
      <c r="D285">
        <v>5.422568398278748E-2</v>
      </c>
      <c r="E285" t="s">
        <v>6</v>
      </c>
      <c r="G285" t="s">
        <v>838</v>
      </c>
      <c r="H285" t="s">
        <v>42</v>
      </c>
      <c r="I285">
        <v>2.0422677771146352E-2</v>
      </c>
      <c r="J285" t="s">
        <v>6</v>
      </c>
    </row>
    <row r="286" spans="2:10" x14ac:dyDescent="0.45">
      <c r="B286" t="s">
        <v>837</v>
      </c>
      <c r="C286" t="s">
        <v>43</v>
      </c>
      <c r="D286">
        <v>5.6398652959739302E-2</v>
      </c>
      <c r="E286" t="s">
        <v>6</v>
      </c>
      <c r="G286" t="s">
        <v>838</v>
      </c>
      <c r="H286" t="s">
        <v>43</v>
      </c>
      <c r="I286">
        <v>2.1966325362828259E-2</v>
      </c>
      <c r="J286" t="s">
        <v>6</v>
      </c>
    </row>
    <row r="287" spans="2:10" x14ac:dyDescent="0.45">
      <c r="B287" t="s">
        <v>837</v>
      </c>
      <c r="C287" t="s">
        <v>44</v>
      </c>
      <c r="D287">
        <v>3.6794673788040459E-2</v>
      </c>
      <c r="E287" t="s">
        <v>6</v>
      </c>
      <c r="G287" t="s">
        <v>838</v>
      </c>
      <c r="H287" t="s">
        <v>44</v>
      </c>
      <c r="I287">
        <v>2.2775614190291484E-2</v>
      </c>
      <c r="J287" t="s">
        <v>6</v>
      </c>
    </row>
    <row r="288" spans="2:10" x14ac:dyDescent="0.45">
      <c r="B288" t="s">
        <v>837</v>
      </c>
      <c r="C288" t="s">
        <v>45</v>
      </c>
      <c r="D288">
        <v>9.1103672645392025E-3</v>
      </c>
      <c r="E288" t="s">
        <v>6</v>
      </c>
      <c r="G288" t="s">
        <v>838</v>
      </c>
      <c r="H288" t="s">
        <v>45</v>
      </c>
      <c r="I288">
        <v>2.2718683700442398E-2</v>
      </c>
      <c r="J288" t="s">
        <v>6</v>
      </c>
    </row>
    <row r="289" spans="2:10" x14ac:dyDescent="0.45">
      <c r="B289" t="s">
        <v>837</v>
      </c>
      <c r="C289" t="s">
        <v>46</v>
      </c>
      <c r="D289">
        <v>1.0946580275177084E-4</v>
      </c>
      <c r="E289" t="s">
        <v>6</v>
      </c>
      <c r="G289" t="s">
        <v>838</v>
      </c>
      <c r="H289" t="s">
        <v>46</v>
      </c>
      <c r="I289">
        <v>2.301381556370807E-2</v>
      </c>
      <c r="J289" t="s">
        <v>6</v>
      </c>
    </row>
    <row r="290" spans="2:10" x14ac:dyDescent="0.45">
      <c r="B290" t="s">
        <v>837</v>
      </c>
      <c r="C290" t="s">
        <v>47</v>
      </c>
      <c r="D290">
        <v>0</v>
      </c>
      <c r="E290" t="s">
        <v>6</v>
      </c>
      <c r="G290" t="s">
        <v>838</v>
      </c>
      <c r="H290" t="s">
        <v>47</v>
      </c>
      <c r="I290">
        <v>3.4896234732538035E-2</v>
      </c>
      <c r="J290" t="s">
        <v>6</v>
      </c>
    </row>
    <row r="291" spans="2:10" x14ac:dyDescent="0.45">
      <c r="B291" t="s">
        <v>839</v>
      </c>
      <c r="C291" t="s">
        <v>5</v>
      </c>
      <c r="D291">
        <v>0</v>
      </c>
      <c r="E291" t="s">
        <v>6</v>
      </c>
      <c r="G291" t="s">
        <v>840</v>
      </c>
      <c r="H291" t="s">
        <v>5</v>
      </c>
      <c r="I291">
        <v>6.7865052680801563E-2</v>
      </c>
      <c r="J291" t="s">
        <v>6</v>
      </c>
    </row>
    <row r="292" spans="2:10" x14ac:dyDescent="0.45">
      <c r="B292" t="s">
        <v>839</v>
      </c>
      <c r="C292" t="s">
        <v>9</v>
      </c>
      <c r="D292">
        <v>0</v>
      </c>
      <c r="E292" t="s">
        <v>6</v>
      </c>
      <c r="G292" t="s">
        <v>840</v>
      </c>
      <c r="H292" t="s">
        <v>9</v>
      </c>
      <c r="I292">
        <v>2.7156038034497603E-2</v>
      </c>
      <c r="J292" t="s">
        <v>6</v>
      </c>
    </row>
    <row r="293" spans="2:10" x14ac:dyDescent="0.45">
      <c r="B293" t="s">
        <v>839</v>
      </c>
      <c r="C293" t="s">
        <v>10</v>
      </c>
      <c r="D293">
        <v>0</v>
      </c>
      <c r="E293" t="s">
        <v>6</v>
      </c>
      <c r="G293" t="s">
        <v>840</v>
      </c>
      <c r="H293" t="s">
        <v>10</v>
      </c>
      <c r="I293">
        <v>2.7583621066808568E-2</v>
      </c>
      <c r="J293" t="s">
        <v>6</v>
      </c>
    </row>
    <row r="294" spans="2:10" x14ac:dyDescent="0.45">
      <c r="B294" t="s">
        <v>839</v>
      </c>
      <c r="C294" t="s">
        <v>11</v>
      </c>
      <c r="D294">
        <v>8.9879518545336028E-3</v>
      </c>
      <c r="E294" t="s">
        <v>6</v>
      </c>
      <c r="G294" t="s">
        <v>840</v>
      </c>
      <c r="H294" t="s">
        <v>11</v>
      </c>
      <c r="I294">
        <v>2.7372174262099817E-2</v>
      </c>
      <c r="J294" t="s">
        <v>6</v>
      </c>
    </row>
    <row r="295" spans="2:10" x14ac:dyDescent="0.45">
      <c r="B295" t="s">
        <v>839</v>
      </c>
      <c r="C295" t="s">
        <v>12</v>
      </c>
      <c r="D295">
        <v>3.6180809547758909E-2</v>
      </c>
      <c r="E295" t="s">
        <v>6</v>
      </c>
      <c r="G295" t="s">
        <v>840</v>
      </c>
      <c r="H295" t="s">
        <v>12</v>
      </c>
      <c r="I295">
        <v>2.49005988236254E-2</v>
      </c>
      <c r="J295" t="s">
        <v>6</v>
      </c>
    </row>
    <row r="296" spans="2:10" x14ac:dyDescent="0.45">
      <c r="B296" t="s">
        <v>839</v>
      </c>
      <c r="C296" t="s">
        <v>13</v>
      </c>
      <c r="D296">
        <v>4.3095654172573064E-2</v>
      </c>
      <c r="E296" t="s">
        <v>6</v>
      </c>
      <c r="G296" t="s">
        <v>840</v>
      </c>
      <c r="H296" t="s">
        <v>13</v>
      </c>
      <c r="I296">
        <v>2.5237804621659084E-2</v>
      </c>
      <c r="J296" t="s">
        <v>6</v>
      </c>
    </row>
    <row r="297" spans="2:10" x14ac:dyDescent="0.45">
      <c r="B297" t="s">
        <v>839</v>
      </c>
      <c r="C297" t="s">
        <v>14</v>
      </c>
      <c r="D297">
        <v>2.6585281406732934E-2</v>
      </c>
      <c r="E297" t="s">
        <v>6</v>
      </c>
      <c r="G297" t="s">
        <v>840</v>
      </c>
      <c r="H297" t="s">
        <v>14</v>
      </c>
      <c r="I297">
        <v>2.5151721110240589E-2</v>
      </c>
      <c r="J297" t="s">
        <v>6</v>
      </c>
    </row>
    <row r="298" spans="2:10" x14ac:dyDescent="0.45">
      <c r="B298" t="s">
        <v>839</v>
      </c>
      <c r="C298" t="s">
        <v>15</v>
      </c>
      <c r="D298">
        <v>4.120117915558978E-3</v>
      </c>
      <c r="E298" t="s">
        <v>6</v>
      </c>
      <c r="G298" t="s">
        <v>840</v>
      </c>
      <c r="H298" t="s">
        <v>15</v>
      </c>
      <c r="I298">
        <v>2.5988269961174024E-2</v>
      </c>
      <c r="J298" t="s">
        <v>6</v>
      </c>
    </row>
    <row r="299" spans="2:10" x14ac:dyDescent="0.45">
      <c r="B299" t="s">
        <v>839</v>
      </c>
      <c r="C299" t="s">
        <v>16</v>
      </c>
      <c r="D299">
        <v>0</v>
      </c>
      <c r="E299" t="s">
        <v>6</v>
      </c>
      <c r="G299" t="s">
        <v>840</v>
      </c>
      <c r="H299" t="s">
        <v>16</v>
      </c>
      <c r="I299">
        <v>2.7494571558180293E-2</v>
      </c>
      <c r="J299" t="s">
        <v>6</v>
      </c>
    </row>
    <row r="300" spans="2:10" x14ac:dyDescent="0.45">
      <c r="B300" t="s">
        <v>839</v>
      </c>
      <c r="C300" t="s">
        <v>17</v>
      </c>
      <c r="D300">
        <v>0</v>
      </c>
      <c r="E300" t="s">
        <v>6</v>
      </c>
      <c r="G300" t="s">
        <v>840</v>
      </c>
      <c r="H300" t="s">
        <v>17</v>
      </c>
      <c r="I300">
        <v>4.13258706432479E-2</v>
      </c>
      <c r="J300" t="s">
        <v>6</v>
      </c>
    </row>
    <row r="301" spans="2:10" x14ac:dyDescent="0.45">
      <c r="B301" t="s">
        <v>839</v>
      </c>
      <c r="C301" t="s">
        <v>18</v>
      </c>
      <c r="D301">
        <v>0</v>
      </c>
      <c r="E301" t="s">
        <v>6</v>
      </c>
      <c r="G301" t="s">
        <v>840</v>
      </c>
      <c r="H301" t="s">
        <v>18</v>
      </c>
      <c r="I301">
        <v>5.2853092228505864E-2</v>
      </c>
      <c r="J301" t="s">
        <v>6</v>
      </c>
    </row>
    <row r="302" spans="2:10" x14ac:dyDescent="0.45">
      <c r="B302" t="s">
        <v>839</v>
      </c>
      <c r="C302" t="s">
        <v>19</v>
      </c>
      <c r="D302">
        <v>3.249890802113614E-4</v>
      </c>
      <c r="E302" t="s">
        <v>6</v>
      </c>
      <c r="G302" t="s">
        <v>840</v>
      </c>
      <c r="H302" t="s">
        <v>19</v>
      </c>
      <c r="I302">
        <v>2.1094167302437981E-2</v>
      </c>
      <c r="J302" t="s">
        <v>6</v>
      </c>
    </row>
    <row r="303" spans="2:10" x14ac:dyDescent="0.45">
      <c r="B303" t="s">
        <v>839</v>
      </c>
      <c r="C303" t="s">
        <v>20</v>
      </c>
      <c r="D303">
        <v>1.1138598352656652E-2</v>
      </c>
      <c r="E303" t="s">
        <v>6</v>
      </c>
      <c r="G303" t="s">
        <v>840</v>
      </c>
      <c r="H303" t="s">
        <v>20</v>
      </c>
      <c r="I303">
        <v>2.0035621082323013E-2</v>
      </c>
      <c r="J303" t="s">
        <v>6</v>
      </c>
    </row>
    <row r="304" spans="2:10" x14ac:dyDescent="0.45">
      <c r="B304" t="s">
        <v>839</v>
      </c>
      <c r="C304" t="s">
        <v>21</v>
      </c>
      <c r="D304">
        <v>4.9669629883238746E-2</v>
      </c>
      <c r="E304" t="s">
        <v>6</v>
      </c>
      <c r="G304" t="s">
        <v>840</v>
      </c>
      <c r="H304" t="s">
        <v>21</v>
      </c>
      <c r="I304">
        <v>1.9598016229463406E-2</v>
      </c>
      <c r="J304" t="s">
        <v>6</v>
      </c>
    </row>
    <row r="305" spans="2:10" x14ac:dyDescent="0.45">
      <c r="B305" t="s">
        <v>839</v>
      </c>
      <c r="C305" t="s">
        <v>22</v>
      </c>
      <c r="D305">
        <v>7.8067648638752318E-2</v>
      </c>
      <c r="E305" t="s">
        <v>6</v>
      </c>
      <c r="G305" t="s">
        <v>840</v>
      </c>
      <c r="H305" t="s">
        <v>22</v>
      </c>
      <c r="I305">
        <v>1.8342509361545776E-2</v>
      </c>
      <c r="J305" t="s">
        <v>6</v>
      </c>
    </row>
    <row r="306" spans="2:10" x14ac:dyDescent="0.45">
      <c r="B306" t="s">
        <v>839</v>
      </c>
      <c r="C306" t="s">
        <v>23</v>
      </c>
      <c r="D306">
        <v>8.2866595503664917E-2</v>
      </c>
      <c r="E306" t="s">
        <v>6</v>
      </c>
      <c r="G306" t="s">
        <v>840</v>
      </c>
      <c r="H306" t="s">
        <v>23</v>
      </c>
      <c r="I306">
        <v>1.9229151518196229E-2</v>
      </c>
      <c r="J306" t="s">
        <v>6</v>
      </c>
    </row>
    <row r="307" spans="2:10" x14ac:dyDescent="0.45">
      <c r="B307" t="s">
        <v>839</v>
      </c>
      <c r="C307" t="s">
        <v>24</v>
      </c>
      <c r="D307">
        <v>6.3556975641974198E-2</v>
      </c>
      <c r="E307" t="s">
        <v>6</v>
      </c>
      <c r="G307" t="s">
        <v>840</v>
      </c>
      <c r="H307" t="s">
        <v>24</v>
      </c>
      <c r="I307">
        <v>1.9922500561170481E-2</v>
      </c>
      <c r="J307" t="s">
        <v>6</v>
      </c>
    </row>
    <row r="308" spans="2:10" x14ac:dyDescent="0.45">
      <c r="B308" t="s">
        <v>839</v>
      </c>
      <c r="C308" t="s">
        <v>25</v>
      </c>
      <c r="D308">
        <v>2.9902569660333052E-2</v>
      </c>
      <c r="E308" t="s">
        <v>6</v>
      </c>
      <c r="G308" t="s">
        <v>840</v>
      </c>
      <c r="H308" t="s">
        <v>25</v>
      </c>
      <c r="I308">
        <v>1.9434516016629339E-2</v>
      </c>
      <c r="J308" t="s">
        <v>6</v>
      </c>
    </row>
    <row r="309" spans="2:10" x14ac:dyDescent="0.45">
      <c r="B309" t="s">
        <v>839</v>
      </c>
      <c r="C309" t="s">
        <v>26</v>
      </c>
      <c r="D309">
        <v>3.245308822494279E-3</v>
      </c>
      <c r="E309" t="s">
        <v>6</v>
      </c>
      <c r="G309" t="s">
        <v>840</v>
      </c>
      <c r="H309" t="s">
        <v>26</v>
      </c>
      <c r="I309">
        <v>2.0858688299610607E-2</v>
      </c>
      <c r="J309" t="s">
        <v>6</v>
      </c>
    </row>
    <row r="310" spans="2:10" x14ac:dyDescent="0.45">
      <c r="B310" t="s">
        <v>839</v>
      </c>
      <c r="C310" t="s">
        <v>27</v>
      </c>
      <c r="D310">
        <v>7.4649652585606937E-7</v>
      </c>
      <c r="E310" t="s">
        <v>6</v>
      </c>
      <c r="G310" t="s">
        <v>840</v>
      </c>
      <c r="H310" t="s">
        <v>27</v>
      </c>
      <c r="I310">
        <v>3.2990164559351991E-2</v>
      </c>
      <c r="J310" t="s">
        <v>6</v>
      </c>
    </row>
    <row r="311" spans="2:10" x14ac:dyDescent="0.45">
      <c r="B311" t="s">
        <v>839</v>
      </c>
      <c r="C311" t="s">
        <v>28</v>
      </c>
      <c r="D311">
        <v>0</v>
      </c>
      <c r="E311" t="s">
        <v>6</v>
      </c>
      <c r="G311" t="s">
        <v>840</v>
      </c>
      <c r="H311" t="s">
        <v>28</v>
      </c>
      <c r="I311">
        <v>3.7287325343091357E-2</v>
      </c>
      <c r="J311" t="s">
        <v>6</v>
      </c>
    </row>
    <row r="312" spans="2:10" x14ac:dyDescent="0.45">
      <c r="B312" t="s">
        <v>839</v>
      </c>
      <c r="C312" t="s">
        <v>29</v>
      </c>
      <c r="D312">
        <v>1.0577683113366738E-3</v>
      </c>
      <c r="E312" t="s">
        <v>6</v>
      </c>
      <c r="G312" t="s">
        <v>840</v>
      </c>
      <c r="H312" t="s">
        <v>29</v>
      </c>
      <c r="I312">
        <v>1.3605418228319665E-2</v>
      </c>
      <c r="J312" t="s">
        <v>6</v>
      </c>
    </row>
    <row r="313" spans="2:10" x14ac:dyDescent="0.45">
      <c r="B313" t="s">
        <v>839</v>
      </c>
      <c r="C313" t="s">
        <v>30</v>
      </c>
      <c r="D313">
        <v>1.7047787986876412E-2</v>
      </c>
      <c r="E313" t="s">
        <v>6</v>
      </c>
      <c r="G313" t="s">
        <v>840</v>
      </c>
      <c r="H313" t="s">
        <v>30</v>
      </c>
      <c r="I313">
        <v>1.2363402551528247E-2</v>
      </c>
      <c r="J313" t="s">
        <v>6</v>
      </c>
    </row>
    <row r="314" spans="2:10" x14ac:dyDescent="0.45">
      <c r="B314" t="s">
        <v>839</v>
      </c>
      <c r="C314" t="s">
        <v>31</v>
      </c>
      <c r="D314">
        <v>5.4710321838835591E-2</v>
      </c>
      <c r="E314" t="s">
        <v>6</v>
      </c>
      <c r="G314" t="s">
        <v>840</v>
      </c>
      <c r="H314" t="s">
        <v>31</v>
      </c>
      <c r="I314">
        <v>1.2286730550879255E-2</v>
      </c>
      <c r="J314" t="s">
        <v>6</v>
      </c>
    </row>
    <row r="315" spans="2:10" x14ac:dyDescent="0.45">
      <c r="B315" t="s">
        <v>839</v>
      </c>
      <c r="C315" t="s">
        <v>32</v>
      </c>
      <c r="D315">
        <v>8.3623003836089477E-2</v>
      </c>
      <c r="E315" t="s">
        <v>6</v>
      </c>
      <c r="G315" t="s">
        <v>840</v>
      </c>
      <c r="H315" t="s">
        <v>32</v>
      </c>
      <c r="I315">
        <v>1.1771114994047467E-2</v>
      </c>
      <c r="J315" t="s">
        <v>6</v>
      </c>
    </row>
    <row r="316" spans="2:10" x14ac:dyDescent="0.45">
      <c r="B316" t="s">
        <v>839</v>
      </c>
      <c r="C316" t="s">
        <v>33</v>
      </c>
      <c r="D316">
        <v>8.9989991327845853E-2</v>
      </c>
      <c r="E316" t="s">
        <v>6</v>
      </c>
      <c r="G316" t="s">
        <v>840</v>
      </c>
      <c r="H316" t="s">
        <v>33</v>
      </c>
      <c r="I316">
        <v>1.405161345618494E-2</v>
      </c>
      <c r="J316" t="s">
        <v>6</v>
      </c>
    </row>
    <row r="317" spans="2:10" x14ac:dyDescent="0.45">
      <c r="B317" t="s">
        <v>839</v>
      </c>
      <c r="C317" t="s">
        <v>34</v>
      </c>
      <c r="D317">
        <v>7.4099617835452006E-2</v>
      </c>
      <c r="E317" t="s">
        <v>6</v>
      </c>
      <c r="G317" t="s">
        <v>840</v>
      </c>
      <c r="H317" t="s">
        <v>34</v>
      </c>
      <c r="I317">
        <v>1.4712307113101383E-2</v>
      </c>
      <c r="J317" t="s">
        <v>6</v>
      </c>
    </row>
    <row r="318" spans="2:10" x14ac:dyDescent="0.45">
      <c r="B318" t="s">
        <v>839</v>
      </c>
      <c r="C318" t="s">
        <v>35</v>
      </c>
      <c r="D318">
        <v>4.1929877679347992E-2</v>
      </c>
      <c r="E318" t="s">
        <v>6</v>
      </c>
      <c r="G318" t="s">
        <v>840</v>
      </c>
      <c r="H318" t="s">
        <v>35</v>
      </c>
      <c r="I318">
        <v>1.3969396989855014E-2</v>
      </c>
      <c r="J318" t="s">
        <v>6</v>
      </c>
    </row>
    <row r="319" spans="2:10" x14ac:dyDescent="0.45">
      <c r="B319" t="s">
        <v>839</v>
      </c>
      <c r="C319" t="s">
        <v>36</v>
      </c>
      <c r="D319">
        <v>8.4616172365587564E-3</v>
      </c>
      <c r="E319" t="s">
        <v>6</v>
      </c>
      <c r="G319" t="s">
        <v>840</v>
      </c>
      <c r="H319" t="s">
        <v>36</v>
      </c>
      <c r="I319">
        <v>1.3646295172224788E-2</v>
      </c>
      <c r="J319" t="s">
        <v>6</v>
      </c>
    </row>
    <row r="320" spans="2:10" x14ac:dyDescent="0.45">
      <c r="B320" t="s">
        <v>839</v>
      </c>
      <c r="C320" t="s">
        <v>37</v>
      </c>
      <c r="D320">
        <v>1.0143354931357934E-4</v>
      </c>
      <c r="E320" t="s">
        <v>6</v>
      </c>
      <c r="G320" t="s">
        <v>840</v>
      </c>
      <c r="H320" t="s">
        <v>37</v>
      </c>
      <c r="I320">
        <v>2.3292766012606679E-2</v>
      </c>
      <c r="J320" t="s">
        <v>6</v>
      </c>
    </row>
    <row r="321" spans="2:10" x14ac:dyDescent="0.45">
      <c r="B321" t="s">
        <v>839</v>
      </c>
      <c r="C321" t="s">
        <v>38</v>
      </c>
      <c r="D321">
        <v>0</v>
      </c>
      <c r="E321" t="s">
        <v>6</v>
      </c>
      <c r="G321" t="s">
        <v>840</v>
      </c>
      <c r="H321" t="s">
        <v>38</v>
      </c>
      <c r="I321">
        <v>5.7134459385707721E-2</v>
      </c>
      <c r="J321" t="s">
        <v>6</v>
      </c>
    </row>
    <row r="322" spans="2:10" x14ac:dyDescent="0.45">
      <c r="B322" t="s">
        <v>839</v>
      </c>
      <c r="C322" t="s">
        <v>39</v>
      </c>
      <c r="D322">
        <v>0</v>
      </c>
      <c r="E322" t="s">
        <v>6</v>
      </c>
      <c r="G322" t="s">
        <v>840</v>
      </c>
      <c r="H322" t="s">
        <v>39</v>
      </c>
      <c r="I322">
        <v>2.2852020981990011E-2</v>
      </c>
      <c r="J322" t="s">
        <v>6</v>
      </c>
    </row>
    <row r="323" spans="2:10" x14ac:dyDescent="0.45">
      <c r="B323" t="s">
        <v>839</v>
      </c>
      <c r="C323" t="s">
        <v>40</v>
      </c>
      <c r="D323">
        <v>3.0609735525585144E-3</v>
      </c>
      <c r="E323" t="s">
        <v>6</v>
      </c>
      <c r="G323" t="s">
        <v>840</v>
      </c>
      <c r="H323" t="s">
        <v>40</v>
      </c>
      <c r="I323">
        <v>2.2359855237755653E-2</v>
      </c>
      <c r="J323" t="s">
        <v>6</v>
      </c>
    </row>
    <row r="324" spans="2:10" x14ac:dyDescent="0.45">
      <c r="B324" t="s">
        <v>839</v>
      </c>
      <c r="C324" t="s">
        <v>41</v>
      </c>
      <c r="D324">
        <v>2.8583013900051055E-2</v>
      </c>
      <c r="E324" t="s">
        <v>6</v>
      </c>
      <c r="G324" t="s">
        <v>840</v>
      </c>
      <c r="H324" t="s">
        <v>41</v>
      </c>
      <c r="I324">
        <v>2.1779412022010839E-2</v>
      </c>
      <c r="J324" t="s">
        <v>6</v>
      </c>
    </row>
    <row r="325" spans="2:10" x14ac:dyDescent="0.45">
      <c r="B325" t="s">
        <v>839</v>
      </c>
      <c r="C325" t="s">
        <v>42</v>
      </c>
      <c r="D325">
        <v>5.4440347971508311E-2</v>
      </c>
      <c r="E325" t="s">
        <v>6</v>
      </c>
      <c r="G325" t="s">
        <v>840</v>
      </c>
      <c r="H325" t="s">
        <v>42</v>
      </c>
      <c r="I325">
        <v>1.997687601552459E-2</v>
      </c>
      <c r="J325" t="s">
        <v>6</v>
      </c>
    </row>
    <row r="326" spans="2:10" x14ac:dyDescent="0.45">
      <c r="B326" t="s">
        <v>839</v>
      </c>
      <c r="C326" t="s">
        <v>43</v>
      </c>
      <c r="D326">
        <v>5.7961061415099421E-2</v>
      </c>
      <c r="E326" t="s">
        <v>6</v>
      </c>
      <c r="G326" t="s">
        <v>840</v>
      </c>
      <c r="H326" t="s">
        <v>43</v>
      </c>
      <c r="I326">
        <v>2.1625374776739776E-2</v>
      </c>
      <c r="J326" t="s">
        <v>6</v>
      </c>
    </row>
    <row r="327" spans="2:10" x14ac:dyDescent="0.45">
      <c r="B327" t="s">
        <v>839</v>
      </c>
      <c r="C327" t="s">
        <v>44</v>
      </c>
      <c r="D327">
        <v>3.7419666963927484E-2</v>
      </c>
      <c r="E327" t="s">
        <v>6</v>
      </c>
      <c r="G327" t="s">
        <v>840</v>
      </c>
      <c r="H327" t="s">
        <v>44</v>
      </c>
      <c r="I327">
        <v>2.2358586006939161E-2</v>
      </c>
      <c r="J327" t="s">
        <v>6</v>
      </c>
    </row>
    <row r="328" spans="2:10" x14ac:dyDescent="0.45">
      <c r="B328" t="s">
        <v>839</v>
      </c>
      <c r="C328" t="s">
        <v>45</v>
      </c>
      <c r="D328">
        <v>9.6267382443224504E-3</v>
      </c>
      <c r="E328" t="s">
        <v>6</v>
      </c>
      <c r="G328" t="s">
        <v>840</v>
      </c>
      <c r="H328" t="s">
        <v>45</v>
      </c>
      <c r="I328">
        <v>2.2088615115452521E-2</v>
      </c>
      <c r="J328" t="s">
        <v>6</v>
      </c>
    </row>
    <row r="329" spans="2:10" x14ac:dyDescent="0.45">
      <c r="B329" t="s">
        <v>839</v>
      </c>
      <c r="C329" t="s">
        <v>46</v>
      </c>
      <c r="D329">
        <v>1.4390137386872593E-4</v>
      </c>
      <c r="E329" t="s">
        <v>6</v>
      </c>
      <c r="G329" t="s">
        <v>840</v>
      </c>
      <c r="H329" t="s">
        <v>46</v>
      </c>
      <c r="I329">
        <v>2.2814727217015086E-2</v>
      </c>
      <c r="J329" t="s">
        <v>6</v>
      </c>
    </row>
    <row r="330" spans="2:10" x14ac:dyDescent="0.45">
      <c r="B330" t="s">
        <v>839</v>
      </c>
      <c r="C330" t="s">
        <v>47</v>
      </c>
      <c r="D330">
        <v>0</v>
      </c>
      <c r="E330" t="s">
        <v>6</v>
      </c>
      <c r="G330" t="s">
        <v>840</v>
      </c>
      <c r="H330" t="s">
        <v>47</v>
      </c>
      <c r="I330">
        <v>3.5589552907454629E-2</v>
      </c>
      <c r="J330" t="s">
        <v>6</v>
      </c>
    </row>
    <row r="331" spans="2:10" x14ac:dyDescent="0.45">
      <c r="B331" t="s">
        <v>841</v>
      </c>
      <c r="C331" t="s">
        <v>5</v>
      </c>
      <c r="D331">
        <v>0</v>
      </c>
      <c r="E331" t="s">
        <v>6</v>
      </c>
      <c r="G331" t="s">
        <v>842</v>
      </c>
      <c r="H331" t="s">
        <v>5</v>
      </c>
      <c r="I331">
        <v>6.8222913993718826E-2</v>
      </c>
      <c r="J331" t="s">
        <v>6</v>
      </c>
    </row>
    <row r="332" spans="2:10" x14ac:dyDescent="0.45">
      <c r="B332" t="s">
        <v>841</v>
      </c>
      <c r="C332" t="s">
        <v>9</v>
      </c>
      <c r="D332">
        <v>0</v>
      </c>
      <c r="E332" t="s">
        <v>6</v>
      </c>
      <c r="G332" t="s">
        <v>842</v>
      </c>
      <c r="H332" t="s">
        <v>9</v>
      </c>
      <c r="I332">
        <v>2.675379737282136E-2</v>
      </c>
      <c r="J332" t="s">
        <v>6</v>
      </c>
    </row>
    <row r="333" spans="2:10" x14ac:dyDescent="0.45">
      <c r="B333" t="s">
        <v>841</v>
      </c>
      <c r="C333" t="s">
        <v>10</v>
      </c>
      <c r="D333">
        <v>0</v>
      </c>
      <c r="E333" t="s">
        <v>6</v>
      </c>
      <c r="G333" t="s">
        <v>842</v>
      </c>
      <c r="H333" t="s">
        <v>10</v>
      </c>
      <c r="I333">
        <v>2.7286702129970787E-2</v>
      </c>
      <c r="J333" t="s">
        <v>6</v>
      </c>
    </row>
    <row r="334" spans="2:10" x14ac:dyDescent="0.45">
      <c r="B334" t="s">
        <v>841</v>
      </c>
      <c r="C334" t="s">
        <v>11</v>
      </c>
      <c r="D334">
        <v>8.9435883644097634E-3</v>
      </c>
      <c r="E334" t="s">
        <v>6</v>
      </c>
      <c r="G334" t="s">
        <v>842</v>
      </c>
      <c r="H334" t="s">
        <v>11</v>
      </c>
      <c r="I334">
        <v>2.7185429157827075E-2</v>
      </c>
      <c r="J334" t="s">
        <v>6</v>
      </c>
    </row>
    <row r="335" spans="2:10" x14ac:dyDescent="0.45">
      <c r="B335" t="s">
        <v>841</v>
      </c>
      <c r="C335" t="s">
        <v>12</v>
      </c>
      <c r="D335">
        <v>3.6495892773423674E-2</v>
      </c>
      <c r="E335" t="s">
        <v>6</v>
      </c>
      <c r="G335" t="s">
        <v>842</v>
      </c>
      <c r="H335" t="s">
        <v>12</v>
      </c>
      <c r="I335">
        <v>2.3475958403232626E-2</v>
      </c>
      <c r="J335" t="s">
        <v>6</v>
      </c>
    </row>
    <row r="336" spans="2:10" x14ac:dyDescent="0.45">
      <c r="B336" t="s">
        <v>841</v>
      </c>
      <c r="C336" t="s">
        <v>13</v>
      </c>
      <c r="D336">
        <v>4.5110478614734252E-2</v>
      </c>
      <c r="E336" t="s">
        <v>6</v>
      </c>
      <c r="G336" t="s">
        <v>842</v>
      </c>
      <c r="H336" t="s">
        <v>13</v>
      </c>
      <c r="I336">
        <v>2.3951630465635948E-2</v>
      </c>
      <c r="J336" t="s">
        <v>6</v>
      </c>
    </row>
    <row r="337" spans="2:10" x14ac:dyDescent="0.45">
      <c r="B337" t="s">
        <v>841</v>
      </c>
      <c r="C337" t="s">
        <v>14</v>
      </c>
      <c r="D337">
        <v>2.7983966057908354E-2</v>
      </c>
      <c r="E337" t="s">
        <v>6</v>
      </c>
      <c r="G337" t="s">
        <v>842</v>
      </c>
      <c r="H337" t="s">
        <v>14</v>
      </c>
      <c r="I337">
        <v>2.4749023296106423E-2</v>
      </c>
      <c r="J337" t="s">
        <v>6</v>
      </c>
    </row>
    <row r="338" spans="2:10" x14ac:dyDescent="0.45">
      <c r="B338" t="s">
        <v>841</v>
      </c>
      <c r="C338" t="s">
        <v>15</v>
      </c>
      <c r="D338">
        <v>4.1059344711427389E-3</v>
      </c>
      <c r="E338" t="s">
        <v>6</v>
      </c>
      <c r="G338" t="s">
        <v>842</v>
      </c>
      <c r="H338" t="s">
        <v>15</v>
      </c>
      <c r="I338">
        <v>2.5945205866423033E-2</v>
      </c>
      <c r="J338" t="s">
        <v>6</v>
      </c>
    </row>
    <row r="339" spans="2:10" x14ac:dyDescent="0.45">
      <c r="B339" t="s">
        <v>841</v>
      </c>
      <c r="C339" t="s">
        <v>16</v>
      </c>
      <c r="D339">
        <v>0</v>
      </c>
      <c r="E339" t="s">
        <v>6</v>
      </c>
      <c r="G339" t="s">
        <v>842</v>
      </c>
      <c r="H339" t="s">
        <v>16</v>
      </c>
      <c r="I339">
        <v>2.7156396750639057E-2</v>
      </c>
      <c r="J339" t="s">
        <v>6</v>
      </c>
    </row>
    <row r="340" spans="2:10" x14ac:dyDescent="0.45">
      <c r="B340" t="s">
        <v>841</v>
      </c>
      <c r="C340" t="s">
        <v>17</v>
      </c>
      <c r="D340">
        <v>0</v>
      </c>
      <c r="E340" t="s">
        <v>6</v>
      </c>
      <c r="G340" t="s">
        <v>842</v>
      </c>
      <c r="H340" t="s">
        <v>17</v>
      </c>
      <c r="I340">
        <v>4.1309634760540767E-2</v>
      </c>
      <c r="J340" t="s">
        <v>6</v>
      </c>
    </row>
    <row r="341" spans="2:10" x14ac:dyDescent="0.45">
      <c r="B341" t="s">
        <v>841</v>
      </c>
      <c r="C341" t="s">
        <v>18</v>
      </c>
      <c r="D341">
        <v>0</v>
      </c>
      <c r="E341" t="s">
        <v>6</v>
      </c>
      <c r="G341" t="s">
        <v>842</v>
      </c>
      <c r="H341" t="s">
        <v>18</v>
      </c>
      <c r="I341">
        <v>5.3565458676469127E-2</v>
      </c>
      <c r="J341" t="s">
        <v>6</v>
      </c>
    </row>
    <row r="342" spans="2:10" x14ac:dyDescent="0.45">
      <c r="B342" t="s">
        <v>841</v>
      </c>
      <c r="C342" t="s">
        <v>19</v>
      </c>
      <c r="D342">
        <v>2.1609641783492788E-4</v>
      </c>
      <c r="E342" t="s">
        <v>6</v>
      </c>
      <c r="G342" t="s">
        <v>842</v>
      </c>
      <c r="H342" t="s">
        <v>19</v>
      </c>
      <c r="I342">
        <v>2.1018353430631756E-2</v>
      </c>
      <c r="J342" t="s">
        <v>6</v>
      </c>
    </row>
    <row r="343" spans="2:10" x14ac:dyDescent="0.45">
      <c r="B343" t="s">
        <v>841</v>
      </c>
      <c r="C343" t="s">
        <v>20</v>
      </c>
      <c r="D343">
        <v>1.0550751099661099E-2</v>
      </c>
      <c r="E343" t="s">
        <v>6</v>
      </c>
      <c r="G343" t="s">
        <v>842</v>
      </c>
      <c r="H343" t="s">
        <v>20</v>
      </c>
      <c r="I343">
        <v>2.0084217328169639E-2</v>
      </c>
      <c r="J343" t="s">
        <v>6</v>
      </c>
    </row>
    <row r="344" spans="2:10" x14ac:dyDescent="0.45">
      <c r="B344" t="s">
        <v>841</v>
      </c>
      <c r="C344" t="s">
        <v>21</v>
      </c>
      <c r="D344">
        <v>4.7563761025354666E-2</v>
      </c>
      <c r="E344" t="s">
        <v>6</v>
      </c>
      <c r="G344" t="s">
        <v>842</v>
      </c>
      <c r="H344" t="s">
        <v>21</v>
      </c>
      <c r="I344">
        <v>2.0014333774644559E-2</v>
      </c>
      <c r="J344" t="s">
        <v>6</v>
      </c>
    </row>
    <row r="345" spans="2:10" x14ac:dyDescent="0.45">
      <c r="B345" t="s">
        <v>841</v>
      </c>
      <c r="C345" t="s">
        <v>22</v>
      </c>
      <c r="D345">
        <v>7.7166393797312272E-2</v>
      </c>
      <c r="E345" t="s">
        <v>6</v>
      </c>
      <c r="G345" t="s">
        <v>842</v>
      </c>
      <c r="H345" t="s">
        <v>22</v>
      </c>
      <c r="I345">
        <v>1.8390447409471024E-2</v>
      </c>
      <c r="J345" t="s">
        <v>6</v>
      </c>
    </row>
    <row r="346" spans="2:10" x14ac:dyDescent="0.45">
      <c r="B346" t="s">
        <v>841</v>
      </c>
      <c r="C346" t="s">
        <v>23</v>
      </c>
      <c r="D346">
        <v>8.1854750299490506E-2</v>
      </c>
      <c r="E346" t="s">
        <v>6</v>
      </c>
      <c r="G346" t="s">
        <v>842</v>
      </c>
      <c r="H346" t="s">
        <v>23</v>
      </c>
      <c r="I346">
        <v>2.0127427488465303E-2</v>
      </c>
      <c r="J346" t="s">
        <v>6</v>
      </c>
    </row>
    <row r="347" spans="2:10" x14ac:dyDescent="0.45">
      <c r="B347" t="s">
        <v>841</v>
      </c>
      <c r="C347" t="s">
        <v>24</v>
      </c>
      <c r="D347">
        <v>6.2302519077079066E-2</v>
      </c>
      <c r="E347" t="s">
        <v>6</v>
      </c>
      <c r="G347" t="s">
        <v>842</v>
      </c>
      <c r="H347" t="s">
        <v>24</v>
      </c>
      <c r="I347">
        <v>2.0785819447982915E-2</v>
      </c>
      <c r="J347" t="s">
        <v>6</v>
      </c>
    </row>
    <row r="348" spans="2:10" x14ac:dyDescent="0.45">
      <c r="B348" t="s">
        <v>841</v>
      </c>
      <c r="C348" t="s">
        <v>25</v>
      </c>
      <c r="D348">
        <v>2.9447036743090942E-2</v>
      </c>
      <c r="E348" t="s">
        <v>6</v>
      </c>
      <c r="G348" t="s">
        <v>842</v>
      </c>
      <c r="H348" t="s">
        <v>25</v>
      </c>
      <c r="I348">
        <v>2.0650991722200168E-2</v>
      </c>
      <c r="J348" t="s">
        <v>6</v>
      </c>
    </row>
    <row r="349" spans="2:10" x14ac:dyDescent="0.45">
      <c r="B349" t="s">
        <v>841</v>
      </c>
      <c r="C349" t="s">
        <v>26</v>
      </c>
      <c r="D349">
        <v>3.3427926618390049E-3</v>
      </c>
      <c r="E349" t="s">
        <v>6</v>
      </c>
      <c r="G349" t="s">
        <v>842</v>
      </c>
      <c r="H349" t="s">
        <v>26</v>
      </c>
      <c r="I349">
        <v>2.1637141344976199E-2</v>
      </c>
      <c r="J349" t="s">
        <v>6</v>
      </c>
    </row>
    <row r="350" spans="2:10" x14ac:dyDescent="0.45">
      <c r="B350" t="s">
        <v>841</v>
      </c>
      <c r="C350" t="s">
        <v>27</v>
      </c>
      <c r="D350">
        <v>0</v>
      </c>
      <c r="E350" t="s">
        <v>6</v>
      </c>
      <c r="G350" t="s">
        <v>842</v>
      </c>
      <c r="H350" t="s">
        <v>27</v>
      </c>
      <c r="I350">
        <v>3.4356761413340847E-2</v>
      </c>
      <c r="J350" t="s">
        <v>6</v>
      </c>
    </row>
    <row r="351" spans="2:10" x14ac:dyDescent="0.45">
      <c r="B351" t="s">
        <v>841</v>
      </c>
      <c r="C351" t="s">
        <v>28</v>
      </c>
      <c r="D351">
        <v>0</v>
      </c>
      <c r="E351" t="s">
        <v>6</v>
      </c>
      <c r="G351" t="s">
        <v>842</v>
      </c>
      <c r="H351" t="s">
        <v>28</v>
      </c>
      <c r="I351">
        <v>3.8933239789542891E-2</v>
      </c>
      <c r="J351" t="s">
        <v>6</v>
      </c>
    </row>
    <row r="352" spans="2:10" x14ac:dyDescent="0.45">
      <c r="B352" t="s">
        <v>841</v>
      </c>
      <c r="C352" t="s">
        <v>29</v>
      </c>
      <c r="D352">
        <v>8.9906675150038277E-4</v>
      </c>
      <c r="E352" t="s">
        <v>6</v>
      </c>
      <c r="G352" t="s">
        <v>842</v>
      </c>
      <c r="H352" t="s">
        <v>29</v>
      </c>
      <c r="I352">
        <v>1.3866469147949277E-2</v>
      </c>
      <c r="J352" t="s">
        <v>6</v>
      </c>
    </row>
    <row r="353" spans="2:10" x14ac:dyDescent="0.45">
      <c r="B353" t="s">
        <v>841</v>
      </c>
      <c r="C353" t="s">
        <v>30</v>
      </c>
      <c r="D353">
        <v>1.6108796318943866E-2</v>
      </c>
      <c r="E353" t="s">
        <v>6</v>
      </c>
      <c r="G353" t="s">
        <v>842</v>
      </c>
      <c r="H353" t="s">
        <v>30</v>
      </c>
      <c r="I353">
        <v>1.2430136308386092E-2</v>
      </c>
      <c r="J353" t="s">
        <v>6</v>
      </c>
    </row>
    <row r="354" spans="2:10" x14ac:dyDescent="0.45">
      <c r="B354" t="s">
        <v>841</v>
      </c>
      <c r="C354" t="s">
        <v>31</v>
      </c>
      <c r="D354">
        <v>5.3912600424517877E-2</v>
      </c>
      <c r="E354" t="s">
        <v>6</v>
      </c>
      <c r="G354" t="s">
        <v>842</v>
      </c>
      <c r="H354" t="s">
        <v>31</v>
      </c>
      <c r="I354">
        <v>1.3022987194847903E-2</v>
      </c>
      <c r="J354" t="s">
        <v>6</v>
      </c>
    </row>
    <row r="355" spans="2:10" x14ac:dyDescent="0.45">
      <c r="B355" t="s">
        <v>841</v>
      </c>
      <c r="C355" t="s">
        <v>32</v>
      </c>
      <c r="D355">
        <v>8.3959591031508421E-2</v>
      </c>
      <c r="E355" t="s">
        <v>6</v>
      </c>
      <c r="G355" t="s">
        <v>842</v>
      </c>
      <c r="H355" t="s">
        <v>32</v>
      </c>
      <c r="I355">
        <v>1.1137678500867054E-2</v>
      </c>
      <c r="J355" t="s">
        <v>6</v>
      </c>
    </row>
    <row r="356" spans="2:10" x14ac:dyDescent="0.45">
      <c r="B356" t="s">
        <v>841</v>
      </c>
      <c r="C356" t="s">
        <v>33</v>
      </c>
      <c r="D356">
        <v>9.089035698987967E-2</v>
      </c>
      <c r="E356" t="s">
        <v>6</v>
      </c>
      <c r="G356" t="s">
        <v>842</v>
      </c>
      <c r="H356" t="s">
        <v>33</v>
      </c>
      <c r="I356">
        <v>1.3008051105054538E-2</v>
      </c>
      <c r="J356" t="s">
        <v>6</v>
      </c>
    </row>
    <row r="357" spans="2:10" x14ac:dyDescent="0.45">
      <c r="B357" t="s">
        <v>841</v>
      </c>
      <c r="C357" t="s">
        <v>34</v>
      </c>
      <c r="D357">
        <v>7.4647757222632158E-2</v>
      </c>
      <c r="E357" t="s">
        <v>6</v>
      </c>
      <c r="G357" t="s">
        <v>842</v>
      </c>
      <c r="H357" t="s">
        <v>34</v>
      </c>
      <c r="I357">
        <v>1.3716796486059158E-2</v>
      </c>
      <c r="J357" t="s">
        <v>6</v>
      </c>
    </row>
    <row r="358" spans="2:10" x14ac:dyDescent="0.45">
      <c r="B358" t="s">
        <v>841</v>
      </c>
      <c r="C358" t="s">
        <v>35</v>
      </c>
      <c r="D358">
        <v>4.1942613061760156E-2</v>
      </c>
      <c r="E358" t="s">
        <v>6</v>
      </c>
      <c r="G358" t="s">
        <v>842</v>
      </c>
      <c r="H358" t="s">
        <v>35</v>
      </c>
      <c r="I358">
        <v>1.4029324065672061E-2</v>
      </c>
      <c r="J358" t="s">
        <v>6</v>
      </c>
    </row>
    <row r="359" spans="2:10" x14ac:dyDescent="0.45">
      <c r="B359" t="s">
        <v>841</v>
      </c>
      <c r="C359" t="s">
        <v>36</v>
      </c>
      <c r="D359">
        <v>8.0720717330163439E-3</v>
      </c>
      <c r="E359" t="s">
        <v>6</v>
      </c>
      <c r="G359" t="s">
        <v>842</v>
      </c>
      <c r="H359" t="s">
        <v>36</v>
      </c>
      <c r="I359">
        <v>1.4149502339630334E-2</v>
      </c>
      <c r="J359" t="s">
        <v>6</v>
      </c>
    </row>
    <row r="360" spans="2:10" x14ac:dyDescent="0.45">
      <c r="B360" t="s">
        <v>841</v>
      </c>
      <c r="C360" t="s">
        <v>37</v>
      </c>
      <c r="D360">
        <v>7.0715690517508532E-5</v>
      </c>
      <c r="E360" t="s">
        <v>6</v>
      </c>
      <c r="G360" t="s">
        <v>842</v>
      </c>
      <c r="H360" t="s">
        <v>37</v>
      </c>
      <c r="I360">
        <v>2.3855359111790896E-2</v>
      </c>
      <c r="J360" t="s">
        <v>6</v>
      </c>
    </row>
    <row r="361" spans="2:10" x14ac:dyDescent="0.45">
      <c r="B361" t="s">
        <v>841</v>
      </c>
      <c r="C361" t="s">
        <v>38</v>
      </c>
      <c r="D361">
        <v>0</v>
      </c>
      <c r="E361" t="s">
        <v>6</v>
      </c>
      <c r="G361" t="s">
        <v>842</v>
      </c>
      <c r="H361" t="s">
        <v>38</v>
      </c>
      <c r="I361">
        <v>5.4983863134292287E-2</v>
      </c>
      <c r="J361" t="s">
        <v>6</v>
      </c>
    </row>
    <row r="362" spans="2:10" x14ac:dyDescent="0.45">
      <c r="B362" t="s">
        <v>841</v>
      </c>
      <c r="C362" t="s">
        <v>39</v>
      </c>
      <c r="D362">
        <v>0</v>
      </c>
      <c r="E362" t="s">
        <v>6</v>
      </c>
      <c r="G362" t="s">
        <v>842</v>
      </c>
      <c r="H362" t="s">
        <v>39</v>
      </c>
      <c r="I362">
        <v>2.1840676076690203E-2</v>
      </c>
      <c r="J362" t="s">
        <v>6</v>
      </c>
    </row>
    <row r="363" spans="2:10" x14ac:dyDescent="0.45">
      <c r="B363" t="s">
        <v>841</v>
      </c>
      <c r="C363" t="s">
        <v>40</v>
      </c>
      <c r="D363">
        <v>3.1076456213207913E-3</v>
      </c>
      <c r="E363" t="s">
        <v>6</v>
      </c>
      <c r="G363" t="s">
        <v>842</v>
      </c>
      <c r="H363" t="s">
        <v>40</v>
      </c>
      <c r="I363">
        <v>2.1506975492597238E-2</v>
      </c>
      <c r="J363" t="s">
        <v>6</v>
      </c>
    </row>
    <row r="364" spans="2:10" x14ac:dyDescent="0.45">
      <c r="B364" t="s">
        <v>841</v>
      </c>
      <c r="C364" t="s">
        <v>41</v>
      </c>
      <c r="D364">
        <v>2.9158324058877298E-2</v>
      </c>
      <c r="E364" t="s">
        <v>6</v>
      </c>
      <c r="G364" t="s">
        <v>842</v>
      </c>
      <c r="H364" t="s">
        <v>41</v>
      </c>
      <c r="I364">
        <v>2.1099702848294998E-2</v>
      </c>
      <c r="J364" t="s">
        <v>6</v>
      </c>
    </row>
    <row r="365" spans="2:10" x14ac:dyDescent="0.45">
      <c r="B365" t="s">
        <v>841</v>
      </c>
      <c r="C365" t="s">
        <v>42</v>
      </c>
      <c r="D365">
        <v>5.4873646527405971E-2</v>
      </c>
      <c r="E365" t="s">
        <v>6</v>
      </c>
      <c r="G365" t="s">
        <v>842</v>
      </c>
      <c r="H365" t="s">
        <v>42</v>
      </c>
      <c r="I365">
        <v>1.9124412691043275E-2</v>
      </c>
      <c r="J365" t="s">
        <v>6</v>
      </c>
    </row>
    <row r="366" spans="2:10" x14ac:dyDescent="0.45">
      <c r="B366" t="s">
        <v>841</v>
      </c>
      <c r="C366" t="s">
        <v>43</v>
      </c>
      <c r="D366">
        <v>5.8501707357346611E-2</v>
      </c>
      <c r="E366" t="s">
        <v>6</v>
      </c>
      <c r="G366" t="s">
        <v>842</v>
      </c>
      <c r="H366" t="s">
        <v>43</v>
      </c>
      <c r="I366">
        <v>2.1580107385875329E-2</v>
      </c>
      <c r="J366" t="s">
        <v>6</v>
      </c>
    </row>
    <row r="367" spans="2:10" x14ac:dyDescent="0.45">
      <c r="B367" t="s">
        <v>841</v>
      </c>
      <c r="C367" t="s">
        <v>44</v>
      </c>
      <c r="D367">
        <v>3.8456751704106437E-2</v>
      </c>
      <c r="E367" t="s">
        <v>6</v>
      </c>
      <c r="G367" t="s">
        <v>842</v>
      </c>
      <c r="H367" t="s">
        <v>44</v>
      </c>
      <c r="I367">
        <v>2.2714533402132052E-2</v>
      </c>
      <c r="J367" t="s">
        <v>6</v>
      </c>
    </row>
    <row r="368" spans="2:10" x14ac:dyDescent="0.45">
      <c r="B368" t="s">
        <v>841</v>
      </c>
      <c r="C368" t="s">
        <v>45</v>
      </c>
      <c r="D368">
        <v>1.0124005974477783E-2</v>
      </c>
      <c r="E368" t="s">
        <v>6</v>
      </c>
      <c r="G368" t="s">
        <v>842</v>
      </c>
      <c r="H368" t="s">
        <v>45</v>
      </c>
      <c r="I368">
        <v>2.2640283021100233E-2</v>
      </c>
      <c r="J368" t="s">
        <v>6</v>
      </c>
    </row>
    <row r="369" spans="2:10" x14ac:dyDescent="0.45">
      <c r="B369" t="s">
        <v>841</v>
      </c>
      <c r="C369" t="s">
        <v>46</v>
      </c>
      <c r="D369">
        <v>1.9038812890815064E-4</v>
      </c>
      <c r="E369" t="s">
        <v>6</v>
      </c>
      <c r="G369" t="s">
        <v>842</v>
      </c>
      <c r="H369" t="s">
        <v>46</v>
      </c>
      <c r="I369">
        <v>2.3691134598113298E-2</v>
      </c>
      <c r="J369" t="s">
        <v>6</v>
      </c>
    </row>
    <row r="370" spans="2:10" x14ac:dyDescent="0.45">
      <c r="B370" t="s">
        <v>841</v>
      </c>
      <c r="C370" t="s">
        <v>47</v>
      </c>
      <c r="D370">
        <v>0</v>
      </c>
      <c r="E370" t="s">
        <v>6</v>
      </c>
      <c r="G370" t="s">
        <v>842</v>
      </c>
      <c r="H370" t="s">
        <v>47</v>
      </c>
      <c r="I370">
        <v>3.6001123066795551E-2</v>
      </c>
      <c r="J370" t="s">
        <v>6</v>
      </c>
    </row>
    <row r="371" spans="2:10" x14ac:dyDescent="0.45">
      <c r="B371" t="s">
        <v>843</v>
      </c>
      <c r="C371" t="s">
        <v>5</v>
      </c>
      <c r="D371">
        <v>0</v>
      </c>
      <c r="E371" t="s">
        <v>6</v>
      </c>
      <c r="G371" t="s">
        <v>844</v>
      </c>
      <c r="H371" t="s">
        <v>5</v>
      </c>
      <c r="I371">
        <v>6.6553332913391133E-2</v>
      </c>
      <c r="J371" t="s">
        <v>6</v>
      </c>
    </row>
    <row r="372" spans="2:10" x14ac:dyDescent="0.45">
      <c r="B372" t="s">
        <v>843</v>
      </c>
      <c r="C372" t="s">
        <v>9</v>
      </c>
      <c r="D372">
        <v>0</v>
      </c>
      <c r="E372" t="s">
        <v>6</v>
      </c>
      <c r="G372" t="s">
        <v>844</v>
      </c>
      <c r="H372" t="s">
        <v>9</v>
      </c>
      <c r="I372">
        <v>2.6081395713538316E-2</v>
      </c>
      <c r="J372" t="s">
        <v>6</v>
      </c>
    </row>
    <row r="373" spans="2:10" x14ac:dyDescent="0.45">
      <c r="B373" t="s">
        <v>843</v>
      </c>
      <c r="C373" t="s">
        <v>10</v>
      </c>
      <c r="D373">
        <v>0</v>
      </c>
      <c r="E373" t="s">
        <v>6</v>
      </c>
      <c r="G373" t="s">
        <v>844</v>
      </c>
      <c r="H373" t="s">
        <v>10</v>
      </c>
      <c r="I373">
        <v>2.6251088287815465E-2</v>
      </c>
      <c r="J373" t="s">
        <v>6</v>
      </c>
    </row>
    <row r="374" spans="2:10" x14ac:dyDescent="0.45">
      <c r="B374" t="s">
        <v>843</v>
      </c>
      <c r="C374" t="s">
        <v>11</v>
      </c>
      <c r="D374">
        <v>9.2204929030552663E-3</v>
      </c>
      <c r="E374" t="s">
        <v>6</v>
      </c>
      <c r="G374" t="s">
        <v>844</v>
      </c>
      <c r="H374" t="s">
        <v>11</v>
      </c>
      <c r="I374">
        <v>2.6565869593657112E-2</v>
      </c>
      <c r="J374" t="s">
        <v>6</v>
      </c>
    </row>
    <row r="375" spans="2:10" x14ac:dyDescent="0.45">
      <c r="B375" t="s">
        <v>843</v>
      </c>
      <c r="C375" t="s">
        <v>12</v>
      </c>
      <c r="D375">
        <v>3.6888962555350235E-2</v>
      </c>
      <c r="E375" t="s">
        <v>6</v>
      </c>
      <c r="G375" t="s">
        <v>844</v>
      </c>
      <c r="H375" t="s">
        <v>12</v>
      </c>
      <c r="I375">
        <v>2.3451772531886111E-2</v>
      </c>
      <c r="J375" t="s">
        <v>6</v>
      </c>
    </row>
    <row r="376" spans="2:10" x14ac:dyDescent="0.45">
      <c r="B376" t="s">
        <v>843</v>
      </c>
      <c r="C376" t="s">
        <v>13</v>
      </c>
      <c r="D376">
        <v>4.4105750828086668E-2</v>
      </c>
      <c r="E376" t="s">
        <v>6</v>
      </c>
      <c r="G376" t="s">
        <v>844</v>
      </c>
      <c r="H376" t="s">
        <v>13</v>
      </c>
      <c r="I376">
        <v>2.3520122129242774E-2</v>
      </c>
      <c r="J376" t="s">
        <v>6</v>
      </c>
    </row>
    <row r="377" spans="2:10" x14ac:dyDescent="0.45">
      <c r="B377" t="s">
        <v>843</v>
      </c>
      <c r="C377" t="s">
        <v>14</v>
      </c>
      <c r="D377">
        <v>2.7124978423552947E-2</v>
      </c>
      <c r="E377" t="s">
        <v>6</v>
      </c>
      <c r="G377" t="s">
        <v>844</v>
      </c>
      <c r="H377" t="s">
        <v>14</v>
      </c>
      <c r="I377">
        <v>2.4159156681080051E-2</v>
      </c>
      <c r="J377" t="s">
        <v>6</v>
      </c>
    </row>
    <row r="378" spans="2:10" x14ac:dyDescent="0.45">
      <c r="B378" t="s">
        <v>843</v>
      </c>
      <c r="C378" t="s">
        <v>15</v>
      </c>
      <c r="D378">
        <v>4.0658400149833525E-3</v>
      </c>
      <c r="E378" t="s">
        <v>6</v>
      </c>
      <c r="G378" t="s">
        <v>844</v>
      </c>
      <c r="H378" t="s">
        <v>15</v>
      </c>
      <c r="I378">
        <v>2.5588546139996473E-2</v>
      </c>
      <c r="J378" t="s">
        <v>6</v>
      </c>
    </row>
    <row r="379" spans="2:10" x14ac:dyDescent="0.45">
      <c r="B379" t="s">
        <v>843</v>
      </c>
      <c r="C379" t="s">
        <v>16</v>
      </c>
      <c r="D379">
        <v>0</v>
      </c>
      <c r="E379" t="s">
        <v>6</v>
      </c>
      <c r="G379" t="s">
        <v>844</v>
      </c>
      <c r="H379" t="s">
        <v>16</v>
      </c>
      <c r="I379">
        <v>2.6586519789805141E-2</v>
      </c>
      <c r="J379" t="s">
        <v>6</v>
      </c>
    </row>
    <row r="380" spans="2:10" x14ac:dyDescent="0.45">
      <c r="B380" t="s">
        <v>843</v>
      </c>
      <c r="C380" t="s">
        <v>17</v>
      </c>
      <c r="D380">
        <v>0</v>
      </c>
      <c r="E380" t="s">
        <v>6</v>
      </c>
      <c r="G380" t="s">
        <v>844</v>
      </c>
      <c r="H380" t="s">
        <v>17</v>
      </c>
      <c r="I380">
        <v>4.0069520541891647E-2</v>
      </c>
      <c r="J380" t="s">
        <v>6</v>
      </c>
    </row>
    <row r="381" spans="2:10" x14ac:dyDescent="0.45">
      <c r="B381" t="s">
        <v>843</v>
      </c>
      <c r="C381" t="s">
        <v>18</v>
      </c>
      <c r="D381">
        <v>0</v>
      </c>
      <c r="E381" t="s">
        <v>6</v>
      </c>
      <c r="G381" t="s">
        <v>844</v>
      </c>
      <c r="H381" t="s">
        <v>18</v>
      </c>
      <c r="I381">
        <v>5.3488044460087404E-2</v>
      </c>
      <c r="J381" t="s">
        <v>6</v>
      </c>
    </row>
    <row r="382" spans="2:10" x14ac:dyDescent="0.45">
      <c r="B382" t="s">
        <v>843</v>
      </c>
      <c r="C382" t="s">
        <v>19</v>
      </c>
      <c r="D382">
        <v>2.654675625892345E-4</v>
      </c>
      <c r="E382" t="s">
        <v>6</v>
      </c>
      <c r="G382" t="s">
        <v>844</v>
      </c>
      <c r="H382" t="s">
        <v>19</v>
      </c>
      <c r="I382">
        <v>2.1125215500715652E-2</v>
      </c>
      <c r="J382" t="s">
        <v>6</v>
      </c>
    </row>
    <row r="383" spans="2:10" x14ac:dyDescent="0.45">
      <c r="B383" t="s">
        <v>843</v>
      </c>
      <c r="C383" t="s">
        <v>20</v>
      </c>
      <c r="D383">
        <v>1.1156325277595218E-2</v>
      </c>
      <c r="E383" t="s">
        <v>6</v>
      </c>
      <c r="G383" t="s">
        <v>844</v>
      </c>
      <c r="H383" t="s">
        <v>20</v>
      </c>
      <c r="I383">
        <v>2.0885397902257245E-2</v>
      </c>
      <c r="J383" t="s">
        <v>6</v>
      </c>
    </row>
    <row r="384" spans="2:10" x14ac:dyDescent="0.45">
      <c r="B384" t="s">
        <v>843</v>
      </c>
      <c r="C384" t="s">
        <v>21</v>
      </c>
      <c r="D384">
        <v>5.0064063894744534E-2</v>
      </c>
      <c r="E384" t="s">
        <v>6</v>
      </c>
      <c r="G384" t="s">
        <v>844</v>
      </c>
      <c r="H384" t="s">
        <v>21</v>
      </c>
      <c r="I384">
        <v>2.055228514586949E-2</v>
      </c>
      <c r="J384" t="s">
        <v>6</v>
      </c>
    </row>
    <row r="385" spans="2:10" x14ac:dyDescent="0.45">
      <c r="B385" t="s">
        <v>843</v>
      </c>
      <c r="C385" t="s">
        <v>22</v>
      </c>
      <c r="D385">
        <v>7.8446250338970319E-2</v>
      </c>
      <c r="E385" t="s">
        <v>6</v>
      </c>
      <c r="G385" t="s">
        <v>844</v>
      </c>
      <c r="H385" t="s">
        <v>22</v>
      </c>
      <c r="I385">
        <v>1.9447134654209046E-2</v>
      </c>
      <c r="J385" t="s">
        <v>6</v>
      </c>
    </row>
    <row r="386" spans="2:10" x14ac:dyDescent="0.45">
      <c r="B386" t="s">
        <v>843</v>
      </c>
      <c r="C386" t="s">
        <v>23</v>
      </c>
      <c r="D386">
        <v>8.2987612460340934E-2</v>
      </c>
      <c r="E386" t="s">
        <v>6</v>
      </c>
      <c r="G386" t="s">
        <v>844</v>
      </c>
      <c r="H386" t="s">
        <v>23</v>
      </c>
      <c r="I386">
        <v>2.0913017874377236E-2</v>
      </c>
      <c r="J386" t="s">
        <v>6</v>
      </c>
    </row>
    <row r="387" spans="2:10" x14ac:dyDescent="0.45">
      <c r="B387" t="s">
        <v>843</v>
      </c>
      <c r="C387" t="s">
        <v>24</v>
      </c>
      <c r="D387">
        <v>6.3489195085699029E-2</v>
      </c>
      <c r="E387" t="s">
        <v>6</v>
      </c>
      <c r="G387" t="s">
        <v>844</v>
      </c>
      <c r="H387" t="s">
        <v>24</v>
      </c>
      <c r="I387">
        <v>2.1295660164815787E-2</v>
      </c>
      <c r="J387" t="s">
        <v>6</v>
      </c>
    </row>
    <row r="388" spans="2:10" x14ac:dyDescent="0.45">
      <c r="B388" t="s">
        <v>843</v>
      </c>
      <c r="C388" t="s">
        <v>25</v>
      </c>
      <c r="D388">
        <v>2.9319444102801996E-2</v>
      </c>
      <c r="E388" t="s">
        <v>6</v>
      </c>
      <c r="G388" t="s">
        <v>844</v>
      </c>
      <c r="H388" t="s">
        <v>25</v>
      </c>
      <c r="I388">
        <v>2.0768603001744219E-2</v>
      </c>
      <c r="J388" t="s">
        <v>6</v>
      </c>
    </row>
    <row r="389" spans="2:10" x14ac:dyDescent="0.45">
      <c r="B389" t="s">
        <v>843</v>
      </c>
      <c r="C389" t="s">
        <v>26</v>
      </c>
      <c r="D389">
        <v>3.1892660050619839E-3</v>
      </c>
      <c r="E389" t="s">
        <v>6</v>
      </c>
      <c r="G389" t="s">
        <v>844</v>
      </c>
      <c r="H389" t="s">
        <v>26</v>
      </c>
      <c r="I389">
        <v>2.1204865627472008E-2</v>
      </c>
      <c r="J389" t="s">
        <v>6</v>
      </c>
    </row>
    <row r="390" spans="2:10" x14ac:dyDescent="0.45">
      <c r="B390" t="s">
        <v>843</v>
      </c>
      <c r="C390" t="s">
        <v>27</v>
      </c>
      <c r="D390">
        <v>1.4696367861723793E-7</v>
      </c>
      <c r="E390" t="s">
        <v>6</v>
      </c>
      <c r="G390" t="s">
        <v>844</v>
      </c>
      <c r="H390" t="s">
        <v>27</v>
      </c>
      <c r="I390">
        <v>3.341810861455715E-2</v>
      </c>
      <c r="J390" t="s">
        <v>6</v>
      </c>
    </row>
    <row r="391" spans="2:10" x14ac:dyDescent="0.45">
      <c r="B391" t="s">
        <v>843</v>
      </c>
      <c r="C391" t="s">
        <v>28</v>
      </c>
      <c r="D391">
        <v>0</v>
      </c>
      <c r="E391" t="s">
        <v>6</v>
      </c>
      <c r="G391" t="s">
        <v>844</v>
      </c>
      <c r="H391" t="s">
        <v>28</v>
      </c>
      <c r="I391">
        <v>4.1636567441001852E-2</v>
      </c>
      <c r="J391" t="s">
        <v>6</v>
      </c>
    </row>
    <row r="392" spans="2:10" x14ac:dyDescent="0.45">
      <c r="B392" t="s">
        <v>843</v>
      </c>
      <c r="C392" t="s">
        <v>29</v>
      </c>
      <c r="D392">
        <v>9.963869121684826E-4</v>
      </c>
      <c r="E392" t="s">
        <v>6</v>
      </c>
      <c r="G392" t="s">
        <v>844</v>
      </c>
      <c r="H392" t="s">
        <v>29</v>
      </c>
      <c r="I392">
        <v>1.4754079992312288E-2</v>
      </c>
      <c r="J392" t="s">
        <v>6</v>
      </c>
    </row>
    <row r="393" spans="2:10" x14ac:dyDescent="0.45">
      <c r="B393" t="s">
        <v>843</v>
      </c>
      <c r="C393" t="s">
        <v>30</v>
      </c>
      <c r="D393">
        <v>1.6700116932334402E-2</v>
      </c>
      <c r="E393" t="s">
        <v>6</v>
      </c>
      <c r="G393" t="s">
        <v>844</v>
      </c>
      <c r="H393" t="s">
        <v>30</v>
      </c>
      <c r="I393">
        <v>1.3399518655051476E-2</v>
      </c>
      <c r="J393" t="s">
        <v>6</v>
      </c>
    </row>
    <row r="394" spans="2:10" x14ac:dyDescent="0.45">
      <c r="B394" t="s">
        <v>843</v>
      </c>
      <c r="C394" t="s">
        <v>31</v>
      </c>
      <c r="D394">
        <v>5.4961836032051056E-2</v>
      </c>
      <c r="E394" t="s">
        <v>6</v>
      </c>
      <c r="G394" t="s">
        <v>844</v>
      </c>
      <c r="H394" t="s">
        <v>31</v>
      </c>
      <c r="I394">
        <v>1.303432588187585E-2</v>
      </c>
      <c r="J394" t="s">
        <v>6</v>
      </c>
    </row>
    <row r="395" spans="2:10" x14ac:dyDescent="0.45">
      <c r="B395" t="s">
        <v>843</v>
      </c>
      <c r="C395" t="s">
        <v>32</v>
      </c>
      <c r="D395">
        <v>8.443319344460988E-2</v>
      </c>
      <c r="E395" t="s">
        <v>6</v>
      </c>
      <c r="G395" t="s">
        <v>844</v>
      </c>
      <c r="H395" t="s">
        <v>32</v>
      </c>
      <c r="I395">
        <v>1.0931078576078687E-2</v>
      </c>
      <c r="J395" t="s">
        <v>6</v>
      </c>
    </row>
    <row r="396" spans="2:10" x14ac:dyDescent="0.45">
      <c r="B396" t="s">
        <v>843</v>
      </c>
      <c r="C396" t="s">
        <v>33</v>
      </c>
      <c r="D396">
        <v>8.9297717076082569E-2</v>
      </c>
      <c r="E396" t="s">
        <v>6</v>
      </c>
      <c r="G396" t="s">
        <v>844</v>
      </c>
      <c r="H396" t="s">
        <v>33</v>
      </c>
      <c r="I396">
        <v>1.255225818316702E-2</v>
      </c>
      <c r="J396" t="s">
        <v>6</v>
      </c>
    </row>
    <row r="397" spans="2:10" x14ac:dyDescent="0.45">
      <c r="B397" t="s">
        <v>843</v>
      </c>
      <c r="C397" t="s">
        <v>34</v>
      </c>
      <c r="D397">
        <v>7.2214841723282575E-2</v>
      </c>
      <c r="E397" t="s">
        <v>6</v>
      </c>
      <c r="G397" t="s">
        <v>844</v>
      </c>
      <c r="H397" t="s">
        <v>34</v>
      </c>
      <c r="I397">
        <v>1.3931739919830927E-2</v>
      </c>
      <c r="J397" t="s">
        <v>6</v>
      </c>
    </row>
    <row r="398" spans="2:10" x14ac:dyDescent="0.45">
      <c r="B398" t="s">
        <v>843</v>
      </c>
      <c r="C398" t="s">
        <v>35</v>
      </c>
      <c r="D398">
        <v>4.1766683612148255E-2</v>
      </c>
      <c r="E398" t="s">
        <v>6</v>
      </c>
      <c r="G398" t="s">
        <v>844</v>
      </c>
      <c r="H398" t="s">
        <v>35</v>
      </c>
      <c r="I398">
        <v>1.4562157369521718E-2</v>
      </c>
      <c r="J398" t="s">
        <v>6</v>
      </c>
    </row>
    <row r="399" spans="2:10" x14ac:dyDescent="0.45">
      <c r="B399" t="s">
        <v>843</v>
      </c>
      <c r="C399" t="s">
        <v>36</v>
      </c>
      <c r="D399">
        <v>8.131948252411151E-3</v>
      </c>
      <c r="E399" t="s">
        <v>6</v>
      </c>
      <c r="G399" t="s">
        <v>844</v>
      </c>
      <c r="H399" t="s">
        <v>36</v>
      </c>
      <c r="I399">
        <v>1.5129437055473455E-2</v>
      </c>
      <c r="J399" t="s">
        <v>6</v>
      </c>
    </row>
    <row r="400" spans="2:10" x14ac:dyDescent="0.45">
      <c r="B400" t="s">
        <v>843</v>
      </c>
      <c r="C400" t="s">
        <v>37</v>
      </c>
      <c r="D400">
        <v>7.6010168642373882E-5</v>
      </c>
      <c r="E400" t="s">
        <v>6</v>
      </c>
      <c r="G400" t="s">
        <v>844</v>
      </c>
      <c r="H400" t="s">
        <v>37</v>
      </c>
      <c r="I400">
        <v>2.5636072366587159E-2</v>
      </c>
      <c r="J400" t="s">
        <v>6</v>
      </c>
    </row>
    <row r="401" spans="2:10" x14ac:dyDescent="0.45">
      <c r="B401" t="s">
        <v>843</v>
      </c>
      <c r="C401" t="s">
        <v>38</v>
      </c>
      <c r="D401">
        <v>0</v>
      </c>
      <c r="E401" t="s">
        <v>6</v>
      </c>
      <c r="G401" t="s">
        <v>844</v>
      </c>
      <c r="H401" t="s">
        <v>38</v>
      </c>
      <c r="I401">
        <v>5.4599978702939971E-2</v>
      </c>
      <c r="J401" t="s">
        <v>6</v>
      </c>
    </row>
    <row r="402" spans="2:10" x14ac:dyDescent="0.45">
      <c r="B402" t="s">
        <v>843</v>
      </c>
      <c r="C402" t="s">
        <v>39</v>
      </c>
      <c r="D402">
        <v>0</v>
      </c>
      <c r="E402" t="s">
        <v>6</v>
      </c>
      <c r="G402" t="s">
        <v>844</v>
      </c>
      <c r="H402" t="s">
        <v>39</v>
      </c>
      <c r="I402">
        <v>2.1920318532577886E-2</v>
      </c>
      <c r="J402" t="s">
        <v>6</v>
      </c>
    </row>
    <row r="403" spans="2:10" x14ac:dyDescent="0.45">
      <c r="B403" t="s">
        <v>843</v>
      </c>
      <c r="C403" t="s">
        <v>40</v>
      </c>
      <c r="D403">
        <v>3.0633900935907823E-3</v>
      </c>
      <c r="E403" t="s">
        <v>6</v>
      </c>
      <c r="G403" t="s">
        <v>844</v>
      </c>
      <c r="H403" t="s">
        <v>40</v>
      </c>
      <c r="I403">
        <v>2.1324181029600271E-2</v>
      </c>
      <c r="J403" t="s">
        <v>6</v>
      </c>
    </row>
    <row r="404" spans="2:10" x14ac:dyDescent="0.45">
      <c r="B404" t="s">
        <v>843</v>
      </c>
      <c r="C404" t="s">
        <v>41</v>
      </c>
      <c r="D404">
        <v>2.8695912729363404E-2</v>
      </c>
      <c r="E404" t="s">
        <v>6</v>
      </c>
      <c r="G404" t="s">
        <v>844</v>
      </c>
      <c r="H404" t="s">
        <v>41</v>
      </c>
      <c r="I404">
        <v>2.0161499822598648E-2</v>
      </c>
      <c r="J404" t="s">
        <v>6</v>
      </c>
    </row>
    <row r="405" spans="2:10" x14ac:dyDescent="0.45">
      <c r="B405" t="s">
        <v>843</v>
      </c>
      <c r="C405" t="s">
        <v>42</v>
      </c>
      <c r="D405">
        <v>5.5298871992984014E-2</v>
      </c>
      <c r="E405" t="s">
        <v>6</v>
      </c>
      <c r="G405" t="s">
        <v>844</v>
      </c>
      <c r="H405" t="s">
        <v>42</v>
      </c>
      <c r="I405">
        <v>1.8975360698827319E-2</v>
      </c>
      <c r="J405" t="s">
        <v>6</v>
      </c>
    </row>
    <row r="406" spans="2:10" x14ac:dyDescent="0.45">
      <c r="B406" t="s">
        <v>843</v>
      </c>
      <c r="C406" t="s">
        <v>43</v>
      </c>
      <c r="D406">
        <v>5.8083872831113353E-2</v>
      </c>
      <c r="E406" t="s">
        <v>6</v>
      </c>
      <c r="G406" t="s">
        <v>844</v>
      </c>
      <c r="H406" t="s">
        <v>43</v>
      </c>
      <c r="I406">
        <v>2.1473049064873444E-2</v>
      </c>
      <c r="J406" t="s">
        <v>6</v>
      </c>
    </row>
    <row r="407" spans="2:10" x14ac:dyDescent="0.45">
      <c r="B407" t="s">
        <v>843</v>
      </c>
      <c r="C407" t="s">
        <v>44</v>
      </c>
      <c r="D407">
        <v>3.6742742937117184E-2</v>
      </c>
      <c r="E407" t="s">
        <v>6</v>
      </c>
      <c r="G407" t="s">
        <v>844</v>
      </c>
      <c r="H407" t="s">
        <v>44</v>
      </c>
      <c r="I407">
        <v>2.2457481072670316E-2</v>
      </c>
      <c r="J407" t="s">
        <v>6</v>
      </c>
    </row>
    <row r="408" spans="2:10" x14ac:dyDescent="0.45">
      <c r="B408" t="s">
        <v>843</v>
      </c>
      <c r="C408" t="s">
        <v>45</v>
      </c>
      <c r="D408">
        <v>9.0509788156327622E-3</v>
      </c>
      <c r="E408" t="s">
        <v>6</v>
      </c>
      <c r="G408" t="s">
        <v>844</v>
      </c>
      <c r="H408" t="s">
        <v>45</v>
      </c>
      <c r="I408">
        <v>2.2724772721478798E-2</v>
      </c>
      <c r="J408" t="s">
        <v>6</v>
      </c>
    </row>
    <row r="409" spans="2:10" x14ac:dyDescent="0.45">
      <c r="B409" t="s">
        <v>843</v>
      </c>
      <c r="C409" t="s">
        <v>46</v>
      </c>
      <c r="D409">
        <v>1.6170002995741445E-4</v>
      </c>
      <c r="E409" t="s">
        <v>6</v>
      </c>
      <c r="G409" t="s">
        <v>844</v>
      </c>
      <c r="H409" t="s">
        <v>46</v>
      </c>
      <c r="I409">
        <v>2.3792732627209743E-2</v>
      </c>
      <c r="J409" t="s">
        <v>6</v>
      </c>
    </row>
    <row r="410" spans="2:10" x14ac:dyDescent="0.45">
      <c r="B410" t="s">
        <v>843</v>
      </c>
      <c r="C410" t="s">
        <v>47</v>
      </c>
      <c r="D410">
        <v>0</v>
      </c>
      <c r="E410" t="s">
        <v>6</v>
      </c>
      <c r="G410" t="s">
        <v>844</v>
      </c>
      <c r="H410" t="s">
        <v>47</v>
      </c>
      <c r="I410">
        <v>3.5077733017913733E-2</v>
      </c>
      <c r="J410" t="s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ABB9-7BDE-4004-9D8C-824EDE830F50}">
  <dimension ref="B9:FT3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other_indexes=ACT; region=NLD")</f>
        <v>~TFM_DINS-TSL: attribute=FLO_EMIS; other_indexes=ACT; region=NLD</v>
      </c>
      <c r="AS9" t="str">
        <f>IF(A11="x","DeActivated","~TFM_INS-TSL: attribute=FLO_SHAR; limtype=FX; region=NLD")</f>
        <v>~TFM_INS-TSL: attribute=FLO_SHAR; limtype=FX; region=NLD</v>
      </c>
      <c r="CJ9" t="str">
        <f>IF(A11="x","DeActivated","~TFM_INS-TSL: attribute=FLO_SHAR; limtype=FX; region=NLD")</f>
        <v>~TFM_INS-TSL: attribute=FLO_SHAR; limtype=FX; region=NLD</v>
      </c>
      <c r="EA9" t="str">
        <f>IF(A11="x","DeActivated","~TFM_DINS-TSL: attribute=NCAP_PKCNT; region=NLD")</f>
        <v>~TFM_DINS-TSL: attribute=NCAP_PKCNT; region=NLD</v>
      </c>
      <c r="FQ9" t="str">
        <f>IF(A11="x","DeActivated","~TFM_DINS-AT: region=NLD")</f>
        <v>~TFM_DINS-AT: region=NLD</v>
      </c>
    </row>
    <row r="10" spans="2:176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S10" t="s">
        <v>3</v>
      </c>
      <c r="AT10" t="s">
        <v>0</v>
      </c>
      <c r="AU10" t="s">
        <v>5</v>
      </c>
      <c r="AV10" t="s">
        <v>9</v>
      </c>
      <c r="AW10" t="s">
        <v>10</v>
      </c>
      <c r="AX10" t="s">
        <v>11</v>
      </c>
      <c r="AY10" t="s">
        <v>12</v>
      </c>
      <c r="AZ10" t="s">
        <v>13</v>
      </c>
      <c r="BA10" t="s">
        <v>14</v>
      </c>
      <c r="BB10" t="s">
        <v>15</v>
      </c>
      <c r="BC10" t="s">
        <v>16</v>
      </c>
      <c r="BD10" t="s">
        <v>17</v>
      </c>
      <c r="BE10" t="s">
        <v>18</v>
      </c>
      <c r="BF10" t="s">
        <v>19</v>
      </c>
      <c r="BG10" t="s">
        <v>20</v>
      </c>
      <c r="BH10" t="s">
        <v>21</v>
      </c>
      <c r="BI10" t="s">
        <v>22</v>
      </c>
      <c r="BJ10" t="s">
        <v>23</v>
      </c>
      <c r="BK10" t="s">
        <v>24</v>
      </c>
      <c r="BL10" t="s">
        <v>25</v>
      </c>
      <c r="BM10" t="s">
        <v>26</v>
      </c>
      <c r="BN10" t="s">
        <v>27</v>
      </c>
      <c r="BO10" t="s">
        <v>28</v>
      </c>
      <c r="BP10" t="s">
        <v>29</v>
      </c>
      <c r="BQ10" t="s">
        <v>30</v>
      </c>
      <c r="BR10" t="s">
        <v>31</v>
      </c>
      <c r="BS10" t="s">
        <v>32</v>
      </c>
      <c r="BT10" t="s">
        <v>33</v>
      </c>
      <c r="BU10" t="s">
        <v>34</v>
      </c>
      <c r="BV10" t="s">
        <v>35</v>
      </c>
      <c r="BW10" t="s">
        <v>36</v>
      </c>
      <c r="BX10" t="s">
        <v>37</v>
      </c>
      <c r="BY10" t="s">
        <v>38</v>
      </c>
      <c r="BZ10" t="s">
        <v>39</v>
      </c>
      <c r="CA10" t="s">
        <v>40</v>
      </c>
      <c r="CB10" t="s">
        <v>41</v>
      </c>
      <c r="CC10" t="s">
        <v>42</v>
      </c>
      <c r="CD10" t="s">
        <v>43</v>
      </c>
      <c r="CE10" t="s">
        <v>44</v>
      </c>
      <c r="CF10" t="s">
        <v>45</v>
      </c>
      <c r="CG10" t="s">
        <v>46</v>
      </c>
      <c r="CH10" t="s">
        <v>47</v>
      </c>
      <c r="CJ10" t="s">
        <v>3</v>
      </c>
      <c r="CK10" t="s">
        <v>0</v>
      </c>
      <c r="CL10" t="s">
        <v>5</v>
      </c>
      <c r="CM10" t="s">
        <v>9</v>
      </c>
      <c r="CN10" t="s">
        <v>10</v>
      </c>
      <c r="CO10" t="s">
        <v>11</v>
      </c>
      <c r="CP10" t="s">
        <v>12</v>
      </c>
      <c r="CQ10" t="s">
        <v>13</v>
      </c>
      <c r="CR10" t="s">
        <v>14</v>
      </c>
      <c r="CS10" t="s">
        <v>15</v>
      </c>
      <c r="CT10" t="s">
        <v>16</v>
      </c>
      <c r="CU10" t="s">
        <v>17</v>
      </c>
      <c r="CV10" t="s">
        <v>18</v>
      </c>
      <c r="CW10" t="s">
        <v>19</v>
      </c>
      <c r="CX10" t="s">
        <v>20</v>
      </c>
      <c r="CY10" t="s">
        <v>21</v>
      </c>
      <c r="CZ10" t="s">
        <v>22</v>
      </c>
      <c r="DA10" t="s">
        <v>23</v>
      </c>
      <c r="DB10" t="s">
        <v>24</v>
      </c>
      <c r="DC10" t="s">
        <v>25</v>
      </c>
      <c r="DD10" t="s">
        <v>26</v>
      </c>
      <c r="DE10" t="s">
        <v>27</v>
      </c>
      <c r="DF10" t="s">
        <v>28</v>
      </c>
      <c r="DG10" t="s">
        <v>29</v>
      </c>
      <c r="DH10" t="s">
        <v>30</v>
      </c>
      <c r="DI10" t="s">
        <v>31</v>
      </c>
      <c r="DJ10" t="s">
        <v>32</v>
      </c>
      <c r="DK10" t="s">
        <v>33</v>
      </c>
      <c r="DL10" t="s">
        <v>34</v>
      </c>
      <c r="DM10" t="s">
        <v>35</v>
      </c>
      <c r="DN10" t="s">
        <v>36</v>
      </c>
      <c r="DO10" t="s">
        <v>37</v>
      </c>
      <c r="DP10" t="s">
        <v>38</v>
      </c>
      <c r="DQ10" t="s">
        <v>39</v>
      </c>
      <c r="DR10" t="s">
        <v>40</v>
      </c>
      <c r="DS10" t="s">
        <v>41</v>
      </c>
      <c r="DT10" t="s">
        <v>42</v>
      </c>
      <c r="DU10" t="s">
        <v>43</v>
      </c>
      <c r="DV10" t="s">
        <v>44</v>
      </c>
      <c r="DW10" t="s">
        <v>45</v>
      </c>
      <c r="DX10" t="s">
        <v>46</v>
      </c>
      <c r="DY10" t="s">
        <v>47</v>
      </c>
      <c r="EA10" t="s">
        <v>3</v>
      </c>
      <c r="EB10" t="s">
        <v>5</v>
      </c>
      <c r="EC10" t="s">
        <v>9</v>
      </c>
      <c r="ED10" t="s">
        <v>10</v>
      </c>
      <c r="EE10" t="s">
        <v>11</v>
      </c>
      <c r="EF10" t="s">
        <v>12</v>
      </c>
      <c r="EG10" t="s">
        <v>13</v>
      </c>
      <c r="EH10" t="s">
        <v>14</v>
      </c>
      <c r="EI10" t="s">
        <v>15</v>
      </c>
      <c r="EJ10" t="s">
        <v>16</v>
      </c>
      <c r="EK10" t="s">
        <v>17</v>
      </c>
      <c r="EL10" t="s">
        <v>18</v>
      </c>
      <c r="EM10" t="s">
        <v>19</v>
      </c>
      <c r="EN10" t="s">
        <v>20</v>
      </c>
      <c r="EO10" t="s">
        <v>21</v>
      </c>
      <c r="EP10" t="s">
        <v>22</v>
      </c>
      <c r="EQ10" t="s">
        <v>23</v>
      </c>
      <c r="ER10" t="s">
        <v>24</v>
      </c>
      <c r="ES10" t="s">
        <v>25</v>
      </c>
      <c r="ET10" t="s">
        <v>26</v>
      </c>
      <c r="EU10" t="s">
        <v>27</v>
      </c>
      <c r="EV10" t="s">
        <v>28</v>
      </c>
      <c r="EW10" t="s">
        <v>29</v>
      </c>
      <c r="EX10" t="s">
        <v>30</v>
      </c>
      <c r="EY10" t="s">
        <v>31</v>
      </c>
      <c r="EZ10" t="s">
        <v>32</v>
      </c>
      <c r="FA10" t="s">
        <v>33</v>
      </c>
      <c r="FB10" t="s">
        <v>34</v>
      </c>
      <c r="FC10" t="s">
        <v>35</v>
      </c>
      <c r="FD10" t="s">
        <v>36</v>
      </c>
      <c r="FE10" t="s">
        <v>37</v>
      </c>
      <c r="FF10" t="s">
        <v>38</v>
      </c>
      <c r="FG10" t="s">
        <v>39</v>
      </c>
      <c r="FH10" t="s">
        <v>40</v>
      </c>
      <c r="FI10" t="s">
        <v>41</v>
      </c>
      <c r="FJ10" t="s">
        <v>42</v>
      </c>
      <c r="FK10" t="s">
        <v>43</v>
      </c>
      <c r="FL10" t="s">
        <v>44</v>
      </c>
      <c r="FM10" t="s">
        <v>45</v>
      </c>
      <c r="FN10" t="s">
        <v>46</v>
      </c>
      <c r="FO10" t="s">
        <v>47</v>
      </c>
      <c r="FQ10" t="s">
        <v>3</v>
      </c>
      <c r="FR10" t="s">
        <v>0</v>
      </c>
      <c r="FS10" t="s">
        <v>120</v>
      </c>
      <c r="FT10" t="s">
        <v>121</v>
      </c>
    </row>
    <row r="11" spans="2:176" x14ac:dyDescent="0.45">
      <c r="B11" t="s">
        <v>845</v>
      </c>
      <c r="C11" t="s">
        <v>123</v>
      </c>
      <c r="D11">
        <v>0</v>
      </c>
      <c r="E11">
        <v>0</v>
      </c>
      <c r="F11">
        <v>0</v>
      </c>
      <c r="G11">
        <v>0.53086559495061836</v>
      </c>
      <c r="H11">
        <v>0.29753013496861758</v>
      </c>
      <c r="I11">
        <v>0.27813625318792951</v>
      </c>
      <c r="J11">
        <v>0.33988706413779224</v>
      </c>
      <c r="K11">
        <v>0.68017992540124228</v>
      </c>
      <c r="L11">
        <v>0</v>
      </c>
      <c r="M11">
        <v>0</v>
      </c>
      <c r="N11">
        <v>0</v>
      </c>
      <c r="O11">
        <v>0.81507487771115839</v>
      </c>
      <c r="P11">
        <v>0.42411205931328927</v>
      </c>
      <c r="Q11">
        <v>0.22041077971915213</v>
      </c>
      <c r="R11">
        <v>0.165320451217462</v>
      </c>
      <c r="S11">
        <v>0.1494013675105223</v>
      </c>
      <c r="T11">
        <v>0.16073717761447959</v>
      </c>
      <c r="U11">
        <v>0.23005273838895962</v>
      </c>
      <c r="V11">
        <v>0.50439290064787246</v>
      </c>
      <c r="W11">
        <v>0.96811641350541244</v>
      </c>
      <c r="X11">
        <v>0</v>
      </c>
      <c r="Y11">
        <v>0.63507852884829874</v>
      </c>
      <c r="Z11">
        <v>0.28166818709718577</v>
      </c>
      <c r="AA11">
        <v>0.1502785703019261</v>
      </c>
      <c r="AB11">
        <v>0.12283082784027345</v>
      </c>
      <c r="AC11">
        <v>0.11923205631153304</v>
      </c>
      <c r="AD11">
        <v>0.12687107336774031</v>
      </c>
      <c r="AE11">
        <v>0.15658202054733383</v>
      </c>
      <c r="AF11">
        <v>0.32487760194083382</v>
      </c>
      <c r="AG11">
        <v>0.80899573920926415</v>
      </c>
      <c r="AH11">
        <v>0</v>
      </c>
      <c r="AI11">
        <v>0</v>
      </c>
      <c r="AJ11">
        <v>0.7231822639039156</v>
      </c>
      <c r="AK11">
        <v>0.33353314779482063</v>
      </c>
      <c r="AL11">
        <v>0.25142825791848233</v>
      </c>
      <c r="AM11">
        <v>0.24323269985023674</v>
      </c>
      <c r="AN11">
        <v>0.28326692072717008</v>
      </c>
      <c r="AO11">
        <v>0.50435055268470141</v>
      </c>
      <c r="AP11">
        <v>0.90617374030625553</v>
      </c>
      <c r="AQ11">
        <v>0</v>
      </c>
      <c r="AS11" t="s">
        <v>124</v>
      </c>
      <c r="AT11" t="s">
        <v>125</v>
      </c>
      <c r="AU11">
        <v>0</v>
      </c>
      <c r="AV11">
        <v>0</v>
      </c>
      <c r="AW11">
        <v>0</v>
      </c>
      <c r="AX11">
        <v>0.33617669950067858</v>
      </c>
      <c r="AY11">
        <v>0.17227928642947729</v>
      </c>
      <c r="AZ11">
        <v>0.12640864249489089</v>
      </c>
      <c r="BA11">
        <v>3.7724555875634329E-2</v>
      </c>
      <c r="BB11">
        <v>0.16272425098589519</v>
      </c>
      <c r="BC11">
        <v>0</v>
      </c>
      <c r="BD11">
        <v>0</v>
      </c>
      <c r="BE11">
        <v>0</v>
      </c>
      <c r="BF11">
        <v>0.67943777816120787</v>
      </c>
      <c r="BG11">
        <v>0.27714969025545089</v>
      </c>
      <c r="BH11">
        <v>0.13385757810338914</v>
      </c>
      <c r="BI11">
        <v>8.668604192392948E-2</v>
      </c>
      <c r="BJ11">
        <v>3.0603877946677467E-2</v>
      </c>
      <c r="BK11">
        <v>1.4255541690958303E-2</v>
      </c>
      <c r="BL11">
        <v>2.4740598887697925E-2</v>
      </c>
      <c r="BM11">
        <v>0.16454207707954369</v>
      </c>
      <c r="BN11">
        <v>0.20639970429779916</v>
      </c>
      <c r="BO11">
        <v>0</v>
      </c>
      <c r="BP11">
        <v>0.44951381346829883</v>
      </c>
      <c r="BQ11">
        <v>0.17040096715888325</v>
      </c>
      <c r="BR11">
        <v>9.2953981672980496E-2</v>
      </c>
      <c r="BS11">
        <v>7.4636874126534192E-2</v>
      </c>
      <c r="BT11">
        <v>1.4862685531930821E-2</v>
      </c>
      <c r="BU11">
        <v>1.1129784512738737E-2</v>
      </c>
      <c r="BV11">
        <v>2.947261360466644E-2</v>
      </c>
      <c r="BW11">
        <v>0.13356324715419526</v>
      </c>
      <c r="BX11">
        <v>0.68390279660883357</v>
      </c>
      <c r="BY11">
        <v>0</v>
      </c>
      <c r="BZ11">
        <v>0</v>
      </c>
      <c r="CA11">
        <v>0.53369452356809188</v>
      </c>
      <c r="CB11">
        <v>0.19639437935424298</v>
      </c>
      <c r="CC11">
        <v>0.13654178229616751</v>
      </c>
      <c r="CD11">
        <v>2.8775374175546358E-2</v>
      </c>
      <c r="CE11">
        <v>1.6718348780082697E-2</v>
      </c>
      <c r="CF11">
        <v>5.6184064606486582E-2</v>
      </c>
      <c r="CG11">
        <v>0.31101242735844276</v>
      </c>
      <c r="CH11">
        <v>0</v>
      </c>
      <c r="CJ11" t="s">
        <v>124</v>
      </c>
      <c r="CK11" t="s">
        <v>126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2.8980365388089829E-2</v>
      </c>
      <c r="CR11">
        <v>0.15407108718268148</v>
      </c>
      <c r="CS11">
        <v>0.33800217410693179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1.6141523890563614E-2</v>
      </c>
      <c r="DA11">
        <v>6.5202627648288103E-2</v>
      </c>
      <c r="DB11">
        <v>7.9243753784562845E-2</v>
      </c>
      <c r="DC11">
        <v>9.5171663625776157E-2</v>
      </c>
      <c r="DD11">
        <v>7.3836150857557153E-2</v>
      </c>
      <c r="DE11">
        <v>0.10500781854464343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5.4124811527930791E-2</v>
      </c>
      <c r="DL11">
        <v>5.9357682941325887E-2</v>
      </c>
      <c r="DM11">
        <v>6.1216855121700907E-2</v>
      </c>
      <c r="DN11">
        <v>6.019716069137945E-3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9.7422487550010012E-2</v>
      </c>
      <c r="DV11">
        <v>0.15299969254323686</v>
      </c>
      <c r="DW11">
        <v>0.24852040306826539</v>
      </c>
      <c r="DX11">
        <v>0.15293502188970623</v>
      </c>
      <c r="DY11">
        <v>0</v>
      </c>
      <c r="EA11" t="s">
        <v>845</v>
      </c>
      <c r="EB11">
        <v>0</v>
      </c>
      <c r="EC11">
        <v>0</v>
      </c>
      <c r="ED11">
        <v>0</v>
      </c>
      <c r="EE11">
        <v>4.6794876453701208E-2</v>
      </c>
      <c r="EF11">
        <v>0.20028782040984383</v>
      </c>
      <c r="EG11">
        <v>0.26128024959113455</v>
      </c>
      <c r="EH11">
        <v>0.16525964041286947</v>
      </c>
      <c r="EI11">
        <v>2.4754931004106688E-2</v>
      </c>
      <c r="EJ11">
        <v>0</v>
      </c>
      <c r="EK11">
        <v>0</v>
      </c>
      <c r="EL11">
        <v>0</v>
      </c>
      <c r="EM11">
        <v>1.8292386118202448E-3</v>
      </c>
      <c r="EN11">
        <v>5.8626408253631371E-2</v>
      </c>
      <c r="EO11">
        <v>0.27862846136616626</v>
      </c>
      <c r="EP11">
        <v>0.4707464770414086</v>
      </c>
      <c r="EQ11">
        <v>0.52574954554482967</v>
      </c>
      <c r="ER11">
        <v>0.42637768729337649</v>
      </c>
      <c r="ES11">
        <v>0.2077239220187955</v>
      </c>
      <c r="ET11">
        <v>2.231185713176647E-2</v>
      </c>
      <c r="EU11">
        <v>3.1762343149184494E-5</v>
      </c>
      <c r="EV11">
        <v>0</v>
      </c>
      <c r="EW11">
        <v>5.4867285995860524E-3</v>
      </c>
      <c r="EX11">
        <v>9.1649755967012275E-2</v>
      </c>
      <c r="EY11">
        <v>0.31221284765835</v>
      </c>
      <c r="EZ11">
        <v>0.49484679790910863</v>
      </c>
      <c r="FA11">
        <v>0.54843567419810657</v>
      </c>
      <c r="FB11">
        <v>0.4616509875025267</v>
      </c>
      <c r="FC11">
        <v>0.26124715233610329</v>
      </c>
      <c r="FD11">
        <v>5.2492360866412235E-2</v>
      </c>
      <c r="FE11">
        <v>6.5694221706393073E-4</v>
      </c>
      <c r="FF11">
        <v>0</v>
      </c>
      <c r="FG11">
        <v>0</v>
      </c>
      <c r="FH11">
        <v>1.4041337721611168E-2</v>
      </c>
      <c r="FI11">
        <v>0.15025843546122891</v>
      </c>
      <c r="FJ11">
        <v>0.30175286422319214</v>
      </c>
      <c r="FK11">
        <v>0.33906169276595399</v>
      </c>
      <c r="FL11">
        <v>0.237913190447718</v>
      </c>
      <c r="FM11">
        <v>6.4715401252334007E-2</v>
      </c>
      <c r="FN11">
        <v>1.234836491649977E-3</v>
      </c>
      <c r="FO11">
        <v>0</v>
      </c>
      <c r="FQ11" t="s">
        <v>845</v>
      </c>
      <c r="FR11" t="s">
        <v>127</v>
      </c>
      <c r="FS11" t="s">
        <v>128</v>
      </c>
      <c r="FT11">
        <v>0.50257466453699362</v>
      </c>
    </row>
    <row r="12" spans="2:176" x14ac:dyDescent="0.45">
      <c r="B12" t="s">
        <v>846</v>
      </c>
      <c r="C12" t="s">
        <v>123</v>
      </c>
      <c r="D12">
        <v>0</v>
      </c>
      <c r="E12">
        <v>0</v>
      </c>
      <c r="F12">
        <v>0</v>
      </c>
      <c r="G12">
        <v>0.55822187195703632</v>
      </c>
      <c r="H12">
        <v>0.32166710283623395</v>
      </c>
      <c r="I12">
        <v>0.29298711404465111</v>
      </c>
      <c r="J12">
        <v>0.3553933035824508</v>
      </c>
      <c r="K12">
        <v>0.71634859451046717</v>
      </c>
      <c r="L12">
        <v>0</v>
      </c>
      <c r="M12">
        <v>0</v>
      </c>
      <c r="N12">
        <v>0</v>
      </c>
      <c r="O12">
        <v>0.80523799158036669</v>
      </c>
      <c r="P12">
        <v>0.41523100536892743</v>
      </c>
      <c r="Q12">
        <v>0.21964904477784281</v>
      </c>
      <c r="R12">
        <v>0.1737534025105798</v>
      </c>
      <c r="S12">
        <v>0.1695329220689373</v>
      </c>
      <c r="T12">
        <v>0.1831200061818048</v>
      </c>
      <c r="U12">
        <v>0.23950979525883789</v>
      </c>
      <c r="V12">
        <v>0.52165296960028773</v>
      </c>
      <c r="W12">
        <v>0.97729664158814267</v>
      </c>
      <c r="X12">
        <v>0</v>
      </c>
      <c r="Y12">
        <v>0.61106319046641233</v>
      </c>
      <c r="Z12">
        <v>0.27245139120491446</v>
      </c>
      <c r="AA12">
        <v>0.15538597687666628</v>
      </c>
      <c r="AB12">
        <v>0.13113933798003902</v>
      </c>
      <c r="AC12">
        <v>0.12677296173313415</v>
      </c>
      <c r="AD12">
        <v>0.14404288256467573</v>
      </c>
      <c r="AE12">
        <v>0.17011493353484181</v>
      </c>
      <c r="AF12">
        <v>0.32887817493117438</v>
      </c>
      <c r="AG12">
        <v>0.82674350541130492</v>
      </c>
      <c r="AH12">
        <v>0</v>
      </c>
      <c r="AI12">
        <v>0</v>
      </c>
      <c r="AJ12">
        <v>0.692817327930633</v>
      </c>
      <c r="AK12">
        <v>0.32579126395974628</v>
      </c>
      <c r="AL12">
        <v>0.26485469876820383</v>
      </c>
      <c r="AM12">
        <v>0.24647986508929925</v>
      </c>
      <c r="AN12">
        <v>0.28264668642158591</v>
      </c>
      <c r="AO12">
        <v>0.51580697281563703</v>
      </c>
      <c r="AP12">
        <v>0.91198661786155988</v>
      </c>
      <c r="AQ12">
        <v>0</v>
      </c>
      <c r="AS12" t="s">
        <v>130</v>
      </c>
      <c r="AT12" t="s">
        <v>125</v>
      </c>
      <c r="AU12">
        <v>1.0593649631438195E-2</v>
      </c>
      <c r="AV12">
        <v>9.7569867954971443E-3</v>
      </c>
      <c r="AW12">
        <v>7.9123264757064132E-4</v>
      </c>
      <c r="AX12">
        <v>3.8758965596433965E-3</v>
      </c>
      <c r="AY12">
        <v>6.9394177206399911E-3</v>
      </c>
      <c r="AZ12">
        <v>9.4685623756239935E-3</v>
      </c>
      <c r="BA12">
        <v>3.0291209106790558E-3</v>
      </c>
      <c r="BB12">
        <v>1.1367517987820529E-5</v>
      </c>
      <c r="BC12">
        <v>4.0980636033245811E-3</v>
      </c>
      <c r="BD12">
        <v>3.826268331046349E-3</v>
      </c>
      <c r="BE12">
        <v>1.9492244133606517E-2</v>
      </c>
      <c r="BF12">
        <v>7.7626657187909349E-3</v>
      </c>
      <c r="BG12">
        <v>5.2282022730701008E-3</v>
      </c>
      <c r="BH12">
        <v>3.8149609814786324E-3</v>
      </c>
      <c r="BI12">
        <v>6.7462106826976075E-3</v>
      </c>
      <c r="BJ12">
        <v>6.5683692604028687E-3</v>
      </c>
      <c r="BK12">
        <v>8.8588492216088895E-3</v>
      </c>
      <c r="BL12">
        <v>3.6237937249241499E-3</v>
      </c>
      <c r="BM12">
        <v>9.7442627963741264E-3</v>
      </c>
      <c r="BN12">
        <v>8.587966388454828E-3</v>
      </c>
      <c r="BO12">
        <v>2.5521081468696503E-2</v>
      </c>
      <c r="BP12">
        <v>2.6252033926856187E-2</v>
      </c>
      <c r="BQ12">
        <v>1.192343131854599E-2</v>
      </c>
      <c r="BR12">
        <v>7.3042075197267261E-3</v>
      </c>
      <c r="BS12">
        <v>7.4792711481349375E-3</v>
      </c>
      <c r="BT12">
        <v>1.5231521132431591E-2</v>
      </c>
      <c r="BU12">
        <v>1.3300954799174257E-2</v>
      </c>
      <c r="BV12">
        <v>6.3724698419590255E-3</v>
      </c>
      <c r="BW12">
        <v>2.8159527721931317E-2</v>
      </c>
      <c r="BX12">
        <v>3.4139120844832962E-2</v>
      </c>
      <c r="BY12">
        <v>1.0734639258419786E-2</v>
      </c>
      <c r="BZ12">
        <v>9.6341040741050685E-3</v>
      </c>
      <c r="CA12">
        <v>1.3446577245994637E-3</v>
      </c>
      <c r="CB12">
        <v>5.2942728156193204E-3</v>
      </c>
      <c r="CC12">
        <v>1.2509672676220416E-2</v>
      </c>
      <c r="CD12">
        <v>9.6845382855586647E-4</v>
      </c>
      <c r="CE12">
        <v>9.7764356431359629E-3</v>
      </c>
      <c r="CF12">
        <v>1.9494573691407852E-2</v>
      </c>
      <c r="CG12">
        <v>2.1652986930394042E-2</v>
      </c>
      <c r="CH12">
        <v>1.9372080186461013E-2</v>
      </c>
      <c r="CJ12" t="s">
        <v>130</v>
      </c>
      <c r="CK12" t="s">
        <v>126</v>
      </c>
      <c r="CL12">
        <v>1.1386467001477713E-2</v>
      </c>
      <c r="CM12">
        <v>1.4226024200822212E-2</v>
      </c>
      <c r="CN12">
        <v>2.8225076239927691E-2</v>
      </c>
      <c r="CO12">
        <v>2.1298242221040452E-2</v>
      </c>
      <c r="CP12">
        <v>1.6863627208801961E-2</v>
      </c>
      <c r="CQ12">
        <v>8.07063649319004E-3</v>
      </c>
      <c r="CR12">
        <v>1.4301214073560333E-2</v>
      </c>
      <c r="CS12">
        <v>1.5602097719222665E-2</v>
      </c>
      <c r="CT12">
        <v>1.0673953564670303E-2</v>
      </c>
      <c r="CU12">
        <v>9.7592699299991099E-3</v>
      </c>
      <c r="CV12">
        <v>1.4819968352070605E-2</v>
      </c>
      <c r="CW12">
        <v>3.706745229947337E-2</v>
      </c>
      <c r="CX12">
        <v>3.9122814760731935E-2</v>
      </c>
      <c r="CY12">
        <v>2.883738649528771E-2</v>
      </c>
      <c r="CZ12">
        <v>2.7056511860115883E-2</v>
      </c>
      <c r="DA12">
        <v>1.4487998567408823E-2</v>
      </c>
      <c r="DB12">
        <v>6.4883244169984707E-3</v>
      </c>
      <c r="DC12">
        <v>1.8134909564799517E-2</v>
      </c>
      <c r="DD12">
        <v>1.4676803544411456E-2</v>
      </c>
      <c r="DE12">
        <v>1.4451854580296805E-2</v>
      </c>
      <c r="DF12">
        <v>2.6824225976652381E-2</v>
      </c>
      <c r="DG12">
        <v>3.5652830835262675E-2</v>
      </c>
      <c r="DH12">
        <v>5.7661915593114843E-2</v>
      </c>
      <c r="DI12">
        <v>6.7915106749137699E-2</v>
      </c>
      <c r="DJ12">
        <v>2.4931764197498461E-2</v>
      </c>
      <c r="DK12">
        <v>1.4351822225946154E-2</v>
      </c>
      <c r="DL12">
        <v>1.8209302562557032E-2</v>
      </c>
      <c r="DM12">
        <v>2.4431712672501882E-2</v>
      </c>
      <c r="DN12">
        <v>1.4462794863513989E-2</v>
      </c>
      <c r="DO12">
        <v>1.5373076162982354E-2</v>
      </c>
      <c r="DP12">
        <v>4.6092663962497261E-2</v>
      </c>
      <c r="DQ12">
        <v>2.4235734222597456E-2</v>
      </c>
      <c r="DR12">
        <v>3.2517538738735377E-2</v>
      </c>
      <c r="DS12">
        <v>2.4326658298437172E-2</v>
      </c>
      <c r="DT12">
        <v>1.5047267733822114E-2</v>
      </c>
      <c r="DU12">
        <v>2.0927994295749864E-2</v>
      </c>
      <c r="DV12">
        <v>1.642933243299775E-2</v>
      </c>
      <c r="DW12">
        <v>1.2677049819255059E-2</v>
      </c>
      <c r="DX12">
        <v>2.6846243450894071E-2</v>
      </c>
      <c r="DY12">
        <v>4.6126702379953088E-2</v>
      </c>
      <c r="EA12" t="s">
        <v>846</v>
      </c>
      <c r="EB12">
        <v>0</v>
      </c>
      <c r="EC12">
        <v>0</v>
      </c>
      <c r="ED12">
        <v>0</v>
      </c>
      <c r="EE12">
        <v>4.5148612254857549E-2</v>
      </c>
      <c r="EF12">
        <v>0.18527644498556717</v>
      </c>
      <c r="EG12">
        <v>0.21975360696406782</v>
      </c>
      <c r="EH12">
        <v>0.13488888756733253</v>
      </c>
      <c r="EI12">
        <v>2.0342941441945147E-2</v>
      </c>
      <c r="EJ12">
        <v>0</v>
      </c>
      <c r="EK12">
        <v>0</v>
      </c>
      <c r="EL12">
        <v>0</v>
      </c>
      <c r="EM12">
        <v>2.1699511953044382E-3</v>
      </c>
      <c r="EN12">
        <v>6.4959096540986791E-2</v>
      </c>
      <c r="EO12">
        <v>0.27440667554956338</v>
      </c>
      <c r="EP12">
        <v>0.44237858345147846</v>
      </c>
      <c r="EQ12">
        <v>0.4581127367626886</v>
      </c>
      <c r="ER12">
        <v>0.34986716196873419</v>
      </c>
      <c r="ES12">
        <v>0.1648783881352312</v>
      </c>
      <c r="ET12">
        <v>1.6990535007057429E-2</v>
      </c>
      <c r="EU12">
        <v>5.1804676456069296E-6</v>
      </c>
      <c r="EV12">
        <v>0</v>
      </c>
      <c r="EW12">
        <v>6.6172261873070591E-3</v>
      </c>
      <c r="EX12">
        <v>9.7437680461775769E-2</v>
      </c>
      <c r="EY12">
        <v>0.31046825586770055</v>
      </c>
      <c r="EZ12">
        <v>0.46589795591521244</v>
      </c>
      <c r="FA12">
        <v>0.49711922741087272</v>
      </c>
      <c r="FB12">
        <v>0.41185412563770818</v>
      </c>
      <c r="FC12">
        <v>0.23153497940654105</v>
      </c>
      <c r="FD12">
        <v>4.4702264680106685E-2</v>
      </c>
      <c r="FE12">
        <v>4.054831731057314E-4</v>
      </c>
      <c r="FF12">
        <v>0</v>
      </c>
      <c r="FG12">
        <v>0</v>
      </c>
      <c r="FH12">
        <v>1.6973249570474268E-2</v>
      </c>
      <c r="FI12">
        <v>0.1559125724492669</v>
      </c>
      <c r="FJ12">
        <v>0.28965708654710154</v>
      </c>
      <c r="FK12">
        <v>0.30763667509737791</v>
      </c>
      <c r="FL12">
        <v>0.20729567681290953</v>
      </c>
      <c r="FM12">
        <v>5.2731053638168074E-2</v>
      </c>
      <c r="FN12">
        <v>6.9449077998207098E-4</v>
      </c>
      <c r="FO12">
        <v>0</v>
      </c>
      <c r="FQ12" t="s">
        <v>846</v>
      </c>
      <c r="FR12" t="s">
        <v>127</v>
      </c>
      <c r="FS12" t="s">
        <v>128</v>
      </c>
      <c r="FT12">
        <v>0.43884623269811912</v>
      </c>
    </row>
    <row r="13" spans="2:176" x14ac:dyDescent="0.45">
      <c r="B13" t="s">
        <v>847</v>
      </c>
      <c r="C13" t="s">
        <v>123</v>
      </c>
      <c r="D13">
        <v>0</v>
      </c>
      <c r="E13">
        <v>0</v>
      </c>
      <c r="F13">
        <v>0</v>
      </c>
      <c r="G13">
        <v>0.52697713397091039</v>
      </c>
      <c r="H13">
        <v>0.29127994551715225</v>
      </c>
      <c r="I13">
        <v>0.26142461025608793</v>
      </c>
      <c r="J13">
        <v>0.31266055964119355</v>
      </c>
      <c r="K13">
        <v>0.65196531155948889</v>
      </c>
      <c r="L13">
        <v>0</v>
      </c>
      <c r="M13">
        <v>0</v>
      </c>
      <c r="N13">
        <v>0</v>
      </c>
      <c r="O13">
        <v>0.84815369355738168</v>
      </c>
      <c r="P13">
        <v>0.4574806715803037</v>
      </c>
      <c r="Q13">
        <v>0.24566921433910102</v>
      </c>
      <c r="R13">
        <v>0.20997081435351464</v>
      </c>
      <c r="S13">
        <v>0.18644686940250479</v>
      </c>
      <c r="T13">
        <v>0.19255848458214225</v>
      </c>
      <c r="U13">
        <v>0.24329199411943273</v>
      </c>
      <c r="V13">
        <v>0.49525466784341315</v>
      </c>
      <c r="W13">
        <v>0.96739130434782616</v>
      </c>
      <c r="X13">
        <v>0</v>
      </c>
      <c r="Y13">
        <v>0.67612145996251016</v>
      </c>
      <c r="Z13">
        <v>0.31540221962790999</v>
      </c>
      <c r="AA13">
        <v>0.17021692840419753</v>
      </c>
      <c r="AB13">
        <v>0.15281794848944238</v>
      </c>
      <c r="AC13">
        <v>0.13849229291752596</v>
      </c>
      <c r="AD13">
        <v>0.1243676196929912</v>
      </c>
      <c r="AE13">
        <v>0.15988868242248902</v>
      </c>
      <c r="AF13">
        <v>0.33186435217139659</v>
      </c>
      <c r="AG13">
        <v>0.81479171427057384</v>
      </c>
      <c r="AH13">
        <v>0</v>
      </c>
      <c r="AI13">
        <v>0</v>
      </c>
      <c r="AJ13">
        <v>0.72253849904112333</v>
      </c>
      <c r="AK13">
        <v>0.32680821655127235</v>
      </c>
      <c r="AL13">
        <v>0.24833571627140213</v>
      </c>
      <c r="AM13">
        <v>0.24169520263030347</v>
      </c>
      <c r="AN13">
        <v>0.30231552599884337</v>
      </c>
      <c r="AO13">
        <v>0.4883185780226505</v>
      </c>
      <c r="AP13">
        <v>0.89644559085909026</v>
      </c>
      <c r="AQ13">
        <v>0</v>
      </c>
      <c r="AS13" t="s">
        <v>132</v>
      </c>
      <c r="AT13" t="s">
        <v>125</v>
      </c>
      <c r="AU13">
        <v>5.206622221714103E-3</v>
      </c>
      <c r="AV13">
        <v>1.6732280590504391E-3</v>
      </c>
      <c r="AW13">
        <v>6.3363958903784341E-3</v>
      </c>
      <c r="AX13">
        <v>7.1867937430418671E-3</v>
      </c>
      <c r="AY13">
        <v>7.503192009569868E-3</v>
      </c>
      <c r="AZ13">
        <v>1.1416894014010408E-2</v>
      </c>
      <c r="BA13">
        <v>4.6147005186755923E-3</v>
      </c>
      <c r="BB13">
        <v>8.7688198778714671E-3</v>
      </c>
      <c r="BC13">
        <v>4.9920866943611733E-3</v>
      </c>
      <c r="BD13">
        <v>8.7502834913272248E-3</v>
      </c>
      <c r="BE13">
        <v>2.2294930474609539E-3</v>
      </c>
      <c r="BF13">
        <v>4.8309350970035422E-4</v>
      </c>
      <c r="BG13">
        <v>1.5846142360692388E-3</v>
      </c>
      <c r="BH13">
        <v>1.2314521089314119E-2</v>
      </c>
      <c r="BI13">
        <v>1.6146370255916212E-2</v>
      </c>
      <c r="BJ13">
        <v>7.0913896822861096E-3</v>
      </c>
      <c r="BK13">
        <v>2.1206425142157666E-3</v>
      </c>
      <c r="BL13">
        <v>5.344268592033222E-3</v>
      </c>
      <c r="BM13">
        <v>1.1145533668876202E-2</v>
      </c>
      <c r="BN13">
        <v>7.5617650465884837E-3</v>
      </c>
      <c r="BO13">
        <v>2.4210495054326878E-2</v>
      </c>
      <c r="BP13">
        <v>1.0260231695114039E-2</v>
      </c>
      <c r="BQ13">
        <v>1.1652633906935551E-3</v>
      </c>
      <c r="BR13">
        <v>8.5061509016390972E-3</v>
      </c>
      <c r="BS13">
        <v>2.1127691522019258E-2</v>
      </c>
      <c r="BT13">
        <v>2.1508271097356962E-2</v>
      </c>
      <c r="BU13">
        <v>1.9693401082364552E-2</v>
      </c>
      <c r="BV13">
        <v>1.1500951740574323E-2</v>
      </c>
      <c r="BW13">
        <v>1.9096806444384776E-2</v>
      </c>
      <c r="BX13">
        <v>5.4288933123482971E-3</v>
      </c>
      <c r="BY13">
        <v>9.6926031742413411E-3</v>
      </c>
      <c r="BZ13">
        <v>1.8029624923160667E-2</v>
      </c>
      <c r="CA13">
        <v>1.0259504114746489E-2</v>
      </c>
      <c r="CB13">
        <v>1.1830379308122269E-2</v>
      </c>
      <c r="CC13">
        <v>7.3945965504004004E-3</v>
      </c>
      <c r="CD13">
        <v>8.3964248840192966E-3</v>
      </c>
      <c r="CE13">
        <v>5.0853650084481334E-3</v>
      </c>
      <c r="CF13">
        <v>8.2431846027507718E-3</v>
      </c>
      <c r="CG13">
        <v>8.0786624676240891E-3</v>
      </c>
      <c r="CH13">
        <v>4.3984536296878688E-3</v>
      </c>
      <c r="CJ13" t="s">
        <v>132</v>
      </c>
      <c r="CK13" t="s">
        <v>126</v>
      </c>
      <c r="CL13">
        <v>1.448676265767386E-2</v>
      </c>
      <c r="CM13">
        <v>1.3410642702866611E-2</v>
      </c>
      <c r="CN13">
        <v>4.0752783289686994E-3</v>
      </c>
      <c r="CO13">
        <v>6.8489830566030412E-3</v>
      </c>
      <c r="CP13">
        <v>1.2804778489704995E-2</v>
      </c>
      <c r="CQ13">
        <v>1.308044803207902E-2</v>
      </c>
      <c r="CR13">
        <v>1.7235927672767267E-2</v>
      </c>
      <c r="CS13">
        <v>1.66752049562853E-2</v>
      </c>
      <c r="CT13">
        <v>1.5240128476214762E-2</v>
      </c>
      <c r="CU13">
        <v>1.312178197935372E-2</v>
      </c>
      <c r="CV13">
        <v>2.0820365345312904E-2</v>
      </c>
      <c r="CW13">
        <v>8.9385850353967834E-3</v>
      </c>
      <c r="CX13">
        <v>3.8238231891206198E-3</v>
      </c>
      <c r="CY13">
        <v>0</v>
      </c>
      <c r="CZ13">
        <v>2.8198336901254124E-3</v>
      </c>
      <c r="DA13">
        <v>1.6814030409620154E-2</v>
      </c>
      <c r="DB13">
        <v>1.840220382308487E-2</v>
      </c>
      <c r="DC13">
        <v>1.1728680213916067E-2</v>
      </c>
      <c r="DD13">
        <v>4.0893588487368069E-3</v>
      </c>
      <c r="DE13">
        <v>1.3376434704866179E-2</v>
      </c>
      <c r="DF13">
        <v>1.4816416173384753E-2</v>
      </c>
      <c r="DG13">
        <v>3.531264953476778E-2</v>
      </c>
      <c r="DH13">
        <v>4.2971533886425328E-2</v>
      </c>
      <c r="DI13">
        <v>1.5982966800037232E-2</v>
      </c>
      <c r="DJ13">
        <v>2.3010634302833422E-4</v>
      </c>
      <c r="DK13">
        <v>1.4589322585242228E-2</v>
      </c>
      <c r="DL13">
        <v>3.4041346882654686E-2</v>
      </c>
      <c r="DM13">
        <v>4.4619583851578992E-2</v>
      </c>
      <c r="DN13">
        <v>3.0955223099296058E-2</v>
      </c>
      <c r="DO13">
        <v>3.7172955674691713E-2</v>
      </c>
      <c r="DP13">
        <v>1.1159193440318868E-2</v>
      </c>
      <c r="DQ13">
        <v>1.286273706112635E-2</v>
      </c>
      <c r="DR13">
        <v>2.5046128890826216E-2</v>
      </c>
      <c r="DS13">
        <v>3.145892027736024E-2</v>
      </c>
      <c r="DT13">
        <v>2.6408022328285263E-2</v>
      </c>
      <c r="DU13">
        <v>1.2835517764405604E-2</v>
      </c>
      <c r="DV13">
        <v>1.4372624354194284E-2</v>
      </c>
      <c r="DW13">
        <v>1.415500954264994E-2</v>
      </c>
      <c r="DX13">
        <v>1.8540820554799546E-2</v>
      </c>
      <c r="DY13">
        <v>1.738532440703178E-2</v>
      </c>
      <c r="EA13" t="s">
        <v>847</v>
      </c>
      <c r="EB13">
        <v>0</v>
      </c>
      <c r="EC13">
        <v>0</v>
      </c>
      <c r="ED13">
        <v>0</v>
      </c>
      <c r="EE13">
        <v>5.5365626379060215E-2</v>
      </c>
      <c r="EF13">
        <v>0.22593453966751234</v>
      </c>
      <c r="EG13">
        <v>0.27925057451627572</v>
      </c>
      <c r="EH13">
        <v>0.18709197350018397</v>
      </c>
      <c r="EI13">
        <v>3.2725936893297204E-2</v>
      </c>
      <c r="EJ13">
        <v>0</v>
      </c>
      <c r="EK13">
        <v>0</v>
      </c>
      <c r="EL13">
        <v>0</v>
      </c>
      <c r="EM13">
        <v>9.468084426050386E-4</v>
      </c>
      <c r="EN13">
        <v>4.8959837521669235E-2</v>
      </c>
      <c r="EO13">
        <v>0.25179924930727676</v>
      </c>
      <c r="EP13">
        <v>0.41761555834100766</v>
      </c>
      <c r="EQ13">
        <v>0.46560909470605699</v>
      </c>
      <c r="ER13">
        <v>0.37836131241272597</v>
      </c>
      <c r="ES13">
        <v>0.19021869875067143</v>
      </c>
      <c r="ET13">
        <v>2.4320584536611341E-2</v>
      </c>
      <c r="EU13">
        <v>2.5481214052007017E-5</v>
      </c>
      <c r="EV13">
        <v>0</v>
      </c>
      <c r="EW13">
        <v>3.9764392102175873E-3</v>
      </c>
      <c r="EX13">
        <v>7.8504395711718924E-2</v>
      </c>
      <c r="EY13">
        <v>0.28657461953598135</v>
      </c>
      <c r="EZ13">
        <v>0.46220202678967309</v>
      </c>
      <c r="FA13">
        <v>0.5154443467560883</v>
      </c>
      <c r="FB13">
        <v>0.44796068385083371</v>
      </c>
      <c r="FC13">
        <v>0.2612839896688221</v>
      </c>
      <c r="FD13">
        <v>5.5004474867310298E-2</v>
      </c>
      <c r="FE13">
        <v>6.3746541701974061E-4</v>
      </c>
      <c r="FF13">
        <v>0</v>
      </c>
      <c r="FG13">
        <v>0</v>
      </c>
      <c r="FH13">
        <v>1.2505927087186024E-2</v>
      </c>
      <c r="FI13">
        <v>0.14760907831571582</v>
      </c>
      <c r="FJ13">
        <v>0.29866517691220218</v>
      </c>
      <c r="FK13">
        <v>0.33620846413151184</v>
      </c>
      <c r="FL13">
        <v>0.22498126908246965</v>
      </c>
      <c r="FM13">
        <v>6.7202378696697346E-2</v>
      </c>
      <c r="FN13">
        <v>1.7331481337904359E-3</v>
      </c>
      <c r="FO13">
        <v>0</v>
      </c>
      <c r="FQ13" t="s">
        <v>847</v>
      </c>
      <c r="FR13" t="s">
        <v>127</v>
      </c>
      <c r="FS13" t="s">
        <v>128</v>
      </c>
      <c r="FT13">
        <v>0.46645330710081384</v>
      </c>
    </row>
    <row r="14" spans="2:176" x14ac:dyDescent="0.45">
      <c r="B14" t="s">
        <v>848</v>
      </c>
      <c r="C14" t="s">
        <v>123</v>
      </c>
      <c r="D14">
        <v>0</v>
      </c>
      <c r="E14">
        <v>0</v>
      </c>
      <c r="F14">
        <v>0</v>
      </c>
      <c r="G14">
        <v>0.53524027092529058</v>
      </c>
      <c r="H14">
        <v>0.30175118488720781</v>
      </c>
      <c r="I14">
        <v>0.27759979404780011</v>
      </c>
      <c r="J14">
        <v>0.30119294039047173</v>
      </c>
      <c r="K14">
        <v>0.64432707686086033</v>
      </c>
      <c r="L14">
        <v>0</v>
      </c>
      <c r="M14">
        <v>0</v>
      </c>
      <c r="N14">
        <v>0</v>
      </c>
      <c r="O14">
        <v>0.85864107591109484</v>
      </c>
      <c r="P14">
        <v>0.46849101587086595</v>
      </c>
      <c r="Q14">
        <v>0.26650041891832532</v>
      </c>
      <c r="R14">
        <v>0.23376227558835547</v>
      </c>
      <c r="S14">
        <v>0.19443092082061442</v>
      </c>
      <c r="T14">
        <v>0.19710541286875208</v>
      </c>
      <c r="U14">
        <v>0.24123709238710839</v>
      </c>
      <c r="V14">
        <v>0.50276450087989488</v>
      </c>
      <c r="W14">
        <v>0.98550724637681164</v>
      </c>
      <c r="X14">
        <v>0</v>
      </c>
      <c r="Y14">
        <v>0.68334522186195923</v>
      </c>
      <c r="Z14">
        <v>0.32390434322211953</v>
      </c>
      <c r="AA14">
        <v>0.18476072402013102</v>
      </c>
      <c r="AB14">
        <v>0.16038722330953958</v>
      </c>
      <c r="AC14">
        <v>0.14651227852802645</v>
      </c>
      <c r="AD14">
        <v>0.13745981123444073</v>
      </c>
      <c r="AE14">
        <v>0.16144422835949826</v>
      </c>
      <c r="AF14">
        <v>0.33121353233774931</v>
      </c>
      <c r="AG14">
        <v>0.82033699356623624</v>
      </c>
      <c r="AH14">
        <v>0</v>
      </c>
      <c r="AI14">
        <v>0</v>
      </c>
      <c r="AJ14">
        <v>0.72696558065941108</v>
      </c>
      <c r="AK14">
        <v>0.33394743674589911</v>
      </c>
      <c r="AL14">
        <v>0.24437988296271687</v>
      </c>
      <c r="AM14">
        <v>0.25975757348130768</v>
      </c>
      <c r="AN14">
        <v>0.30475658550774748</v>
      </c>
      <c r="AO14">
        <v>0.49629061288497045</v>
      </c>
      <c r="AP14">
        <v>0.90991085515148884</v>
      </c>
      <c r="AQ14">
        <v>0</v>
      </c>
      <c r="EA14" t="s">
        <v>848</v>
      </c>
      <c r="EB14">
        <v>0</v>
      </c>
      <c r="EC14">
        <v>0</v>
      </c>
      <c r="ED14">
        <v>0</v>
      </c>
      <c r="EE14">
        <v>5.317221042868267E-2</v>
      </c>
      <c r="EF14">
        <v>0.21442063381679063</v>
      </c>
      <c r="EG14">
        <v>0.27253600116172394</v>
      </c>
      <c r="EH14">
        <v>0.18245147660790179</v>
      </c>
      <c r="EI14">
        <v>3.2854630757639017E-2</v>
      </c>
      <c r="EJ14">
        <v>0</v>
      </c>
      <c r="EK14">
        <v>0</v>
      </c>
      <c r="EL14">
        <v>0</v>
      </c>
      <c r="EM14">
        <v>8.7653774260062437E-4</v>
      </c>
      <c r="EN14">
        <v>4.987510095768654E-2</v>
      </c>
      <c r="EO14">
        <v>0.23975581693483275</v>
      </c>
      <c r="EP14">
        <v>0.39299008825226972</v>
      </c>
      <c r="EQ14">
        <v>0.44358298966013221</v>
      </c>
      <c r="ER14">
        <v>0.34476165746784082</v>
      </c>
      <c r="ES14">
        <v>0.17006004278284861</v>
      </c>
      <c r="ET14">
        <v>2.3133247890492068E-2</v>
      </c>
      <c r="EU14">
        <v>1.3153754770283358E-5</v>
      </c>
      <c r="EV14">
        <v>0</v>
      </c>
      <c r="EW14">
        <v>3.7976508874239894E-3</v>
      </c>
      <c r="EX14">
        <v>7.7316016199208956E-2</v>
      </c>
      <c r="EY14">
        <v>0.2824603735934943</v>
      </c>
      <c r="EZ14">
        <v>0.4521619628952897</v>
      </c>
      <c r="FA14">
        <v>0.49147194020612084</v>
      </c>
      <c r="FB14">
        <v>0.42430386710507068</v>
      </c>
      <c r="FC14">
        <v>0.24442170483424611</v>
      </c>
      <c r="FD14">
        <v>5.2488538711812631E-2</v>
      </c>
      <c r="FE14">
        <v>5.4086824594127972E-4</v>
      </c>
      <c r="FF14">
        <v>0</v>
      </c>
      <c r="FG14">
        <v>0</v>
      </c>
      <c r="FH14">
        <v>1.3327555680367009E-2</v>
      </c>
      <c r="FI14">
        <v>0.15296498778422904</v>
      </c>
      <c r="FJ14">
        <v>0.3107839882511973</v>
      </c>
      <c r="FK14">
        <v>0.32972772518725513</v>
      </c>
      <c r="FL14">
        <v>0.21653016303361466</v>
      </c>
      <c r="FM14">
        <v>6.4764792286531217E-2</v>
      </c>
      <c r="FN14">
        <v>1.7420766136568161E-3</v>
      </c>
      <c r="FO14">
        <v>0</v>
      </c>
      <c r="FQ14" t="s">
        <v>848</v>
      </c>
      <c r="FR14" t="s">
        <v>127</v>
      </c>
      <c r="FS14" t="s">
        <v>128</v>
      </c>
      <c r="FT14">
        <v>0.43209718426932459</v>
      </c>
    </row>
    <row r="15" spans="2:176" x14ac:dyDescent="0.45">
      <c r="B15" t="s">
        <v>849</v>
      </c>
      <c r="C15" t="s">
        <v>123</v>
      </c>
      <c r="D15">
        <v>0</v>
      </c>
      <c r="E15">
        <v>0</v>
      </c>
      <c r="F15">
        <v>0</v>
      </c>
      <c r="G15">
        <v>0.5349539847084015</v>
      </c>
      <c r="H15">
        <v>0.32215012963979078</v>
      </c>
      <c r="I15">
        <v>0.29445581702862345</v>
      </c>
      <c r="J15">
        <v>0.33671734919988966</v>
      </c>
      <c r="K15">
        <v>0.66920176401230425</v>
      </c>
      <c r="L15">
        <v>0</v>
      </c>
      <c r="M15">
        <v>0</v>
      </c>
      <c r="N15">
        <v>0</v>
      </c>
      <c r="O15">
        <v>0.83602341731078067</v>
      </c>
      <c r="P15">
        <v>0.4380630705288221</v>
      </c>
      <c r="Q15">
        <v>0.25024695707379979</v>
      </c>
      <c r="R15">
        <v>0.2130044700010742</v>
      </c>
      <c r="S15">
        <v>0.19817301454393496</v>
      </c>
      <c r="T15">
        <v>0.20220979023133845</v>
      </c>
      <c r="U15">
        <v>0.24657080257865893</v>
      </c>
      <c r="V15">
        <v>0.51067793867763689</v>
      </c>
      <c r="W15">
        <v>0.98188405797101452</v>
      </c>
      <c r="X15">
        <v>0</v>
      </c>
      <c r="Y15">
        <v>0.66366991071951487</v>
      </c>
      <c r="Z15">
        <v>0.29579747283892649</v>
      </c>
      <c r="AA15">
        <v>0.1768858390790497</v>
      </c>
      <c r="AB15">
        <v>0.15876347307652211</v>
      </c>
      <c r="AC15">
        <v>0.14903274202693975</v>
      </c>
      <c r="AD15">
        <v>0.14815073719240998</v>
      </c>
      <c r="AE15">
        <v>0.17076777509721119</v>
      </c>
      <c r="AF15">
        <v>0.32642768080747803</v>
      </c>
      <c r="AG15">
        <v>0.83092352194687191</v>
      </c>
      <c r="AH15">
        <v>0</v>
      </c>
      <c r="AI15">
        <v>0</v>
      </c>
      <c r="AJ15">
        <v>0.71781923989431251</v>
      </c>
      <c r="AK15">
        <v>0.34030783124384723</v>
      </c>
      <c r="AL15">
        <v>0.25982595755369065</v>
      </c>
      <c r="AM15">
        <v>0.24252072410264874</v>
      </c>
      <c r="AN15">
        <v>0.30380496810522734</v>
      </c>
      <c r="AO15">
        <v>0.50201135591954571</v>
      </c>
      <c r="AP15">
        <v>0.90903744338491377</v>
      </c>
      <c r="AQ15">
        <v>0</v>
      </c>
      <c r="EA15" t="s">
        <v>849</v>
      </c>
      <c r="EB15">
        <v>0</v>
      </c>
      <c r="EC15">
        <v>0</v>
      </c>
      <c r="ED15">
        <v>0</v>
      </c>
      <c r="EE15">
        <v>5.3587961687176153E-2</v>
      </c>
      <c r="EF15">
        <v>0.21565553520938932</v>
      </c>
      <c r="EG15">
        <v>0.25940473099997757</v>
      </c>
      <c r="EH15">
        <v>0.16179042999987958</v>
      </c>
      <c r="EI15">
        <v>2.6294440114686068E-2</v>
      </c>
      <c r="EJ15">
        <v>0</v>
      </c>
      <c r="EK15">
        <v>0</v>
      </c>
      <c r="EL15">
        <v>0</v>
      </c>
      <c r="EM15">
        <v>1.1414394676088815E-3</v>
      </c>
      <c r="EN15">
        <v>5.396740656727763E-2</v>
      </c>
      <c r="EO15">
        <v>0.25662107468167183</v>
      </c>
      <c r="EP15">
        <v>0.40904240042450551</v>
      </c>
      <c r="EQ15">
        <v>0.43676444949644438</v>
      </c>
      <c r="ER15">
        <v>0.33557525691418261</v>
      </c>
      <c r="ES15">
        <v>0.16087530659469695</v>
      </c>
      <c r="ET15">
        <v>1.9724386291872648E-2</v>
      </c>
      <c r="EU15">
        <v>8.1723467164978556E-6</v>
      </c>
      <c r="EV15">
        <v>0</v>
      </c>
      <c r="EW15">
        <v>4.6683980067016304E-3</v>
      </c>
      <c r="EX15">
        <v>8.2399775825330743E-2</v>
      </c>
      <c r="EY15">
        <v>0.28099281941691684</v>
      </c>
      <c r="EZ15">
        <v>0.43815848568019494</v>
      </c>
      <c r="FA15">
        <v>0.47316886281636711</v>
      </c>
      <c r="FB15">
        <v>0.39891604149569776</v>
      </c>
      <c r="FC15">
        <v>0.22976855813334304</v>
      </c>
      <c r="FD15">
        <v>4.7848670243642207E-2</v>
      </c>
      <c r="FE15">
        <v>4.3959199655230576E-4</v>
      </c>
      <c r="FF15">
        <v>0</v>
      </c>
      <c r="FG15">
        <v>0</v>
      </c>
      <c r="FH15">
        <v>1.5239715807050185E-2</v>
      </c>
      <c r="FI15">
        <v>0.15278034846687727</v>
      </c>
      <c r="FJ15">
        <v>0.2999006944211865</v>
      </c>
      <c r="FK15">
        <v>0.31916150125696818</v>
      </c>
      <c r="FL15">
        <v>0.20383919562899325</v>
      </c>
      <c r="FM15">
        <v>5.6281037099134963E-2</v>
      </c>
      <c r="FN15">
        <v>1.2600921709494694E-3</v>
      </c>
      <c r="FO15">
        <v>0</v>
      </c>
      <c r="FQ15" t="s">
        <v>849</v>
      </c>
      <c r="FR15" t="s">
        <v>127</v>
      </c>
      <c r="FS15" t="s">
        <v>128</v>
      </c>
      <c r="FT15">
        <v>0.40310156453218204</v>
      </c>
    </row>
    <row r="16" spans="2:176" x14ac:dyDescent="0.45">
      <c r="B16" t="s">
        <v>850</v>
      </c>
      <c r="C16" t="s">
        <v>123</v>
      </c>
      <c r="D16">
        <v>0</v>
      </c>
      <c r="E16">
        <v>0</v>
      </c>
      <c r="F16">
        <v>0</v>
      </c>
      <c r="G16">
        <v>0.52431834356797413</v>
      </c>
      <c r="H16">
        <v>0.3019639636886392</v>
      </c>
      <c r="I16">
        <v>0.28127508251603639</v>
      </c>
      <c r="J16">
        <v>0.33124369926417668</v>
      </c>
      <c r="K16">
        <v>0.67038880935195055</v>
      </c>
      <c r="L16">
        <v>0</v>
      </c>
      <c r="M16">
        <v>0</v>
      </c>
      <c r="N16">
        <v>0</v>
      </c>
      <c r="O16">
        <v>0.82445245821835456</v>
      </c>
      <c r="P16">
        <v>0.42070848659371929</v>
      </c>
      <c r="Q16">
        <v>0.23304644746206651</v>
      </c>
      <c r="R16">
        <v>0.19008685753739882</v>
      </c>
      <c r="S16">
        <v>0.17650507829295409</v>
      </c>
      <c r="T16">
        <v>0.18200819921330869</v>
      </c>
      <c r="U16">
        <v>0.23935049625324742</v>
      </c>
      <c r="V16">
        <v>0.50575040018149853</v>
      </c>
      <c r="W16">
        <v>0.9741350270041812</v>
      </c>
      <c r="X16">
        <v>0</v>
      </c>
      <c r="Y16">
        <v>0.65498043134589035</v>
      </c>
      <c r="Z16">
        <v>0.28912852984454157</v>
      </c>
      <c r="AA16">
        <v>0.16857476551972683</v>
      </c>
      <c r="AB16">
        <v>0.14032545636566793</v>
      </c>
      <c r="AC16">
        <v>0.13293424527333744</v>
      </c>
      <c r="AD16">
        <v>0.13449610069202667</v>
      </c>
      <c r="AE16">
        <v>0.15996181554751093</v>
      </c>
      <c r="AF16">
        <v>0.32179571804064594</v>
      </c>
      <c r="AG16">
        <v>0.81544252991248134</v>
      </c>
      <c r="AH16">
        <v>0</v>
      </c>
      <c r="AI16">
        <v>0</v>
      </c>
      <c r="AJ16">
        <v>0.71465778801990454</v>
      </c>
      <c r="AK16">
        <v>0.33900001592768442</v>
      </c>
      <c r="AL16">
        <v>0.25659798989939825</v>
      </c>
      <c r="AM16">
        <v>0.2380557653168851</v>
      </c>
      <c r="AN16">
        <v>0.28649134443490337</v>
      </c>
      <c r="AO16">
        <v>0.50115267344045211</v>
      </c>
      <c r="AP16">
        <v>0.90833774503962494</v>
      </c>
      <c r="AQ16">
        <v>0</v>
      </c>
      <c r="EA16" t="s">
        <v>850</v>
      </c>
      <c r="EB16">
        <v>0</v>
      </c>
      <c r="EC16">
        <v>0</v>
      </c>
      <c r="ED16">
        <v>0</v>
      </c>
      <c r="EE16">
        <v>5.3091225857425706E-2</v>
      </c>
      <c r="EF16">
        <v>0.2139226879068537</v>
      </c>
      <c r="EG16">
        <v>0.26468964894350616</v>
      </c>
      <c r="EH16">
        <v>0.16201662118899202</v>
      </c>
      <c r="EI16">
        <v>2.5229667034690678E-2</v>
      </c>
      <c r="EJ16">
        <v>0</v>
      </c>
      <c r="EK16">
        <v>0</v>
      </c>
      <c r="EL16">
        <v>0</v>
      </c>
      <c r="EM16">
        <v>1.4409006408538528E-3</v>
      </c>
      <c r="EN16">
        <v>5.5364221533749133E-2</v>
      </c>
      <c r="EO16">
        <v>0.26118212748674258</v>
      </c>
      <c r="EP16">
        <v>0.4244772233860446</v>
      </c>
      <c r="EQ16">
        <v>0.46343049596933739</v>
      </c>
      <c r="ER16">
        <v>0.35642428795881781</v>
      </c>
      <c r="ES16">
        <v>0.17542796565897609</v>
      </c>
      <c r="ET16">
        <v>2.0312936835110162E-2</v>
      </c>
      <c r="EU16">
        <v>1.5325823905872119E-5</v>
      </c>
      <c r="EV16">
        <v>0</v>
      </c>
      <c r="EW16">
        <v>4.9849117354818957E-3</v>
      </c>
      <c r="EX16">
        <v>8.5841171326089399E-2</v>
      </c>
      <c r="EY16">
        <v>0.29066772001704777</v>
      </c>
      <c r="EZ16">
        <v>0.45287566497469117</v>
      </c>
      <c r="FA16">
        <v>0.50047526151930799</v>
      </c>
      <c r="FB16">
        <v>0.4230562971335049</v>
      </c>
      <c r="FC16">
        <v>0.24225992594179069</v>
      </c>
      <c r="FD16">
        <v>4.991366413774552E-2</v>
      </c>
      <c r="FE16">
        <v>5.3338470776489316E-4</v>
      </c>
      <c r="FF16">
        <v>0</v>
      </c>
      <c r="FG16">
        <v>0</v>
      </c>
      <c r="FH16">
        <v>1.485575007279339E-2</v>
      </c>
      <c r="FI16">
        <v>0.15051686915507717</v>
      </c>
      <c r="FJ16">
        <v>0.29761845636950285</v>
      </c>
      <c r="FK16">
        <v>0.32112576902489587</v>
      </c>
      <c r="FL16">
        <v>0.21599916768896071</v>
      </c>
      <c r="FM16">
        <v>5.8555954317043538E-2</v>
      </c>
      <c r="FN16">
        <v>1.1983378811217013E-3</v>
      </c>
      <c r="FO16">
        <v>0</v>
      </c>
      <c r="FQ16" t="s">
        <v>850</v>
      </c>
      <c r="FR16" t="s">
        <v>127</v>
      </c>
      <c r="FS16" t="s">
        <v>128</v>
      </c>
      <c r="FT16">
        <v>0.44633118354387635</v>
      </c>
    </row>
    <row r="17" spans="2:176" x14ac:dyDescent="0.45">
      <c r="B17" t="s">
        <v>851</v>
      </c>
      <c r="C17" t="s">
        <v>123</v>
      </c>
      <c r="D17">
        <v>0</v>
      </c>
      <c r="E17">
        <v>0</v>
      </c>
      <c r="F17">
        <v>0</v>
      </c>
      <c r="G17">
        <v>0.55287209345495536</v>
      </c>
      <c r="H17">
        <v>0.32735264685729076</v>
      </c>
      <c r="I17">
        <v>0.31803327048405627</v>
      </c>
      <c r="J17">
        <v>0.36162381604338761</v>
      </c>
      <c r="K17">
        <v>0.71639194025793984</v>
      </c>
      <c r="L17">
        <v>0</v>
      </c>
      <c r="M17">
        <v>0</v>
      </c>
      <c r="N17">
        <v>0</v>
      </c>
      <c r="O17">
        <v>0.80649073396215432</v>
      </c>
      <c r="P17">
        <v>0.40505958206639836</v>
      </c>
      <c r="Q17">
        <v>0.22566072631618447</v>
      </c>
      <c r="R17">
        <v>0.19789198999019031</v>
      </c>
      <c r="S17">
        <v>0.19107181129745507</v>
      </c>
      <c r="T17">
        <v>0.19949465685536993</v>
      </c>
      <c r="U17">
        <v>0.25177443180233838</v>
      </c>
      <c r="V17">
        <v>0.51915357315797483</v>
      </c>
      <c r="W17">
        <v>0.99637681159420277</v>
      </c>
      <c r="X17">
        <v>0</v>
      </c>
      <c r="Y17">
        <v>0.62923053791921391</v>
      </c>
      <c r="Z17">
        <v>0.27105914300876072</v>
      </c>
      <c r="AA17">
        <v>0.16202335893152323</v>
      </c>
      <c r="AB17">
        <v>0.14077543300447407</v>
      </c>
      <c r="AC17">
        <v>0.13366131007157206</v>
      </c>
      <c r="AD17">
        <v>0.14508284202232927</v>
      </c>
      <c r="AE17">
        <v>0.16833161064153679</v>
      </c>
      <c r="AF17">
        <v>0.33024326064577508</v>
      </c>
      <c r="AG17">
        <v>0.84416386156152157</v>
      </c>
      <c r="AH17">
        <v>0</v>
      </c>
      <c r="AI17">
        <v>0</v>
      </c>
      <c r="AJ17">
        <v>0.6840203141227309</v>
      </c>
      <c r="AK17">
        <v>0.33585561947358428</v>
      </c>
      <c r="AL17">
        <v>0.2714711530151086</v>
      </c>
      <c r="AM17">
        <v>0.2639598192799672</v>
      </c>
      <c r="AN17">
        <v>0.30267081620387271</v>
      </c>
      <c r="AO17">
        <v>0.52212182899333504</v>
      </c>
      <c r="AP17">
        <v>0.91705841410667299</v>
      </c>
      <c r="AQ17">
        <v>0</v>
      </c>
      <c r="EA17" t="s">
        <v>851</v>
      </c>
      <c r="EB17">
        <v>0</v>
      </c>
      <c r="EC17">
        <v>0</v>
      </c>
      <c r="ED17">
        <v>0</v>
      </c>
      <c r="EE17">
        <v>4.7696376157936447E-2</v>
      </c>
      <c r="EF17">
        <v>0.1880366502823359</v>
      </c>
      <c r="EG17">
        <v>0.21756045949890646</v>
      </c>
      <c r="EH17">
        <v>0.13565405730835214</v>
      </c>
      <c r="EI17">
        <v>1.9551555372945017E-2</v>
      </c>
      <c r="EJ17">
        <v>0</v>
      </c>
      <c r="EK17">
        <v>0</v>
      </c>
      <c r="EL17">
        <v>0</v>
      </c>
      <c r="EM17">
        <v>1.9988601588366815E-3</v>
      </c>
      <c r="EN17">
        <v>6.3781724306594068E-2</v>
      </c>
      <c r="EO17">
        <v>0.27016876306685128</v>
      </c>
      <c r="EP17">
        <v>0.42236477714262888</v>
      </c>
      <c r="EQ17">
        <v>0.44398298699796984</v>
      </c>
      <c r="ER17">
        <v>0.33958000337928829</v>
      </c>
      <c r="ES17">
        <v>0.15445958032202059</v>
      </c>
      <c r="ET17">
        <v>1.5587809033588718E-2</v>
      </c>
      <c r="EU17">
        <v>3.8392510445794824E-8</v>
      </c>
      <c r="EV17">
        <v>0</v>
      </c>
      <c r="EW17">
        <v>6.3286360156561295E-3</v>
      </c>
      <c r="EX17">
        <v>9.6307335969016195E-2</v>
      </c>
      <c r="EY17">
        <v>0.30388116728183889</v>
      </c>
      <c r="EZ17">
        <v>0.44746103140829063</v>
      </c>
      <c r="FA17">
        <v>0.475987494743983</v>
      </c>
      <c r="FB17">
        <v>0.39304875195906319</v>
      </c>
      <c r="FC17">
        <v>0.2177003209719531</v>
      </c>
      <c r="FD17">
        <v>4.1884414287557854E-2</v>
      </c>
      <c r="FE17">
        <v>2.5815566461945846E-4</v>
      </c>
      <c r="FF17">
        <v>0</v>
      </c>
      <c r="FG17">
        <v>0</v>
      </c>
      <c r="FH17">
        <v>1.7520695525624495E-2</v>
      </c>
      <c r="FI17">
        <v>0.15671227052721035</v>
      </c>
      <c r="FJ17">
        <v>0.29008023997651777</v>
      </c>
      <c r="FK17">
        <v>0.30170453525503926</v>
      </c>
      <c r="FL17">
        <v>0.19683306909840836</v>
      </c>
      <c r="FM17">
        <v>4.8735900190961377E-2</v>
      </c>
      <c r="FN17">
        <v>5.8558719778500684E-4</v>
      </c>
      <c r="FO17">
        <v>0</v>
      </c>
      <c r="FQ17" t="s">
        <v>851</v>
      </c>
      <c r="FR17" t="s">
        <v>127</v>
      </c>
      <c r="FS17" t="s">
        <v>128</v>
      </c>
      <c r="FT17">
        <v>0.42607170184915921</v>
      </c>
    </row>
    <row r="18" spans="2:176" x14ac:dyDescent="0.45">
      <c r="B18" t="s">
        <v>852</v>
      </c>
      <c r="C18" t="s">
        <v>123</v>
      </c>
      <c r="D18">
        <v>0</v>
      </c>
      <c r="E18">
        <v>0</v>
      </c>
      <c r="F18">
        <v>0</v>
      </c>
      <c r="G18">
        <v>0.53696031552122259</v>
      </c>
      <c r="H18">
        <v>0.31889139949563877</v>
      </c>
      <c r="I18">
        <v>0.30298461821729294</v>
      </c>
      <c r="J18">
        <v>0.35238815368219695</v>
      </c>
      <c r="K18">
        <v>0.69674613212109648</v>
      </c>
      <c r="L18">
        <v>0</v>
      </c>
      <c r="M18">
        <v>0</v>
      </c>
      <c r="N18">
        <v>0</v>
      </c>
      <c r="O18">
        <v>0.81471140134972164</v>
      </c>
      <c r="P18">
        <v>0.41206356443054853</v>
      </c>
      <c r="Q18">
        <v>0.23440566795310219</v>
      </c>
      <c r="R18">
        <v>0.19559400087105608</v>
      </c>
      <c r="S18">
        <v>0.18635051514593981</v>
      </c>
      <c r="T18">
        <v>0.19124321537057209</v>
      </c>
      <c r="U18">
        <v>0.25025061454175573</v>
      </c>
      <c r="V18">
        <v>0.51244590029824433</v>
      </c>
      <c r="W18">
        <v>0.98550724637681164</v>
      </c>
      <c r="X18">
        <v>0</v>
      </c>
      <c r="Y18">
        <v>0.64673398042798824</v>
      </c>
      <c r="Z18">
        <v>0.28010595284444684</v>
      </c>
      <c r="AA18">
        <v>0.16931330613037196</v>
      </c>
      <c r="AB18">
        <v>0.14312009562859573</v>
      </c>
      <c r="AC18">
        <v>0.13535375052718043</v>
      </c>
      <c r="AD18">
        <v>0.1457608733350188</v>
      </c>
      <c r="AE18">
        <v>0.16506458336791691</v>
      </c>
      <c r="AF18">
        <v>0.32616501762668271</v>
      </c>
      <c r="AG18">
        <v>0.83279866633023114</v>
      </c>
      <c r="AH18">
        <v>0</v>
      </c>
      <c r="AI18">
        <v>0</v>
      </c>
      <c r="AJ18">
        <v>0.70112282431870576</v>
      </c>
      <c r="AK18">
        <v>0.33572144395360726</v>
      </c>
      <c r="AL18">
        <v>0.26742496137900784</v>
      </c>
      <c r="AM18">
        <v>0.25550017726961133</v>
      </c>
      <c r="AN18">
        <v>0.29885380184653104</v>
      </c>
      <c r="AO18">
        <v>0.51517666123071482</v>
      </c>
      <c r="AP18">
        <v>0.91495670688910025</v>
      </c>
      <c r="AQ18">
        <v>0</v>
      </c>
      <c r="EA18" t="s">
        <v>852</v>
      </c>
      <c r="EB18">
        <v>0</v>
      </c>
      <c r="EC18">
        <v>0</v>
      </c>
      <c r="ED18">
        <v>0</v>
      </c>
      <c r="EE18">
        <v>4.9093398704616417E-2</v>
      </c>
      <c r="EF18">
        <v>0.19762443516961761</v>
      </c>
      <c r="EG18">
        <v>0.235394244091685</v>
      </c>
      <c r="EH18">
        <v>0.14521237328578149</v>
      </c>
      <c r="EI18">
        <v>2.2504636741744782E-2</v>
      </c>
      <c r="EJ18">
        <v>0</v>
      </c>
      <c r="EK18">
        <v>0</v>
      </c>
      <c r="EL18">
        <v>0</v>
      </c>
      <c r="EM18">
        <v>1.7365440827750336E-3</v>
      </c>
      <c r="EN18">
        <v>5.9517898407952227E-2</v>
      </c>
      <c r="EO18">
        <v>0.26540430777325807</v>
      </c>
      <c r="EP18">
        <v>0.41714605675863681</v>
      </c>
      <c r="EQ18">
        <v>0.44278871150997767</v>
      </c>
      <c r="ER18">
        <v>0.33960984134718253</v>
      </c>
      <c r="ES18">
        <v>0.15978115439955101</v>
      </c>
      <c r="ET18">
        <v>1.7340957514064299E-2</v>
      </c>
      <c r="EU18">
        <v>2.6592157577405242E-6</v>
      </c>
      <c r="EV18">
        <v>0</v>
      </c>
      <c r="EW18">
        <v>5.6520708351308624E-3</v>
      </c>
      <c r="EX18">
        <v>9.1093015598431762E-2</v>
      </c>
      <c r="EY18">
        <v>0.29233870133162176</v>
      </c>
      <c r="EZ18">
        <v>0.44683049781547246</v>
      </c>
      <c r="FA18">
        <v>0.48085180845988362</v>
      </c>
      <c r="FB18">
        <v>0.39594331232408914</v>
      </c>
      <c r="FC18">
        <v>0.22404777701514664</v>
      </c>
      <c r="FD18">
        <v>4.5213738668686658E-2</v>
      </c>
      <c r="FE18">
        <v>3.613328171740582E-4</v>
      </c>
      <c r="FF18">
        <v>0</v>
      </c>
      <c r="FG18">
        <v>0</v>
      </c>
      <c r="FH18">
        <v>1.6535717954232445E-2</v>
      </c>
      <c r="FI18">
        <v>0.15440860498062559</v>
      </c>
      <c r="FJ18">
        <v>0.29409278581799292</v>
      </c>
      <c r="FK18">
        <v>0.31311206955281506</v>
      </c>
      <c r="FL18">
        <v>0.20214518297279083</v>
      </c>
      <c r="FM18">
        <v>5.2004705592534138E-2</v>
      </c>
      <c r="FN18">
        <v>7.773711502769736E-4</v>
      </c>
      <c r="FO18">
        <v>0</v>
      </c>
      <c r="FQ18" t="s">
        <v>852</v>
      </c>
      <c r="FR18" t="s">
        <v>127</v>
      </c>
      <c r="FS18" t="s">
        <v>128</v>
      </c>
      <c r="FT18">
        <v>0.42251867541429716</v>
      </c>
    </row>
    <row r="19" spans="2:176" x14ac:dyDescent="0.45">
      <c r="B19" t="s">
        <v>853</v>
      </c>
      <c r="C19" t="s">
        <v>123</v>
      </c>
      <c r="D19">
        <v>0</v>
      </c>
      <c r="E19">
        <v>0</v>
      </c>
      <c r="F19">
        <v>0</v>
      </c>
      <c r="G19">
        <v>0.53135142652435996</v>
      </c>
      <c r="H19">
        <v>0.30494223894220529</v>
      </c>
      <c r="I19">
        <v>0.28482799723754376</v>
      </c>
      <c r="J19">
        <v>0.32253987325374495</v>
      </c>
      <c r="K19">
        <v>0.66958370507554388</v>
      </c>
      <c r="L19">
        <v>0</v>
      </c>
      <c r="M19">
        <v>0</v>
      </c>
      <c r="N19">
        <v>0</v>
      </c>
      <c r="O19">
        <v>0.82626379566695507</v>
      </c>
      <c r="P19">
        <v>0.43472617158487137</v>
      </c>
      <c r="Q19">
        <v>0.26005824912249986</v>
      </c>
      <c r="R19">
        <v>0.22301777113303609</v>
      </c>
      <c r="S19">
        <v>0.20440530400587484</v>
      </c>
      <c r="T19">
        <v>0.20362326762286215</v>
      </c>
      <c r="U19">
        <v>0.24034641708478302</v>
      </c>
      <c r="V19">
        <v>0.51719233276837295</v>
      </c>
      <c r="W19">
        <v>0</v>
      </c>
      <c r="X19">
        <v>0</v>
      </c>
      <c r="Y19">
        <v>0.65427790021112253</v>
      </c>
      <c r="Z19">
        <v>0.29826403196604812</v>
      </c>
      <c r="AA19">
        <v>0.17491244438187631</v>
      </c>
      <c r="AB19">
        <v>0.15620276310545025</v>
      </c>
      <c r="AC19">
        <v>0.13831322348482269</v>
      </c>
      <c r="AD19">
        <v>0.14025159770097953</v>
      </c>
      <c r="AE19">
        <v>0.16745147359099918</v>
      </c>
      <c r="AF19">
        <v>0.3272649551281952</v>
      </c>
      <c r="AG19">
        <v>0.85329392599608822</v>
      </c>
      <c r="AH19">
        <v>0</v>
      </c>
      <c r="AI19">
        <v>0</v>
      </c>
      <c r="AJ19">
        <v>0.71619556041066568</v>
      </c>
      <c r="AK19">
        <v>0.35092444295653602</v>
      </c>
      <c r="AL19">
        <v>0.27161481130685861</v>
      </c>
      <c r="AM19">
        <v>0.24845760611293077</v>
      </c>
      <c r="AN19">
        <v>0.29676532460230393</v>
      </c>
      <c r="AO19">
        <v>0.4989369743109684</v>
      </c>
      <c r="AP19">
        <v>0.9158732680817474</v>
      </c>
      <c r="AQ19">
        <v>0</v>
      </c>
      <c r="EA19" t="s">
        <v>853</v>
      </c>
      <c r="EB19">
        <v>0</v>
      </c>
      <c r="EC19">
        <v>0</v>
      </c>
      <c r="ED19">
        <v>0</v>
      </c>
      <c r="EE19">
        <v>4.9059109387300973E-2</v>
      </c>
      <c r="EF19">
        <v>0.20019436525987308</v>
      </c>
      <c r="EG19">
        <v>0.24744876605463068</v>
      </c>
      <c r="EH19">
        <v>0.15350309025722322</v>
      </c>
      <c r="EI19">
        <v>2.2522669889243622E-2</v>
      </c>
      <c r="EJ19">
        <v>0</v>
      </c>
      <c r="EK19">
        <v>0</v>
      </c>
      <c r="EL19">
        <v>0</v>
      </c>
      <c r="EM19">
        <v>1.1596050751332982E-3</v>
      </c>
      <c r="EN19">
        <v>5.6616877985368116E-2</v>
      </c>
      <c r="EO19">
        <v>0.25523411831639281</v>
      </c>
      <c r="EP19">
        <v>0.41408618788605761</v>
      </c>
      <c r="EQ19">
        <v>0.43924459656506243</v>
      </c>
      <c r="ER19">
        <v>0.33432445590355714</v>
      </c>
      <c r="ES19">
        <v>0.15801711845593472</v>
      </c>
      <c r="ET19">
        <v>1.7937915744387335E-2</v>
      </c>
      <c r="EU19">
        <v>0</v>
      </c>
      <c r="EV19">
        <v>0</v>
      </c>
      <c r="EW19">
        <v>4.8245240636975578E-3</v>
      </c>
      <c r="EX19">
        <v>8.6442163886330997E-2</v>
      </c>
      <c r="EY19">
        <v>0.28930292178031564</v>
      </c>
      <c r="EZ19">
        <v>0.45053948067119193</v>
      </c>
      <c r="FA19">
        <v>0.48773098740883564</v>
      </c>
      <c r="FB19">
        <v>0.40057081459261229</v>
      </c>
      <c r="FC19">
        <v>0.22507021383354003</v>
      </c>
      <c r="FD19">
        <v>4.3315920931165278E-2</v>
      </c>
      <c r="FE19">
        <v>2.5298051193147983E-4</v>
      </c>
      <c r="FF19">
        <v>0</v>
      </c>
      <c r="FG19">
        <v>0</v>
      </c>
      <c r="FH19">
        <v>1.6859335884508008E-2</v>
      </c>
      <c r="FI19">
        <v>0.1581872706994856</v>
      </c>
      <c r="FJ19">
        <v>0.29769586070760201</v>
      </c>
      <c r="FK19">
        <v>0.31737850911569154</v>
      </c>
      <c r="FL19">
        <v>0.20863231301485927</v>
      </c>
      <c r="FM19">
        <v>5.4923899961265114E-2</v>
      </c>
      <c r="FN19">
        <v>1.0328775558138782E-3</v>
      </c>
      <c r="FO19">
        <v>0</v>
      </c>
      <c r="FQ19" t="s">
        <v>853</v>
      </c>
      <c r="FR19" t="s">
        <v>127</v>
      </c>
      <c r="FS19" t="s">
        <v>128</v>
      </c>
      <c r="FT19">
        <v>0.40601015823828113</v>
      </c>
    </row>
    <row r="20" spans="2:176" x14ac:dyDescent="0.45">
      <c r="B20" t="s">
        <v>854</v>
      </c>
      <c r="C20" t="s">
        <v>123</v>
      </c>
      <c r="D20">
        <v>0</v>
      </c>
      <c r="E20">
        <v>0</v>
      </c>
      <c r="F20">
        <v>0</v>
      </c>
      <c r="G20">
        <v>0.54949060352369616</v>
      </c>
      <c r="H20">
        <v>0.3288272078104415</v>
      </c>
      <c r="I20">
        <v>0.31430233466908386</v>
      </c>
      <c r="J20">
        <v>0.35083226122907574</v>
      </c>
      <c r="K20">
        <v>0.69114681276413137</v>
      </c>
      <c r="L20">
        <v>0</v>
      </c>
      <c r="M20">
        <v>0</v>
      </c>
      <c r="N20">
        <v>0</v>
      </c>
      <c r="O20">
        <v>0.82127633604797612</v>
      </c>
      <c r="P20">
        <v>0.42029280712369321</v>
      </c>
      <c r="Q20">
        <v>0.24903219883940109</v>
      </c>
      <c r="R20">
        <v>0.21803811345350213</v>
      </c>
      <c r="S20">
        <v>0.20533871679225091</v>
      </c>
      <c r="T20">
        <v>0.20483894274093462</v>
      </c>
      <c r="U20">
        <v>0.25130575764029911</v>
      </c>
      <c r="V20">
        <v>0.51560601409382378</v>
      </c>
      <c r="W20">
        <v>0.99637681159420288</v>
      </c>
      <c r="X20">
        <v>0</v>
      </c>
      <c r="Y20">
        <v>0.65019930627663691</v>
      </c>
      <c r="Z20">
        <v>0.2850578899998194</v>
      </c>
      <c r="AA20">
        <v>0.16954650643945735</v>
      </c>
      <c r="AB20">
        <v>0.15059407673236602</v>
      </c>
      <c r="AC20">
        <v>0.144502129279166</v>
      </c>
      <c r="AD20">
        <v>0.15830389086262572</v>
      </c>
      <c r="AE20">
        <v>0.17192560901112144</v>
      </c>
      <c r="AF20">
        <v>0.32809898700524626</v>
      </c>
      <c r="AG20">
        <v>0.84944561028238774</v>
      </c>
      <c r="AH20">
        <v>0</v>
      </c>
      <c r="AI20">
        <v>0</v>
      </c>
      <c r="AJ20">
        <v>0.69948937790685695</v>
      </c>
      <c r="AK20">
        <v>0.34613084864100768</v>
      </c>
      <c r="AL20">
        <v>0.27543442093544079</v>
      </c>
      <c r="AM20">
        <v>0.25789176058456181</v>
      </c>
      <c r="AN20">
        <v>0.30710529008822485</v>
      </c>
      <c r="AO20">
        <v>0.51912942469894974</v>
      </c>
      <c r="AP20">
        <v>0.91783985448685801</v>
      </c>
      <c r="AQ20">
        <v>0</v>
      </c>
      <c r="EA20" t="s">
        <v>854</v>
      </c>
      <c r="EB20">
        <v>0</v>
      </c>
      <c r="EC20">
        <v>0</v>
      </c>
      <c r="ED20">
        <v>0</v>
      </c>
      <c r="EE20">
        <v>5.0201776305385061E-2</v>
      </c>
      <c r="EF20">
        <v>0.2008451680200071</v>
      </c>
      <c r="EG20">
        <v>0.24013760003209528</v>
      </c>
      <c r="EH20">
        <v>0.14768430640583069</v>
      </c>
      <c r="EI20">
        <v>2.213681991534789E-2</v>
      </c>
      <c r="EJ20">
        <v>0</v>
      </c>
      <c r="EK20">
        <v>0</v>
      </c>
      <c r="EL20">
        <v>0</v>
      </c>
      <c r="EM20">
        <v>1.4139403580844848E-3</v>
      </c>
      <c r="EN20">
        <v>5.9421114971843526E-2</v>
      </c>
      <c r="EO20">
        <v>0.2666525421790657</v>
      </c>
      <c r="EP20">
        <v>0.4178224948194364</v>
      </c>
      <c r="EQ20">
        <v>0.44201081794808095</v>
      </c>
      <c r="ER20">
        <v>0.33815783125591342</v>
      </c>
      <c r="ES20">
        <v>0.15616199918820159</v>
      </c>
      <c r="ET20">
        <v>1.6986753007566458E-2</v>
      </c>
      <c r="EU20">
        <v>5.2184122319306259E-7</v>
      </c>
      <c r="EV20">
        <v>0</v>
      </c>
      <c r="EW20">
        <v>5.3069823433084503E-3</v>
      </c>
      <c r="EX20">
        <v>8.8948604812764606E-2</v>
      </c>
      <c r="EY20">
        <v>0.29273918576781516</v>
      </c>
      <c r="EZ20">
        <v>0.44971030964718567</v>
      </c>
      <c r="FA20">
        <v>0.47561986416416324</v>
      </c>
      <c r="FB20">
        <v>0.38463260132171539</v>
      </c>
      <c r="FC20">
        <v>0.22245881570827053</v>
      </c>
      <c r="FD20">
        <v>4.3312598013076437E-2</v>
      </c>
      <c r="FE20">
        <v>2.6989824800693896E-4</v>
      </c>
      <c r="FF20">
        <v>0</v>
      </c>
      <c r="FG20">
        <v>0</v>
      </c>
      <c r="FH20">
        <v>1.6495609499543207E-2</v>
      </c>
      <c r="FI20">
        <v>0.15452050054183608</v>
      </c>
      <c r="FJ20">
        <v>0.29777095645440965</v>
      </c>
      <c r="FK20">
        <v>0.31276750762097455</v>
      </c>
      <c r="FL20">
        <v>0.19785072123228858</v>
      </c>
      <c r="FM20">
        <v>4.8737316361923404E-2</v>
      </c>
      <c r="FN20">
        <v>8.707152758058958E-4</v>
      </c>
      <c r="FO20">
        <v>0</v>
      </c>
      <c r="FQ20" t="s">
        <v>854</v>
      </c>
      <c r="FR20" t="s">
        <v>127</v>
      </c>
      <c r="FS20" t="s">
        <v>128</v>
      </c>
      <c r="FT20">
        <v>0.40459899276333011</v>
      </c>
    </row>
    <row r="21" spans="2:176" x14ac:dyDescent="0.45">
      <c r="B21" t="s">
        <v>855</v>
      </c>
      <c r="C21" t="s">
        <v>123</v>
      </c>
      <c r="D21">
        <v>0.24874113928266611</v>
      </c>
      <c r="E21">
        <v>0.23712692045139538</v>
      </c>
      <c r="F21">
        <v>0.24090000612139631</v>
      </c>
      <c r="G21">
        <v>0.25437542495614895</v>
      </c>
      <c r="H21">
        <v>0.27592091463995955</v>
      </c>
      <c r="I21">
        <v>0.28054647279678008</v>
      </c>
      <c r="J21">
        <v>0.26631616744170739</v>
      </c>
      <c r="K21">
        <v>0.24628303768516541</v>
      </c>
      <c r="L21">
        <v>0.23643664438709891</v>
      </c>
      <c r="M21">
        <v>0.24048837149085903</v>
      </c>
      <c r="N21">
        <v>0.27941451430436293</v>
      </c>
      <c r="O21">
        <v>0.28367714558959756</v>
      </c>
      <c r="P21">
        <v>0.27275306792436471</v>
      </c>
      <c r="Q21">
        <v>0.28055950807888941</v>
      </c>
      <c r="R21">
        <v>0.2970457438274775</v>
      </c>
      <c r="S21">
        <v>0.29252096397452887</v>
      </c>
      <c r="T21">
        <v>0.27194950619310437</v>
      </c>
      <c r="U21">
        <v>0.25133576405461971</v>
      </c>
      <c r="V21">
        <v>0.24174406825499592</v>
      </c>
      <c r="W21">
        <v>0.2446776535940996</v>
      </c>
      <c r="X21">
        <v>0.3300436445867882</v>
      </c>
      <c r="Y21">
        <v>0.32868118220267623</v>
      </c>
      <c r="Z21">
        <v>0.32200174472499465</v>
      </c>
      <c r="AA21">
        <v>0.33894072509135093</v>
      </c>
      <c r="AB21">
        <v>0.35683622188313713</v>
      </c>
      <c r="AC21">
        <v>0.35934838717834389</v>
      </c>
      <c r="AD21">
        <v>0.36491207550413962</v>
      </c>
      <c r="AE21">
        <v>0.36420742582699311</v>
      </c>
      <c r="AF21">
        <v>0.36819371554862301</v>
      </c>
      <c r="AG21">
        <v>0.33757702755420588</v>
      </c>
      <c r="AH21">
        <v>0.27780486901253831</v>
      </c>
      <c r="AI21">
        <v>0.27666166659427793</v>
      </c>
      <c r="AJ21">
        <v>0.28464546430675575</v>
      </c>
      <c r="AK21">
        <v>0.28778743276485907</v>
      </c>
      <c r="AL21">
        <v>0.28229011363792345</v>
      </c>
      <c r="AM21">
        <v>0.27868986579134142</v>
      </c>
      <c r="AN21">
        <v>0.29092943786416736</v>
      </c>
      <c r="AO21">
        <v>0.30926494597606907</v>
      </c>
      <c r="AP21">
        <v>0.28671756073945193</v>
      </c>
      <c r="AQ21">
        <v>0.28161266099733329</v>
      </c>
      <c r="EA21" t="s">
        <v>855</v>
      </c>
      <c r="EB21">
        <v>0.63366375618510773</v>
      </c>
      <c r="EC21">
        <v>0.6316830619083097</v>
      </c>
      <c r="ED21">
        <v>0.63339186135239689</v>
      </c>
      <c r="EE21">
        <v>0.61387929994897505</v>
      </c>
      <c r="EF21">
        <v>0.59169026060133345</v>
      </c>
      <c r="EG21">
        <v>0.58632055441848929</v>
      </c>
      <c r="EH21">
        <v>0.60301232572851915</v>
      </c>
      <c r="EI21">
        <v>0.64127549446938148</v>
      </c>
      <c r="EJ21">
        <v>0.65444613459985701</v>
      </c>
      <c r="EK21">
        <v>0.64640982244681155</v>
      </c>
      <c r="EL21">
        <v>0.55399028944843653</v>
      </c>
      <c r="EM21">
        <v>0.55426737709785812</v>
      </c>
      <c r="EN21">
        <v>0.55571385919946525</v>
      </c>
      <c r="EO21">
        <v>0.54630327897599351</v>
      </c>
      <c r="EP21">
        <v>0.53531733371378121</v>
      </c>
      <c r="EQ21">
        <v>0.54467051609358552</v>
      </c>
      <c r="ER21">
        <v>0.56649507149932499</v>
      </c>
      <c r="ES21">
        <v>0.59155199606396747</v>
      </c>
      <c r="ET21">
        <v>0.60467410477323702</v>
      </c>
      <c r="EU21">
        <v>0.58781147397045663</v>
      </c>
      <c r="EV21">
        <v>0.42370937204535081</v>
      </c>
      <c r="EW21">
        <v>0.39636423749059602</v>
      </c>
      <c r="EX21">
        <v>0.40024878508310119</v>
      </c>
      <c r="EY21">
        <v>0.36706258119691326</v>
      </c>
      <c r="EZ21">
        <v>0.34531188834111876</v>
      </c>
      <c r="FA21">
        <v>0.36093326003933529</v>
      </c>
      <c r="FB21">
        <v>0.38230436293879</v>
      </c>
      <c r="FC21">
        <v>0.40225667481148697</v>
      </c>
      <c r="FD21">
        <v>0.4108701336764447</v>
      </c>
      <c r="FE21">
        <v>0.42837521715251647</v>
      </c>
      <c r="FF21">
        <v>0.57792175458411554</v>
      </c>
      <c r="FG21">
        <v>0.57185556604475762</v>
      </c>
      <c r="FH21">
        <v>0.57588202995631921</v>
      </c>
      <c r="FI21">
        <v>0.57133826797707821</v>
      </c>
      <c r="FJ21">
        <v>0.56914443354337263</v>
      </c>
      <c r="FK21">
        <v>0.57928899780381471</v>
      </c>
      <c r="FL21">
        <v>0.58000792657628986</v>
      </c>
      <c r="FM21">
        <v>0.58031868015334087</v>
      </c>
      <c r="FN21">
        <v>0.60116834301951827</v>
      </c>
      <c r="FO21">
        <v>0.58907832192289455</v>
      </c>
      <c r="FQ21" t="s">
        <v>856</v>
      </c>
      <c r="FR21" t="s">
        <v>127</v>
      </c>
      <c r="FS21" t="s">
        <v>128</v>
      </c>
      <c r="FT21">
        <v>0.43089352222196126</v>
      </c>
    </row>
    <row r="22" spans="2:176" x14ac:dyDescent="0.45">
      <c r="B22" t="s">
        <v>857</v>
      </c>
      <c r="C22" t="s">
        <v>123</v>
      </c>
      <c r="D22">
        <v>0.24334818137960004</v>
      </c>
      <c r="E22">
        <v>0.24739358075191276</v>
      </c>
      <c r="F22">
        <v>0.25163878942414142</v>
      </c>
      <c r="G22">
        <v>0.2522180987059307</v>
      </c>
      <c r="H22">
        <v>0.2546398139603453</v>
      </c>
      <c r="I22">
        <v>0.25725844441492707</v>
      </c>
      <c r="J22">
        <v>0.25393104049620474</v>
      </c>
      <c r="K22">
        <v>0.24120437788336457</v>
      </c>
      <c r="L22">
        <v>0.2234057061801524</v>
      </c>
      <c r="M22">
        <v>0.22817374256424874</v>
      </c>
      <c r="N22">
        <v>0.29795019935325628</v>
      </c>
      <c r="O22">
        <v>0.28777903448559194</v>
      </c>
      <c r="P22">
        <v>0.27387082587739081</v>
      </c>
      <c r="Q22">
        <v>0.27038158370057247</v>
      </c>
      <c r="R22">
        <v>0.26935460879117895</v>
      </c>
      <c r="S22">
        <v>0.26348667583451624</v>
      </c>
      <c r="T22">
        <v>0.25418148961448583</v>
      </c>
      <c r="U22">
        <v>0.24476150195925933</v>
      </c>
      <c r="V22">
        <v>0.25288169587150411</v>
      </c>
      <c r="W22">
        <v>0.27237945835404598</v>
      </c>
      <c r="X22">
        <v>0.32984491548208117</v>
      </c>
      <c r="Y22">
        <v>0.33623146431169326</v>
      </c>
      <c r="Z22">
        <v>0.33526130168488688</v>
      </c>
      <c r="AA22">
        <v>0.34540725173875347</v>
      </c>
      <c r="AB22">
        <v>0.36489430963780095</v>
      </c>
      <c r="AC22">
        <v>0.34654293755951915</v>
      </c>
      <c r="AD22">
        <v>0.34871365463687093</v>
      </c>
      <c r="AE22">
        <v>0.34419938659807536</v>
      </c>
      <c r="AF22">
        <v>0.32650230349594001</v>
      </c>
      <c r="AG22">
        <v>0.32013537970909173</v>
      </c>
      <c r="AH22">
        <v>0.25047118470944146</v>
      </c>
      <c r="AI22">
        <v>0.24851479882416214</v>
      </c>
      <c r="AJ22">
        <v>0.25387427735071993</v>
      </c>
      <c r="AK22">
        <v>0.25797304396551524</v>
      </c>
      <c r="AL22">
        <v>0.25690247657438842</v>
      </c>
      <c r="AM22">
        <v>0.25114895722967528</v>
      </c>
      <c r="AN22">
        <v>0.24746597828981606</v>
      </c>
      <c r="AO22">
        <v>0.25672412775271297</v>
      </c>
      <c r="AP22">
        <v>0.2639465702764861</v>
      </c>
      <c r="AQ22">
        <v>0.26352680390619865</v>
      </c>
      <c r="EA22" t="s">
        <v>857</v>
      </c>
      <c r="EB22">
        <v>0.64899090668548731</v>
      </c>
      <c r="EC22">
        <v>0.64641347064429688</v>
      </c>
      <c r="ED22">
        <v>0.64590455860986062</v>
      </c>
      <c r="EE22">
        <v>0.64233971814133439</v>
      </c>
      <c r="EF22">
        <v>0.64372076110966092</v>
      </c>
      <c r="EG22">
        <v>0.6405612687670833</v>
      </c>
      <c r="EH22">
        <v>0.63852719868688534</v>
      </c>
      <c r="EI22">
        <v>0.65671415679518963</v>
      </c>
      <c r="EJ22">
        <v>0.66569644281537166</v>
      </c>
      <c r="EK22">
        <v>0.66478050591389615</v>
      </c>
      <c r="EL22">
        <v>0.57172419702527921</v>
      </c>
      <c r="EM22">
        <v>0.57228131586895825</v>
      </c>
      <c r="EN22">
        <v>0.57560175287147541</v>
      </c>
      <c r="EO22">
        <v>0.5785633075131994</v>
      </c>
      <c r="EP22">
        <v>0.58277542116980918</v>
      </c>
      <c r="EQ22">
        <v>0.59430968021700648</v>
      </c>
      <c r="ER22">
        <v>0.60645354340490687</v>
      </c>
      <c r="ES22">
        <v>0.61059842445462453</v>
      </c>
      <c r="ET22">
        <v>0.61162680329036212</v>
      </c>
      <c r="EU22">
        <v>0.60006577463017474</v>
      </c>
      <c r="EV22">
        <v>0.42453614255722166</v>
      </c>
      <c r="EW22">
        <v>0.41605623061996477</v>
      </c>
      <c r="EX22">
        <v>0.40748319879133738</v>
      </c>
      <c r="EY22">
        <v>0.38569733225892339</v>
      </c>
      <c r="EZ22">
        <v>0.36831777056922083</v>
      </c>
      <c r="FA22">
        <v>0.37227627404196106</v>
      </c>
      <c r="FB22">
        <v>0.3768034077264652</v>
      </c>
      <c r="FC22">
        <v>0.36918527379748411</v>
      </c>
      <c r="FD22">
        <v>0.37668778215099691</v>
      </c>
      <c r="FE22">
        <v>0.38575554251724825</v>
      </c>
      <c r="FF22">
        <v>0.61893865087704103</v>
      </c>
      <c r="FG22">
        <v>0.62886691830187502</v>
      </c>
      <c r="FH22">
        <v>0.62330468836788011</v>
      </c>
      <c r="FI22">
        <v>0.61853892908298547</v>
      </c>
      <c r="FJ22">
        <v>0.61731875660460811</v>
      </c>
      <c r="FK22">
        <v>0.62381849125805466</v>
      </c>
      <c r="FL22">
        <v>0.63108714708065672</v>
      </c>
      <c r="FM22">
        <v>0.6300719357134037</v>
      </c>
      <c r="FN22">
        <v>0.62762491312133828</v>
      </c>
      <c r="FO22">
        <v>0.61681770594473317</v>
      </c>
      <c r="FQ22" t="s">
        <v>858</v>
      </c>
      <c r="FR22" t="s">
        <v>127</v>
      </c>
      <c r="FS22" t="s">
        <v>128</v>
      </c>
      <c r="FT22">
        <v>0.41384755359706488</v>
      </c>
    </row>
    <row r="23" spans="2:176" x14ac:dyDescent="0.45">
      <c r="B23" t="s">
        <v>859</v>
      </c>
      <c r="C23" t="s">
        <v>123</v>
      </c>
      <c r="D23">
        <v>0.24341931763951524</v>
      </c>
      <c r="E23">
        <v>0.23845652558288463</v>
      </c>
      <c r="F23">
        <v>0.2498592557381871</v>
      </c>
      <c r="G23">
        <v>0.25473835443435328</v>
      </c>
      <c r="H23">
        <v>0.25607552408432743</v>
      </c>
      <c r="I23">
        <v>0.25347566110587072</v>
      </c>
      <c r="J23">
        <v>0.24219849810005786</v>
      </c>
      <c r="K23">
        <v>0.24693793485432303</v>
      </c>
      <c r="L23">
        <v>0.2270255990299978</v>
      </c>
      <c r="M23">
        <v>0.23143201170345942</v>
      </c>
      <c r="N23">
        <v>0.29474181577815861</v>
      </c>
      <c r="O23">
        <v>0.27780659933911456</v>
      </c>
      <c r="P23">
        <v>0.26373731495864633</v>
      </c>
      <c r="Q23">
        <v>0.27124048902172893</v>
      </c>
      <c r="R23">
        <v>0.27642901611573478</v>
      </c>
      <c r="S23">
        <v>0.26540259615142031</v>
      </c>
      <c r="T23">
        <v>0.2473845555755379</v>
      </c>
      <c r="U23">
        <v>0.24198631528883124</v>
      </c>
      <c r="V23">
        <v>0.25093552944281988</v>
      </c>
      <c r="W23">
        <v>0.26858494047251369</v>
      </c>
      <c r="X23">
        <v>0.33377064272015766</v>
      </c>
      <c r="Y23">
        <v>0.34206394545956914</v>
      </c>
      <c r="Z23">
        <v>0.34549448151696471</v>
      </c>
      <c r="AA23">
        <v>0.35458191671125378</v>
      </c>
      <c r="AB23">
        <v>0.37107571331460243</v>
      </c>
      <c r="AC23">
        <v>0.34872651640216312</v>
      </c>
      <c r="AD23">
        <v>0.35187836396316818</v>
      </c>
      <c r="AE23">
        <v>0.34816068036069442</v>
      </c>
      <c r="AF23">
        <v>0.34013186915365262</v>
      </c>
      <c r="AG23">
        <v>0.33749297467654588</v>
      </c>
      <c r="AH23">
        <v>0.24195131618637694</v>
      </c>
      <c r="AI23">
        <v>0.25474926832654698</v>
      </c>
      <c r="AJ23">
        <v>0.25436197508591185</v>
      </c>
      <c r="AK23">
        <v>0.25664383257730838</v>
      </c>
      <c r="AL23">
        <v>0.25086696729860947</v>
      </c>
      <c r="AM23">
        <v>0.24314018944135249</v>
      </c>
      <c r="AN23">
        <v>0.23724291806789005</v>
      </c>
      <c r="AO23">
        <v>0.24812150829839408</v>
      </c>
      <c r="AP23">
        <v>0.25947495248031627</v>
      </c>
      <c r="AQ23">
        <v>0.25447177740035515</v>
      </c>
      <c r="EA23" t="s">
        <v>859</v>
      </c>
      <c r="EB23">
        <v>0.65420500286751326</v>
      </c>
      <c r="EC23">
        <v>0.65765143092204303</v>
      </c>
      <c r="ED23">
        <v>0.65113753379426065</v>
      </c>
      <c r="EE23">
        <v>0.64352056288108639</v>
      </c>
      <c r="EF23">
        <v>0.64702287328610608</v>
      </c>
      <c r="EG23">
        <v>0.65095332043711096</v>
      </c>
      <c r="EH23">
        <v>0.65011466196932211</v>
      </c>
      <c r="EI23">
        <v>0.65329609576341074</v>
      </c>
      <c r="EJ23">
        <v>0.6596723932540044</v>
      </c>
      <c r="EK23">
        <v>0.66210024170577531</v>
      </c>
      <c r="EL23">
        <v>0.57522561152809826</v>
      </c>
      <c r="EM23">
        <v>0.58183630041932466</v>
      </c>
      <c r="EN23">
        <v>0.5848888094364868</v>
      </c>
      <c r="EO23">
        <v>0.58484889003043261</v>
      </c>
      <c r="EP23">
        <v>0.58449273443598626</v>
      </c>
      <c r="EQ23">
        <v>0.59690359078661503</v>
      </c>
      <c r="ER23">
        <v>0.61271892803336458</v>
      </c>
      <c r="ES23">
        <v>0.61606859201160458</v>
      </c>
      <c r="ET23">
        <v>0.61373416183050722</v>
      </c>
      <c r="EU23">
        <v>0.59989896424087708</v>
      </c>
      <c r="EV23">
        <v>0.42742191234745247</v>
      </c>
      <c r="EW23">
        <v>0.42241564685410476</v>
      </c>
      <c r="EX23">
        <v>0.40704616115924536</v>
      </c>
      <c r="EY23">
        <v>0.38437772823406546</v>
      </c>
      <c r="EZ23">
        <v>0.36910999821544543</v>
      </c>
      <c r="FA23">
        <v>0.37614860967732966</v>
      </c>
      <c r="FB23">
        <v>0.38464427264736278</v>
      </c>
      <c r="FC23">
        <v>0.37936427910893183</v>
      </c>
      <c r="FD23">
        <v>0.3772575646232682</v>
      </c>
      <c r="FE23">
        <v>0.38409022433241236</v>
      </c>
      <c r="FF23">
        <v>0.63261282910838479</v>
      </c>
      <c r="FG23">
        <v>0.63169511749439844</v>
      </c>
      <c r="FH23">
        <v>0.63258411788258828</v>
      </c>
      <c r="FI23">
        <v>0.6303799030023044</v>
      </c>
      <c r="FJ23">
        <v>0.63613443949597548</v>
      </c>
      <c r="FK23">
        <v>0.63979830698284146</v>
      </c>
      <c r="FL23">
        <v>0.64435423367175759</v>
      </c>
      <c r="FM23">
        <v>0.63724098586896949</v>
      </c>
      <c r="FN23">
        <v>0.62858512604117889</v>
      </c>
      <c r="FO23">
        <v>0.62249045349118526</v>
      </c>
      <c r="FQ23" t="s">
        <v>860</v>
      </c>
      <c r="FR23" t="s">
        <v>127</v>
      </c>
      <c r="FS23" t="s">
        <v>128</v>
      </c>
      <c r="FT23">
        <v>0.44223181184913718</v>
      </c>
    </row>
    <row r="24" spans="2:176" x14ac:dyDescent="0.45">
      <c r="B24" t="s">
        <v>861</v>
      </c>
      <c r="C24" t="s">
        <v>123</v>
      </c>
      <c r="D24">
        <v>0.24812230335167315</v>
      </c>
      <c r="E24">
        <v>0.24938523208972263</v>
      </c>
      <c r="F24">
        <v>0.24327635170858705</v>
      </c>
      <c r="G24">
        <v>0.24846415672244326</v>
      </c>
      <c r="H24">
        <v>0.25263625379352</v>
      </c>
      <c r="I24">
        <v>0.25313042821724679</v>
      </c>
      <c r="J24">
        <v>0.24084085578483286</v>
      </c>
      <c r="K24">
        <v>0.24280623266300622</v>
      </c>
      <c r="L24">
        <v>0.22815350993895325</v>
      </c>
      <c r="M24">
        <v>0.23475216027933724</v>
      </c>
      <c r="N24">
        <v>0.28598209216541287</v>
      </c>
      <c r="O24">
        <v>0.28933500528614869</v>
      </c>
      <c r="P24">
        <v>0.28326511610319</v>
      </c>
      <c r="Q24">
        <v>0.29436402775206805</v>
      </c>
      <c r="R24">
        <v>0.2877736735366086</v>
      </c>
      <c r="S24">
        <v>0.27281892118331669</v>
      </c>
      <c r="T24">
        <v>0.26104569075931439</v>
      </c>
      <c r="U24">
        <v>0.25114930163756594</v>
      </c>
      <c r="V24">
        <v>0.2643223314803107</v>
      </c>
      <c r="W24">
        <v>0.27683923232393109</v>
      </c>
      <c r="X24">
        <v>0.32091627438345771</v>
      </c>
      <c r="Y24">
        <v>0.31654308178712848</v>
      </c>
      <c r="Z24">
        <v>0.32318795640981185</v>
      </c>
      <c r="AA24">
        <v>0.32116358692425895</v>
      </c>
      <c r="AB24">
        <v>0.34062248155464109</v>
      </c>
      <c r="AC24">
        <v>0.32624003261930901</v>
      </c>
      <c r="AD24">
        <v>0.31882682212725977</v>
      </c>
      <c r="AE24">
        <v>0.30694756258833605</v>
      </c>
      <c r="AF24">
        <v>0.31589453199279255</v>
      </c>
      <c r="AG24">
        <v>0.32296365553143441</v>
      </c>
      <c r="AH24">
        <v>0.2431573537577196</v>
      </c>
      <c r="AI24">
        <v>0.25096557480137177</v>
      </c>
      <c r="AJ24">
        <v>0.25159556061688942</v>
      </c>
      <c r="AK24">
        <v>0.27336695786635662</v>
      </c>
      <c r="AL24">
        <v>0.26521458444790214</v>
      </c>
      <c r="AM24">
        <v>0.25265377054848831</v>
      </c>
      <c r="AN24">
        <v>0.24892327365590441</v>
      </c>
      <c r="AO24">
        <v>0.24941454509050098</v>
      </c>
      <c r="AP24">
        <v>0.25990174728479171</v>
      </c>
      <c r="AQ24">
        <v>0.24809355095218724</v>
      </c>
      <c r="EA24" t="s">
        <v>861</v>
      </c>
      <c r="EB24">
        <v>0.65409110258540348</v>
      </c>
      <c r="EC24">
        <v>0.65087971181815696</v>
      </c>
      <c r="ED24">
        <v>0.65241113102917248</v>
      </c>
      <c r="EE24">
        <v>0.64398451997613948</v>
      </c>
      <c r="EF24">
        <v>0.64991341598829933</v>
      </c>
      <c r="EG24">
        <v>0.65033320770663627</v>
      </c>
      <c r="EH24">
        <v>0.66353520236702423</v>
      </c>
      <c r="EI24">
        <v>0.64856908917427059</v>
      </c>
      <c r="EJ24">
        <v>0.65563654450492725</v>
      </c>
      <c r="EK24">
        <v>0.64953579403873951</v>
      </c>
      <c r="EL24">
        <v>0.58410354244583484</v>
      </c>
      <c r="EM24">
        <v>0.55932964229799365</v>
      </c>
      <c r="EN24">
        <v>0.55060921943463059</v>
      </c>
      <c r="EO24">
        <v>0.55076836277831998</v>
      </c>
      <c r="EP24">
        <v>0.56309994969785249</v>
      </c>
      <c r="EQ24">
        <v>0.58704955878151255</v>
      </c>
      <c r="ER24">
        <v>0.60493057870063116</v>
      </c>
      <c r="ES24">
        <v>0.61846388276393083</v>
      </c>
      <c r="ET24">
        <v>0.61052479633919732</v>
      </c>
      <c r="EU24">
        <v>0.60335562449367042</v>
      </c>
      <c r="EV24">
        <v>0.43017594550088373</v>
      </c>
      <c r="EW24">
        <v>0.45122357274775149</v>
      </c>
      <c r="EX24">
        <v>0.43906637526980258</v>
      </c>
      <c r="EY24">
        <v>0.41882945165675861</v>
      </c>
      <c r="EZ24">
        <v>0.40303476940101496</v>
      </c>
      <c r="FA24">
        <v>0.41064903118429991</v>
      </c>
      <c r="FB24">
        <v>0.426710902399424</v>
      </c>
      <c r="FC24">
        <v>0.42095162966364547</v>
      </c>
      <c r="FD24">
        <v>0.40487533067504916</v>
      </c>
      <c r="FE24">
        <v>0.39243122771807498</v>
      </c>
      <c r="FF24">
        <v>0.62118032689073255</v>
      </c>
      <c r="FG24">
        <v>0.62326800803510618</v>
      </c>
      <c r="FH24">
        <v>0.61928813081173284</v>
      </c>
      <c r="FI24">
        <v>0.6101853740401566</v>
      </c>
      <c r="FJ24">
        <v>0.61626506206876297</v>
      </c>
      <c r="FK24">
        <v>0.62888865915874204</v>
      </c>
      <c r="FL24">
        <v>0.63468543687773926</v>
      </c>
      <c r="FM24">
        <v>0.63193106501885166</v>
      </c>
      <c r="FN24">
        <v>0.62587934486046026</v>
      </c>
      <c r="FO24">
        <v>0.62887301404479445</v>
      </c>
      <c r="FQ24" t="s">
        <v>862</v>
      </c>
      <c r="FR24" t="s">
        <v>127</v>
      </c>
      <c r="FS24" t="s">
        <v>128</v>
      </c>
      <c r="FT24">
        <v>0.44192788377248993</v>
      </c>
    </row>
    <row r="25" spans="2:176" x14ac:dyDescent="0.45">
      <c r="B25" t="s">
        <v>863</v>
      </c>
      <c r="C25" t="s">
        <v>123</v>
      </c>
      <c r="D25">
        <v>0.24995307961958152</v>
      </c>
      <c r="E25">
        <v>0.24988298958158051</v>
      </c>
      <c r="F25">
        <v>0.25200508065175203</v>
      </c>
      <c r="G25">
        <v>0.25250832519261163</v>
      </c>
      <c r="H25">
        <v>0.25318480679709832</v>
      </c>
      <c r="I25">
        <v>0.25729266778633081</v>
      </c>
      <c r="J25">
        <v>0.24678474030169406</v>
      </c>
      <c r="K25">
        <v>0.24822928925491175</v>
      </c>
      <c r="L25">
        <v>0.23564758602024335</v>
      </c>
      <c r="M25">
        <v>0.23594750727441979</v>
      </c>
      <c r="N25">
        <v>0.29135028755468489</v>
      </c>
      <c r="O25">
        <v>0.29939397783077221</v>
      </c>
      <c r="P25">
        <v>0.28516291037913327</v>
      </c>
      <c r="Q25">
        <v>0.29244460831190594</v>
      </c>
      <c r="R25">
        <v>0.28362849799421502</v>
      </c>
      <c r="S25">
        <v>0.27600043461883617</v>
      </c>
      <c r="T25">
        <v>0.26349216994386127</v>
      </c>
      <c r="U25">
        <v>0.24698670413211149</v>
      </c>
      <c r="V25">
        <v>0.24900424777706387</v>
      </c>
      <c r="W25">
        <v>0.26234678312276416</v>
      </c>
      <c r="X25">
        <v>0.33038204433453122</v>
      </c>
      <c r="Y25">
        <v>0.32637638663855889</v>
      </c>
      <c r="Z25">
        <v>0.32865141394514857</v>
      </c>
      <c r="AA25">
        <v>0.32791202537593284</v>
      </c>
      <c r="AB25">
        <v>0.33995975292761077</v>
      </c>
      <c r="AC25">
        <v>0.3201989322779501</v>
      </c>
      <c r="AD25">
        <v>0.31099121648496264</v>
      </c>
      <c r="AE25">
        <v>0.31434241694699294</v>
      </c>
      <c r="AF25">
        <v>0.32048883806666861</v>
      </c>
      <c r="AG25">
        <v>0.33184093935194386</v>
      </c>
      <c r="AH25">
        <v>0.25294996764765798</v>
      </c>
      <c r="AI25">
        <v>0.24962586648013887</v>
      </c>
      <c r="AJ25">
        <v>0.25802831886191507</v>
      </c>
      <c r="AK25">
        <v>0.26922882234828038</v>
      </c>
      <c r="AL25">
        <v>0.26786531027376231</v>
      </c>
      <c r="AM25">
        <v>0.2543292399160903</v>
      </c>
      <c r="AN25">
        <v>0.24823112986144838</v>
      </c>
      <c r="AO25">
        <v>0.24559744246811749</v>
      </c>
      <c r="AP25">
        <v>0.25629718736745949</v>
      </c>
      <c r="AQ25">
        <v>0.25888148920841975</v>
      </c>
      <c r="EA25" t="s">
        <v>863</v>
      </c>
      <c r="EB25">
        <v>0.65391613114832181</v>
      </c>
      <c r="EC25">
        <v>0.64949680081206473</v>
      </c>
      <c r="ED25">
        <v>0.64671335746534164</v>
      </c>
      <c r="EE25">
        <v>0.64928190089348292</v>
      </c>
      <c r="EF25">
        <v>0.65906219717550507</v>
      </c>
      <c r="EG25">
        <v>0.6537273853874972</v>
      </c>
      <c r="EH25">
        <v>0.66403953760034506</v>
      </c>
      <c r="EI25">
        <v>0.65111074847162753</v>
      </c>
      <c r="EJ25">
        <v>0.65823017357745106</v>
      </c>
      <c r="EK25">
        <v>0.65147369605730532</v>
      </c>
      <c r="EL25">
        <v>0.58192810308208442</v>
      </c>
      <c r="EM25">
        <v>0.56284182582495978</v>
      </c>
      <c r="EN25">
        <v>0.56452128230644716</v>
      </c>
      <c r="EO25">
        <v>0.56451072237383493</v>
      </c>
      <c r="EP25">
        <v>0.57606425219336932</v>
      </c>
      <c r="EQ25">
        <v>0.5930645471013597</v>
      </c>
      <c r="ER25">
        <v>0.61131792119704187</v>
      </c>
      <c r="ES25">
        <v>0.61681001894074772</v>
      </c>
      <c r="ET25">
        <v>0.61649487610860809</v>
      </c>
      <c r="EU25">
        <v>0.61390229102487315</v>
      </c>
      <c r="EV25">
        <v>0.4318268172017744</v>
      </c>
      <c r="EW25">
        <v>0.44565151076708193</v>
      </c>
      <c r="EX25">
        <v>0.43565436324823403</v>
      </c>
      <c r="EY25">
        <v>0.42112235773959622</v>
      </c>
      <c r="EZ25">
        <v>0.41010835777927673</v>
      </c>
      <c r="FA25">
        <v>0.4223948709309891</v>
      </c>
      <c r="FB25">
        <v>0.43716848248099582</v>
      </c>
      <c r="FC25">
        <v>0.43051265256793197</v>
      </c>
      <c r="FD25">
        <v>0.40542730588703824</v>
      </c>
      <c r="FE25">
        <v>0.39171318636289326</v>
      </c>
      <c r="FF25">
        <v>0.62622147327248046</v>
      </c>
      <c r="FG25">
        <v>0.63356595211483246</v>
      </c>
      <c r="FH25">
        <v>0.6237147515690834</v>
      </c>
      <c r="FI25">
        <v>0.62062302566642602</v>
      </c>
      <c r="FJ25">
        <v>0.62310766061425082</v>
      </c>
      <c r="FK25">
        <v>0.63182649724594842</v>
      </c>
      <c r="FL25">
        <v>0.63645237648045994</v>
      </c>
      <c r="FM25">
        <v>0.64124750204455971</v>
      </c>
      <c r="FN25">
        <v>0.63466254081372375</v>
      </c>
      <c r="FO25">
        <v>0.63020263993669123</v>
      </c>
      <c r="FQ25" t="s">
        <v>864</v>
      </c>
      <c r="FR25" t="s">
        <v>127</v>
      </c>
      <c r="FS25" t="s">
        <v>128</v>
      </c>
      <c r="FT25">
        <v>0.58059807943959019</v>
      </c>
    </row>
    <row r="26" spans="2:176" x14ac:dyDescent="0.45">
      <c r="B26" t="s">
        <v>856</v>
      </c>
      <c r="C26" t="s">
        <v>123</v>
      </c>
      <c r="D26">
        <v>0.28209559495019443</v>
      </c>
      <c r="E26">
        <v>0.30175148169076416</v>
      </c>
      <c r="F26">
        <v>0.30230647352928502</v>
      </c>
      <c r="G26">
        <v>0.31356751176674175</v>
      </c>
      <c r="H26">
        <v>0.36422862578228082</v>
      </c>
      <c r="I26">
        <v>0.3678224566125457</v>
      </c>
      <c r="J26">
        <v>0.3573357703134773</v>
      </c>
      <c r="K26">
        <v>0.32804451550808145</v>
      </c>
      <c r="L26">
        <v>0.29766758705151608</v>
      </c>
      <c r="M26">
        <v>0.28361353469345879</v>
      </c>
      <c r="N26">
        <v>0.31320610798694459</v>
      </c>
      <c r="O26">
        <v>0.31405710867605663</v>
      </c>
      <c r="P26">
        <v>0.34268480873123819</v>
      </c>
      <c r="Q26">
        <v>0.36862105529925987</v>
      </c>
      <c r="R26">
        <v>0.37388440407370188</v>
      </c>
      <c r="S26">
        <v>0.35903787115547042</v>
      </c>
      <c r="T26">
        <v>0.34282357248588846</v>
      </c>
      <c r="U26">
        <v>0.33407915105064956</v>
      </c>
      <c r="V26">
        <v>0.31687015461707152</v>
      </c>
      <c r="W26">
        <v>0.30140012066161609</v>
      </c>
      <c r="X26">
        <v>0.29542658875097055</v>
      </c>
      <c r="Y26">
        <v>0.32239903694688876</v>
      </c>
      <c r="Z26">
        <v>0.4030199843195455</v>
      </c>
      <c r="AA26">
        <v>0.44214638462753658</v>
      </c>
      <c r="AB26">
        <v>0.39706896172877176</v>
      </c>
      <c r="AC26">
        <v>0.38452595419534635</v>
      </c>
      <c r="AD26">
        <v>0.39158630664653976</v>
      </c>
      <c r="AE26">
        <v>0.38475371399845243</v>
      </c>
      <c r="AF26">
        <v>0.35635261710597127</v>
      </c>
      <c r="AG26">
        <v>0.31721526618244156</v>
      </c>
      <c r="AH26">
        <v>0.32827642562015763</v>
      </c>
      <c r="AI26">
        <v>0.34145860101321712</v>
      </c>
      <c r="AJ26">
        <v>0.35740139330919485</v>
      </c>
      <c r="AK26">
        <v>0.39011717504980514</v>
      </c>
      <c r="AL26">
        <v>0.40444520213350238</v>
      </c>
      <c r="AM26">
        <v>0.37624557904248263</v>
      </c>
      <c r="AN26">
        <v>0.35484715341640355</v>
      </c>
      <c r="AO26">
        <v>0.33432179409834017</v>
      </c>
      <c r="AP26">
        <v>0.3218853899699804</v>
      </c>
      <c r="AQ26">
        <v>0.32470382786656327</v>
      </c>
      <c r="EA26" t="s">
        <v>856</v>
      </c>
      <c r="EB26">
        <v>0.42924914169695927</v>
      </c>
      <c r="EC26">
        <v>0.43278479826462585</v>
      </c>
      <c r="ED26">
        <v>0.43685410400547803</v>
      </c>
      <c r="EE26">
        <v>0.4322930441363782</v>
      </c>
      <c r="EF26">
        <v>0.36609296649006068</v>
      </c>
      <c r="EG26">
        <v>0.37263914252188357</v>
      </c>
      <c r="EH26">
        <v>0.38063842090048239</v>
      </c>
      <c r="EI26">
        <v>0.39956309567025144</v>
      </c>
      <c r="EJ26">
        <v>0.42608739121942324</v>
      </c>
      <c r="EK26">
        <v>0.43070771714116368</v>
      </c>
      <c r="EL26">
        <v>0.30906194824399336</v>
      </c>
      <c r="EM26">
        <v>0.30185337631074682</v>
      </c>
      <c r="EN26">
        <v>0.28960587355774908</v>
      </c>
      <c r="EO26">
        <v>0.29309779204595643</v>
      </c>
      <c r="EP26">
        <v>0.26084671071699206</v>
      </c>
      <c r="EQ26">
        <v>0.29012286546270089</v>
      </c>
      <c r="ER26">
        <v>0.29356450606128887</v>
      </c>
      <c r="ES26">
        <v>0.287872273288028</v>
      </c>
      <c r="ET26">
        <v>0.30326308723859474</v>
      </c>
      <c r="EU26">
        <v>0.327884080760664</v>
      </c>
      <c r="EV26">
        <v>0.2260664384673898</v>
      </c>
      <c r="EW26">
        <v>0.20061333326914638</v>
      </c>
      <c r="EX26">
        <v>0.17752932662676624</v>
      </c>
      <c r="EY26">
        <v>0.17220950885767541</v>
      </c>
      <c r="EZ26">
        <v>0.14891191697409384</v>
      </c>
      <c r="FA26">
        <v>0.18163502777956561</v>
      </c>
      <c r="FB26">
        <v>0.18847740317838912</v>
      </c>
      <c r="FC26">
        <v>0.18701602255244074</v>
      </c>
      <c r="FD26">
        <v>0.19839875775546012</v>
      </c>
      <c r="FE26">
        <v>0.23868956190113494</v>
      </c>
      <c r="FF26">
        <v>0.34864595886207161</v>
      </c>
      <c r="FG26">
        <v>0.34193612689580549</v>
      </c>
      <c r="FH26">
        <v>0.33540031039057505</v>
      </c>
      <c r="FI26">
        <v>0.31842252928823245</v>
      </c>
      <c r="FJ26">
        <v>0.27947894635042014</v>
      </c>
      <c r="FK26">
        <v>0.31755305005475093</v>
      </c>
      <c r="FL26">
        <v>0.32596884405320653</v>
      </c>
      <c r="FM26">
        <v>0.3245088169160199</v>
      </c>
      <c r="FN26">
        <v>0.3518086300417903</v>
      </c>
      <c r="FO26">
        <v>0.3781718880520189</v>
      </c>
      <c r="FQ26" t="s">
        <v>865</v>
      </c>
      <c r="FR26" t="s">
        <v>127</v>
      </c>
      <c r="FS26" t="s">
        <v>128</v>
      </c>
      <c r="FT26">
        <v>0.66232450749226568</v>
      </c>
    </row>
    <row r="27" spans="2:176" x14ac:dyDescent="0.45">
      <c r="B27" t="s">
        <v>858</v>
      </c>
      <c r="C27" t="s">
        <v>123</v>
      </c>
      <c r="D27">
        <v>0.31813774726085992</v>
      </c>
      <c r="E27">
        <v>0.3179163669678256</v>
      </c>
      <c r="F27">
        <v>0.32861017866215159</v>
      </c>
      <c r="G27">
        <v>0.33621336205234809</v>
      </c>
      <c r="H27">
        <v>0.36865801810711729</v>
      </c>
      <c r="I27">
        <v>0.37143161735620234</v>
      </c>
      <c r="J27">
        <v>0.36220828204042466</v>
      </c>
      <c r="K27">
        <v>0.33238173671752186</v>
      </c>
      <c r="L27">
        <v>0.31275894467887388</v>
      </c>
      <c r="M27">
        <v>0.31572047278850002</v>
      </c>
      <c r="N27">
        <v>0.3293320128871115</v>
      </c>
      <c r="O27">
        <v>0.31380055921662242</v>
      </c>
      <c r="P27">
        <v>0.35253835614139933</v>
      </c>
      <c r="Q27">
        <v>0.4043539448931211</v>
      </c>
      <c r="R27">
        <v>0.43270807922650872</v>
      </c>
      <c r="S27">
        <v>0.39535253130190656</v>
      </c>
      <c r="T27">
        <v>0.38627033313216702</v>
      </c>
      <c r="U27">
        <v>0.36653532893019264</v>
      </c>
      <c r="V27">
        <v>0.34037674384158728</v>
      </c>
      <c r="W27">
        <v>0.31830998519309295</v>
      </c>
      <c r="X27">
        <v>0.32512808496251699</v>
      </c>
      <c r="Y27">
        <v>0.31860984441964618</v>
      </c>
      <c r="Z27">
        <v>0.39201813986365663</v>
      </c>
      <c r="AA27">
        <v>0.44051437694052087</v>
      </c>
      <c r="AB27">
        <v>0.41307302180632444</v>
      </c>
      <c r="AC27">
        <v>0.40494705355750255</v>
      </c>
      <c r="AD27">
        <v>0.42658479697561047</v>
      </c>
      <c r="AE27">
        <v>0.41755440190876908</v>
      </c>
      <c r="AF27">
        <v>0.38458206442320725</v>
      </c>
      <c r="AG27">
        <v>0.352503435538017</v>
      </c>
      <c r="AH27">
        <v>0.33691754040503974</v>
      </c>
      <c r="AI27">
        <v>0.3613913178249174</v>
      </c>
      <c r="AJ27">
        <v>0.37957357720149615</v>
      </c>
      <c r="AK27">
        <v>0.39936744093477677</v>
      </c>
      <c r="AL27">
        <v>0.41601962438503348</v>
      </c>
      <c r="AM27">
        <v>0.38009659510694394</v>
      </c>
      <c r="AN27">
        <v>0.3640479171037681</v>
      </c>
      <c r="AO27">
        <v>0.34448913271278658</v>
      </c>
      <c r="AP27">
        <v>0.34429779564628005</v>
      </c>
      <c r="AQ27">
        <v>0.33713181768518519</v>
      </c>
      <c r="EA27" t="s">
        <v>858</v>
      </c>
      <c r="EB27">
        <v>0.41617930446922324</v>
      </c>
      <c r="EC27">
        <v>0.41235258003637504</v>
      </c>
      <c r="ED27">
        <v>0.40526915849452178</v>
      </c>
      <c r="EE27">
        <v>0.40739618318283022</v>
      </c>
      <c r="EF27">
        <v>0.34379153964636039</v>
      </c>
      <c r="EG27">
        <v>0.35635458038550827</v>
      </c>
      <c r="EH27">
        <v>0.3638542331253527</v>
      </c>
      <c r="EI27">
        <v>0.37761051299694964</v>
      </c>
      <c r="EJ27">
        <v>0.39763768352091439</v>
      </c>
      <c r="EK27">
        <v>0.40277506171128474</v>
      </c>
      <c r="EL27">
        <v>0.28278709400789742</v>
      </c>
      <c r="EM27">
        <v>0.28467074996171626</v>
      </c>
      <c r="EN27">
        <v>0.27091134115373672</v>
      </c>
      <c r="EO27">
        <v>0.26530971562868383</v>
      </c>
      <c r="EP27">
        <v>0.21858429206002158</v>
      </c>
      <c r="EQ27">
        <v>0.25409730711385653</v>
      </c>
      <c r="ER27">
        <v>0.26811515529723706</v>
      </c>
      <c r="ES27">
        <v>0.26204354365272525</v>
      </c>
      <c r="ET27">
        <v>0.2727192956246462</v>
      </c>
      <c r="EU27">
        <v>0.29547149013644147</v>
      </c>
      <c r="EV27">
        <v>0.2090209611631158</v>
      </c>
      <c r="EW27">
        <v>0.19353534308257273</v>
      </c>
      <c r="EX27">
        <v>0.16889197382422036</v>
      </c>
      <c r="EY27">
        <v>0.15428234638180632</v>
      </c>
      <c r="EZ27">
        <v>0.12949598074941321</v>
      </c>
      <c r="FA27">
        <v>0.15497225712244619</v>
      </c>
      <c r="FB27">
        <v>0.17139693248943738</v>
      </c>
      <c r="FC27">
        <v>0.16055696079753404</v>
      </c>
      <c r="FD27">
        <v>0.16047528498031136</v>
      </c>
      <c r="FE27">
        <v>0.21453911153812505</v>
      </c>
      <c r="FF27">
        <v>0.33814040465584827</v>
      </c>
      <c r="FG27">
        <v>0.32764962856316998</v>
      </c>
      <c r="FH27">
        <v>0.32453550575356938</v>
      </c>
      <c r="FI27">
        <v>0.31389179838855807</v>
      </c>
      <c r="FJ27">
        <v>0.26393021243641529</v>
      </c>
      <c r="FK27">
        <v>0.29626601772598538</v>
      </c>
      <c r="FL27">
        <v>0.2940589147681284</v>
      </c>
      <c r="FM27">
        <v>0.30055634216096666</v>
      </c>
      <c r="FN27">
        <v>0.34660743062931432</v>
      </c>
      <c r="FO27">
        <v>0.36768308266541033</v>
      </c>
      <c r="FQ27" t="s">
        <v>866</v>
      </c>
      <c r="FR27" t="s">
        <v>127</v>
      </c>
      <c r="FS27" t="s">
        <v>128</v>
      </c>
      <c r="FT27">
        <v>0.59915721884253448</v>
      </c>
    </row>
    <row r="28" spans="2:176" x14ac:dyDescent="0.45">
      <c r="B28" t="s">
        <v>860</v>
      </c>
      <c r="C28" t="s">
        <v>123</v>
      </c>
      <c r="D28">
        <v>0.29056136965268659</v>
      </c>
      <c r="E28">
        <v>0.31002264548317976</v>
      </c>
      <c r="F28">
        <v>0.30410675633833067</v>
      </c>
      <c r="G28">
        <v>0.31248418320726173</v>
      </c>
      <c r="H28">
        <v>0.36349017144118145</v>
      </c>
      <c r="I28">
        <v>0.3631126881735543</v>
      </c>
      <c r="J28">
        <v>0.3562609706348458</v>
      </c>
      <c r="K28">
        <v>0.31811081932679547</v>
      </c>
      <c r="L28">
        <v>0.28840928927609449</v>
      </c>
      <c r="M28">
        <v>0.28928052302443141</v>
      </c>
      <c r="N28">
        <v>0.31679828158336437</v>
      </c>
      <c r="O28">
        <v>0.31904565664322743</v>
      </c>
      <c r="P28">
        <v>0.34346576545653545</v>
      </c>
      <c r="Q28">
        <v>0.37936356862696158</v>
      </c>
      <c r="R28">
        <v>0.39795145778162999</v>
      </c>
      <c r="S28">
        <v>0.36745464620792717</v>
      </c>
      <c r="T28">
        <v>0.35743020945730875</v>
      </c>
      <c r="U28">
        <v>0.34259617886617211</v>
      </c>
      <c r="V28">
        <v>0.33067518601923079</v>
      </c>
      <c r="W28">
        <v>0.3205689124142021</v>
      </c>
      <c r="X28">
        <v>0.30516866133066012</v>
      </c>
      <c r="Y28">
        <v>0.31861452923642908</v>
      </c>
      <c r="Z28">
        <v>0.38875414727991381</v>
      </c>
      <c r="AA28">
        <v>0.43234352189108849</v>
      </c>
      <c r="AB28">
        <v>0.38959523107945426</v>
      </c>
      <c r="AC28">
        <v>0.39684970611251918</v>
      </c>
      <c r="AD28">
        <v>0.39822691558901963</v>
      </c>
      <c r="AE28">
        <v>0.37131291999776572</v>
      </c>
      <c r="AF28">
        <v>0.36066891088855535</v>
      </c>
      <c r="AG28">
        <v>0.34032571211512624</v>
      </c>
      <c r="AH28">
        <v>0.33459695592752647</v>
      </c>
      <c r="AI28">
        <v>0.35140757202543366</v>
      </c>
      <c r="AJ28">
        <v>0.36081578240974427</v>
      </c>
      <c r="AK28">
        <v>0.39123499042730908</v>
      </c>
      <c r="AL28">
        <v>0.40451382552632131</v>
      </c>
      <c r="AM28">
        <v>0.36620711447638726</v>
      </c>
      <c r="AN28">
        <v>0.34676141577839648</v>
      </c>
      <c r="AO28">
        <v>0.33212279633031894</v>
      </c>
      <c r="AP28">
        <v>0.33060749970356246</v>
      </c>
      <c r="AQ28">
        <v>0.33463570049428853</v>
      </c>
      <c r="EA28" t="s">
        <v>860</v>
      </c>
      <c r="EB28">
        <v>0.44240263871270336</v>
      </c>
      <c r="EC28">
        <v>0.43676143165683734</v>
      </c>
      <c r="ED28">
        <v>0.44295789642976607</v>
      </c>
      <c r="EE28">
        <v>0.44612299219889318</v>
      </c>
      <c r="EF28">
        <v>0.37458515185166946</v>
      </c>
      <c r="EG28">
        <v>0.38109924658921313</v>
      </c>
      <c r="EH28">
        <v>0.38701310696491215</v>
      </c>
      <c r="EI28">
        <v>0.40955709789283423</v>
      </c>
      <c r="EJ28">
        <v>0.42955656548553905</v>
      </c>
      <c r="EK28">
        <v>0.43659753790233807</v>
      </c>
      <c r="EL28">
        <v>0.32107468909971804</v>
      </c>
      <c r="EM28">
        <v>0.31051662731161161</v>
      </c>
      <c r="EN28">
        <v>0.29983441854816378</v>
      </c>
      <c r="EO28">
        <v>0.30839431265446232</v>
      </c>
      <c r="EP28">
        <v>0.28277463327543012</v>
      </c>
      <c r="EQ28">
        <v>0.3130811998676965</v>
      </c>
      <c r="ER28">
        <v>0.32316699751846306</v>
      </c>
      <c r="ES28">
        <v>0.30300051146898516</v>
      </c>
      <c r="ET28">
        <v>0.31341426047933141</v>
      </c>
      <c r="EU28">
        <v>0.33649082290237509</v>
      </c>
      <c r="EV28">
        <v>0.23982577017256143</v>
      </c>
      <c r="EW28">
        <v>0.21313835897027497</v>
      </c>
      <c r="EX28">
        <v>0.18381825311184247</v>
      </c>
      <c r="EY28">
        <v>0.1737738107844862</v>
      </c>
      <c r="EZ28">
        <v>0.14523861235834079</v>
      </c>
      <c r="FA28">
        <v>0.17964163301111716</v>
      </c>
      <c r="FB28">
        <v>0.19194391083214682</v>
      </c>
      <c r="FC28">
        <v>0.19377338240871464</v>
      </c>
      <c r="FD28">
        <v>0.20751343185798216</v>
      </c>
      <c r="FE28">
        <v>0.25081959273809351</v>
      </c>
      <c r="FF28">
        <v>0.35142479406180877</v>
      </c>
      <c r="FG28">
        <v>0.34565761363127145</v>
      </c>
      <c r="FH28">
        <v>0.34115000672577739</v>
      </c>
      <c r="FI28">
        <v>0.32618443928269741</v>
      </c>
      <c r="FJ28">
        <v>0.27999506921602396</v>
      </c>
      <c r="FK28">
        <v>0.32605422417463709</v>
      </c>
      <c r="FL28">
        <v>0.33395839113721415</v>
      </c>
      <c r="FM28">
        <v>0.3373725028153931</v>
      </c>
      <c r="FN28">
        <v>0.37653144534801858</v>
      </c>
      <c r="FO28">
        <v>0.38738801467852085</v>
      </c>
      <c r="FQ28" t="s">
        <v>867</v>
      </c>
      <c r="FR28" t="s">
        <v>127</v>
      </c>
      <c r="FS28" t="s">
        <v>128</v>
      </c>
      <c r="FT28">
        <v>0.46645558356831662</v>
      </c>
    </row>
    <row r="29" spans="2:176" x14ac:dyDescent="0.45">
      <c r="B29" t="s">
        <v>862</v>
      </c>
      <c r="C29" t="s">
        <v>123</v>
      </c>
      <c r="D29">
        <v>0.30448335254105913</v>
      </c>
      <c r="E29">
        <v>0.30263337623494058</v>
      </c>
      <c r="F29">
        <v>0.30500787544550451</v>
      </c>
      <c r="G29">
        <v>0.31025889436839432</v>
      </c>
      <c r="H29">
        <v>0.35853245104465664</v>
      </c>
      <c r="I29">
        <v>0.36707354463368325</v>
      </c>
      <c r="J29">
        <v>0.34992702298861922</v>
      </c>
      <c r="K29">
        <v>0.31623900937976873</v>
      </c>
      <c r="L29">
        <v>0.2910795039697619</v>
      </c>
      <c r="M29">
        <v>0.29233066507974037</v>
      </c>
      <c r="N29">
        <v>0.32205054141098038</v>
      </c>
      <c r="O29">
        <v>0.30977821791459792</v>
      </c>
      <c r="P29">
        <v>0.32532500614975313</v>
      </c>
      <c r="Q29">
        <v>0.36614736135661574</v>
      </c>
      <c r="R29">
        <v>0.39455025029921115</v>
      </c>
      <c r="S29">
        <v>0.3688618237936151</v>
      </c>
      <c r="T29">
        <v>0.35117238067776024</v>
      </c>
      <c r="U29">
        <v>0.339314045523327</v>
      </c>
      <c r="V29">
        <v>0.34744054265186192</v>
      </c>
      <c r="W29">
        <v>0.33492843805699296</v>
      </c>
      <c r="X29">
        <v>0.30386966881207389</v>
      </c>
      <c r="Y29">
        <v>0.30321048528686478</v>
      </c>
      <c r="Z29">
        <v>0.3687499987050768</v>
      </c>
      <c r="AA29">
        <v>0.4168313223987003</v>
      </c>
      <c r="AB29">
        <v>0.37984686987764238</v>
      </c>
      <c r="AC29">
        <v>0.40044049771688967</v>
      </c>
      <c r="AD29">
        <v>0.38043262928338523</v>
      </c>
      <c r="AE29">
        <v>0.36258895577934236</v>
      </c>
      <c r="AF29">
        <v>0.3698390176395141</v>
      </c>
      <c r="AG29">
        <v>0.33237567757847164</v>
      </c>
      <c r="AH29">
        <v>0.33787888572028552</v>
      </c>
      <c r="AI29">
        <v>0.35794098698741117</v>
      </c>
      <c r="AJ29">
        <v>0.3626035710396513</v>
      </c>
      <c r="AK29">
        <v>0.38257849755511592</v>
      </c>
      <c r="AL29">
        <v>0.39444118211497381</v>
      </c>
      <c r="AM29">
        <v>0.36927935745699253</v>
      </c>
      <c r="AN29">
        <v>0.34750127013233145</v>
      </c>
      <c r="AO29">
        <v>0.35285244318334907</v>
      </c>
      <c r="AP29">
        <v>0.33549475543206031</v>
      </c>
      <c r="AQ29">
        <v>0.32054649980763594</v>
      </c>
      <c r="EA29" t="s">
        <v>862</v>
      </c>
      <c r="EB29">
        <v>0.4429223199825113</v>
      </c>
      <c r="EC29">
        <v>0.43365130942159641</v>
      </c>
      <c r="ED29">
        <v>0.4402346866981437</v>
      </c>
      <c r="EE29">
        <v>0.44465821539181183</v>
      </c>
      <c r="EF29">
        <v>0.3805309634008962</v>
      </c>
      <c r="EG29">
        <v>0.38561632949600205</v>
      </c>
      <c r="EH29">
        <v>0.39092252225770302</v>
      </c>
      <c r="EI29">
        <v>0.40927641116884639</v>
      </c>
      <c r="EJ29">
        <v>0.4280795579090611</v>
      </c>
      <c r="EK29">
        <v>0.44099352910631784</v>
      </c>
      <c r="EL29">
        <v>0.3397063141789935</v>
      </c>
      <c r="EM29">
        <v>0.3391988835165925</v>
      </c>
      <c r="EN29">
        <v>0.32584190878855146</v>
      </c>
      <c r="EO29">
        <v>0.32071615405932435</v>
      </c>
      <c r="EP29">
        <v>0.28947852651396283</v>
      </c>
      <c r="EQ29">
        <v>0.3292713482141667</v>
      </c>
      <c r="ER29">
        <v>0.33964286372824776</v>
      </c>
      <c r="ES29">
        <v>0.31604484742780664</v>
      </c>
      <c r="ET29">
        <v>0.3142527789193833</v>
      </c>
      <c r="EU29">
        <v>0.33948379555595631</v>
      </c>
      <c r="EV29">
        <v>0.25449186940070079</v>
      </c>
      <c r="EW29">
        <v>0.22282296665134313</v>
      </c>
      <c r="EX29">
        <v>0.19324616760739288</v>
      </c>
      <c r="EY29">
        <v>0.18557961909075105</v>
      </c>
      <c r="EZ29">
        <v>0.152582286743184</v>
      </c>
      <c r="FA29">
        <v>0.18888181520236211</v>
      </c>
      <c r="FB29">
        <v>0.20274464341649867</v>
      </c>
      <c r="FC29">
        <v>0.20496913166362388</v>
      </c>
      <c r="FD29">
        <v>0.21970006349653451</v>
      </c>
      <c r="FE29">
        <v>0.26473568581496837</v>
      </c>
      <c r="FF29">
        <v>0.35614591244362542</v>
      </c>
      <c r="FG29">
        <v>0.34860200433388022</v>
      </c>
      <c r="FH29">
        <v>0.35124674628892977</v>
      </c>
      <c r="FI29">
        <v>0.33041432972135187</v>
      </c>
      <c r="FJ29">
        <v>0.29102243441745518</v>
      </c>
      <c r="FK29">
        <v>0.33892056546020477</v>
      </c>
      <c r="FL29">
        <v>0.34582735313701313</v>
      </c>
      <c r="FM29">
        <v>0.36761811148224316</v>
      </c>
      <c r="FN29">
        <v>0.39016872476837544</v>
      </c>
      <c r="FO29">
        <v>0.3893263320636427</v>
      </c>
      <c r="FQ29" t="s">
        <v>868</v>
      </c>
      <c r="FR29" t="s">
        <v>127</v>
      </c>
      <c r="FS29" t="s">
        <v>128</v>
      </c>
      <c r="FT29">
        <v>0.50649699347711785</v>
      </c>
    </row>
    <row r="30" spans="2:176" x14ac:dyDescent="0.45">
      <c r="B30" t="s">
        <v>864</v>
      </c>
      <c r="C30" t="s">
        <v>123</v>
      </c>
      <c r="D30">
        <v>0.25520269227620407</v>
      </c>
      <c r="E30">
        <v>0.25108112090845064</v>
      </c>
      <c r="F30">
        <v>0.25580464366721906</v>
      </c>
      <c r="G30">
        <v>0.26606394532905558</v>
      </c>
      <c r="H30">
        <v>0.28372859807194017</v>
      </c>
      <c r="I30">
        <v>0.28403951154243939</v>
      </c>
      <c r="J30">
        <v>0.28445439065340439</v>
      </c>
      <c r="K30">
        <v>0.27341767606283995</v>
      </c>
      <c r="L30">
        <v>0.25550580388300992</v>
      </c>
      <c r="M30">
        <v>0.2460387079764236</v>
      </c>
      <c r="N30">
        <v>0.28745240998294697</v>
      </c>
      <c r="O30">
        <v>0.28492191240559028</v>
      </c>
      <c r="P30">
        <v>0.3088145707867212</v>
      </c>
      <c r="Q30">
        <v>0.31560820729073374</v>
      </c>
      <c r="R30">
        <v>0.31209700588611611</v>
      </c>
      <c r="S30">
        <v>0.29985593132477611</v>
      </c>
      <c r="T30">
        <v>0.28517393730852225</v>
      </c>
      <c r="U30">
        <v>0.28103128918424736</v>
      </c>
      <c r="V30">
        <v>0.2739848898351418</v>
      </c>
      <c r="W30">
        <v>0.28026029112917361</v>
      </c>
      <c r="X30">
        <v>0.29338285053382834</v>
      </c>
      <c r="Y30">
        <v>0.30274065380582188</v>
      </c>
      <c r="Z30">
        <v>0.33578137033067762</v>
      </c>
      <c r="AA30">
        <v>0.3476774938612055</v>
      </c>
      <c r="AB30">
        <v>0.33472178055484214</v>
      </c>
      <c r="AC30">
        <v>0.32837820654072047</v>
      </c>
      <c r="AD30">
        <v>0.31502521048755039</v>
      </c>
      <c r="AE30">
        <v>0.31772633365110042</v>
      </c>
      <c r="AF30">
        <v>0.32152762514234756</v>
      </c>
      <c r="AG30">
        <v>0.31483934705163413</v>
      </c>
      <c r="AH30">
        <v>0.25138684045216247</v>
      </c>
      <c r="AI30">
        <v>0.27529712726480876</v>
      </c>
      <c r="AJ30">
        <v>0.2863882662023744</v>
      </c>
      <c r="AK30">
        <v>0.29531407730810172</v>
      </c>
      <c r="AL30">
        <v>0.28460183345888951</v>
      </c>
      <c r="AM30">
        <v>0.28458739951934137</v>
      </c>
      <c r="AN30">
        <v>0.27785857960851884</v>
      </c>
      <c r="AO30">
        <v>0.27644825950066299</v>
      </c>
      <c r="AP30">
        <v>0.27183688555043778</v>
      </c>
      <c r="AQ30">
        <v>0.26063555232235608</v>
      </c>
      <c r="EA30" t="s">
        <v>864</v>
      </c>
      <c r="EB30">
        <v>0.58318458778951865</v>
      </c>
      <c r="EC30">
        <v>0.58405139877401702</v>
      </c>
      <c r="ED30">
        <v>0.58535327634172396</v>
      </c>
      <c r="EE30">
        <v>0.58195092380549795</v>
      </c>
      <c r="EF30">
        <v>0.56361859989183205</v>
      </c>
      <c r="EG30">
        <v>0.5647785760144034</v>
      </c>
      <c r="EH30">
        <v>0.56477925202675183</v>
      </c>
      <c r="EI30">
        <v>0.5827130233714739</v>
      </c>
      <c r="EJ30">
        <v>0.58893868050800868</v>
      </c>
      <c r="EK30">
        <v>0.58921719896253333</v>
      </c>
      <c r="EL30">
        <v>0.49751315050389444</v>
      </c>
      <c r="EM30">
        <v>0.48290325423472147</v>
      </c>
      <c r="EN30">
        <v>0.45979055677085062</v>
      </c>
      <c r="EO30">
        <v>0.45184116776625949</v>
      </c>
      <c r="EP30">
        <v>0.44014921554580849</v>
      </c>
      <c r="EQ30">
        <v>0.45825918346355798</v>
      </c>
      <c r="ER30">
        <v>0.48605289894437992</v>
      </c>
      <c r="ES30">
        <v>0.4938716431460719</v>
      </c>
      <c r="ET30">
        <v>0.5141040109137186</v>
      </c>
      <c r="EU30">
        <v>0.50963920872150548</v>
      </c>
      <c r="EV30">
        <v>0.36315657076614755</v>
      </c>
      <c r="EW30">
        <v>0.35825649634133283</v>
      </c>
      <c r="EX30">
        <v>0.34229484868761378</v>
      </c>
      <c r="EY30">
        <v>0.34114389544423857</v>
      </c>
      <c r="EZ30">
        <v>0.32750332351340183</v>
      </c>
      <c r="FA30">
        <v>0.35583585599841072</v>
      </c>
      <c r="FB30">
        <v>0.37849852616898538</v>
      </c>
      <c r="FC30">
        <v>0.3728015637484362</v>
      </c>
      <c r="FD30">
        <v>0.35912866643306762</v>
      </c>
      <c r="FE30">
        <v>0.36966350958409416</v>
      </c>
      <c r="FF30">
        <v>0.53195192852146445</v>
      </c>
      <c r="FG30">
        <v>0.51777499922774417</v>
      </c>
      <c r="FH30">
        <v>0.5140486195720636</v>
      </c>
      <c r="FI30">
        <v>0.51481899839149659</v>
      </c>
      <c r="FJ30">
        <v>0.49501070353407267</v>
      </c>
      <c r="FK30">
        <v>0.51352930840294875</v>
      </c>
      <c r="FL30">
        <v>0.53396535193664818</v>
      </c>
      <c r="FM30">
        <v>0.52713314623114016</v>
      </c>
      <c r="FN30">
        <v>0.5308643873982144</v>
      </c>
      <c r="FO30">
        <v>0.53982221579355882</v>
      </c>
      <c r="FQ30" t="s">
        <v>869</v>
      </c>
      <c r="FR30" t="s">
        <v>127</v>
      </c>
      <c r="FS30" t="s">
        <v>128</v>
      </c>
      <c r="FT30">
        <v>0.52832435087680263</v>
      </c>
    </row>
    <row r="31" spans="2:176" x14ac:dyDescent="0.45">
      <c r="B31" t="s">
        <v>865</v>
      </c>
      <c r="C31" t="s">
        <v>123</v>
      </c>
      <c r="D31">
        <v>0.2260061893649461</v>
      </c>
      <c r="E31">
        <v>0.23518691051982576</v>
      </c>
      <c r="F31">
        <v>0.23887992572904407</v>
      </c>
      <c r="G31">
        <v>0.23882617025532255</v>
      </c>
      <c r="H31">
        <v>0.24833996793462321</v>
      </c>
      <c r="I31">
        <v>0.25968850636411989</v>
      </c>
      <c r="J31">
        <v>0.25406659012865351</v>
      </c>
      <c r="K31">
        <v>0.23146707718802526</v>
      </c>
      <c r="L31">
        <v>0.21604544259949235</v>
      </c>
      <c r="M31">
        <v>0.20808801266694205</v>
      </c>
      <c r="N31">
        <v>0.26022273896668902</v>
      </c>
      <c r="O31">
        <v>0.27226222984687215</v>
      </c>
      <c r="P31">
        <v>0.27961825701548182</v>
      </c>
      <c r="Q31">
        <v>0.27829889035152877</v>
      </c>
      <c r="R31">
        <v>0.27723521461054951</v>
      </c>
      <c r="S31">
        <v>0.25443591354263712</v>
      </c>
      <c r="T31">
        <v>0.24510927383416595</v>
      </c>
      <c r="U31">
        <v>0.23943414369204777</v>
      </c>
      <c r="V31">
        <v>0.2337326174945927</v>
      </c>
      <c r="W31">
        <v>0.24867138449028428</v>
      </c>
      <c r="X31">
        <v>0.28326562287299817</v>
      </c>
      <c r="Y31">
        <v>0.29161338492162547</v>
      </c>
      <c r="Z31">
        <v>0.29853779393954172</v>
      </c>
      <c r="AA31">
        <v>0.29320805787194437</v>
      </c>
      <c r="AB31">
        <v>0.3097701368220761</v>
      </c>
      <c r="AC31">
        <v>0.32438709006710981</v>
      </c>
      <c r="AD31">
        <v>0.31896754204970285</v>
      </c>
      <c r="AE31">
        <v>0.30803307862863588</v>
      </c>
      <c r="AF31">
        <v>0.30672490677447534</v>
      </c>
      <c r="AG31">
        <v>0.30137222124516161</v>
      </c>
      <c r="AH31">
        <v>0.24968736952723802</v>
      </c>
      <c r="AI31">
        <v>0.26098498670289211</v>
      </c>
      <c r="AJ31">
        <v>0.26088745067257851</v>
      </c>
      <c r="AK31">
        <v>0.25188403674695725</v>
      </c>
      <c r="AL31">
        <v>0.26246714140592953</v>
      </c>
      <c r="AM31">
        <v>0.25498390680323224</v>
      </c>
      <c r="AN31">
        <v>0.24578976169317662</v>
      </c>
      <c r="AO31">
        <v>0.24105702643855825</v>
      </c>
      <c r="AP31">
        <v>0.24376675367060968</v>
      </c>
      <c r="AQ31">
        <v>0.24903700890429109</v>
      </c>
      <c r="EA31" t="s">
        <v>865</v>
      </c>
      <c r="EB31">
        <v>0.66521482198994031</v>
      </c>
      <c r="EC31">
        <v>0.65531437982223095</v>
      </c>
      <c r="ED31">
        <v>0.65423693194448007</v>
      </c>
      <c r="EE31">
        <v>0.65006236188747546</v>
      </c>
      <c r="EF31">
        <v>0.63904506915228265</v>
      </c>
      <c r="EG31">
        <v>0.63129779538422559</v>
      </c>
      <c r="EH31">
        <v>0.64220400567020564</v>
      </c>
      <c r="EI31">
        <v>0.6663394935802579</v>
      </c>
      <c r="EJ31">
        <v>0.67279519670442367</v>
      </c>
      <c r="EK31">
        <v>0.66837096704276322</v>
      </c>
      <c r="EL31">
        <v>0.59580763856158148</v>
      </c>
      <c r="EM31">
        <v>0.5686701339695811</v>
      </c>
      <c r="EN31">
        <v>0.55707247682672423</v>
      </c>
      <c r="EO31">
        <v>0.56134577976145994</v>
      </c>
      <c r="EP31">
        <v>0.54116103584313746</v>
      </c>
      <c r="EQ31">
        <v>0.56207188452161339</v>
      </c>
      <c r="ER31">
        <v>0.59265607979670765</v>
      </c>
      <c r="ES31">
        <v>0.61738549234561635</v>
      </c>
      <c r="ET31">
        <v>0.63649477211886829</v>
      </c>
      <c r="EU31">
        <v>0.62144999227419628</v>
      </c>
      <c r="EV31">
        <v>0.44726506849180458</v>
      </c>
      <c r="EW31">
        <v>0.45335353696499725</v>
      </c>
      <c r="EX31">
        <v>0.44294520273610688</v>
      </c>
      <c r="EY31">
        <v>0.44047855594985363</v>
      </c>
      <c r="EZ31">
        <v>0.40398851216290721</v>
      </c>
      <c r="FA31">
        <v>0.41648455678997048</v>
      </c>
      <c r="FB31">
        <v>0.43353590899508432</v>
      </c>
      <c r="FC31">
        <v>0.44086543149780871</v>
      </c>
      <c r="FD31">
        <v>0.43968735441955648</v>
      </c>
      <c r="FE31">
        <v>0.44683990746491453</v>
      </c>
      <c r="FF31">
        <v>0.61203046538754702</v>
      </c>
      <c r="FG31">
        <v>0.5931280774452361</v>
      </c>
      <c r="FH31">
        <v>0.59145536870270465</v>
      </c>
      <c r="FI31">
        <v>0.60158398147750847</v>
      </c>
      <c r="FJ31">
        <v>0.58999503806234654</v>
      </c>
      <c r="FK31">
        <v>0.60874533411496878</v>
      </c>
      <c r="FL31">
        <v>0.62620668919452693</v>
      </c>
      <c r="FM31">
        <v>0.6304888567508401</v>
      </c>
      <c r="FN31">
        <v>0.62824223899129139</v>
      </c>
      <c r="FO31">
        <v>0.63057016377128072</v>
      </c>
      <c r="FQ31" t="s">
        <v>855</v>
      </c>
      <c r="FR31" t="s">
        <v>127</v>
      </c>
      <c r="FS31" t="s">
        <v>128</v>
      </c>
      <c r="FT31">
        <v>0.64713010543491689</v>
      </c>
    </row>
    <row r="32" spans="2:176" x14ac:dyDescent="0.45">
      <c r="B32" t="s">
        <v>866</v>
      </c>
      <c r="C32" t="s">
        <v>123</v>
      </c>
      <c r="D32">
        <v>0.24504558224296283</v>
      </c>
      <c r="E32">
        <v>0.24886168370379008</v>
      </c>
      <c r="F32">
        <v>0.24897851759794368</v>
      </c>
      <c r="G32">
        <v>0.25777517124441113</v>
      </c>
      <c r="H32">
        <v>0.2948607813310804</v>
      </c>
      <c r="I32">
        <v>0.29326785616501927</v>
      </c>
      <c r="J32">
        <v>0.28485983576222318</v>
      </c>
      <c r="K32">
        <v>0.26077155149031189</v>
      </c>
      <c r="L32">
        <v>0.23373854153681989</v>
      </c>
      <c r="M32">
        <v>0.22789765920736027</v>
      </c>
      <c r="N32">
        <v>0.28055423731039442</v>
      </c>
      <c r="O32">
        <v>0.28013673420897373</v>
      </c>
      <c r="P32">
        <v>0.2981814998977555</v>
      </c>
      <c r="Q32">
        <v>0.29753103051656221</v>
      </c>
      <c r="R32">
        <v>0.30581208856344394</v>
      </c>
      <c r="S32">
        <v>0.27960421451576206</v>
      </c>
      <c r="T32">
        <v>0.26692048339591862</v>
      </c>
      <c r="U32">
        <v>0.25335651421287014</v>
      </c>
      <c r="V32">
        <v>0.24680833876155123</v>
      </c>
      <c r="W32">
        <v>0.25687816394162438</v>
      </c>
      <c r="X32">
        <v>0.29351583022322353</v>
      </c>
      <c r="Y32">
        <v>0.31002889925747801</v>
      </c>
      <c r="Z32">
        <v>0.33591641663590249</v>
      </c>
      <c r="AA32">
        <v>0.33752755997167028</v>
      </c>
      <c r="AB32">
        <v>0.35411000489745631</v>
      </c>
      <c r="AC32">
        <v>0.34050168581464491</v>
      </c>
      <c r="AD32">
        <v>0.33244666502032244</v>
      </c>
      <c r="AE32">
        <v>0.33287061186118538</v>
      </c>
      <c r="AF32">
        <v>0.32489482539009529</v>
      </c>
      <c r="AG32">
        <v>0.33017571179769539</v>
      </c>
      <c r="AH32">
        <v>0.29351770743184719</v>
      </c>
      <c r="AI32">
        <v>0.30092447518687748</v>
      </c>
      <c r="AJ32">
        <v>0.30166317274916266</v>
      </c>
      <c r="AK32">
        <v>0.29367395250861389</v>
      </c>
      <c r="AL32">
        <v>0.29986585849261577</v>
      </c>
      <c r="AM32">
        <v>0.29897722961042023</v>
      </c>
      <c r="AN32">
        <v>0.28702614033390156</v>
      </c>
      <c r="AO32">
        <v>0.28751827499326094</v>
      </c>
      <c r="AP32">
        <v>0.27545079504037595</v>
      </c>
      <c r="AQ32">
        <v>0.27679449092715025</v>
      </c>
      <c r="EA32" t="s">
        <v>866</v>
      </c>
      <c r="EB32">
        <v>0.59477429125808534</v>
      </c>
      <c r="EC32">
        <v>0.58450739587959144</v>
      </c>
      <c r="ED32">
        <v>0.5902855064319783</v>
      </c>
      <c r="EE32">
        <v>0.58668967770648373</v>
      </c>
      <c r="EF32">
        <v>0.54263970386444838</v>
      </c>
      <c r="EG32">
        <v>0.54343131960402868</v>
      </c>
      <c r="EH32">
        <v>0.55455393830848354</v>
      </c>
      <c r="EI32">
        <v>0.58482972384783827</v>
      </c>
      <c r="EJ32">
        <v>0.6045171862392793</v>
      </c>
      <c r="EK32">
        <v>0.60545116058984116</v>
      </c>
      <c r="EL32">
        <v>0.49793899555188548</v>
      </c>
      <c r="EM32">
        <v>0.48727684592952974</v>
      </c>
      <c r="EN32">
        <v>0.4742277834831376</v>
      </c>
      <c r="EO32">
        <v>0.47166308248879668</v>
      </c>
      <c r="EP32">
        <v>0.43250961211600014</v>
      </c>
      <c r="EQ32">
        <v>0.45386557896876473</v>
      </c>
      <c r="ER32">
        <v>0.48152985731851</v>
      </c>
      <c r="ES32">
        <v>0.50622182553372364</v>
      </c>
      <c r="ET32">
        <v>0.53131439735376251</v>
      </c>
      <c r="EU32">
        <v>0.53519589776944898</v>
      </c>
      <c r="EV32">
        <v>0.36869423283930031</v>
      </c>
      <c r="EW32">
        <v>0.3496174186484699</v>
      </c>
      <c r="EX32">
        <v>0.32865940074241129</v>
      </c>
      <c r="EY32">
        <v>0.3376545085919207</v>
      </c>
      <c r="EZ32">
        <v>0.30036664847562539</v>
      </c>
      <c r="FA32">
        <v>0.3297265759125021</v>
      </c>
      <c r="FB32">
        <v>0.34652332766016331</v>
      </c>
      <c r="FC32">
        <v>0.34906309766710603</v>
      </c>
      <c r="FD32">
        <v>0.35285072534175166</v>
      </c>
      <c r="FE32">
        <v>0.37427650518996397</v>
      </c>
      <c r="FF32">
        <v>0.50670428682817736</v>
      </c>
      <c r="FG32">
        <v>0.49630394604136768</v>
      </c>
      <c r="FH32">
        <v>0.49526296782518464</v>
      </c>
      <c r="FI32">
        <v>0.50512494561275423</v>
      </c>
      <c r="FJ32">
        <v>0.47452586251115436</v>
      </c>
      <c r="FK32">
        <v>0.51039288803368477</v>
      </c>
      <c r="FL32">
        <v>0.52919690987528645</v>
      </c>
      <c r="FM32">
        <v>0.52787411616030211</v>
      </c>
      <c r="FN32">
        <v>0.53473157645713609</v>
      </c>
      <c r="FO32">
        <v>0.54054830845099389</v>
      </c>
      <c r="FQ32" t="s">
        <v>857</v>
      </c>
      <c r="FR32" t="s">
        <v>127</v>
      </c>
      <c r="FS32" t="s">
        <v>128</v>
      </c>
      <c r="FT32">
        <v>0.66126453595201451</v>
      </c>
    </row>
    <row r="33" spans="2:176" x14ac:dyDescent="0.45">
      <c r="B33" t="s">
        <v>867</v>
      </c>
      <c r="C33" t="s">
        <v>123</v>
      </c>
      <c r="D33">
        <v>0.28520179249176836</v>
      </c>
      <c r="E33">
        <v>0.2817291145094743</v>
      </c>
      <c r="F33">
        <v>0.29250386838031089</v>
      </c>
      <c r="G33">
        <v>0.30595874518343996</v>
      </c>
      <c r="H33">
        <v>0.34688365187796844</v>
      </c>
      <c r="I33">
        <v>0.34980034266015064</v>
      </c>
      <c r="J33">
        <v>0.33977756466811565</v>
      </c>
      <c r="K33">
        <v>0.3176324398495039</v>
      </c>
      <c r="L33">
        <v>0.29312658690854115</v>
      </c>
      <c r="M33">
        <v>0.28668100309597377</v>
      </c>
      <c r="N33">
        <v>0.31512121695808731</v>
      </c>
      <c r="O33">
        <v>0.30856074655582072</v>
      </c>
      <c r="P33">
        <v>0.34059412636652142</v>
      </c>
      <c r="Q33">
        <v>0.37322046402981252</v>
      </c>
      <c r="R33">
        <v>0.35626614548525398</v>
      </c>
      <c r="S33">
        <v>0.34514373595743897</v>
      </c>
      <c r="T33">
        <v>0.33043660605413089</v>
      </c>
      <c r="U33">
        <v>0.31854583037242135</v>
      </c>
      <c r="V33">
        <v>0.29039192073402553</v>
      </c>
      <c r="W33">
        <v>0.29470865224660303</v>
      </c>
      <c r="X33">
        <v>0.29273363654910833</v>
      </c>
      <c r="Y33">
        <v>0.31109532946173579</v>
      </c>
      <c r="Z33">
        <v>0.39217584525686444</v>
      </c>
      <c r="AA33">
        <v>0.42573536750428093</v>
      </c>
      <c r="AB33">
        <v>0.38880452154589457</v>
      </c>
      <c r="AC33">
        <v>0.36800524939688306</v>
      </c>
      <c r="AD33">
        <v>0.35501231975528758</v>
      </c>
      <c r="AE33">
        <v>0.34493849510250874</v>
      </c>
      <c r="AF33">
        <v>0.32924802979735152</v>
      </c>
      <c r="AG33">
        <v>0.29950956310016907</v>
      </c>
      <c r="AH33">
        <v>0.30934974563259948</v>
      </c>
      <c r="AI33">
        <v>0.3241363865926159</v>
      </c>
      <c r="AJ33">
        <v>0.33562260784344866</v>
      </c>
      <c r="AK33">
        <v>0.34773819726671973</v>
      </c>
      <c r="AL33">
        <v>0.35446495492731978</v>
      </c>
      <c r="AM33">
        <v>0.34267483162476076</v>
      </c>
      <c r="AN33">
        <v>0.33003296234524915</v>
      </c>
      <c r="AO33">
        <v>0.32499439738932567</v>
      </c>
      <c r="AP33">
        <v>0.31149390225043372</v>
      </c>
      <c r="AQ33">
        <v>0.30161415789114754</v>
      </c>
      <c r="EA33" t="s">
        <v>867</v>
      </c>
      <c r="EB33">
        <v>0.46569661820833319</v>
      </c>
      <c r="EC33">
        <v>0.46586846163975593</v>
      </c>
      <c r="ED33">
        <v>0.47320375293787975</v>
      </c>
      <c r="EE33">
        <v>0.46957633138606242</v>
      </c>
      <c r="EF33">
        <v>0.42717585139387931</v>
      </c>
      <c r="EG33">
        <v>0.43296069917566515</v>
      </c>
      <c r="EH33">
        <v>0.43148391552312576</v>
      </c>
      <c r="EI33">
        <v>0.44583511527383263</v>
      </c>
      <c r="EJ33">
        <v>0.47167608687916651</v>
      </c>
      <c r="EK33">
        <v>0.47263693272772189</v>
      </c>
      <c r="EL33">
        <v>0.35479866495840007</v>
      </c>
      <c r="EM33">
        <v>0.35400872880610751</v>
      </c>
      <c r="EN33">
        <v>0.33624388431650781</v>
      </c>
      <c r="EO33">
        <v>0.32889986663336801</v>
      </c>
      <c r="EP33">
        <v>0.3078295686715477</v>
      </c>
      <c r="EQ33">
        <v>0.32270946690509661</v>
      </c>
      <c r="ER33">
        <v>0.3343454613391541</v>
      </c>
      <c r="ES33">
        <v>0.32615595635357114</v>
      </c>
      <c r="ET33">
        <v>0.35005684858935143</v>
      </c>
      <c r="EU33">
        <v>0.36910064762817818</v>
      </c>
      <c r="EV33">
        <v>0.25030689206227968</v>
      </c>
      <c r="EW33">
        <v>0.22833026508357235</v>
      </c>
      <c r="EX33">
        <v>0.20748638039288014</v>
      </c>
      <c r="EY33">
        <v>0.20619964756784781</v>
      </c>
      <c r="EZ33">
        <v>0.19754643053350782</v>
      </c>
      <c r="FA33">
        <v>0.23581844905173882</v>
      </c>
      <c r="FB33">
        <v>0.24690641086894771</v>
      </c>
      <c r="FC33">
        <v>0.23443866731799753</v>
      </c>
      <c r="FD33">
        <v>0.22901627438376684</v>
      </c>
      <c r="FE33">
        <v>0.26060418719152995</v>
      </c>
      <c r="FF33">
        <v>0.38775386296872805</v>
      </c>
      <c r="FG33">
        <v>0.38772395449608632</v>
      </c>
      <c r="FH33">
        <v>0.37937351368507677</v>
      </c>
      <c r="FI33">
        <v>0.36952529329588807</v>
      </c>
      <c r="FJ33">
        <v>0.33894216066585792</v>
      </c>
      <c r="FK33">
        <v>0.36691178572370231</v>
      </c>
      <c r="FL33">
        <v>0.37935197899491852</v>
      </c>
      <c r="FM33">
        <v>0.3747714571352313</v>
      </c>
      <c r="FN33">
        <v>0.38709120144349984</v>
      </c>
      <c r="FO33">
        <v>0.40255877012369023</v>
      </c>
      <c r="FQ33" t="s">
        <v>859</v>
      </c>
      <c r="FR33" t="s">
        <v>127</v>
      </c>
      <c r="FS33" t="s">
        <v>128</v>
      </c>
      <c r="FT33">
        <v>0.65540669697802512</v>
      </c>
    </row>
    <row r="34" spans="2:176" x14ac:dyDescent="0.45">
      <c r="B34" t="s">
        <v>868</v>
      </c>
      <c r="C34" t="s">
        <v>123</v>
      </c>
      <c r="D34">
        <v>0.2653355370453141</v>
      </c>
      <c r="E34">
        <v>0.28295998960826674</v>
      </c>
      <c r="F34">
        <v>0.28177661589183439</v>
      </c>
      <c r="G34">
        <v>0.28675445425759122</v>
      </c>
      <c r="H34">
        <v>0.34350563121460831</v>
      </c>
      <c r="I34">
        <v>0.34347486273713818</v>
      </c>
      <c r="J34">
        <v>0.32521673549916152</v>
      </c>
      <c r="K34">
        <v>0.2950052898272722</v>
      </c>
      <c r="L34">
        <v>0.26927684424285447</v>
      </c>
      <c r="M34">
        <v>0.26153780767527141</v>
      </c>
      <c r="N34">
        <v>0.30042361447216792</v>
      </c>
      <c r="O34">
        <v>0.30181336631378258</v>
      </c>
      <c r="P34">
        <v>0.32524013390609352</v>
      </c>
      <c r="Q34">
        <v>0.32076832892633789</v>
      </c>
      <c r="R34">
        <v>0.34567531047352862</v>
      </c>
      <c r="S34">
        <v>0.32538743854466573</v>
      </c>
      <c r="T34">
        <v>0.30633912361543925</v>
      </c>
      <c r="U34">
        <v>0.29474679432777717</v>
      </c>
      <c r="V34">
        <v>0.28358361611762384</v>
      </c>
      <c r="W34">
        <v>0.28877442841840895</v>
      </c>
      <c r="X34">
        <v>0.30562463787098626</v>
      </c>
      <c r="Y34">
        <v>0.31989399085933068</v>
      </c>
      <c r="Z34">
        <v>0.38166435539176424</v>
      </c>
      <c r="AA34">
        <v>0.40643848321709342</v>
      </c>
      <c r="AB34">
        <v>0.39350545995867731</v>
      </c>
      <c r="AC34">
        <v>0.3631356738195371</v>
      </c>
      <c r="AD34">
        <v>0.35813021884234358</v>
      </c>
      <c r="AE34">
        <v>0.34815209437150013</v>
      </c>
      <c r="AF34">
        <v>0.34234313555147777</v>
      </c>
      <c r="AG34">
        <v>0.33634211286798493</v>
      </c>
      <c r="AH34">
        <v>0.33249318843636488</v>
      </c>
      <c r="AI34">
        <v>0.3394692779271844</v>
      </c>
      <c r="AJ34">
        <v>0.3415191563008047</v>
      </c>
      <c r="AK34">
        <v>0.34992948909187926</v>
      </c>
      <c r="AL34">
        <v>0.36111386445818794</v>
      </c>
      <c r="AM34">
        <v>0.34641481485472614</v>
      </c>
      <c r="AN34">
        <v>0.32841772630244964</v>
      </c>
      <c r="AO34">
        <v>0.31514707268998809</v>
      </c>
      <c r="AP34">
        <v>0.30756318726706489</v>
      </c>
      <c r="AQ34">
        <v>0.31695679322347337</v>
      </c>
      <c r="EA34" t="s">
        <v>868</v>
      </c>
      <c r="EB34">
        <v>0.50822782729795324</v>
      </c>
      <c r="EC34">
        <v>0.49825723920303916</v>
      </c>
      <c r="ED34">
        <v>0.5081819481837978</v>
      </c>
      <c r="EE34">
        <v>0.50629586110602565</v>
      </c>
      <c r="EF34">
        <v>0.43721143801152085</v>
      </c>
      <c r="EG34">
        <v>0.44607025701490699</v>
      </c>
      <c r="EH34">
        <v>0.46092073766757624</v>
      </c>
      <c r="EI34">
        <v>0.48319819670500691</v>
      </c>
      <c r="EJ34">
        <v>0.50575516750461513</v>
      </c>
      <c r="EK34">
        <v>0.51289478103975894</v>
      </c>
      <c r="EL34">
        <v>0.39036213563276395</v>
      </c>
      <c r="EM34">
        <v>0.38293190870546628</v>
      </c>
      <c r="EN34">
        <v>0.365912948495901</v>
      </c>
      <c r="EO34">
        <v>0.36463974492994139</v>
      </c>
      <c r="EP34">
        <v>0.33505427300470347</v>
      </c>
      <c r="EQ34">
        <v>0.3667001913792266</v>
      </c>
      <c r="ER34">
        <v>0.37869538836582672</v>
      </c>
      <c r="ES34">
        <v>0.3762389714751887</v>
      </c>
      <c r="ET34">
        <v>0.39420556236753018</v>
      </c>
      <c r="EU34">
        <v>0.41729561954411326</v>
      </c>
      <c r="EV34">
        <v>0.28372878729823792</v>
      </c>
      <c r="EW34">
        <v>0.25263222998672719</v>
      </c>
      <c r="EX34">
        <v>0.22646378260546435</v>
      </c>
      <c r="EY34">
        <v>0.23726489137356094</v>
      </c>
      <c r="EZ34">
        <v>0.20291658435380416</v>
      </c>
      <c r="FA34">
        <v>0.23699277179996792</v>
      </c>
      <c r="FB34">
        <v>0.24990535424511545</v>
      </c>
      <c r="FC34">
        <v>0.25559927232386725</v>
      </c>
      <c r="FD34">
        <v>0.25778879187798709</v>
      </c>
      <c r="FE34">
        <v>0.28974607764213289</v>
      </c>
      <c r="FF34">
        <v>0.40510214439105546</v>
      </c>
      <c r="FG34">
        <v>0.40228642592864206</v>
      </c>
      <c r="FH34">
        <v>0.396139948830878</v>
      </c>
      <c r="FI34">
        <v>0.38863833780567175</v>
      </c>
      <c r="FJ34">
        <v>0.35225519587624671</v>
      </c>
      <c r="FK34">
        <v>0.39748697526288645</v>
      </c>
      <c r="FL34">
        <v>0.41838212456860996</v>
      </c>
      <c r="FM34">
        <v>0.4170144965563522</v>
      </c>
      <c r="FN34">
        <v>0.43637027673521028</v>
      </c>
      <c r="FO34">
        <v>0.44207310180033982</v>
      </c>
      <c r="FQ34" t="s">
        <v>861</v>
      </c>
      <c r="FR34" t="s">
        <v>127</v>
      </c>
      <c r="FS34" t="s">
        <v>128</v>
      </c>
      <c r="FT34">
        <v>0.64964122001612046</v>
      </c>
    </row>
    <row r="35" spans="2:176" x14ac:dyDescent="0.45">
      <c r="B35" t="s">
        <v>869</v>
      </c>
      <c r="C35" t="s">
        <v>123</v>
      </c>
      <c r="D35">
        <v>0.26638935728143215</v>
      </c>
      <c r="E35">
        <v>0.27776573297714757</v>
      </c>
      <c r="F35">
        <v>0.28130648380830875</v>
      </c>
      <c r="G35">
        <v>0.27530162414774972</v>
      </c>
      <c r="H35">
        <v>0.31605526587688076</v>
      </c>
      <c r="I35">
        <v>0.32659140933412478</v>
      </c>
      <c r="J35">
        <v>0.31439950352633333</v>
      </c>
      <c r="K35">
        <v>0.28352710940796128</v>
      </c>
      <c r="L35">
        <v>0.26434671319590131</v>
      </c>
      <c r="M35">
        <v>0.26348023010414529</v>
      </c>
      <c r="N35">
        <v>0.31476109108751021</v>
      </c>
      <c r="O35">
        <v>0.30151031380580434</v>
      </c>
      <c r="P35">
        <v>0.30027853978663632</v>
      </c>
      <c r="Q35">
        <v>0.3259558875550787</v>
      </c>
      <c r="R35">
        <v>0.35822300153793812</v>
      </c>
      <c r="S35">
        <v>0.34117684817481608</v>
      </c>
      <c r="T35">
        <v>0.3196731754264851</v>
      </c>
      <c r="U35">
        <v>0.31109499737624646</v>
      </c>
      <c r="V35">
        <v>0.31353797023580199</v>
      </c>
      <c r="W35">
        <v>0.29695380011306793</v>
      </c>
      <c r="X35">
        <v>0.319142796900586</v>
      </c>
      <c r="Y35">
        <v>0.32690708286352377</v>
      </c>
      <c r="Z35">
        <v>0.36747092570960838</v>
      </c>
      <c r="AA35">
        <v>0.40020108795633508</v>
      </c>
      <c r="AB35">
        <v>0.3876058432935871</v>
      </c>
      <c r="AC35">
        <v>0.38082145974789666</v>
      </c>
      <c r="AD35">
        <v>0.35615775115391529</v>
      </c>
      <c r="AE35">
        <v>0.35476494883634074</v>
      </c>
      <c r="AF35">
        <v>0.36580964692261103</v>
      </c>
      <c r="AG35">
        <v>0.35494433578143919</v>
      </c>
      <c r="AH35">
        <v>0.32784556028137107</v>
      </c>
      <c r="AI35">
        <v>0.32660758667745721</v>
      </c>
      <c r="AJ35">
        <v>0.32552608071139499</v>
      </c>
      <c r="AK35">
        <v>0.33449923007457999</v>
      </c>
      <c r="AL35">
        <v>0.35581766170859297</v>
      </c>
      <c r="AM35">
        <v>0.32992241728774702</v>
      </c>
      <c r="AN35">
        <v>0.31473643590449601</v>
      </c>
      <c r="AO35">
        <v>0.32535869519253902</v>
      </c>
      <c r="AP35">
        <v>0.31702566092188972</v>
      </c>
      <c r="AQ35">
        <v>0.31411757337973717</v>
      </c>
      <c r="EA35" t="s">
        <v>869</v>
      </c>
      <c r="EB35">
        <v>0.52841327816661865</v>
      </c>
      <c r="EC35">
        <v>0.51769592914626827</v>
      </c>
      <c r="ED35">
        <v>0.52106419807920856</v>
      </c>
      <c r="EE35">
        <v>0.52731236832268125</v>
      </c>
      <c r="EF35">
        <v>0.46549990285679493</v>
      </c>
      <c r="EG35">
        <v>0.46685659053942397</v>
      </c>
      <c r="EH35">
        <v>0.47954094185649104</v>
      </c>
      <c r="EI35">
        <v>0.50791323880613259</v>
      </c>
      <c r="EJ35">
        <v>0.52772225905856529</v>
      </c>
      <c r="EK35">
        <v>0.53023306715681595</v>
      </c>
      <c r="EL35">
        <v>0.41544670153601582</v>
      </c>
      <c r="EM35">
        <v>0.41020386834102479</v>
      </c>
      <c r="EN35">
        <v>0.40554715340334474</v>
      </c>
      <c r="EO35">
        <v>0.39907885767119611</v>
      </c>
      <c r="EP35">
        <v>0.37761933661860658</v>
      </c>
      <c r="EQ35">
        <v>0.40608347074442502</v>
      </c>
      <c r="ER35">
        <v>0.41351351791830815</v>
      </c>
      <c r="ES35">
        <v>0.40327926079929888</v>
      </c>
      <c r="ET35">
        <v>0.41175049351548532</v>
      </c>
      <c r="EU35">
        <v>0.43260268519288336</v>
      </c>
      <c r="EV35">
        <v>0.32339515832465388</v>
      </c>
      <c r="EW35">
        <v>0.28649083775994572</v>
      </c>
      <c r="EX35">
        <v>0.26018832262438396</v>
      </c>
      <c r="EY35">
        <v>0.25309710557896481</v>
      </c>
      <c r="EZ35">
        <v>0.21225680357652574</v>
      </c>
      <c r="FA35">
        <v>0.24373644202474362</v>
      </c>
      <c r="FB35">
        <v>0.27052285490967537</v>
      </c>
      <c r="FC35">
        <v>0.28276413484000723</v>
      </c>
      <c r="FD35">
        <v>0.29377942231013032</v>
      </c>
      <c r="FE35">
        <v>0.33186299893566396</v>
      </c>
      <c r="FF35">
        <v>0.42874345493932758</v>
      </c>
      <c r="FG35">
        <v>0.43032036478257646</v>
      </c>
      <c r="FH35">
        <v>0.41861751897946248</v>
      </c>
      <c r="FI35">
        <v>0.39579278673940838</v>
      </c>
      <c r="FJ35">
        <v>0.37250754936178637</v>
      </c>
      <c r="FK35">
        <v>0.42153996498078355</v>
      </c>
      <c r="FL35">
        <v>0.44086546611660005</v>
      </c>
      <c r="FM35">
        <v>0.44611270007662024</v>
      </c>
      <c r="FN35">
        <v>0.46707794725239932</v>
      </c>
      <c r="FO35">
        <v>0.45907674944232946</v>
      </c>
      <c r="FQ35" t="s">
        <v>863</v>
      </c>
      <c r="FR35" t="s">
        <v>127</v>
      </c>
      <c r="FS35" t="s">
        <v>128</v>
      </c>
      <c r="FT35">
        <v>0.6590497277230194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D207-A37B-4078-AC2D-2ED1CFD0CBE2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region=NLD")</f>
        <v>~TFM_DINS-AT: region=NLD</v>
      </c>
      <c r="H9" t="str">
        <f>IF(A11="x","DeActivated","~TFM_DINS-AT: region=NLD")</f>
        <v>~TFM_DINS-AT: region=NLD</v>
      </c>
      <c r="L9" t="str">
        <f>IF(A11="x","DeActivated","~TFM_DINS-AT: region=NLD")</f>
        <v>~TFM_DINS-AT: region=NLD</v>
      </c>
      <c r="P9" t="str">
        <f>IF(A11="x","DeActivated","~TFM_INS-AT: region=NLD")</f>
        <v>~TFM_INS-AT: region=NLD</v>
      </c>
    </row>
    <row r="10" spans="1:19" x14ac:dyDescent="0.45">
      <c r="A10" t="s">
        <v>205</v>
      </c>
      <c r="C10" t="s">
        <v>206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207</v>
      </c>
      <c r="P10" t="s">
        <v>208</v>
      </c>
      <c r="Q10" t="s">
        <v>1</v>
      </c>
      <c r="R10" t="s">
        <v>209</v>
      </c>
      <c r="S10" t="s">
        <v>210</v>
      </c>
    </row>
    <row r="11" spans="1:19" x14ac:dyDescent="0.45">
      <c r="C11">
        <v>5.1369863013698627E-2</v>
      </c>
      <c r="D11">
        <v>7.995425502821769E-3</v>
      </c>
      <c r="E11" t="s">
        <v>5</v>
      </c>
      <c r="F11" t="s">
        <v>211</v>
      </c>
      <c r="H11" t="s">
        <v>212</v>
      </c>
      <c r="I11" t="s">
        <v>5</v>
      </c>
      <c r="L11" t="s">
        <v>213</v>
      </c>
      <c r="M11" t="s">
        <v>5</v>
      </c>
      <c r="N11">
        <v>8.7298030633620183E-2</v>
      </c>
      <c r="P11">
        <v>2020</v>
      </c>
      <c r="Q11" t="s">
        <v>214</v>
      </c>
      <c r="R11">
        <v>0.224</v>
      </c>
      <c r="S11" t="s">
        <v>215</v>
      </c>
    </row>
    <row r="12" spans="1:19" x14ac:dyDescent="0.45">
      <c r="C12">
        <v>2.0547945205479451E-2</v>
      </c>
      <c r="D12">
        <v>2.0406235238545112E-2</v>
      </c>
      <c r="E12" t="s">
        <v>9</v>
      </c>
      <c r="F12" t="s">
        <v>211</v>
      </c>
      <c r="H12" t="s">
        <v>212</v>
      </c>
      <c r="I12" t="s">
        <v>9</v>
      </c>
      <c r="L12" t="s">
        <v>213</v>
      </c>
      <c r="M12" t="s">
        <v>9</v>
      </c>
      <c r="N12">
        <v>0.21166130566755781</v>
      </c>
      <c r="P12">
        <v>2020</v>
      </c>
      <c r="Q12" t="s">
        <v>216</v>
      </c>
      <c r="R12">
        <v>0.22773333333333334</v>
      </c>
      <c r="S12" t="s">
        <v>215</v>
      </c>
    </row>
    <row r="13" spans="1:19" x14ac:dyDescent="0.45">
      <c r="C13">
        <v>2.0547945205479451E-2</v>
      </c>
      <c r="D13">
        <v>3.0281182408074987E-2</v>
      </c>
      <c r="E13" t="s">
        <v>10</v>
      </c>
      <c r="F13" t="s">
        <v>211</v>
      </c>
      <c r="H13" t="s">
        <v>212</v>
      </c>
      <c r="I13" t="s">
        <v>10</v>
      </c>
      <c r="L13" t="s">
        <v>213</v>
      </c>
      <c r="M13" t="s">
        <v>10</v>
      </c>
      <c r="N13">
        <v>0.13804377258932732</v>
      </c>
      <c r="P13">
        <v>2020</v>
      </c>
      <c r="Q13" t="s">
        <v>217</v>
      </c>
      <c r="R13">
        <v>0</v>
      </c>
      <c r="S13" t="s">
        <v>215</v>
      </c>
    </row>
    <row r="14" spans="1:19" x14ac:dyDescent="0.45">
      <c r="C14">
        <v>2.0547945205479451E-2</v>
      </c>
      <c r="D14">
        <v>2.5686796111677408E-2</v>
      </c>
      <c r="E14" t="s">
        <v>11</v>
      </c>
      <c r="F14" t="s">
        <v>211</v>
      </c>
      <c r="H14" t="s">
        <v>212</v>
      </c>
      <c r="I14" t="s">
        <v>11</v>
      </c>
      <c r="L14" t="s">
        <v>213</v>
      </c>
      <c r="M14" t="s">
        <v>11</v>
      </c>
      <c r="N14">
        <v>8.9616605279956518E-2</v>
      </c>
      <c r="P14">
        <v>2020</v>
      </c>
      <c r="Q14" t="s">
        <v>218</v>
      </c>
      <c r="R14">
        <v>0</v>
      </c>
      <c r="S14" t="s">
        <v>215</v>
      </c>
    </row>
    <row r="15" spans="1:19" x14ac:dyDescent="0.45">
      <c r="C15">
        <v>2.0547945205479451E-2</v>
      </c>
      <c r="D15">
        <v>2.5477960370932053E-2</v>
      </c>
      <c r="E15" t="s">
        <v>12</v>
      </c>
      <c r="F15" t="s">
        <v>211</v>
      </c>
      <c r="H15" t="s">
        <v>212</v>
      </c>
      <c r="I15" t="s">
        <v>12</v>
      </c>
      <c r="L15" t="s">
        <v>213</v>
      </c>
      <c r="M15" t="s">
        <v>12</v>
      </c>
      <c r="N15">
        <v>7.9488943973427872E-2</v>
      </c>
      <c r="P15">
        <v>2021</v>
      </c>
      <c r="Q15" t="s">
        <v>214</v>
      </c>
      <c r="R15">
        <v>0.112</v>
      </c>
      <c r="S15" t="s">
        <v>215</v>
      </c>
    </row>
    <row r="16" spans="1:19" x14ac:dyDescent="0.45">
      <c r="C16">
        <v>2.0547945205479451E-2</v>
      </c>
      <c r="D16">
        <v>2.6939810556149468E-2</v>
      </c>
      <c r="E16" t="s">
        <v>13</v>
      </c>
      <c r="F16" t="s">
        <v>211</v>
      </c>
      <c r="H16" t="s">
        <v>212</v>
      </c>
      <c r="I16" t="s">
        <v>13</v>
      </c>
      <c r="L16" t="s">
        <v>213</v>
      </c>
      <c r="M16" t="s">
        <v>13</v>
      </c>
      <c r="N16">
        <v>8.3809689554076972E-2</v>
      </c>
      <c r="P16">
        <v>2021</v>
      </c>
      <c r="Q16" t="s">
        <v>216</v>
      </c>
      <c r="R16">
        <v>0.33973333333333339</v>
      </c>
      <c r="S16" t="s">
        <v>215</v>
      </c>
    </row>
    <row r="17" spans="3:19" x14ac:dyDescent="0.45">
      <c r="C17">
        <v>2.0547945205479451E-2</v>
      </c>
      <c r="D17">
        <v>3.5502075926708607E-2</v>
      </c>
      <c r="E17" t="s">
        <v>14</v>
      </c>
      <c r="F17" t="s">
        <v>211</v>
      </c>
      <c r="H17" t="s">
        <v>212</v>
      </c>
      <c r="I17" t="s">
        <v>14</v>
      </c>
      <c r="L17" t="s">
        <v>213</v>
      </c>
      <c r="M17" t="s">
        <v>14</v>
      </c>
      <c r="N17">
        <v>8.719263250686704E-2</v>
      </c>
      <c r="P17">
        <v>2021</v>
      </c>
      <c r="Q17" t="s">
        <v>217</v>
      </c>
      <c r="R17">
        <v>0.33973333333333339</v>
      </c>
      <c r="S17" t="s">
        <v>215</v>
      </c>
    </row>
    <row r="18" spans="3:19" x14ac:dyDescent="0.45">
      <c r="C18">
        <v>2.0547945205479451E-2</v>
      </c>
      <c r="D18">
        <v>3.5502075926708607E-2</v>
      </c>
      <c r="E18" t="s">
        <v>15</v>
      </c>
      <c r="F18" t="s">
        <v>211</v>
      </c>
      <c r="H18" t="s">
        <v>212</v>
      </c>
      <c r="I18" t="s">
        <v>15</v>
      </c>
      <c r="L18" t="s">
        <v>213</v>
      </c>
      <c r="M18" t="s">
        <v>15</v>
      </c>
      <c r="N18">
        <v>7.420271925963795E-2</v>
      </c>
      <c r="P18">
        <v>2021</v>
      </c>
      <c r="Q18" t="s">
        <v>218</v>
      </c>
      <c r="R18">
        <v>0</v>
      </c>
      <c r="S18" t="s">
        <v>215</v>
      </c>
    </row>
    <row r="19" spans="3:19" x14ac:dyDescent="0.45">
      <c r="C19">
        <v>2.0547945205479451E-2</v>
      </c>
      <c r="D19">
        <v>2.386694179946797E-2</v>
      </c>
      <c r="E19" t="s">
        <v>16</v>
      </c>
      <c r="F19" t="s">
        <v>211</v>
      </c>
      <c r="H19" t="s">
        <v>212</v>
      </c>
      <c r="I19" t="s">
        <v>16</v>
      </c>
      <c r="L19" t="s">
        <v>213</v>
      </c>
      <c r="M19" t="s">
        <v>16</v>
      </c>
      <c r="N19">
        <v>8.2179537415312032E-2</v>
      </c>
      <c r="P19">
        <v>2022</v>
      </c>
      <c r="Q19" t="s">
        <v>214</v>
      </c>
      <c r="R19">
        <v>0.23599999999999999</v>
      </c>
      <c r="S19" t="s">
        <v>215</v>
      </c>
    </row>
    <row r="20" spans="3:19" x14ac:dyDescent="0.45">
      <c r="C20">
        <v>3.0821917808219176E-2</v>
      </c>
      <c r="D20">
        <v>1.4916838624667481E-2</v>
      </c>
      <c r="E20" t="s">
        <v>17</v>
      </c>
      <c r="F20" t="s">
        <v>211</v>
      </c>
      <c r="H20" t="s">
        <v>212</v>
      </c>
      <c r="I20" t="s">
        <v>17</v>
      </c>
      <c r="L20" t="s">
        <v>213</v>
      </c>
      <c r="M20" t="s">
        <v>17</v>
      </c>
      <c r="N20">
        <v>9.943710811143025E-2</v>
      </c>
      <c r="P20">
        <v>2022</v>
      </c>
      <c r="Q20" t="s">
        <v>216</v>
      </c>
      <c r="R20">
        <v>0.22773333333333334</v>
      </c>
      <c r="S20" t="s">
        <v>215</v>
      </c>
    </row>
    <row r="21" spans="3:19" x14ac:dyDescent="0.45">
      <c r="C21">
        <v>5.2511415525114152E-2</v>
      </c>
      <c r="D21">
        <v>8.1731016251066976E-3</v>
      </c>
      <c r="E21" t="s">
        <v>18</v>
      </c>
      <c r="F21" t="s">
        <v>211</v>
      </c>
      <c r="H21" t="s">
        <v>212</v>
      </c>
      <c r="I21" t="s">
        <v>18</v>
      </c>
      <c r="L21" t="s">
        <v>213</v>
      </c>
      <c r="M21" t="s">
        <v>18</v>
      </c>
      <c r="N21">
        <v>0.10691862674813368</v>
      </c>
      <c r="P21">
        <v>2022</v>
      </c>
      <c r="Q21" t="s">
        <v>217</v>
      </c>
      <c r="R21">
        <v>0</v>
      </c>
      <c r="S21" t="s">
        <v>215</v>
      </c>
    </row>
    <row r="22" spans="3:19" x14ac:dyDescent="0.45">
      <c r="C22">
        <v>2.1004566210045664E-2</v>
      </c>
      <c r="D22">
        <v>2.0859707132735002E-2</v>
      </c>
      <c r="E22" t="s">
        <v>19</v>
      </c>
      <c r="F22" t="s">
        <v>211</v>
      </c>
      <c r="H22" t="s">
        <v>212</v>
      </c>
      <c r="I22" t="s">
        <v>19</v>
      </c>
      <c r="L22" t="s">
        <v>213</v>
      </c>
      <c r="M22" t="s">
        <v>19</v>
      </c>
      <c r="N22">
        <v>0.20227551091862006</v>
      </c>
      <c r="P22">
        <v>2022</v>
      </c>
      <c r="Q22" t="s">
        <v>218</v>
      </c>
      <c r="R22">
        <v>0</v>
      </c>
      <c r="S22" t="s">
        <v>215</v>
      </c>
    </row>
    <row r="23" spans="3:19" x14ac:dyDescent="0.45">
      <c r="C23">
        <v>2.1004566210045664E-2</v>
      </c>
      <c r="D23">
        <v>3.0954097572698874E-2</v>
      </c>
      <c r="E23" t="s">
        <v>20</v>
      </c>
      <c r="F23" t="s">
        <v>211</v>
      </c>
      <c r="H23" t="s">
        <v>212</v>
      </c>
      <c r="I23" t="s">
        <v>20</v>
      </c>
      <c r="L23" t="s">
        <v>213</v>
      </c>
      <c r="M23" t="s">
        <v>20</v>
      </c>
      <c r="N23">
        <v>0.14422553639764524</v>
      </c>
      <c r="P23">
        <v>2025</v>
      </c>
      <c r="Q23" t="s">
        <v>214</v>
      </c>
      <c r="R23">
        <v>0.36230000000000001</v>
      </c>
      <c r="S23" t="s">
        <v>215</v>
      </c>
    </row>
    <row r="24" spans="3:19" x14ac:dyDescent="0.45">
      <c r="C24">
        <v>2.1004566210045664E-2</v>
      </c>
      <c r="D24">
        <v>2.6257613803048016E-2</v>
      </c>
      <c r="E24" t="s">
        <v>21</v>
      </c>
      <c r="F24" t="s">
        <v>211</v>
      </c>
      <c r="H24" t="s">
        <v>212</v>
      </c>
      <c r="I24" t="s">
        <v>21</v>
      </c>
      <c r="L24" t="s">
        <v>213</v>
      </c>
      <c r="M24" t="s">
        <v>21</v>
      </c>
      <c r="N24">
        <v>0.1075752724059873</v>
      </c>
      <c r="P24">
        <v>2025</v>
      </c>
      <c r="Q24" t="s">
        <v>216</v>
      </c>
      <c r="R24">
        <v>0.49976666666666664</v>
      </c>
      <c r="S24" t="s">
        <v>215</v>
      </c>
    </row>
    <row r="25" spans="3:19" x14ac:dyDescent="0.45">
      <c r="C25">
        <v>2.1004566210045664E-2</v>
      </c>
      <c r="D25">
        <v>2.6044137268063879E-2</v>
      </c>
      <c r="E25" t="s">
        <v>22</v>
      </c>
      <c r="F25" t="s">
        <v>211</v>
      </c>
      <c r="H25" t="s">
        <v>212</v>
      </c>
      <c r="I25" t="s">
        <v>22</v>
      </c>
      <c r="L25" t="s">
        <v>213</v>
      </c>
      <c r="M25" t="s">
        <v>22</v>
      </c>
      <c r="N25">
        <v>0.11288497786969232</v>
      </c>
      <c r="P25">
        <v>2025</v>
      </c>
      <c r="Q25" t="s">
        <v>217</v>
      </c>
      <c r="R25">
        <v>0.14686666666666667</v>
      </c>
      <c r="S25" t="s">
        <v>215</v>
      </c>
    </row>
    <row r="26" spans="3:19" x14ac:dyDescent="0.45">
      <c r="C26">
        <v>2.1004566210045664E-2</v>
      </c>
      <c r="D26">
        <v>2.7538473012952789E-2</v>
      </c>
      <c r="E26" t="s">
        <v>23</v>
      </c>
      <c r="F26" t="s">
        <v>211</v>
      </c>
      <c r="H26" t="s">
        <v>212</v>
      </c>
      <c r="I26" t="s">
        <v>23</v>
      </c>
      <c r="L26" t="s">
        <v>213</v>
      </c>
      <c r="M26" t="s">
        <v>23</v>
      </c>
      <c r="N26">
        <v>0.12004464110017254</v>
      </c>
      <c r="P26">
        <v>2025</v>
      </c>
      <c r="Q26" t="s">
        <v>218</v>
      </c>
      <c r="R26">
        <v>0.10603333333333333</v>
      </c>
      <c r="S26" t="s">
        <v>215</v>
      </c>
    </row>
    <row r="27" spans="3:19" x14ac:dyDescent="0.45">
      <c r="C27">
        <v>2.1004566210045664E-2</v>
      </c>
      <c r="D27">
        <v>3.6291010947302131E-2</v>
      </c>
      <c r="E27" t="s">
        <v>24</v>
      </c>
      <c r="F27" t="s">
        <v>211</v>
      </c>
      <c r="H27" t="s">
        <v>212</v>
      </c>
      <c r="I27" t="s">
        <v>24</v>
      </c>
      <c r="L27" t="s">
        <v>213</v>
      </c>
      <c r="M27" t="s">
        <v>24</v>
      </c>
      <c r="N27">
        <v>0.12795504245156897</v>
      </c>
      <c r="P27">
        <v>2026</v>
      </c>
      <c r="Q27" t="s">
        <v>214</v>
      </c>
      <c r="R27">
        <v>0.43179999999999996</v>
      </c>
      <c r="S27" t="s">
        <v>215</v>
      </c>
    </row>
    <row r="28" spans="3:19" x14ac:dyDescent="0.45">
      <c r="C28">
        <v>2.1004566210045664E-2</v>
      </c>
      <c r="D28">
        <v>3.6291010947302131E-2</v>
      </c>
      <c r="E28" t="s">
        <v>25</v>
      </c>
      <c r="F28" t="s">
        <v>211</v>
      </c>
      <c r="H28" t="s">
        <v>212</v>
      </c>
      <c r="I28" t="s">
        <v>25</v>
      </c>
      <c r="L28" t="s">
        <v>213</v>
      </c>
      <c r="M28" t="s">
        <v>25</v>
      </c>
      <c r="N28">
        <v>0.12203721183193883</v>
      </c>
      <c r="P28">
        <v>2026</v>
      </c>
      <c r="Q28" t="s">
        <v>216</v>
      </c>
      <c r="R28">
        <v>0.51213333333333333</v>
      </c>
      <c r="S28" t="s">
        <v>215</v>
      </c>
    </row>
    <row r="29" spans="3:19" x14ac:dyDescent="0.45">
      <c r="C29">
        <v>2.1004566210045664E-2</v>
      </c>
      <c r="D29">
        <v>2.4397318283900592E-2</v>
      </c>
      <c r="E29" t="s">
        <v>26</v>
      </c>
      <c r="F29" t="s">
        <v>211</v>
      </c>
      <c r="H29" t="s">
        <v>212</v>
      </c>
      <c r="I29" t="s">
        <v>26</v>
      </c>
      <c r="L29" t="s">
        <v>213</v>
      </c>
      <c r="M29" t="s">
        <v>26</v>
      </c>
      <c r="N29">
        <v>0.13107103991055635</v>
      </c>
      <c r="P29">
        <v>2026</v>
      </c>
      <c r="Q29" t="s">
        <v>217</v>
      </c>
      <c r="R29">
        <v>0.14966666666666664</v>
      </c>
      <c r="S29" t="s">
        <v>215</v>
      </c>
    </row>
    <row r="30" spans="3:19" x14ac:dyDescent="0.45">
      <c r="C30">
        <v>3.1506849315068496E-2</v>
      </c>
      <c r="D30">
        <v>1.5248323927437872E-2</v>
      </c>
      <c r="E30" t="s">
        <v>27</v>
      </c>
      <c r="F30" t="s">
        <v>211</v>
      </c>
      <c r="H30" t="s">
        <v>212</v>
      </c>
      <c r="I30" t="s">
        <v>27</v>
      </c>
      <c r="L30" t="s">
        <v>213</v>
      </c>
      <c r="M30" t="s">
        <v>27</v>
      </c>
      <c r="N30">
        <v>0.13646845436571442</v>
      </c>
      <c r="P30">
        <v>2026</v>
      </c>
      <c r="Q30" t="s">
        <v>218</v>
      </c>
      <c r="R30">
        <v>0.10806666666666666</v>
      </c>
      <c r="S30" t="s">
        <v>215</v>
      </c>
    </row>
    <row r="31" spans="3:19" x14ac:dyDescent="0.45">
      <c r="C31">
        <v>5.2511415525114152E-2</v>
      </c>
      <c r="D31">
        <v>8.1731016251066976E-3</v>
      </c>
      <c r="E31" t="s">
        <v>28</v>
      </c>
      <c r="F31" t="s">
        <v>211</v>
      </c>
      <c r="H31" t="s">
        <v>212</v>
      </c>
      <c r="I31" t="s">
        <v>28</v>
      </c>
      <c r="L31" t="s">
        <v>213</v>
      </c>
      <c r="M31" t="s">
        <v>28</v>
      </c>
      <c r="N31">
        <v>0.14300129869998823</v>
      </c>
      <c r="P31">
        <v>2027</v>
      </c>
      <c r="Q31" t="s">
        <v>214</v>
      </c>
      <c r="R31">
        <v>0.50363333333333338</v>
      </c>
      <c r="S31" t="s">
        <v>215</v>
      </c>
    </row>
    <row r="32" spans="3:19" x14ac:dyDescent="0.45">
      <c r="C32">
        <v>2.1004566210045664E-2</v>
      </c>
      <c r="D32">
        <v>2.0859707132735002E-2</v>
      </c>
      <c r="E32" t="s">
        <v>29</v>
      </c>
      <c r="F32" t="s">
        <v>211</v>
      </c>
      <c r="H32" t="s">
        <v>212</v>
      </c>
      <c r="I32" t="s">
        <v>29</v>
      </c>
      <c r="L32" t="s">
        <v>213</v>
      </c>
      <c r="M32" t="s">
        <v>29</v>
      </c>
      <c r="N32">
        <v>0.12807932787544063</v>
      </c>
      <c r="P32">
        <v>2027</v>
      </c>
      <c r="Q32" t="s">
        <v>216</v>
      </c>
      <c r="R32">
        <v>0.63196666666666668</v>
      </c>
      <c r="S32" t="s">
        <v>215</v>
      </c>
    </row>
    <row r="33" spans="3:19" x14ac:dyDescent="0.45">
      <c r="C33">
        <v>2.1004566210045664E-2</v>
      </c>
      <c r="D33">
        <v>3.0954097572698874E-2</v>
      </c>
      <c r="E33" t="s">
        <v>30</v>
      </c>
      <c r="F33" t="s">
        <v>211</v>
      </c>
      <c r="H33" t="s">
        <v>212</v>
      </c>
      <c r="I33" t="s">
        <v>30</v>
      </c>
      <c r="L33" t="s">
        <v>213</v>
      </c>
      <c r="M33" t="s">
        <v>30</v>
      </c>
      <c r="N33">
        <v>0.12214925363488716</v>
      </c>
      <c r="P33">
        <v>2027</v>
      </c>
      <c r="Q33" t="s">
        <v>217</v>
      </c>
      <c r="R33">
        <v>0.17396666666666669</v>
      </c>
      <c r="S33" t="s">
        <v>215</v>
      </c>
    </row>
    <row r="34" spans="3:19" x14ac:dyDescent="0.45">
      <c r="C34">
        <v>2.1004566210045664E-2</v>
      </c>
      <c r="D34">
        <v>2.6257613803048016E-2</v>
      </c>
      <c r="E34" t="s">
        <v>31</v>
      </c>
      <c r="F34" t="s">
        <v>211</v>
      </c>
      <c r="H34" t="s">
        <v>212</v>
      </c>
      <c r="I34" t="s">
        <v>31</v>
      </c>
      <c r="L34" t="s">
        <v>213</v>
      </c>
      <c r="M34" t="s">
        <v>31</v>
      </c>
      <c r="N34">
        <v>9.4627228354100756E-2</v>
      </c>
      <c r="P34">
        <v>2027</v>
      </c>
      <c r="Q34" t="s">
        <v>218</v>
      </c>
      <c r="R34">
        <v>0.11333333333333333</v>
      </c>
      <c r="S34" t="s">
        <v>215</v>
      </c>
    </row>
    <row r="35" spans="3:19" x14ac:dyDescent="0.45">
      <c r="C35">
        <v>2.1004566210045664E-2</v>
      </c>
      <c r="D35">
        <v>2.6044137268063879E-2</v>
      </c>
      <c r="E35" t="s">
        <v>32</v>
      </c>
      <c r="F35" t="s">
        <v>211</v>
      </c>
      <c r="H35" t="s">
        <v>212</v>
      </c>
      <c r="I35" t="s">
        <v>32</v>
      </c>
      <c r="L35" t="s">
        <v>213</v>
      </c>
      <c r="M35" t="s">
        <v>32</v>
      </c>
      <c r="N35">
        <v>9.4098040032094099E-2</v>
      </c>
      <c r="P35">
        <v>2028</v>
      </c>
      <c r="Q35" t="s">
        <v>214</v>
      </c>
      <c r="R35">
        <v>0.41603333333333331</v>
      </c>
      <c r="S35" t="s">
        <v>215</v>
      </c>
    </row>
    <row r="36" spans="3:19" x14ac:dyDescent="0.45">
      <c r="C36">
        <v>2.1004566210045664E-2</v>
      </c>
      <c r="D36">
        <v>2.7538473012952789E-2</v>
      </c>
      <c r="E36" t="s">
        <v>33</v>
      </c>
      <c r="F36" t="s">
        <v>211</v>
      </c>
      <c r="H36" t="s">
        <v>212</v>
      </c>
      <c r="I36" t="s">
        <v>33</v>
      </c>
      <c r="L36" t="s">
        <v>213</v>
      </c>
      <c r="M36" t="s">
        <v>33</v>
      </c>
      <c r="N36">
        <v>9.9270896809314779E-2</v>
      </c>
      <c r="P36">
        <v>2028</v>
      </c>
      <c r="Q36" t="s">
        <v>216</v>
      </c>
      <c r="R36">
        <v>0.56913333333333338</v>
      </c>
      <c r="S36" t="s">
        <v>215</v>
      </c>
    </row>
    <row r="37" spans="3:19" x14ac:dyDescent="0.45">
      <c r="C37">
        <v>2.1004566210045664E-2</v>
      </c>
      <c r="D37">
        <v>3.6291010947302131E-2</v>
      </c>
      <c r="E37" t="s">
        <v>34</v>
      </c>
      <c r="F37" t="s">
        <v>211</v>
      </c>
      <c r="H37" t="s">
        <v>212</v>
      </c>
      <c r="I37" t="s">
        <v>34</v>
      </c>
      <c r="L37" t="s">
        <v>213</v>
      </c>
      <c r="M37" t="s">
        <v>34</v>
      </c>
      <c r="N37">
        <v>8.8393899959148259E-2</v>
      </c>
      <c r="P37">
        <v>2028</v>
      </c>
      <c r="Q37" t="s">
        <v>217</v>
      </c>
      <c r="R37">
        <v>0.17626666666666665</v>
      </c>
      <c r="S37" t="s">
        <v>215</v>
      </c>
    </row>
    <row r="38" spans="3:19" x14ac:dyDescent="0.45">
      <c r="C38">
        <v>2.1004566210045664E-2</v>
      </c>
      <c r="D38">
        <v>3.6291010947302131E-2</v>
      </c>
      <c r="E38" t="s">
        <v>35</v>
      </c>
      <c r="F38" t="s">
        <v>211</v>
      </c>
      <c r="H38" t="s">
        <v>212</v>
      </c>
      <c r="I38" t="s">
        <v>35</v>
      </c>
      <c r="L38" t="s">
        <v>213</v>
      </c>
      <c r="M38" t="s">
        <v>35</v>
      </c>
      <c r="N38">
        <v>8.2419634713269962E-2</v>
      </c>
      <c r="P38">
        <v>2028</v>
      </c>
      <c r="Q38" t="s">
        <v>218</v>
      </c>
      <c r="R38">
        <v>0.10973333333333334</v>
      </c>
      <c r="S38" t="s">
        <v>215</v>
      </c>
    </row>
    <row r="39" spans="3:19" x14ac:dyDescent="0.45">
      <c r="C39">
        <v>2.1004566210045664E-2</v>
      </c>
      <c r="D39">
        <v>2.4397318283900592E-2</v>
      </c>
      <c r="E39" t="s">
        <v>36</v>
      </c>
      <c r="F39" t="s">
        <v>211</v>
      </c>
      <c r="H39" t="s">
        <v>212</v>
      </c>
      <c r="I39" t="s">
        <v>36</v>
      </c>
      <c r="L39" t="s">
        <v>213</v>
      </c>
      <c r="M39" t="s">
        <v>36</v>
      </c>
      <c r="N39">
        <v>8.4677071160056849E-2</v>
      </c>
      <c r="P39">
        <v>2029</v>
      </c>
      <c r="Q39" t="s">
        <v>214</v>
      </c>
      <c r="R39">
        <v>0.41013333333333341</v>
      </c>
      <c r="S39" t="s">
        <v>215</v>
      </c>
    </row>
    <row r="40" spans="3:19" x14ac:dyDescent="0.45">
      <c r="C40">
        <v>3.1506849315068496E-2</v>
      </c>
      <c r="D40">
        <v>1.5248323927437872E-2</v>
      </c>
      <c r="E40" t="s">
        <v>37</v>
      </c>
      <c r="F40" t="s">
        <v>211</v>
      </c>
      <c r="H40" t="s">
        <v>212</v>
      </c>
      <c r="I40" t="s">
        <v>37</v>
      </c>
      <c r="L40" t="s">
        <v>213</v>
      </c>
      <c r="M40" t="s">
        <v>37</v>
      </c>
      <c r="N40">
        <v>0.11613640999440111</v>
      </c>
      <c r="P40">
        <v>2029</v>
      </c>
      <c r="Q40" t="s">
        <v>216</v>
      </c>
      <c r="R40">
        <v>0.5470666666666667</v>
      </c>
      <c r="S40" t="s">
        <v>215</v>
      </c>
    </row>
    <row r="41" spans="3:19" x14ac:dyDescent="0.45">
      <c r="C41">
        <v>5.194063926940639E-2</v>
      </c>
      <c r="D41">
        <v>8.0842635639642325E-3</v>
      </c>
      <c r="E41" t="s">
        <v>38</v>
      </c>
      <c r="F41" t="s">
        <v>211</v>
      </c>
      <c r="H41" t="s">
        <v>212</v>
      </c>
      <c r="I41" t="s">
        <v>38</v>
      </c>
      <c r="L41" t="s">
        <v>213</v>
      </c>
      <c r="M41" t="s">
        <v>38</v>
      </c>
      <c r="N41">
        <v>0.11596731482359113</v>
      </c>
      <c r="P41">
        <v>2029</v>
      </c>
      <c r="Q41" t="s">
        <v>217</v>
      </c>
      <c r="R41">
        <v>0.14749999999999999</v>
      </c>
      <c r="S41" t="s">
        <v>215</v>
      </c>
    </row>
    <row r="42" spans="3:19" x14ac:dyDescent="0.45">
      <c r="C42">
        <v>2.0776255707762557E-2</v>
      </c>
      <c r="D42">
        <v>2.0632971185640059E-2</v>
      </c>
      <c r="E42" t="s">
        <v>39</v>
      </c>
      <c r="F42" t="s">
        <v>211</v>
      </c>
      <c r="H42" t="s">
        <v>212</v>
      </c>
      <c r="I42" t="s">
        <v>39</v>
      </c>
      <c r="L42" t="s">
        <v>213</v>
      </c>
      <c r="M42" t="s">
        <v>39</v>
      </c>
      <c r="N42">
        <v>0.19355592068061611</v>
      </c>
      <c r="P42">
        <v>2029</v>
      </c>
      <c r="Q42" t="s">
        <v>218</v>
      </c>
      <c r="R42">
        <v>9.8766666666666669E-2</v>
      </c>
      <c r="S42" t="s">
        <v>215</v>
      </c>
    </row>
    <row r="43" spans="3:19" x14ac:dyDescent="0.45">
      <c r="C43">
        <v>2.0776255707762557E-2</v>
      </c>
      <c r="D43">
        <v>3.0617639990386931E-2</v>
      </c>
      <c r="E43" t="s">
        <v>40</v>
      </c>
      <c r="F43" t="s">
        <v>211</v>
      </c>
      <c r="H43" t="s">
        <v>212</v>
      </c>
      <c r="I43" t="s">
        <v>40</v>
      </c>
      <c r="L43" t="s">
        <v>213</v>
      </c>
      <c r="M43" t="s">
        <v>40</v>
      </c>
      <c r="N43">
        <v>0.20779800416074501</v>
      </c>
      <c r="P43">
        <v>2030</v>
      </c>
      <c r="Q43" t="s">
        <v>214</v>
      </c>
      <c r="R43">
        <v>0.49286666666666673</v>
      </c>
      <c r="S43" t="s">
        <v>215</v>
      </c>
    </row>
    <row r="44" spans="3:19" x14ac:dyDescent="0.45">
      <c r="C44">
        <v>2.0776255707762557E-2</v>
      </c>
      <c r="D44">
        <v>2.5972204957362712E-2</v>
      </c>
      <c r="E44" t="s">
        <v>41</v>
      </c>
      <c r="F44" t="s">
        <v>211</v>
      </c>
      <c r="H44" t="s">
        <v>212</v>
      </c>
      <c r="I44" t="s">
        <v>41</v>
      </c>
      <c r="L44" t="s">
        <v>213</v>
      </c>
      <c r="M44" t="s">
        <v>41</v>
      </c>
      <c r="N44">
        <v>0.15496907240448166</v>
      </c>
      <c r="P44">
        <v>2030</v>
      </c>
      <c r="Q44" t="s">
        <v>216</v>
      </c>
      <c r="R44">
        <v>0.54100000000000004</v>
      </c>
      <c r="S44" t="s">
        <v>215</v>
      </c>
    </row>
    <row r="45" spans="3:19" x14ac:dyDescent="0.45">
      <c r="C45">
        <v>2.0776255707762557E-2</v>
      </c>
      <c r="D45">
        <v>2.5761048819497968E-2</v>
      </c>
      <c r="E45" t="s">
        <v>42</v>
      </c>
      <c r="F45" t="s">
        <v>211</v>
      </c>
      <c r="H45" t="s">
        <v>212</v>
      </c>
      <c r="I45" t="s">
        <v>42</v>
      </c>
      <c r="L45" t="s">
        <v>213</v>
      </c>
      <c r="M45" t="s">
        <v>42</v>
      </c>
      <c r="N45">
        <v>0.13797980135311039</v>
      </c>
      <c r="P45">
        <v>2030</v>
      </c>
      <c r="Q45" t="s">
        <v>217</v>
      </c>
      <c r="R45">
        <v>9.8366666666666658E-2</v>
      </c>
      <c r="S45" t="s">
        <v>215</v>
      </c>
    </row>
    <row r="46" spans="3:19" x14ac:dyDescent="0.45">
      <c r="C46">
        <v>2.0776255707762557E-2</v>
      </c>
      <c r="D46">
        <v>2.723914178455113E-2</v>
      </c>
      <c r="E46" t="s">
        <v>43</v>
      </c>
      <c r="F46" t="s">
        <v>211</v>
      </c>
      <c r="H46" t="s">
        <v>212</v>
      </c>
      <c r="I46" t="s">
        <v>43</v>
      </c>
      <c r="L46" t="s">
        <v>213</v>
      </c>
      <c r="M46" t="s">
        <v>43</v>
      </c>
      <c r="N46">
        <v>0.13396445678563551</v>
      </c>
      <c r="P46">
        <v>2030</v>
      </c>
      <c r="Q46" t="s">
        <v>218</v>
      </c>
      <c r="R46">
        <v>0.13233333333333333</v>
      </c>
      <c r="S46" t="s">
        <v>215</v>
      </c>
    </row>
    <row r="47" spans="3:19" x14ac:dyDescent="0.45">
      <c r="C47">
        <v>2.0776255707762557E-2</v>
      </c>
      <c r="D47">
        <v>3.5896543437005365E-2</v>
      </c>
      <c r="E47" t="s">
        <v>44</v>
      </c>
      <c r="F47" t="s">
        <v>211</v>
      </c>
      <c r="H47" t="s">
        <v>212</v>
      </c>
      <c r="I47" t="s">
        <v>44</v>
      </c>
      <c r="L47" t="s">
        <v>213</v>
      </c>
      <c r="M47" t="s">
        <v>44</v>
      </c>
      <c r="N47">
        <v>0.14245701740561412</v>
      </c>
      <c r="P47">
        <v>2031</v>
      </c>
      <c r="Q47" t="s">
        <v>214</v>
      </c>
      <c r="R47">
        <v>0.39939999999999998</v>
      </c>
      <c r="S47" t="s">
        <v>215</v>
      </c>
    </row>
    <row r="48" spans="3:19" x14ac:dyDescent="0.45">
      <c r="C48">
        <v>2.0776255707762557E-2</v>
      </c>
      <c r="D48">
        <v>3.5896543437005365E-2</v>
      </c>
      <c r="E48" t="s">
        <v>45</v>
      </c>
      <c r="F48" t="s">
        <v>211</v>
      </c>
      <c r="H48" t="s">
        <v>212</v>
      </c>
      <c r="I48" t="s">
        <v>45</v>
      </c>
      <c r="L48" t="s">
        <v>213</v>
      </c>
      <c r="M48" t="s">
        <v>45</v>
      </c>
      <c r="N48">
        <v>0.14360579002264107</v>
      </c>
      <c r="P48">
        <v>2031</v>
      </c>
      <c r="Q48" t="s">
        <v>216</v>
      </c>
      <c r="R48">
        <v>0.52646666666666675</v>
      </c>
      <c r="S48" t="s">
        <v>215</v>
      </c>
    </row>
    <row r="49" spans="3:19" x14ac:dyDescent="0.45">
      <c r="C49">
        <v>2.0776255707762557E-2</v>
      </c>
      <c r="D49">
        <v>2.4132130041684283E-2</v>
      </c>
      <c r="E49" t="s">
        <v>46</v>
      </c>
      <c r="F49" t="s">
        <v>211</v>
      </c>
      <c r="H49" t="s">
        <v>212</v>
      </c>
      <c r="I49" t="s">
        <v>46</v>
      </c>
      <c r="L49" t="s">
        <v>213</v>
      </c>
      <c r="M49" t="s">
        <v>46</v>
      </c>
      <c r="N49">
        <v>0.1490200974208018</v>
      </c>
      <c r="P49">
        <v>2031</v>
      </c>
      <c r="Q49" t="s">
        <v>217</v>
      </c>
      <c r="R49">
        <v>0.217</v>
      </c>
      <c r="S49" t="s">
        <v>215</v>
      </c>
    </row>
    <row r="50" spans="3:19" x14ac:dyDescent="0.45">
      <c r="C50">
        <v>3.1164383561643836E-2</v>
      </c>
      <c r="D50">
        <v>1.5082581276052677E-2</v>
      </c>
      <c r="E50" t="s">
        <v>47</v>
      </c>
      <c r="F50" t="s">
        <v>211</v>
      </c>
      <c r="H50" t="s">
        <v>212</v>
      </c>
      <c r="I50" t="s">
        <v>47</v>
      </c>
      <c r="L50" t="s">
        <v>213</v>
      </c>
      <c r="M50" t="s">
        <v>47</v>
      </c>
      <c r="N50">
        <v>0.13747376561005553</v>
      </c>
      <c r="P50">
        <v>2031</v>
      </c>
      <c r="Q50" t="s">
        <v>218</v>
      </c>
      <c r="R50">
        <v>0.10336666666666666</v>
      </c>
      <c r="S50" t="s">
        <v>215</v>
      </c>
    </row>
    <row r="51" spans="3:19" x14ac:dyDescent="0.45">
      <c r="H51" t="s">
        <v>219</v>
      </c>
      <c r="I51" t="s">
        <v>5</v>
      </c>
      <c r="P51">
        <v>2032</v>
      </c>
      <c r="Q51" t="s">
        <v>214</v>
      </c>
      <c r="R51">
        <v>0.52150000000000007</v>
      </c>
      <c r="S51" t="s">
        <v>215</v>
      </c>
    </row>
    <row r="52" spans="3:19" x14ac:dyDescent="0.45">
      <c r="H52" t="s">
        <v>219</v>
      </c>
      <c r="I52" t="s">
        <v>9</v>
      </c>
      <c r="P52">
        <v>2032</v>
      </c>
      <c r="Q52" t="s">
        <v>216</v>
      </c>
      <c r="R52">
        <v>0.53600000000000003</v>
      </c>
      <c r="S52" t="s">
        <v>215</v>
      </c>
    </row>
    <row r="53" spans="3:19" x14ac:dyDescent="0.45">
      <c r="H53" t="s">
        <v>219</v>
      </c>
      <c r="I53" t="s">
        <v>10</v>
      </c>
      <c r="P53">
        <v>2032</v>
      </c>
      <c r="Q53" t="s">
        <v>217</v>
      </c>
      <c r="R53">
        <v>0.20156666666666667</v>
      </c>
      <c r="S53" t="s">
        <v>215</v>
      </c>
    </row>
    <row r="54" spans="3:19" x14ac:dyDescent="0.45">
      <c r="H54" t="s">
        <v>219</v>
      </c>
      <c r="I54" t="s">
        <v>11</v>
      </c>
      <c r="P54">
        <v>2032</v>
      </c>
      <c r="Q54" t="s">
        <v>218</v>
      </c>
      <c r="R54">
        <v>0.12433333333333334</v>
      </c>
      <c r="S54" t="s">
        <v>215</v>
      </c>
    </row>
    <row r="55" spans="3:19" x14ac:dyDescent="0.45">
      <c r="H55" t="s">
        <v>219</v>
      </c>
      <c r="I55" t="s">
        <v>12</v>
      </c>
      <c r="P55">
        <v>2033</v>
      </c>
      <c r="Q55" t="s">
        <v>214</v>
      </c>
      <c r="R55">
        <v>0.38059999999999999</v>
      </c>
      <c r="S55" t="s">
        <v>215</v>
      </c>
    </row>
    <row r="56" spans="3:19" x14ac:dyDescent="0.45">
      <c r="H56" t="s">
        <v>219</v>
      </c>
      <c r="I56" t="s">
        <v>13</v>
      </c>
      <c r="P56">
        <v>2033</v>
      </c>
      <c r="Q56" t="s">
        <v>216</v>
      </c>
      <c r="R56">
        <v>0.46316666666666667</v>
      </c>
      <c r="S56" t="s">
        <v>215</v>
      </c>
    </row>
    <row r="57" spans="3:19" x14ac:dyDescent="0.45">
      <c r="H57" t="s">
        <v>219</v>
      </c>
      <c r="I57" t="s">
        <v>14</v>
      </c>
      <c r="P57">
        <v>2033</v>
      </c>
      <c r="Q57" t="s">
        <v>217</v>
      </c>
      <c r="R57">
        <v>0.12246666666666667</v>
      </c>
      <c r="S57" t="s">
        <v>215</v>
      </c>
    </row>
    <row r="58" spans="3:19" x14ac:dyDescent="0.45">
      <c r="H58" t="s">
        <v>219</v>
      </c>
      <c r="I58" t="s">
        <v>15</v>
      </c>
      <c r="P58">
        <v>2033</v>
      </c>
      <c r="Q58" t="s">
        <v>218</v>
      </c>
      <c r="R58">
        <v>6.9833333333333344E-2</v>
      </c>
      <c r="S58" t="s">
        <v>215</v>
      </c>
    </row>
    <row r="59" spans="3:19" x14ac:dyDescent="0.45">
      <c r="H59" t="s">
        <v>219</v>
      </c>
      <c r="I59" t="s">
        <v>16</v>
      </c>
      <c r="P59">
        <v>2034</v>
      </c>
      <c r="Q59" t="s">
        <v>214</v>
      </c>
      <c r="R59">
        <v>0.33339999999999997</v>
      </c>
      <c r="S59" t="s">
        <v>215</v>
      </c>
    </row>
    <row r="60" spans="3:19" x14ac:dyDescent="0.45">
      <c r="H60" t="s">
        <v>219</v>
      </c>
      <c r="I60" t="s">
        <v>17</v>
      </c>
      <c r="P60">
        <v>2034</v>
      </c>
      <c r="Q60" t="s">
        <v>216</v>
      </c>
      <c r="R60">
        <v>0.48693333333333327</v>
      </c>
      <c r="S60" t="s">
        <v>215</v>
      </c>
    </row>
    <row r="61" spans="3:19" x14ac:dyDescent="0.45">
      <c r="H61" t="s">
        <v>219</v>
      </c>
      <c r="I61" t="s">
        <v>18</v>
      </c>
      <c r="P61">
        <v>2034</v>
      </c>
      <c r="Q61" t="s">
        <v>217</v>
      </c>
      <c r="R61">
        <v>0.12916666666666668</v>
      </c>
      <c r="S61" t="s">
        <v>215</v>
      </c>
    </row>
    <row r="62" spans="3:19" x14ac:dyDescent="0.45">
      <c r="H62" t="s">
        <v>219</v>
      </c>
      <c r="I62" t="s">
        <v>19</v>
      </c>
      <c r="P62">
        <v>2034</v>
      </c>
      <c r="Q62" t="s">
        <v>218</v>
      </c>
      <c r="R62">
        <v>6.3866666666666669E-2</v>
      </c>
      <c r="S62" t="s">
        <v>215</v>
      </c>
    </row>
    <row r="63" spans="3:19" x14ac:dyDescent="0.45">
      <c r="H63" t="s">
        <v>219</v>
      </c>
      <c r="I63" t="s">
        <v>20</v>
      </c>
      <c r="P63">
        <v>2035</v>
      </c>
      <c r="Q63" t="s">
        <v>214</v>
      </c>
      <c r="R63">
        <v>0.36203333333333337</v>
      </c>
      <c r="S63" t="s">
        <v>215</v>
      </c>
    </row>
    <row r="64" spans="3:19" x14ac:dyDescent="0.45">
      <c r="H64" t="s">
        <v>219</v>
      </c>
      <c r="I64" t="s">
        <v>21</v>
      </c>
      <c r="P64">
        <v>2035</v>
      </c>
      <c r="Q64" t="s">
        <v>216</v>
      </c>
      <c r="R64">
        <v>0.42583333333333329</v>
      </c>
      <c r="S64" t="s">
        <v>215</v>
      </c>
    </row>
    <row r="65" spans="8:19" x14ac:dyDescent="0.45">
      <c r="H65" t="s">
        <v>219</v>
      </c>
      <c r="I65" t="s">
        <v>22</v>
      </c>
      <c r="P65">
        <v>2035</v>
      </c>
      <c r="Q65" t="s">
        <v>217</v>
      </c>
      <c r="R65">
        <v>0.14940000000000001</v>
      </c>
      <c r="S65" t="s">
        <v>215</v>
      </c>
    </row>
    <row r="66" spans="8:19" x14ac:dyDescent="0.45">
      <c r="H66" t="s">
        <v>219</v>
      </c>
      <c r="I66" t="s">
        <v>23</v>
      </c>
      <c r="P66">
        <v>2035</v>
      </c>
      <c r="Q66" t="s">
        <v>218</v>
      </c>
      <c r="R66">
        <v>7.1900000000000006E-2</v>
      </c>
      <c r="S66" t="s">
        <v>215</v>
      </c>
    </row>
    <row r="67" spans="8:19" x14ac:dyDescent="0.45">
      <c r="H67" t="s">
        <v>219</v>
      </c>
      <c r="I67" t="s">
        <v>24</v>
      </c>
      <c r="P67">
        <v>2036</v>
      </c>
      <c r="Q67" t="s">
        <v>214</v>
      </c>
      <c r="R67">
        <v>0.44900000000000001</v>
      </c>
      <c r="S67" t="s">
        <v>215</v>
      </c>
    </row>
    <row r="68" spans="8:19" x14ac:dyDescent="0.45">
      <c r="H68" t="s">
        <v>219</v>
      </c>
      <c r="I68" t="s">
        <v>25</v>
      </c>
      <c r="P68">
        <v>2036</v>
      </c>
      <c r="Q68" t="s">
        <v>216</v>
      </c>
      <c r="R68">
        <v>0.48216666666666663</v>
      </c>
      <c r="S68" t="s">
        <v>215</v>
      </c>
    </row>
    <row r="69" spans="8:19" x14ac:dyDescent="0.45">
      <c r="H69" t="s">
        <v>219</v>
      </c>
      <c r="I69" t="s">
        <v>26</v>
      </c>
      <c r="P69">
        <v>2036</v>
      </c>
      <c r="Q69" t="s">
        <v>217</v>
      </c>
      <c r="R69">
        <v>0.19359999999999999</v>
      </c>
      <c r="S69" t="s">
        <v>215</v>
      </c>
    </row>
    <row r="70" spans="8:19" x14ac:dyDescent="0.45">
      <c r="H70" t="s">
        <v>219</v>
      </c>
      <c r="I70" t="s">
        <v>27</v>
      </c>
      <c r="P70">
        <v>2036</v>
      </c>
      <c r="Q70" t="s">
        <v>218</v>
      </c>
      <c r="R70">
        <v>0.12636666666666665</v>
      </c>
      <c r="S70" t="s">
        <v>215</v>
      </c>
    </row>
    <row r="71" spans="8:19" x14ac:dyDescent="0.45">
      <c r="H71" t="s">
        <v>219</v>
      </c>
      <c r="I71" t="s">
        <v>28</v>
      </c>
      <c r="P71">
        <v>2037</v>
      </c>
      <c r="Q71" t="s">
        <v>214</v>
      </c>
      <c r="R71">
        <v>0.30703333333333332</v>
      </c>
      <c r="S71" t="s">
        <v>215</v>
      </c>
    </row>
    <row r="72" spans="8:19" x14ac:dyDescent="0.45">
      <c r="H72" t="s">
        <v>219</v>
      </c>
      <c r="I72" t="s">
        <v>29</v>
      </c>
      <c r="P72">
        <v>2037</v>
      </c>
      <c r="Q72" t="s">
        <v>216</v>
      </c>
      <c r="R72">
        <v>0.54116666666666668</v>
      </c>
      <c r="S72" t="s">
        <v>215</v>
      </c>
    </row>
    <row r="73" spans="8:19" x14ac:dyDescent="0.45">
      <c r="H73" t="s">
        <v>219</v>
      </c>
      <c r="I73" t="s">
        <v>30</v>
      </c>
      <c r="P73">
        <v>2037</v>
      </c>
      <c r="Q73" t="s">
        <v>217</v>
      </c>
      <c r="R73">
        <v>0.20450000000000002</v>
      </c>
      <c r="S73" t="s">
        <v>215</v>
      </c>
    </row>
    <row r="74" spans="8:19" x14ac:dyDescent="0.45">
      <c r="H74" t="s">
        <v>219</v>
      </c>
      <c r="I74" t="s">
        <v>31</v>
      </c>
      <c r="P74">
        <v>2037</v>
      </c>
      <c r="Q74" t="s">
        <v>218</v>
      </c>
      <c r="R74">
        <v>6.5433333333333329E-2</v>
      </c>
      <c r="S74" t="s">
        <v>215</v>
      </c>
    </row>
    <row r="75" spans="8:19" x14ac:dyDescent="0.45">
      <c r="H75" t="s">
        <v>219</v>
      </c>
      <c r="I75" t="s">
        <v>32</v>
      </c>
      <c r="P75">
        <v>2038</v>
      </c>
      <c r="Q75" t="s">
        <v>214</v>
      </c>
      <c r="R75">
        <v>0.35169999999999996</v>
      </c>
      <c r="S75" t="s">
        <v>215</v>
      </c>
    </row>
    <row r="76" spans="8:19" x14ac:dyDescent="0.45">
      <c r="H76" t="s">
        <v>219</v>
      </c>
      <c r="I76" t="s">
        <v>33</v>
      </c>
      <c r="P76">
        <v>2038</v>
      </c>
      <c r="Q76" t="s">
        <v>216</v>
      </c>
      <c r="R76">
        <v>0.53256666666666674</v>
      </c>
      <c r="S76" t="s">
        <v>215</v>
      </c>
    </row>
    <row r="77" spans="8:19" x14ac:dyDescent="0.45">
      <c r="H77" t="s">
        <v>219</v>
      </c>
      <c r="I77" t="s">
        <v>34</v>
      </c>
      <c r="P77">
        <v>2038</v>
      </c>
      <c r="Q77" t="s">
        <v>217</v>
      </c>
      <c r="R77">
        <v>0.1154</v>
      </c>
      <c r="S77" t="s">
        <v>215</v>
      </c>
    </row>
    <row r="78" spans="8:19" x14ac:dyDescent="0.45">
      <c r="H78" t="s">
        <v>219</v>
      </c>
      <c r="I78" t="s">
        <v>35</v>
      </c>
      <c r="P78">
        <v>2038</v>
      </c>
      <c r="Q78" t="s">
        <v>218</v>
      </c>
      <c r="R78">
        <v>0.11370000000000001</v>
      </c>
      <c r="S78" t="s">
        <v>215</v>
      </c>
    </row>
    <row r="79" spans="8:19" x14ac:dyDescent="0.45">
      <c r="H79" t="s">
        <v>219</v>
      </c>
      <c r="I79" t="s">
        <v>36</v>
      </c>
      <c r="P79">
        <v>2039</v>
      </c>
      <c r="Q79" t="s">
        <v>214</v>
      </c>
      <c r="R79">
        <v>0.38846666666666668</v>
      </c>
      <c r="S79" t="s">
        <v>215</v>
      </c>
    </row>
    <row r="80" spans="8:19" x14ac:dyDescent="0.45">
      <c r="H80" t="s">
        <v>219</v>
      </c>
      <c r="I80" t="s">
        <v>37</v>
      </c>
      <c r="P80">
        <v>2039</v>
      </c>
      <c r="Q80" t="s">
        <v>216</v>
      </c>
      <c r="R80">
        <v>0.50836666666666674</v>
      </c>
      <c r="S80" t="s">
        <v>215</v>
      </c>
    </row>
    <row r="81" spans="8:19" x14ac:dyDescent="0.45">
      <c r="H81" t="s">
        <v>219</v>
      </c>
      <c r="I81" t="s">
        <v>38</v>
      </c>
      <c r="P81">
        <v>2039</v>
      </c>
      <c r="Q81" t="s">
        <v>217</v>
      </c>
      <c r="R81">
        <v>0.15583333333333335</v>
      </c>
      <c r="S81" t="s">
        <v>215</v>
      </c>
    </row>
    <row r="82" spans="8:19" x14ac:dyDescent="0.45">
      <c r="H82" t="s">
        <v>219</v>
      </c>
      <c r="I82" t="s">
        <v>39</v>
      </c>
      <c r="P82">
        <v>2039</v>
      </c>
      <c r="Q82" t="s">
        <v>218</v>
      </c>
      <c r="R82">
        <v>7.4766666666666662E-2</v>
      </c>
      <c r="S82" t="s">
        <v>215</v>
      </c>
    </row>
    <row r="83" spans="8:19" x14ac:dyDescent="0.45">
      <c r="H83" t="s">
        <v>219</v>
      </c>
      <c r="I83" t="s">
        <v>40</v>
      </c>
      <c r="P83">
        <v>2040</v>
      </c>
      <c r="Q83" t="s">
        <v>214</v>
      </c>
      <c r="R83">
        <v>0.31196666666666667</v>
      </c>
      <c r="S83" t="s">
        <v>215</v>
      </c>
    </row>
    <row r="84" spans="8:19" x14ac:dyDescent="0.45">
      <c r="H84" t="s">
        <v>219</v>
      </c>
      <c r="I84" t="s">
        <v>41</v>
      </c>
      <c r="P84">
        <v>2040</v>
      </c>
      <c r="Q84" t="s">
        <v>216</v>
      </c>
      <c r="R84">
        <v>0.50050000000000006</v>
      </c>
      <c r="S84" t="s">
        <v>215</v>
      </c>
    </row>
    <row r="85" spans="8:19" x14ac:dyDescent="0.45">
      <c r="H85" t="s">
        <v>219</v>
      </c>
      <c r="I85" t="s">
        <v>42</v>
      </c>
      <c r="P85">
        <v>2040</v>
      </c>
      <c r="Q85" t="s">
        <v>217</v>
      </c>
      <c r="R85">
        <v>0.17276666666666665</v>
      </c>
      <c r="S85" t="s">
        <v>215</v>
      </c>
    </row>
    <row r="86" spans="8:19" x14ac:dyDescent="0.45">
      <c r="H86" t="s">
        <v>219</v>
      </c>
      <c r="I86" t="s">
        <v>43</v>
      </c>
      <c r="P86">
        <v>2040</v>
      </c>
      <c r="Q86" t="s">
        <v>218</v>
      </c>
      <c r="R86">
        <v>0.11733333333333335</v>
      </c>
      <c r="S86" t="s">
        <v>215</v>
      </c>
    </row>
    <row r="87" spans="8:19" x14ac:dyDescent="0.45">
      <c r="H87" t="s">
        <v>219</v>
      </c>
      <c r="I87" t="s">
        <v>44</v>
      </c>
      <c r="P87">
        <v>2041</v>
      </c>
      <c r="Q87" t="s">
        <v>214</v>
      </c>
      <c r="R87">
        <v>0.39733333333333332</v>
      </c>
      <c r="S87" t="s">
        <v>215</v>
      </c>
    </row>
    <row r="88" spans="8:19" x14ac:dyDescent="0.45">
      <c r="H88" t="s">
        <v>219</v>
      </c>
      <c r="I88" t="s">
        <v>45</v>
      </c>
      <c r="P88">
        <v>2041</v>
      </c>
      <c r="Q88" t="s">
        <v>216</v>
      </c>
      <c r="R88">
        <v>0.37246666666666667</v>
      </c>
      <c r="S88" t="s">
        <v>215</v>
      </c>
    </row>
    <row r="89" spans="8:19" x14ac:dyDescent="0.45">
      <c r="H89" t="s">
        <v>219</v>
      </c>
      <c r="I89" t="s">
        <v>46</v>
      </c>
      <c r="P89">
        <v>2041</v>
      </c>
      <c r="Q89" t="s">
        <v>217</v>
      </c>
      <c r="R89">
        <v>0.17936666666666667</v>
      </c>
      <c r="S89" t="s">
        <v>215</v>
      </c>
    </row>
    <row r="90" spans="8:19" x14ac:dyDescent="0.45">
      <c r="H90" t="s">
        <v>219</v>
      </c>
      <c r="I90" t="s">
        <v>47</v>
      </c>
      <c r="P90">
        <v>2041</v>
      </c>
      <c r="Q90" t="s">
        <v>218</v>
      </c>
      <c r="R90">
        <v>9.9833333333333329E-2</v>
      </c>
      <c r="S90" t="s">
        <v>215</v>
      </c>
    </row>
    <row r="91" spans="8:19" x14ac:dyDescent="0.45">
      <c r="P91">
        <v>2042</v>
      </c>
      <c r="Q91" t="s">
        <v>214</v>
      </c>
      <c r="R91">
        <v>0.38216666666666671</v>
      </c>
      <c r="S91" t="s">
        <v>215</v>
      </c>
    </row>
    <row r="92" spans="8:19" x14ac:dyDescent="0.45">
      <c r="P92">
        <v>2042</v>
      </c>
      <c r="Q92" t="s">
        <v>216</v>
      </c>
      <c r="R92">
        <v>0.49886666666666662</v>
      </c>
      <c r="S92" t="s">
        <v>215</v>
      </c>
    </row>
    <row r="93" spans="8:19" x14ac:dyDescent="0.45">
      <c r="P93">
        <v>2042</v>
      </c>
      <c r="Q93" t="s">
        <v>217</v>
      </c>
      <c r="R93">
        <v>0.11943333333333334</v>
      </c>
      <c r="S93" t="s">
        <v>215</v>
      </c>
    </row>
    <row r="94" spans="8:19" x14ac:dyDescent="0.45">
      <c r="P94">
        <v>2042</v>
      </c>
      <c r="Q94" t="s">
        <v>218</v>
      </c>
      <c r="R94">
        <v>6.356666666666666E-2</v>
      </c>
      <c r="S94" t="s">
        <v>215</v>
      </c>
    </row>
    <row r="95" spans="8:19" x14ac:dyDescent="0.45">
      <c r="P95">
        <v>2043</v>
      </c>
      <c r="Q95" t="s">
        <v>214</v>
      </c>
      <c r="R95">
        <v>0.40849999999999992</v>
      </c>
      <c r="S95" t="s">
        <v>215</v>
      </c>
    </row>
    <row r="96" spans="8:19" x14ac:dyDescent="0.45">
      <c r="P96">
        <v>2043</v>
      </c>
      <c r="Q96" t="s">
        <v>216</v>
      </c>
      <c r="R96">
        <v>0.45119999999999999</v>
      </c>
      <c r="S96" t="s">
        <v>215</v>
      </c>
    </row>
    <row r="97" spans="16:19" x14ac:dyDescent="0.45">
      <c r="P97">
        <v>2043</v>
      </c>
      <c r="Q97" t="s">
        <v>217</v>
      </c>
      <c r="R97">
        <v>0.18543333333333334</v>
      </c>
      <c r="S97" t="s">
        <v>215</v>
      </c>
    </row>
    <row r="98" spans="16:19" x14ac:dyDescent="0.45">
      <c r="P98">
        <v>2043</v>
      </c>
      <c r="Q98" t="s">
        <v>218</v>
      </c>
      <c r="R98">
        <v>7.1466666666666664E-2</v>
      </c>
      <c r="S98" t="s">
        <v>215</v>
      </c>
    </row>
    <row r="99" spans="16:19" x14ac:dyDescent="0.45">
      <c r="P99">
        <v>2044</v>
      </c>
      <c r="Q99" t="s">
        <v>214</v>
      </c>
      <c r="R99">
        <v>0.36259999999999998</v>
      </c>
      <c r="S99" t="s">
        <v>215</v>
      </c>
    </row>
    <row r="100" spans="16:19" x14ac:dyDescent="0.45">
      <c r="P100">
        <v>2044</v>
      </c>
      <c r="Q100" t="s">
        <v>216</v>
      </c>
      <c r="R100">
        <v>0.48966666666666664</v>
      </c>
      <c r="S100" t="s">
        <v>215</v>
      </c>
    </row>
    <row r="101" spans="16:19" x14ac:dyDescent="0.45">
      <c r="P101">
        <v>2044</v>
      </c>
      <c r="Q101" t="s">
        <v>217</v>
      </c>
      <c r="R101">
        <v>0.23173333333333335</v>
      </c>
      <c r="S101" t="s">
        <v>215</v>
      </c>
    </row>
    <row r="102" spans="16:19" x14ac:dyDescent="0.45">
      <c r="P102">
        <v>2044</v>
      </c>
      <c r="Q102" t="s">
        <v>218</v>
      </c>
      <c r="R102">
        <v>7.383333333333332E-2</v>
      </c>
      <c r="S102" t="s">
        <v>215</v>
      </c>
    </row>
    <row r="103" spans="16:19" x14ac:dyDescent="0.45">
      <c r="P103">
        <v>2045</v>
      </c>
      <c r="Q103" t="s">
        <v>214</v>
      </c>
      <c r="R103">
        <v>0.36460000000000004</v>
      </c>
      <c r="S103" t="s">
        <v>215</v>
      </c>
    </row>
    <row r="104" spans="16:19" x14ac:dyDescent="0.45">
      <c r="P104">
        <v>2045</v>
      </c>
      <c r="Q104" t="s">
        <v>216</v>
      </c>
      <c r="R104">
        <v>0.5255333333333333</v>
      </c>
      <c r="S104" t="s">
        <v>215</v>
      </c>
    </row>
    <row r="105" spans="16:19" x14ac:dyDescent="0.45">
      <c r="P105">
        <v>2045</v>
      </c>
      <c r="Q105" t="s">
        <v>217</v>
      </c>
      <c r="R105">
        <v>0.10389999999999999</v>
      </c>
      <c r="S105" t="s">
        <v>215</v>
      </c>
    </row>
    <row r="106" spans="16:19" x14ac:dyDescent="0.45">
      <c r="P106">
        <v>2045</v>
      </c>
      <c r="Q106" t="s">
        <v>218</v>
      </c>
      <c r="R106">
        <v>0.128</v>
      </c>
      <c r="S106" t="s">
        <v>215</v>
      </c>
    </row>
    <row r="107" spans="16:19" x14ac:dyDescent="0.45">
      <c r="P107">
        <v>2046</v>
      </c>
      <c r="Q107" t="s">
        <v>214</v>
      </c>
      <c r="R107">
        <v>0.29346666666666665</v>
      </c>
      <c r="S107" t="s">
        <v>215</v>
      </c>
    </row>
    <row r="108" spans="16:19" x14ac:dyDescent="0.45">
      <c r="P108">
        <v>2046</v>
      </c>
      <c r="Q108" t="s">
        <v>216</v>
      </c>
      <c r="R108">
        <v>0.47703333333333336</v>
      </c>
      <c r="S108" t="s">
        <v>215</v>
      </c>
    </row>
    <row r="109" spans="16:19" x14ac:dyDescent="0.45">
      <c r="P109">
        <v>2046</v>
      </c>
      <c r="Q109" t="s">
        <v>217</v>
      </c>
      <c r="R109">
        <v>9.6299999999999997E-2</v>
      </c>
      <c r="S109" t="s">
        <v>215</v>
      </c>
    </row>
    <row r="110" spans="16:19" x14ac:dyDescent="0.45">
      <c r="P110">
        <v>2046</v>
      </c>
      <c r="Q110" t="s">
        <v>218</v>
      </c>
      <c r="R110">
        <v>5.7733333333333338E-2</v>
      </c>
      <c r="S110" t="s">
        <v>215</v>
      </c>
    </row>
    <row r="111" spans="16:19" x14ac:dyDescent="0.45">
      <c r="P111">
        <v>2047</v>
      </c>
      <c r="Q111" t="s">
        <v>214</v>
      </c>
      <c r="R111">
        <v>0.38680000000000003</v>
      </c>
      <c r="S111" t="s">
        <v>215</v>
      </c>
    </row>
    <row r="112" spans="16:19" x14ac:dyDescent="0.45">
      <c r="P112">
        <v>2047</v>
      </c>
      <c r="Q112" t="s">
        <v>216</v>
      </c>
      <c r="R112">
        <v>0.48349999999999999</v>
      </c>
      <c r="S112" t="s">
        <v>215</v>
      </c>
    </row>
    <row r="113" spans="16:19" x14ac:dyDescent="0.45">
      <c r="P113">
        <v>2047</v>
      </c>
      <c r="Q113" t="s">
        <v>217</v>
      </c>
      <c r="R113">
        <v>0.14046666666666666</v>
      </c>
      <c r="S113" t="s">
        <v>215</v>
      </c>
    </row>
    <row r="114" spans="16:19" x14ac:dyDescent="0.45">
      <c r="P114">
        <v>2047</v>
      </c>
      <c r="Q114" t="s">
        <v>218</v>
      </c>
      <c r="R114">
        <v>5.000000000000001E-2</v>
      </c>
      <c r="S114" t="s">
        <v>215</v>
      </c>
    </row>
    <row r="115" spans="16:19" x14ac:dyDescent="0.45">
      <c r="P115">
        <v>2048</v>
      </c>
      <c r="Q115" t="s">
        <v>214</v>
      </c>
      <c r="R115">
        <v>0.34959999999999997</v>
      </c>
      <c r="S115" t="s">
        <v>215</v>
      </c>
    </row>
    <row r="116" spans="16:19" x14ac:dyDescent="0.45">
      <c r="P116">
        <v>2048</v>
      </c>
      <c r="Q116" t="s">
        <v>216</v>
      </c>
      <c r="R116">
        <v>0.49576666666666669</v>
      </c>
      <c r="S116" t="s">
        <v>215</v>
      </c>
    </row>
    <row r="117" spans="16:19" x14ac:dyDescent="0.45">
      <c r="P117">
        <v>2048</v>
      </c>
      <c r="Q117" t="s">
        <v>217</v>
      </c>
      <c r="R117">
        <v>8.3299999999999999E-2</v>
      </c>
      <c r="S117" t="s">
        <v>215</v>
      </c>
    </row>
    <row r="118" spans="16:19" x14ac:dyDescent="0.45">
      <c r="P118">
        <v>2048</v>
      </c>
      <c r="Q118" t="s">
        <v>218</v>
      </c>
      <c r="R118">
        <v>8.7300000000000003E-2</v>
      </c>
      <c r="S118" t="s">
        <v>215</v>
      </c>
    </row>
    <row r="119" spans="16:19" x14ac:dyDescent="0.45">
      <c r="P119">
        <v>2049</v>
      </c>
      <c r="Q119" t="s">
        <v>214</v>
      </c>
      <c r="R119">
        <v>0.38513333333333333</v>
      </c>
      <c r="S119" t="s">
        <v>215</v>
      </c>
    </row>
    <row r="120" spans="16:19" x14ac:dyDescent="0.45">
      <c r="P120">
        <v>2049</v>
      </c>
      <c r="Q120" t="s">
        <v>216</v>
      </c>
      <c r="R120">
        <v>0.38273333333333331</v>
      </c>
      <c r="S120" t="s">
        <v>215</v>
      </c>
    </row>
    <row r="121" spans="16:19" x14ac:dyDescent="0.45">
      <c r="P121">
        <v>2049</v>
      </c>
      <c r="Q121" t="s">
        <v>217</v>
      </c>
      <c r="R121">
        <v>0.21</v>
      </c>
      <c r="S121" t="s">
        <v>215</v>
      </c>
    </row>
    <row r="122" spans="16:19" x14ac:dyDescent="0.45">
      <c r="P122">
        <v>2049</v>
      </c>
      <c r="Q122" t="s">
        <v>218</v>
      </c>
      <c r="R122">
        <v>5.0066666666666669E-2</v>
      </c>
      <c r="S122" t="s">
        <v>215</v>
      </c>
    </row>
    <row r="123" spans="16:19" x14ac:dyDescent="0.45">
      <c r="P123">
        <v>2050</v>
      </c>
      <c r="Q123" t="s">
        <v>214</v>
      </c>
      <c r="R123">
        <v>0.44093333333333334</v>
      </c>
      <c r="S123" t="s">
        <v>215</v>
      </c>
    </row>
    <row r="124" spans="16:19" x14ac:dyDescent="0.45">
      <c r="P124">
        <v>2050</v>
      </c>
      <c r="Q124" t="s">
        <v>216</v>
      </c>
      <c r="R124">
        <v>0.53856666666666664</v>
      </c>
      <c r="S124" t="s">
        <v>215</v>
      </c>
    </row>
    <row r="125" spans="16:19" x14ac:dyDescent="0.45">
      <c r="P125">
        <v>2050</v>
      </c>
      <c r="Q125" t="s">
        <v>217</v>
      </c>
      <c r="R125">
        <v>0.12303333333333333</v>
      </c>
      <c r="S125" t="s">
        <v>215</v>
      </c>
    </row>
    <row r="126" spans="16:19" x14ac:dyDescent="0.45">
      <c r="P126">
        <v>2050</v>
      </c>
      <c r="Q126" t="s">
        <v>218</v>
      </c>
      <c r="R126">
        <v>6.9933333333333333E-2</v>
      </c>
      <c r="S126" t="s">
        <v>215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4154-2B53-41DB-BD9B-E115FDC27360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">
        <v>205</v>
      </c>
      <c r="B10" s="1"/>
      <c r="C10" s="1" t="s">
        <v>870</v>
      </c>
      <c r="D10" t="s">
        <v>205</v>
      </c>
    </row>
    <row r="11" spans="1:4" x14ac:dyDescent="0.45">
      <c r="B11" s="1"/>
      <c r="C11" s="1" t="s">
        <v>871</v>
      </c>
      <c r="D11" t="s">
        <v>872</v>
      </c>
    </row>
    <row r="12" spans="1:4" x14ac:dyDescent="0.45">
      <c r="B12" s="1"/>
      <c r="C12" s="1" t="s">
        <v>873</v>
      </c>
      <c r="D12" t="s">
        <v>874</v>
      </c>
    </row>
    <row r="17" spans="3:14" x14ac:dyDescent="0.45">
      <c r="I17" s="2">
        <v>0.75</v>
      </c>
      <c r="K17" s="3" t="s">
        <v>875</v>
      </c>
    </row>
    <row r="18" spans="3:14" ht="17.25" thickBot="1" x14ac:dyDescent="0.55000000000000004">
      <c r="C18" s="4" t="s">
        <v>876</v>
      </c>
    </row>
    <row r="19" spans="3:14" ht="14.65" thickTop="1" x14ac:dyDescent="0.45"/>
    <row r="21" spans="3:14" ht="17.25" thickBot="1" x14ac:dyDescent="0.55000000000000004">
      <c r="H21" s="4" t="str">
        <f>IF(H23=H24,"Not Required!","~UC_T: LO")</f>
        <v>~UC_T: LO</v>
      </c>
    </row>
    <row r="22" spans="3:14" ht="15" thickTop="1" thickBot="1" x14ac:dyDescent="0.5">
      <c r="C22" s="5" t="s">
        <v>877</v>
      </c>
      <c r="D22" s="5" t="s">
        <v>878</v>
      </c>
      <c r="E22" s="5" t="s">
        <v>879</v>
      </c>
      <c r="F22" s="5" t="s">
        <v>880</v>
      </c>
      <c r="G22" s="5" t="s">
        <v>881</v>
      </c>
      <c r="H22" s="5" t="s">
        <v>882</v>
      </c>
      <c r="I22" s="5" t="s">
        <v>883</v>
      </c>
      <c r="J22" s="5" t="s">
        <v>884</v>
      </c>
      <c r="K22" s="5" t="s">
        <v>885</v>
      </c>
    </row>
    <row r="23" spans="3:14" x14ac:dyDescent="0.45">
      <c r="C23" t="s">
        <v>886</v>
      </c>
      <c r="D23" t="s">
        <v>213</v>
      </c>
      <c r="E23" t="str">
        <f>G23</f>
        <v>AuxStoIN</v>
      </c>
      <c r="F23" t="s">
        <v>887</v>
      </c>
      <c r="G23" t="s">
        <v>888</v>
      </c>
      <c r="H23" t="str">
        <f>HLOOKUP($A$10,$D$10:$CU$12,3,FALSE)</f>
        <v>S03aH09,S02aH01,S02aH10,S01aH08,S02aH08,S04aH08,S01aH01,S04aH01,S01aH09,S04aH02,S02aH02,S04aH10,S02aH09,S04aH09,S03aH01,S01aH10,S03aH02,S03aH08,S03aH10,S01aH02</v>
      </c>
      <c r="I23">
        <f>1+I24</f>
        <v>0.25</v>
      </c>
      <c r="J23">
        <v>0</v>
      </c>
      <c r="K23">
        <v>3</v>
      </c>
      <c r="M23" t="s">
        <v>889</v>
      </c>
    </row>
    <row r="24" spans="3:14" x14ac:dyDescent="0.45">
      <c r="D24" t="s">
        <v>213</v>
      </c>
      <c r="E24" t="str">
        <f>G24</f>
        <v>AuxStoIN</v>
      </c>
      <c r="F24" t="s">
        <v>887</v>
      </c>
      <c r="G24" t="s">
        <v>888</v>
      </c>
      <c r="H24" t="str">
        <f>HLOOKUP($A$10,$D$10:$CU$12,2,FALSE)</f>
        <v>S02aH06,S03aH05,S03aH08,S04aH07,S04aH06,S04aH03,S01aH02,S04aH04,S01aH06,S02aH03,S01aH03,S04aH05,S04aH08,S01aH04,S01aH07,S02aH07,S03aH02,S03aH03,S03aH04,S02aH02,S04aH02,S02aH04,S02aH05,S01aH05,S01aH08,S02aH08,S03aH06,S03aH07</v>
      </c>
      <c r="I24">
        <f>-$I$17</f>
        <v>-0.75</v>
      </c>
      <c r="M24" t="s">
        <v>890</v>
      </c>
    </row>
    <row r="29" spans="3:14" ht="17.25" thickBot="1" x14ac:dyDescent="0.55000000000000004">
      <c r="I29" s="4" t="s">
        <v>891</v>
      </c>
    </row>
    <row r="30" spans="3:14" ht="15" thickTop="1" thickBot="1" x14ac:dyDescent="0.5">
      <c r="C30" s="5" t="s">
        <v>877</v>
      </c>
      <c r="D30" s="5" t="s">
        <v>892</v>
      </c>
      <c r="E30" s="5" t="s">
        <v>893</v>
      </c>
      <c r="F30" s="5" t="s">
        <v>878</v>
      </c>
      <c r="G30" s="5" t="s">
        <v>894</v>
      </c>
      <c r="H30" s="5" t="s">
        <v>881</v>
      </c>
      <c r="I30" s="5" t="s">
        <v>882</v>
      </c>
      <c r="J30" s="5" t="s">
        <v>895</v>
      </c>
      <c r="K30" s="5" t="s">
        <v>896</v>
      </c>
      <c r="L30" s="5" t="s">
        <v>897</v>
      </c>
      <c r="M30" s="5" t="s">
        <v>898</v>
      </c>
      <c r="N30" s="5" t="s">
        <v>899</v>
      </c>
    </row>
    <row r="31" spans="3:14" x14ac:dyDescent="0.45">
      <c r="C31" t="s">
        <v>900</v>
      </c>
      <c r="D31" t="s">
        <v>901</v>
      </c>
      <c r="F31" t="s">
        <v>902</v>
      </c>
      <c r="I31" t="s">
        <v>903</v>
      </c>
      <c r="J31">
        <v>1</v>
      </c>
      <c r="L31">
        <v>0</v>
      </c>
      <c r="M31">
        <v>5</v>
      </c>
      <c r="N31" t="s">
        <v>904</v>
      </c>
    </row>
    <row r="32" spans="3:14" x14ac:dyDescent="0.45">
      <c r="H32" t="s">
        <v>123</v>
      </c>
      <c r="I32" t="s">
        <v>903</v>
      </c>
      <c r="K32">
        <v>-1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37D3-F9F8-424C-9F62-14462E51D340}">
  <dimension ref="A9:G20"/>
  <sheetViews>
    <sheetView tabSelected="1"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205</v>
      </c>
      <c r="C10" t="s">
        <v>905</v>
      </c>
      <c r="D10" t="s">
        <v>906</v>
      </c>
      <c r="E10" t="s">
        <v>907</v>
      </c>
      <c r="F10" t="s">
        <v>908</v>
      </c>
      <c r="G10" t="s">
        <v>909</v>
      </c>
    </row>
    <row r="11" spans="1:7" x14ac:dyDescent="0.45">
      <c r="C11" t="s">
        <v>214</v>
      </c>
      <c r="D11" t="s">
        <v>910</v>
      </c>
      <c r="E11" t="s">
        <v>911</v>
      </c>
      <c r="F11" t="s">
        <v>912</v>
      </c>
      <c r="G11" t="s">
        <v>910</v>
      </c>
    </row>
    <row r="12" spans="1:7" x14ac:dyDescent="0.45">
      <c r="C12" t="s">
        <v>216</v>
      </c>
      <c r="E12" t="s">
        <v>913</v>
      </c>
      <c r="G12" t="s">
        <v>910</v>
      </c>
    </row>
    <row r="13" spans="1:7" x14ac:dyDescent="0.45">
      <c r="C13" t="s">
        <v>217</v>
      </c>
      <c r="E13" t="s">
        <v>914</v>
      </c>
      <c r="G13" t="s">
        <v>910</v>
      </c>
    </row>
    <row r="14" spans="1:7" x14ac:dyDescent="0.45">
      <c r="C14" t="s">
        <v>218</v>
      </c>
      <c r="E14" t="s">
        <v>915</v>
      </c>
      <c r="G14" t="s">
        <v>910</v>
      </c>
    </row>
    <row r="15" spans="1:7" x14ac:dyDescent="0.45">
      <c r="E15" t="s">
        <v>916</v>
      </c>
      <c r="G15" t="s">
        <v>910</v>
      </c>
    </row>
    <row r="16" spans="1:7" x14ac:dyDescent="0.45">
      <c r="E16" t="s">
        <v>917</v>
      </c>
      <c r="G16" t="s">
        <v>910</v>
      </c>
    </row>
    <row r="17" spans="5:7" x14ac:dyDescent="0.45">
      <c r="E17" t="s">
        <v>918</v>
      </c>
      <c r="G17" t="s">
        <v>910</v>
      </c>
    </row>
    <row r="18" spans="5:7" x14ac:dyDescent="0.45">
      <c r="E18" t="s">
        <v>919</v>
      </c>
      <c r="G18" t="s">
        <v>910</v>
      </c>
    </row>
    <row r="19" spans="5:7" x14ac:dyDescent="0.45">
      <c r="E19" t="s">
        <v>920</v>
      </c>
      <c r="G19" t="s">
        <v>910</v>
      </c>
    </row>
    <row r="20" spans="5:7" x14ac:dyDescent="0.45">
      <c r="E20" t="s">
        <v>921</v>
      </c>
      <c r="G20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resource_profiles_FRA</vt:lpstr>
      <vt:lpstr>firmness_FRA</vt:lpstr>
      <vt:lpstr>load_demand_peak_hydro_FRA</vt:lpstr>
      <vt:lpstr>resource_profiles_GBR</vt:lpstr>
      <vt:lpstr>firmness_GBR</vt:lpstr>
      <vt:lpstr>load_demand_peak_hydro_GBR</vt:lpstr>
      <vt:lpstr>resource_profiles_BEL</vt:lpstr>
      <vt:lpstr>firmness_BEL</vt:lpstr>
      <vt:lpstr>load_demand_peak_hydro_BEL</vt:lpstr>
      <vt:lpstr>resource_profiles_DEU</vt:lpstr>
      <vt:lpstr>firmness_DEU</vt:lpstr>
      <vt:lpstr>load_demand_peak_hydro_DEU</vt:lpstr>
      <vt:lpstr>resource_profiles_CHE</vt:lpstr>
      <vt:lpstr>firmness_CHE</vt:lpstr>
      <vt:lpstr>load_demand_peak_hydro_CHE</vt:lpstr>
      <vt:lpstr>resource_profiles_ITA</vt:lpstr>
      <vt:lpstr>firmness_ITA</vt:lpstr>
      <vt:lpstr>load_demand_peak_hydro_ITA</vt:lpstr>
      <vt:lpstr>resource_profiles_ESP</vt:lpstr>
      <vt:lpstr>firmness_ESP</vt:lpstr>
      <vt:lpstr>load_demand_peak_hydro_ESP</vt:lpstr>
      <vt:lpstr>resource_profiles_NLD</vt:lpstr>
      <vt:lpstr>firmness_NLD</vt:lpstr>
      <vt:lpstr>load_demand_peak_hydro_NLD</vt:lpstr>
      <vt:lpstr>ev_charging_uc</vt:lpstr>
      <vt:lpstr>timeslice_def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2026-08-29T13:10:17Z</dcterms:created>
  <dcterms:modified xsi:type="dcterms:W3CDTF">2026-08-29T13:10:32Z</dcterms:modified>
</cp:coreProperties>
</file>