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3DDDE0B6-A05E-4CC7-A1A0-F759BB689853}" xr6:coauthVersionLast="47" xr6:coauthVersionMax="47" xr10:uidLastSave="{00000000-0000-0000-0000-000000000000}"/>
  <bookViews>
    <workbookView xWindow="2205" yWindow="2205" windowWidth="21600" windowHeight="12773" firstSheet="3" activeTab="11" xr2:uid="{00000000-000D-0000-FFFF-FFFF00000000}"/>
  </bookViews>
  <sheets>
    <sheet name="controller" sheetId="5" r:id="rId1"/>
    <sheet name="Veda_FRA" sheetId="1" r:id="rId2"/>
    <sheet name="fuel_prices" sheetId="4" r:id="rId3"/>
    <sheet name="iea_data" sheetId="2" r:id="rId4"/>
    <sheet name="ar6_r10" sheetId="3" r:id="rId5"/>
    <sheet name="Veda_GBR" sheetId="6" r:id="rId6"/>
    <sheet name="Veda_NLD" sheetId="7" r:id="rId7"/>
    <sheet name="Veda_BEL" sheetId="8" r:id="rId8"/>
    <sheet name="Veda_DEU" sheetId="9" r:id="rId9"/>
    <sheet name="Veda_CHE" sheetId="10" r:id="rId10"/>
    <sheet name="Veda_ITA" sheetId="11" r:id="rId11"/>
    <sheet name="Veda_ESP" sheetId="12" r:id="rId12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7" hidden="1">Veda_BEL!#REF!</definedName>
    <definedName name="_xlnm._FilterDatabase" localSheetId="9" hidden="1">Veda_CHE!#REF!</definedName>
    <definedName name="_xlnm._FilterDatabase" localSheetId="8" hidden="1">Veda_DEU!#REF!</definedName>
    <definedName name="_xlnm._FilterDatabase" localSheetId="11" hidden="1">Veda_ESP!#REF!</definedName>
    <definedName name="_xlnm._FilterDatabase" localSheetId="1" hidden="1">Veda_FRA!#REF!</definedName>
    <definedName name="_xlnm._FilterDatabase" localSheetId="5" hidden="1">Veda_GBR!#REF!</definedName>
    <definedName name="_xlnm._FilterDatabase" localSheetId="10" hidden="1">Veda_ITA!#REF!</definedName>
    <definedName name="_xlnm._FilterDatabase" localSheetId="6" hidden="1">Veda_NLD!#REF!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2" l="1"/>
  <c r="M50" i="12"/>
  <c r="C50" i="12"/>
  <c r="N49" i="12"/>
  <c r="M49" i="12"/>
  <c r="C49" i="12"/>
  <c r="N48" i="12"/>
  <c r="M48" i="12"/>
  <c r="C48" i="12"/>
  <c r="N47" i="12"/>
  <c r="M47" i="12"/>
  <c r="C47" i="12"/>
  <c r="B45" i="12"/>
  <c r="D42" i="12"/>
  <c r="J41" i="12"/>
  <c r="I41" i="12"/>
  <c r="H41" i="12"/>
  <c r="H49" i="12" s="1"/>
  <c r="G41" i="12"/>
  <c r="F41" i="12"/>
  <c r="F49" i="12" s="1"/>
  <c r="E41" i="12"/>
  <c r="E49" i="12" s="1"/>
  <c r="D41" i="12"/>
  <c r="D49" i="12" s="1"/>
  <c r="J40" i="12"/>
  <c r="J48" i="12" s="1"/>
  <c r="I40" i="12"/>
  <c r="I48" i="12" s="1"/>
  <c r="H40" i="12"/>
  <c r="H48" i="12" s="1"/>
  <c r="G40" i="12"/>
  <c r="G48" i="12" s="1"/>
  <c r="F40" i="12"/>
  <c r="F48" i="12" s="1"/>
  <c r="E40" i="12"/>
  <c r="E48" i="12" s="1"/>
  <c r="D40" i="12"/>
  <c r="D48" i="12" s="1"/>
  <c r="J39" i="12"/>
  <c r="J47" i="12" s="1"/>
  <c r="D39" i="12"/>
  <c r="D47" i="12" s="1"/>
  <c r="L31" i="12"/>
  <c r="L30" i="12"/>
  <c r="N11" i="12" s="1"/>
  <c r="U29" i="12"/>
  <c r="T29" i="12"/>
  <c r="S29" i="12"/>
  <c r="R29" i="12"/>
  <c r="Q29" i="12"/>
  <c r="P29" i="12"/>
  <c r="O29" i="12"/>
  <c r="N28" i="12"/>
  <c r="C26" i="12"/>
  <c r="J26" i="12" s="1"/>
  <c r="U26" i="12" s="1"/>
  <c r="J22" i="12"/>
  <c r="I22" i="12"/>
  <c r="H22" i="12"/>
  <c r="G22" i="12"/>
  <c r="F22" i="12"/>
  <c r="E22" i="12"/>
  <c r="D22" i="12"/>
  <c r="H21" i="12"/>
  <c r="J20" i="12"/>
  <c r="I20" i="12"/>
  <c r="H20" i="12"/>
  <c r="G20" i="12"/>
  <c r="F20" i="12"/>
  <c r="E20" i="12"/>
  <c r="D20" i="12"/>
  <c r="D19" i="12"/>
  <c r="J18" i="12"/>
  <c r="J46" i="12" s="1"/>
  <c r="I18" i="12"/>
  <c r="I39" i="12" s="1"/>
  <c r="I47" i="12" s="1"/>
  <c r="H18" i="12"/>
  <c r="H39" i="12" s="1"/>
  <c r="H47" i="12" s="1"/>
  <c r="G18" i="12"/>
  <c r="G39" i="12" s="1"/>
  <c r="G47" i="12" s="1"/>
  <c r="F18" i="12"/>
  <c r="F39" i="12" s="1"/>
  <c r="F47" i="12" s="1"/>
  <c r="E18" i="12"/>
  <c r="E39" i="12" s="1"/>
  <c r="E47" i="12" s="1"/>
  <c r="N17" i="12"/>
  <c r="J16" i="12"/>
  <c r="I16" i="12"/>
  <c r="H16" i="12"/>
  <c r="G16" i="12"/>
  <c r="F16" i="12"/>
  <c r="E16" i="12"/>
  <c r="D16" i="12"/>
  <c r="J15" i="12"/>
  <c r="C15" i="12"/>
  <c r="I15" i="12" s="1"/>
  <c r="N13" i="12"/>
  <c r="R25" i="12" s="1"/>
  <c r="N12" i="12"/>
  <c r="N50" i="11"/>
  <c r="M50" i="11"/>
  <c r="C50" i="11"/>
  <c r="N49" i="11"/>
  <c r="M49" i="11"/>
  <c r="C49" i="11"/>
  <c r="N48" i="11"/>
  <c r="M48" i="11"/>
  <c r="C48" i="11"/>
  <c r="N47" i="11"/>
  <c r="M47" i="11"/>
  <c r="C47" i="11"/>
  <c r="B45" i="11"/>
  <c r="D42" i="11"/>
  <c r="D50" i="11" s="1"/>
  <c r="J41" i="11"/>
  <c r="J49" i="11" s="1"/>
  <c r="I41" i="11"/>
  <c r="I49" i="11" s="1"/>
  <c r="H41" i="11"/>
  <c r="H49" i="11" s="1"/>
  <c r="G41" i="11"/>
  <c r="G49" i="11" s="1"/>
  <c r="F41" i="11"/>
  <c r="F49" i="11" s="1"/>
  <c r="E41" i="11"/>
  <c r="E49" i="11" s="1"/>
  <c r="D41" i="11"/>
  <c r="D49" i="11" s="1"/>
  <c r="J40" i="11"/>
  <c r="I40" i="11"/>
  <c r="H40" i="11"/>
  <c r="G40" i="11"/>
  <c r="F40" i="11"/>
  <c r="E40" i="11"/>
  <c r="D40" i="11"/>
  <c r="J39" i="11"/>
  <c r="D39" i="11"/>
  <c r="L31" i="11"/>
  <c r="L30" i="11"/>
  <c r="U29" i="11"/>
  <c r="T29" i="11"/>
  <c r="S29" i="11"/>
  <c r="R29" i="11"/>
  <c r="Q29" i="11"/>
  <c r="P29" i="11"/>
  <c r="O29" i="11"/>
  <c r="N28" i="11"/>
  <c r="C26" i="11"/>
  <c r="F26" i="11" s="1"/>
  <c r="Q26" i="11" s="1"/>
  <c r="J22" i="11"/>
  <c r="I22" i="11"/>
  <c r="H22" i="11"/>
  <c r="G22" i="11"/>
  <c r="F22" i="11"/>
  <c r="E22" i="11"/>
  <c r="D22" i="11"/>
  <c r="E21" i="11"/>
  <c r="D21" i="11"/>
  <c r="J20" i="11"/>
  <c r="I20" i="11"/>
  <c r="H20" i="11"/>
  <c r="G20" i="11"/>
  <c r="F20" i="11"/>
  <c r="E20" i="11"/>
  <c r="D20" i="11"/>
  <c r="D19" i="11"/>
  <c r="J18" i="11"/>
  <c r="J46" i="11" s="1"/>
  <c r="I18" i="11"/>
  <c r="I39" i="11" s="1"/>
  <c r="H18" i="11"/>
  <c r="H39" i="11" s="1"/>
  <c r="G18" i="11"/>
  <c r="G39" i="11" s="1"/>
  <c r="F18" i="11"/>
  <c r="F39" i="11" s="1"/>
  <c r="E18" i="11"/>
  <c r="E39" i="11" s="1"/>
  <c r="N17" i="11"/>
  <c r="J16" i="11"/>
  <c r="I16" i="11"/>
  <c r="H16" i="11"/>
  <c r="G16" i="11"/>
  <c r="F16" i="11"/>
  <c r="E16" i="11"/>
  <c r="D16" i="11"/>
  <c r="J15" i="11"/>
  <c r="C15" i="11"/>
  <c r="I15" i="11" s="1"/>
  <c r="N13" i="11"/>
  <c r="R25" i="11" s="1"/>
  <c r="N12" i="11"/>
  <c r="N50" i="10"/>
  <c r="M50" i="10"/>
  <c r="C50" i="10"/>
  <c r="N49" i="10"/>
  <c r="M49" i="10"/>
  <c r="C49" i="10"/>
  <c r="N48" i="10"/>
  <c r="M48" i="10"/>
  <c r="C48" i="10"/>
  <c r="N47" i="10"/>
  <c r="M47" i="10"/>
  <c r="C47" i="10"/>
  <c r="B45" i="10"/>
  <c r="D42" i="10"/>
  <c r="J41" i="10"/>
  <c r="I41" i="10"/>
  <c r="H41" i="10"/>
  <c r="G41" i="10"/>
  <c r="F41" i="10"/>
  <c r="E41" i="10"/>
  <c r="D41" i="10"/>
  <c r="J40" i="10"/>
  <c r="I40" i="10"/>
  <c r="H40" i="10"/>
  <c r="G40" i="10"/>
  <c r="F40" i="10"/>
  <c r="E40" i="10"/>
  <c r="D40" i="10"/>
  <c r="J39" i="10"/>
  <c r="J47" i="10" s="1"/>
  <c r="D39" i="10"/>
  <c r="D47" i="10" s="1"/>
  <c r="L31" i="10"/>
  <c r="L30" i="10"/>
  <c r="U29" i="10"/>
  <c r="T29" i="10"/>
  <c r="S29" i="10"/>
  <c r="R29" i="10"/>
  <c r="Q29" i="10"/>
  <c r="P29" i="10"/>
  <c r="O29" i="10"/>
  <c r="N28" i="10"/>
  <c r="F26" i="10"/>
  <c r="Q26" i="10" s="1"/>
  <c r="C26" i="10"/>
  <c r="G26" i="10" s="1"/>
  <c r="R26" i="10" s="1"/>
  <c r="J22" i="10"/>
  <c r="I22" i="10"/>
  <c r="H22" i="10"/>
  <c r="G22" i="10"/>
  <c r="F22" i="10"/>
  <c r="E22" i="10"/>
  <c r="D22" i="10"/>
  <c r="H21" i="10"/>
  <c r="J20" i="10"/>
  <c r="I20" i="10"/>
  <c r="H20" i="10"/>
  <c r="G20" i="10"/>
  <c r="F20" i="10"/>
  <c r="E20" i="10"/>
  <c r="D20" i="10"/>
  <c r="D19" i="10"/>
  <c r="J18" i="10"/>
  <c r="J46" i="10" s="1"/>
  <c r="I18" i="10"/>
  <c r="I39" i="10" s="1"/>
  <c r="H18" i="10"/>
  <c r="H39" i="10" s="1"/>
  <c r="H47" i="10" s="1"/>
  <c r="G18" i="10"/>
  <c r="G39" i="10" s="1"/>
  <c r="G47" i="10" s="1"/>
  <c r="F18" i="10"/>
  <c r="F39" i="10" s="1"/>
  <c r="F47" i="10" s="1"/>
  <c r="E18" i="10"/>
  <c r="E39" i="10" s="1"/>
  <c r="E47" i="10" s="1"/>
  <c r="N17" i="10"/>
  <c r="J16" i="10"/>
  <c r="I16" i="10"/>
  <c r="H16" i="10"/>
  <c r="G16" i="10"/>
  <c r="F16" i="10"/>
  <c r="E16" i="10"/>
  <c r="D16" i="10"/>
  <c r="J15" i="10"/>
  <c r="C15" i="10"/>
  <c r="I15" i="10" s="1"/>
  <c r="N13" i="10"/>
  <c r="N12" i="10"/>
  <c r="N50" i="9"/>
  <c r="M50" i="9"/>
  <c r="C50" i="9"/>
  <c r="N49" i="9"/>
  <c r="M49" i="9"/>
  <c r="C49" i="9"/>
  <c r="N48" i="9"/>
  <c r="M48" i="9"/>
  <c r="C48" i="9"/>
  <c r="N47" i="9"/>
  <c r="M47" i="9"/>
  <c r="C47" i="9"/>
  <c r="B45" i="9"/>
  <c r="D42" i="9"/>
  <c r="J41" i="9"/>
  <c r="I41" i="9"/>
  <c r="H41" i="9"/>
  <c r="H49" i="9" s="1"/>
  <c r="G41" i="9"/>
  <c r="G49" i="9" s="1"/>
  <c r="F41" i="9"/>
  <c r="F49" i="9" s="1"/>
  <c r="E41" i="9"/>
  <c r="E49" i="9" s="1"/>
  <c r="D41" i="9"/>
  <c r="D49" i="9" s="1"/>
  <c r="J40" i="9"/>
  <c r="J48" i="9" s="1"/>
  <c r="I40" i="9"/>
  <c r="I48" i="9" s="1"/>
  <c r="H40" i="9"/>
  <c r="H48" i="9" s="1"/>
  <c r="G40" i="9"/>
  <c r="G48" i="9" s="1"/>
  <c r="F40" i="9"/>
  <c r="F48" i="9" s="1"/>
  <c r="E40" i="9"/>
  <c r="E48" i="9" s="1"/>
  <c r="D40" i="9"/>
  <c r="D48" i="9" s="1"/>
  <c r="J39" i="9"/>
  <c r="J47" i="9" s="1"/>
  <c r="D39" i="9"/>
  <c r="L31" i="9"/>
  <c r="L30" i="9"/>
  <c r="N11" i="9" s="1"/>
  <c r="U29" i="9"/>
  <c r="T29" i="9"/>
  <c r="S29" i="9"/>
  <c r="R29" i="9"/>
  <c r="Q29" i="9"/>
  <c r="P29" i="9"/>
  <c r="O29" i="9"/>
  <c r="N28" i="9"/>
  <c r="C26" i="9"/>
  <c r="G26" i="9" s="1"/>
  <c r="R26" i="9" s="1"/>
  <c r="J22" i="9"/>
  <c r="I22" i="9"/>
  <c r="H22" i="9"/>
  <c r="G22" i="9"/>
  <c r="F22" i="9"/>
  <c r="E22" i="9"/>
  <c r="D22" i="9"/>
  <c r="H21" i="9"/>
  <c r="J20" i="9"/>
  <c r="I20" i="9"/>
  <c r="H20" i="9"/>
  <c r="G20" i="9"/>
  <c r="F20" i="9"/>
  <c r="E20" i="9"/>
  <c r="D20" i="9"/>
  <c r="D19" i="9"/>
  <c r="J18" i="9"/>
  <c r="J46" i="9" s="1"/>
  <c r="I18" i="9"/>
  <c r="I39" i="9" s="1"/>
  <c r="I47" i="9" s="1"/>
  <c r="H18" i="9"/>
  <c r="H39" i="9" s="1"/>
  <c r="H47" i="9" s="1"/>
  <c r="G18" i="9"/>
  <c r="G39" i="9" s="1"/>
  <c r="G47" i="9" s="1"/>
  <c r="F18" i="9"/>
  <c r="F39" i="9" s="1"/>
  <c r="E18" i="9"/>
  <c r="E39" i="9" s="1"/>
  <c r="N17" i="9"/>
  <c r="J16" i="9"/>
  <c r="I16" i="9"/>
  <c r="H16" i="9"/>
  <c r="G16" i="9"/>
  <c r="F16" i="9"/>
  <c r="E16" i="9"/>
  <c r="D16" i="9"/>
  <c r="J15" i="9"/>
  <c r="C15" i="9"/>
  <c r="I15" i="9" s="1"/>
  <c r="N13" i="9"/>
  <c r="N12" i="9"/>
  <c r="N50" i="8"/>
  <c r="M50" i="8"/>
  <c r="C50" i="8"/>
  <c r="N49" i="8"/>
  <c r="M49" i="8"/>
  <c r="C49" i="8"/>
  <c r="N48" i="8"/>
  <c r="M48" i="8"/>
  <c r="C48" i="8"/>
  <c r="N47" i="8"/>
  <c r="M47" i="8"/>
  <c r="C47" i="8"/>
  <c r="B45" i="8"/>
  <c r="D42" i="8"/>
  <c r="D50" i="8" s="1"/>
  <c r="J41" i="8"/>
  <c r="J49" i="8" s="1"/>
  <c r="I41" i="8"/>
  <c r="I49" i="8" s="1"/>
  <c r="H41" i="8"/>
  <c r="H49" i="8" s="1"/>
  <c r="G41" i="8"/>
  <c r="G49" i="8" s="1"/>
  <c r="F41" i="8"/>
  <c r="E41" i="8"/>
  <c r="D41" i="8"/>
  <c r="J40" i="8"/>
  <c r="I40" i="8"/>
  <c r="H40" i="8"/>
  <c r="G40" i="8"/>
  <c r="F40" i="8"/>
  <c r="E40" i="8"/>
  <c r="D40" i="8"/>
  <c r="J39" i="8"/>
  <c r="D39" i="8"/>
  <c r="L31" i="8"/>
  <c r="L30" i="8"/>
  <c r="U29" i="8"/>
  <c r="T29" i="8"/>
  <c r="S29" i="8"/>
  <c r="R29" i="8"/>
  <c r="Q29" i="8"/>
  <c r="P29" i="8"/>
  <c r="O29" i="8"/>
  <c r="N28" i="8"/>
  <c r="C26" i="8"/>
  <c r="I26" i="8" s="1"/>
  <c r="T26" i="8" s="1"/>
  <c r="J22" i="8"/>
  <c r="I22" i="8"/>
  <c r="H22" i="8"/>
  <c r="G22" i="8"/>
  <c r="F22" i="8"/>
  <c r="E22" i="8"/>
  <c r="D22" i="8"/>
  <c r="H21" i="8"/>
  <c r="J20" i="8"/>
  <c r="I20" i="8"/>
  <c r="H20" i="8"/>
  <c r="G20" i="8"/>
  <c r="F20" i="8"/>
  <c r="E20" i="8"/>
  <c r="D20" i="8"/>
  <c r="D19" i="8"/>
  <c r="J18" i="8"/>
  <c r="J46" i="8" s="1"/>
  <c r="I18" i="8"/>
  <c r="I39" i="8" s="1"/>
  <c r="H18" i="8"/>
  <c r="H39" i="8" s="1"/>
  <c r="G18" i="8"/>
  <c r="G39" i="8" s="1"/>
  <c r="F18" i="8"/>
  <c r="F39" i="8" s="1"/>
  <c r="E18" i="8"/>
  <c r="E42" i="8" s="1"/>
  <c r="N17" i="8"/>
  <c r="J16" i="8"/>
  <c r="I16" i="8"/>
  <c r="H16" i="8"/>
  <c r="G16" i="8"/>
  <c r="F16" i="8"/>
  <c r="E16" i="8"/>
  <c r="D16" i="8"/>
  <c r="J15" i="8"/>
  <c r="C15" i="8"/>
  <c r="I15" i="8" s="1"/>
  <c r="N13" i="8"/>
  <c r="N12" i="8"/>
  <c r="N50" i="7"/>
  <c r="M50" i="7"/>
  <c r="C50" i="7"/>
  <c r="N49" i="7"/>
  <c r="M49" i="7"/>
  <c r="C49" i="7"/>
  <c r="N48" i="7"/>
  <c r="M48" i="7"/>
  <c r="C48" i="7"/>
  <c r="N47" i="7"/>
  <c r="M47" i="7"/>
  <c r="C47" i="7"/>
  <c r="B45" i="7"/>
  <c r="F42" i="7"/>
  <c r="D42" i="7"/>
  <c r="J41" i="7"/>
  <c r="I41" i="7"/>
  <c r="H41" i="7"/>
  <c r="G41" i="7"/>
  <c r="F41" i="7"/>
  <c r="E41" i="7"/>
  <c r="D41" i="7"/>
  <c r="J40" i="7"/>
  <c r="I40" i="7"/>
  <c r="H40" i="7"/>
  <c r="G40" i="7"/>
  <c r="F40" i="7"/>
  <c r="E40" i="7"/>
  <c r="D40" i="7"/>
  <c r="J39" i="7"/>
  <c r="J47" i="7" s="1"/>
  <c r="D39" i="7"/>
  <c r="D47" i="7" s="1"/>
  <c r="L31" i="7"/>
  <c r="L30" i="7"/>
  <c r="U29" i="7"/>
  <c r="T29" i="7"/>
  <c r="S29" i="7"/>
  <c r="R29" i="7"/>
  <c r="Q29" i="7"/>
  <c r="P29" i="7"/>
  <c r="O29" i="7"/>
  <c r="N28" i="7"/>
  <c r="C26" i="7"/>
  <c r="F26" i="7" s="1"/>
  <c r="Q26" i="7" s="1"/>
  <c r="J22" i="7"/>
  <c r="I22" i="7"/>
  <c r="H22" i="7"/>
  <c r="G22" i="7"/>
  <c r="F22" i="7"/>
  <c r="E22" i="7"/>
  <c r="D22" i="7"/>
  <c r="J20" i="7"/>
  <c r="I20" i="7"/>
  <c r="H20" i="7"/>
  <c r="G20" i="7"/>
  <c r="F20" i="7"/>
  <c r="E20" i="7"/>
  <c r="D20" i="7"/>
  <c r="J18" i="7"/>
  <c r="J46" i="7" s="1"/>
  <c r="I18" i="7"/>
  <c r="I39" i="7" s="1"/>
  <c r="I47" i="7" s="1"/>
  <c r="H18" i="7"/>
  <c r="H39" i="7" s="1"/>
  <c r="H47" i="7" s="1"/>
  <c r="G18" i="7"/>
  <c r="G39" i="7" s="1"/>
  <c r="G47" i="7" s="1"/>
  <c r="F18" i="7"/>
  <c r="F39" i="7" s="1"/>
  <c r="F47" i="7" s="1"/>
  <c r="E18" i="7"/>
  <c r="E39" i="7" s="1"/>
  <c r="E47" i="7" s="1"/>
  <c r="N17" i="7"/>
  <c r="I16" i="7"/>
  <c r="H16" i="7"/>
  <c r="G16" i="7"/>
  <c r="F16" i="7"/>
  <c r="E16" i="7"/>
  <c r="D16" i="7"/>
  <c r="J15" i="7"/>
  <c r="C15" i="7"/>
  <c r="I15" i="7" s="1"/>
  <c r="N13" i="7"/>
  <c r="N12" i="7"/>
  <c r="N50" i="6"/>
  <c r="M50" i="6"/>
  <c r="C50" i="6"/>
  <c r="N49" i="6"/>
  <c r="M49" i="6"/>
  <c r="C49" i="6"/>
  <c r="N48" i="6"/>
  <c r="M48" i="6"/>
  <c r="C48" i="6"/>
  <c r="N47" i="6"/>
  <c r="M47" i="6"/>
  <c r="C47" i="6"/>
  <c r="H46" i="6"/>
  <c r="G46" i="6"/>
  <c r="F46" i="6"/>
  <c r="B45" i="6"/>
  <c r="D42" i="6"/>
  <c r="D41" i="6"/>
  <c r="D49" i="6" s="1"/>
  <c r="D40" i="6"/>
  <c r="D48" i="6" s="1"/>
  <c r="D39" i="6"/>
  <c r="L31" i="6"/>
  <c r="L30" i="6"/>
  <c r="U29" i="6"/>
  <c r="T29" i="6"/>
  <c r="S29" i="6"/>
  <c r="R29" i="6"/>
  <c r="Q29" i="6"/>
  <c r="P29" i="6"/>
  <c r="O29" i="6"/>
  <c r="N28" i="6"/>
  <c r="C26" i="6"/>
  <c r="J26" i="6" s="1"/>
  <c r="U26" i="6" s="1"/>
  <c r="J18" i="6"/>
  <c r="J41" i="6" s="1"/>
  <c r="I18" i="6"/>
  <c r="I42" i="6" s="1"/>
  <c r="H18" i="6"/>
  <c r="H42" i="6" s="1"/>
  <c r="G18" i="6"/>
  <c r="G42" i="6" s="1"/>
  <c r="F18" i="6"/>
  <c r="F42" i="6" s="1"/>
  <c r="E18" i="6"/>
  <c r="E46" i="6" s="1"/>
  <c r="N17" i="6"/>
  <c r="C15" i="6"/>
  <c r="N13" i="6"/>
  <c r="N12" i="6"/>
  <c r="N13" i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I49" i="9" l="1"/>
  <c r="G49" i="12"/>
  <c r="D50" i="9"/>
  <c r="I47" i="10"/>
  <c r="I49" i="12"/>
  <c r="J49" i="12"/>
  <c r="D50" i="12"/>
  <c r="D48" i="7"/>
  <c r="F48" i="7"/>
  <c r="H48" i="7"/>
  <c r="I48" i="7"/>
  <c r="J48" i="7"/>
  <c r="G48" i="7"/>
  <c r="E48" i="7"/>
  <c r="J49" i="9"/>
  <c r="E48" i="10"/>
  <c r="D48" i="10"/>
  <c r="F48" i="10"/>
  <c r="G48" i="10"/>
  <c r="H48" i="10"/>
  <c r="I48" i="10"/>
  <c r="F49" i="7"/>
  <c r="J48" i="10"/>
  <c r="G49" i="7"/>
  <c r="F47" i="8"/>
  <c r="D47" i="8"/>
  <c r="D49" i="10"/>
  <c r="J47" i="8"/>
  <c r="E49" i="10"/>
  <c r="E47" i="11"/>
  <c r="F49" i="10"/>
  <c r="F47" i="11"/>
  <c r="J49" i="7"/>
  <c r="I47" i="8"/>
  <c r="E48" i="8"/>
  <c r="G49" i="10"/>
  <c r="G47" i="11"/>
  <c r="D47" i="11"/>
  <c r="H49" i="10"/>
  <c r="H47" i="11"/>
  <c r="J47" i="11"/>
  <c r="H49" i="7"/>
  <c r="G48" i="8"/>
  <c r="I49" i="10"/>
  <c r="I47" i="11"/>
  <c r="D48" i="11"/>
  <c r="H48" i="8"/>
  <c r="J49" i="10"/>
  <c r="E48" i="11"/>
  <c r="H47" i="8"/>
  <c r="D50" i="10"/>
  <c r="F48" i="11"/>
  <c r="G48" i="11"/>
  <c r="D49" i="7"/>
  <c r="E49" i="7"/>
  <c r="D48" i="8"/>
  <c r="I48" i="8"/>
  <c r="J48" i="8"/>
  <c r="D49" i="8"/>
  <c r="H48" i="11"/>
  <c r="G47" i="8"/>
  <c r="D50" i="7"/>
  <c r="J50" i="7" s="1"/>
  <c r="E49" i="8"/>
  <c r="E47" i="9"/>
  <c r="I48" i="11"/>
  <c r="I49" i="7"/>
  <c r="F48" i="8"/>
  <c r="J49" i="6"/>
  <c r="F49" i="8"/>
  <c r="F47" i="9"/>
  <c r="D47" i="9"/>
  <c r="J48" i="11"/>
  <c r="T24" i="12"/>
  <c r="S25" i="12"/>
  <c r="T25" i="12"/>
  <c r="U25" i="12"/>
  <c r="O15" i="12"/>
  <c r="O20" i="12" s="1"/>
  <c r="T15" i="12"/>
  <c r="U15" i="12"/>
  <c r="U20" i="12" s="1"/>
  <c r="F26" i="12"/>
  <c r="Q26" i="12" s="1"/>
  <c r="G42" i="12"/>
  <c r="E42" i="12"/>
  <c r="F42" i="12"/>
  <c r="D21" i="12"/>
  <c r="E21" i="12"/>
  <c r="H42" i="12"/>
  <c r="F21" i="12"/>
  <c r="I42" i="12"/>
  <c r="G21" i="12"/>
  <c r="O24" i="12"/>
  <c r="J42" i="12"/>
  <c r="E19" i="12"/>
  <c r="I21" i="12"/>
  <c r="Q24" i="12"/>
  <c r="E46" i="12"/>
  <c r="F46" i="12"/>
  <c r="G19" i="12"/>
  <c r="S24" i="12"/>
  <c r="G46" i="12"/>
  <c r="R24" i="12"/>
  <c r="H19" i="12"/>
  <c r="H46" i="12"/>
  <c r="G26" i="12"/>
  <c r="R26" i="12" s="1"/>
  <c r="H26" i="12"/>
  <c r="S26" i="12" s="1"/>
  <c r="D15" i="12"/>
  <c r="E15" i="12"/>
  <c r="P15" i="12" s="1"/>
  <c r="I19" i="12"/>
  <c r="U24" i="12"/>
  <c r="I46" i="12"/>
  <c r="P24" i="12"/>
  <c r="F15" i="12"/>
  <c r="Q15" i="12" s="1"/>
  <c r="J19" i="12"/>
  <c r="O25" i="12"/>
  <c r="G15" i="12"/>
  <c r="R15" i="12" s="1"/>
  <c r="P25" i="12"/>
  <c r="J50" i="12"/>
  <c r="I26" i="12"/>
  <c r="T26" i="12" s="1"/>
  <c r="J21" i="12"/>
  <c r="U21" i="12" s="1"/>
  <c r="H15" i="12"/>
  <c r="S15" i="12" s="1"/>
  <c r="Q25" i="12"/>
  <c r="F19" i="12"/>
  <c r="U24" i="11"/>
  <c r="N11" i="11"/>
  <c r="T15" i="11" s="1"/>
  <c r="T20" i="11" s="1"/>
  <c r="S25" i="11"/>
  <c r="T25" i="11"/>
  <c r="U25" i="11"/>
  <c r="E42" i="11"/>
  <c r="I26" i="11"/>
  <c r="T26" i="11" s="1"/>
  <c r="F42" i="11"/>
  <c r="G42" i="11"/>
  <c r="H42" i="11"/>
  <c r="F21" i="11"/>
  <c r="I42" i="11"/>
  <c r="G21" i="11"/>
  <c r="O24" i="11"/>
  <c r="J42" i="11"/>
  <c r="P24" i="11"/>
  <c r="E19" i="11"/>
  <c r="I21" i="11"/>
  <c r="Q24" i="11"/>
  <c r="E46" i="11"/>
  <c r="G26" i="11"/>
  <c r="R26" i="11" s="1"/>
  <c r="H26" i="11"/>
  <c r="S26" i="11" s="1"/>
  <c r="F46" i="11"/>
  <c r="G46" i="11"/>
  <c r="H21" i="11"/>
  <c r="F19" i="11"/>
  <c r="S24" i="11"/>
  <c r="H19" i="11"/>
  <c r="T24" i="11"/>
  <c r="J19" i="11"/>
  <c r="J21" i="11"/>
  <c r="G19" i="11"/>
  <c r="D15" i="11"/>
  <c r="J50" i="11"/>
  <c r="J26" i="11"/>
  <c r="U26" i="11" s="1"/>
  <c r="R24" i="11"/>
  <c r="H46" i="11"/>
  <c r="E15" i="11"/>
  <c r="I19" i="11"/>
  <c r="I46" i="11"/>
  <c r="F15" i="11"/>
  <c r="O25" i="11"/>
  <c r="G15" i="11"/>
  <c r="P25" i="11"/>
  <c r="H15" i="11"/>
  <c r="Q25" i="11"/>
  <c r="U24" i="10"/>
  <c r="R25" i="10"/>
  <c r="S25" i="10"/>
  <c r="T25" i="10"/>
  <c r="U25" i="10"/>
  <c r="N11" i="10"/>
  <c r="E42" i="10"/>
  <c r="F42" i="10"/>
  <c r="D21" i="10"/>
  <c r="G42" i="10"/>
  <c r="E21" i="10"/>
  <c r="H42" i="10"/>
  <c r="F21" i="10"/>
  <c r="I42" i="10"/>
  <c r="G21" i="10"/>
  <c r="O24" i="10"/>
  <c r="J42" i="10"/>
  <c r="J26" i="10"/>
  <c r="U26" i="10" s="1"/>
  <c r="H26" i="10"/>
  <c r="S26" i="10" s="1"/>
  <c r="E19" i="10"/>
  <c r="I21" i="10"/>
  <c r="Q24" i="10"/>
  <c r="E46" i="10"/>
  <c r="F46" i="10"/>
  <c r="I26" i="10"/>
  <c r="T26" i="10" s="1"/>
  <c r="G19" i="10"/>
  <c r="G46" i="10"/>
  <c r="R24" i="10"/>
  <c r="H19" i="10"/>
  <c r="I19" i="10"/>
  <c r="I46" i="10"/>
  <c r="P24" i="10"/>
  <c r="F19" i="10"/>
  <c r="D15" i="10"/>
  <c r="T24" i="10"/>
  <c r="F15" i="10"/>
  <c r="J19" i="10"/>
  <c r="O25" i="10"/>
  <c r="J21" i="10"/>
  <c r="H46" i="10"/>
  <c r="P25" i="10"/>
  <c r="J50" i="10"/>
  <c r="S24" i="10"/>
  <c r="E15" i="10"/>
  <c r="G15" i="10"/>
  <c r="H15" i="10"/>
  <c r="Q25" i="10"/>
  <c r="P24" i="9"/>
  <c r="R25" i="9"/>
  <c r="S25" i="9"/>
  <c r="T25" i="9"/>
  <c r="U25" i="9"/>
  <c r="T15" i="9"/>
  <c r="O15" i="9"/>
  <c r="O20" i="9" s="1"/>
  <c r="U15" i="9"/>
  <c r="O22" i="9"/>
  <c r="P22" i="9" s="1"/>
  <c r="Q22" i="9" s="1"/>
  <c r="R22" i="9" s="1"/>
  <c r="S22" i="9" s="1"/>
  <c r="T22" i="9" s="1"/>
  <c r="U22" i="9" s="1"/>
  <c r="E42" i="9"/>
  <c r="F42" i="9"/>
  <c r="J26" i="9"/>
  <c r="U26" i="9" s="1"/>
  <c r="F26" i="9"/>
  <c r="Q26" i="9" s="1"/>
  <c r="D21" i="9"/>
  <c r="G42" i="9"/>
  <c r="E21" i="9"/>
  <c r="H42" i="9"/>
  <c r="F21" i="9"/>
  <c r="I42" i="9"/>
  <c r="G21" i="9"/>
  <c r="O24" i="9"/>
  <c r="J42" i="9"/>
  <c r="H26" i="9"/>
  <c r="S26" i="9" s="1"/>
  <c r="E19" i="9"/>
  <c r="I21" i="9"/>
  <c r="Q24" i="9"/>
  <c r="E46" i="9"/>
  <c r="F46" i="9"/>
  <c r="S24" i="9"/>
  <c r="G46" i="9"/>
  <c r="I26" i="9"/>
  <c r="T26" i="9" s="1"/>
  <c r="R24" i="9"/>
  <c r="I19" i="9"/>
  <c r="U24" i="9"/>
  <c r="I46" i="9"/>
  <c r="F19" i="9"/>
  <c r="G19" i="9"/>
  <c r="H19" i="9"/>
  <c r="T24" i="9"/>
  <c r="E15" i="9"/>
  <c r="P15" i="9" s="1"/>
  <c r="F15" i="9"/>
  <c r="Q15" i="9" s="1"/>
  <c r="J19" i="9"/>
  <c r="O25" i="9"/>
  <c r="J21" i="9"/>
  <c r="H46" i="9"/>
  <c r="G15" i="9"/>
  <c r="R15" i="9" s="1"/>
  <c r="P25" i="9"/>
  <c r="J50" i="9"/>
  <c r="D15" i="9"/>
  <c r="H15" i="9"/>
  <c r="S15" i="9" s="1"/>
  <c r="Q25" i="9"/>
  <c r="P24" i="8"/>
  <c r="R25" i="8"/>
  <c r="N11" i="8"/>
  <c r="U15" i="8" s="1"/>
  <c r="U20" i="8" s="1"/>
  <c r="S25" i="8"/>
  <c r="T25" i="8"/>
  <c r="U25" i="8"/>
  <c r="F26" i="8"/>
  <c r="Q26" i="8" s="1"/>
  <c r="G26" i="8"/>
  <c r="R26" i="8" s="1"/>
  <c r="F42" i="8"/>
  <c r="D21" i="8"/>
  <c r="G42" i="8"/>
  <c r="E21" i="8"/>
  <c r="H42" i="8"/>
  <c r="F21" i="8"/>
  <c r="I42" i="8"/>
  <c r="G21" i="8"/>
  <c r="O24" i="8"/>
  <c r="J42" i="8"/>
  <c r="J26" i="8"/>
  <c r="U26" i="8" s="1"/>
  <c r="H26" i="8"/>
  <c r="S26" i="8" s="1"/>
  <c r="E19" i="8"/>
  <c r="I21" i="8"/>
  <c r="Q24" i="8"/>
  <c r="E46" i="8"/>
  <c r="F46" i="8"/>
  <c r="J21" i="8"/>
  <c r="F19" i="8"/>
  <c r="G46" i="8"/>
  <c r="H19" i="8"/>
  <c r="T24" i="8"/>
  <c r="E15" i="8"/>
  <c r="I19" i="8"/>
  <c r="E39" i="8"/>
  <c r="E47" i="8" s="1"/>
  <c r="I46" i="8"/>
  <c r="U24" i="8"/>
  <c r="F15" i="8"/>
  <c r="J19" i="8"/>
  <c r="O25" i="8"/>
  <c r="R24" i="8"/>
  <c r="G19" i="8"/>
  <c r="S24" i="8"/>
  <c r="D15" i="8"/>
  <c r="H46" i="8"/>
  <c r="G15" i="8"/>
  <c r="P25" i="8"/>
  <c r="J50" i="8"/>
  <c r="H15" i="8"/>
  <c r="Q25" i="8"/>
  <c r="R25" i="7"/>
  <c r="T25" i="7"/>
  <c r="S25" i="7"/>
  <c r="N11" i="7"/>
  <c r="J26" i="7"/>
  <c r="U26" i="7" s="1"/>
  <c r="J16" i="7"/>
  <c r="U25" i="7" s="1"/>
  <c r="E42" i="7"/>
  <c r="D21" i="7"/>
  <c r="E21" i="7"/>
  <c r="H42" i="7"/>
  <c r="G42" i="7"/>
  <c r="F21" i="7"/>
  <c r="I42" i="7"/>
  <c r="G21" i="7"/>
  <c r="O24" i="7"/>
  <c r="J42" i="7"/>
  <c r="G26" i="7"/>
  <c r="R26" i="7" s="1"/>
  <c r="H21" i="7"/>
  <c r="I21" i="7"/>
  <c r="E46" i="7"/>
  <c r="H26" i="7"/>
  <c r="S26" i="7" s="1"/>
  <c r="I26" i="7"/>
  <c r="T26" i="7" s="1"/>
  <c r="F46" i="7"/>
  <c r="P24" i="7"/>
  <c r="G46" i="7"/>
  <c r="I19" i="7"/>
  <c r="F19" i="7"/>
  <c r="R24" i="7"/>
  <c r="H19" i="7"/>
  <c r="T24" i="7"/>
  <c r="E19" i="7"/>
  <c r="Q24" i="7"/>
  <c r="J21" i="7"/>
  <c r="G19" i="7"/>
  <c r="S24" i="7"/>
  <c r="D15" i="7"/>
  <c r="H46" i="7"/>
  <c r="E15" i="7"/>
  <c r="I46" i="7"/>
  <c r="F15" i="7"/>
  <c r="J19" i="7"/>
  <c r="O25" i="7"/>
  <c r="G15" i="7"/>
  <c r="P25" i="7"/>
  <c r="H15" i="7"/>
  <c r="Q25" i="7"/>
  <c r="D19" i="7"/>
  <c r="D50" i="6"/>
  <c r="J50" i="6" s="1"/>
  <c r="D47" i="6"/>
  <c r="N11" i="6"/>
  <c r="G19" i="6"/>
  <c r="D15" i="6"/>
  <c r="E15" i="6"/>
  <c r="F15" i="6"/>
  <c r="O25" i="6"/>
  <c r="F39" i="6"/>
  <c r="F47" i="6" s="1"/>
  <c r="G15" i="6"/>
  <c r="G39" i="6"/>
  <c r="G47" i="6" s="1"/>
  <c r="H15" i="6"/>
  <c r="J15" i="6"/>
  <c r="D22" i="6"/>
  <c r="J39" i="6"/>
  <c r="J47" i="6" s="1"/>
  <c r="E22" i="6"/>
  <c r="F22" i="6"/>
  <c r="E40" i="6"/>
  <c r="E48" i="6" s="1"/>
  <c r="F40" i="6"/>
  <c r="F48" i="6" s="1"/>
  <c r="I19" i="6"/>
  <c r="J19" i="6"/>
  <c r="J46" i="6"/>
  <c r="H39" i="6"/>
  <c r="H47" i="6" s="1"/>
  <c r="I15" i="6"/>
  <c r="I39" i="6"/>
  <c r="I47" i="6" s="1"/>
  <c r="G22" i="6"/>
  <c r="D20" i="6"/>
  <c r="H22" i="6"/>
  <c r="F26" i="6"/>
  <c r="Q26" i="6" s="1"/>
  <c r="G40" i="6"/>
  <c r="G48" i="6" s="1"/>
  <c r="J16" i="6"/>
  <c r="U25" i="6" s="1"/>
  <c r="G21" i="6"/>
  <c r="H21" i="6"/>
  <c r="F19" i="6"/>
  <c r="E16" i="6"/>
  <c r="P25" i="6" s="1"/>
  <c r="I20" i="6"/>
  <c r="E41" i="6"/>
  <c r="E49" i="6" s="1"/>
  <c r="O24" i="6"/>
  <c r="J42" i="6"/>
  <c r="D19" i="6"/>
  <c r="H19" i="6"/>
  <c r="E39" i="6"/>
  <c r="E47" i="6" s="1"/>
  <c r="G26" i="6"/>
  <c r="R26" i="6" s="1"/>
  <c r="F20" i="6"/>
  <c r="H26" i="6"/>
  <c r="S26" i="6" s="1"/>
  <c r="J40" i="6"/>
  <c r="J48" i="6" s="1"/>
  <c r="H20" i="6"/>
  <c r="F16" i="6"/>
  <c r="Q24" i="6" s="1"/>
  <c r="J20" i="6"/>
  <c r="F41" i="6"/>
  <c r="F49" i="6" s="1"/>
  <c r="G16" i="6"/>
  <c r="R25" i="6" s="1"/>
  <c r="G41" i="6"/>
  <c r="G49" i="6" s="1"/>
  <c r="H40" i="6"/>
  <c r="H48" i="6" s="1"/>
  <c r="J22" i="6"/>
  <c r="I26" i="6"/>
  <c r="T26" i="6" s="1"/>
  <c r="H16" i="6"/>
  <c r="S24" i="6" s="1"/>
  <c r="J21" i="6"/>
  <c r="I46" i="6"/>
  <c r="E20" i="6"/>
  <c r="I22" i="6"/>
  <c r="I40" i="6"/>
  <c r="I48" i="6" s="1"/>
  <c r="G20" i="6"/>
  <c r="D16" i="6"/>
  <c r="H41" i="6"/>
  <c r="H49" i="6" s="1"/>
  <c r="I16" i="6"/>
  <c r="T24" i="6" s="1"/>
  <c r="I41" i="6"/>
  <c r="I49" i="6" s="1"/>
  <c r="D21" i="6"/>
  <c r="E21" i="6"/>
  <c r="E42" i="6"/>
  <c r="F21" i="6"/>
  <c r="E19" i="6"/>
  <c r="I21" i="6"/>
  <c r="O25" i="1"/>
  <c r="O24" i="1"/>
  <c r="O21" i="9" l="1"/>
  <c r="U21" i="9"/>
  <c r="U19" i="12"/>
  <c r="T21" i="12"/>
  <c r="T19" i="12"/>
  <c r="O21" i="12"/>
  <c r="O22" i="12"/>
  <c r="P22" i="12" s="1"/>
  <c r="Q22" i="12" s="1"/>
  <c r="R22" i="12" s="1"/>
  <c r="S22" i="12" s="1"/>
  <c r="T22" i="12" s="1"/>
  <c r="U22" i="12" s="1"/>
  <c r="P15" i="11"/>
  <c r="P19" i="11" s="1"/>
  <c r="Q15" i="11"/>
  <c r="Q21" i="11" s="1"/>
  <c r="R15" i="11"/>
  <c r="R21" i="11" s="1"/>
  <c r="S15" i="11"/>
  <c r="S21" i="11" s="1"/>
  <c r="U19" i="9"/>
  <c r="T19" i="9"/>
  <c r="T21" i="9"/>
  <c r="S20" i="12"/>
  <c r="S21" i="12"/>
  <c r="R20" i="12"/>
  <c r="Q20" i="12"/>
  <c r="P20" i="12"/>
  <c r="P19" i="12"/>
  <c r="R21" i="12"/>
  <c r="Q21" i="12"/>
  <c r="P21" i="12"/>
  <c r="P23" i="12" s="1"/>
  <c r="Q19" i="12"/>
  <c r="U23" i="12"/>
  <c r="O23" i="12"/>
  <c r="R19" i="12"/>
  <c r="O19" i="12"/>
  <c r="T20" i="12"/>
  <c r="T23" i="12" s="1"/>
  <c r="S19" i="12"/>
  <c r="T21" i="11"/>
  <c r="O15" i="11"/>
  <c r="T19" i="11"/>
  <c r="U15" i="11"/>
  <c r="U20" i="11" s="1"/>
  <c r="T15" i="10"/>
  <c r="U15" i="10"/>
  <c r="S15" i="10"/>
  <c r="R15" i="10"/>
  <c r="P15" i="10"/>
  <c r="Q15" i="10"/>
  <c r="Q19" i="10" s="1"/>
  <c r="O15" i="10"/>
  <c r="U19" i="10"/>
  <c r="T19" i="10"/>
  <c r="U21" i="10"/>
  <c r="S19" i="10"/>
  <c r="S21" i="9"/>
  <c r="S20" i="9"/>
  <c r="R20" i="9"/>
  <c r="Q20" i="9"/>
  <c r="P20" i="9"/>
  <c r="R21" i="9"/>
  <c r="P21" i="9"/>
  <c r="P19" i="9"/>
  <c r="Q21" i="9"/>
  <c r="Q19" i="9"/>
  <c r="O23" i="9"/>
  <c r="R19" i="9"/>
  <c r="U20" i="9"/>
  <c r="U23" i="9" s="1"/>
  <c r="S19" i="9"/>
  <c r="T20" i="9"/>
  <c r="T23" i="9" s="1"/>
  <c r="O19" i="9"/>
  <c r="U21" i="8"/>
  <c r="R15" i="8"/>
  <c r="R19" i="8" s="1"/>
  <c r="S15" i="8"/>
  <c r="S20" i="8" s="1"/>
  <c r="O15" i="8"/>
  <c r="O22" i="8" s="1"/>
  <c r="P22" i="8" s="1"/>
  <c r="Q22" i="8" s="1"/>
  <c r="R22" i="8" s="1"/>
  <c r="S22" i="8" s="1"/>
  <c r="T22" i="8" s="1"/>
  <c r="U22" i="8" s="1"/>
  <c r="T15" i="8"/>
  <c r="T19" i="8" s="1"/>
  <c r="U19" i="8"/>
  <c r="Q15" i="8"/>
  <c r="Q20" i="8" s="1"/>
  <c r="P15" i="8"/>
  <c r="P20" i="8" s="1"/>
  <c r="S15" i="7"/>
  <c r="S19" i="7" s="1"/>
  <c r="O15" i="7"/>
  <c r="U15" i="7"/>
  <c r="U21" i="7" s="1"/>
  <c r="T15" i="7"/>
  <c r="T19" i="7" s="1"/>
  <c r="P15" i="7"/>
  <c r="P19" i="7" s="1"/>
  <c r="R15" i="7"/>
  <c r="Q15" i="7"/>
  <c r="Q19" i="7" s="1"/>
  <c r="P21" i="7"/>
  <c r="U24" i="7"/>
  <c r="R19" i="7"/>
  <c r="U24" i="6"/>
  <c r="T25" i="6"/>
  <c r="S25" i="6"/>
  <c r="R24" i="6"/>
  <c r="P24" i="6"/>
  <c r="Q25" i="6"/>
  <c r="T15" i="6"/>
  <c r="T19" i="6" s="1"/>
  <c r="U15" i="6"/>
  <c r="S15" i="6"/>
  <c r="S21" i="6" s="1"/>
  <c r="R15" i="6"/>
  <c r="R19" i="6" s="1"/>
  <c r="Q15" i="6"/>
  <c r="Q19" i="6" s="1"/>
  <c r="P15" i="6"/>
  <c r="P19" i="6" s="1"/>
  <c r="O15" i="6"/>
  <c r="O22" i="6" s="1"/>
  <c r="P22" i="6" s="1"/>
  <c r="Q22" i="6" s="1"/>
  <c r="R22" i="6" s="1"/>
  <c r="S22" i="6" s="1"/>
  <c r="T22" i="6" s="1"/>
  <c r="U22" i="6" s="1"/>
  <c r="C50" i="1"/>
  <c r="C49" i="1"/>
  <c r="C48" i="1"/>
  <c r="C47" i="1"/>
  <c r="Q19" i="8" l="1"/>
  <c r="Q21" i="8"/>
  <c r="T20" i="8"/>
  <c r="P21" i="8"/>
  <c r="P19" i="8"/>
  <c r="T21" i="8"/>
  <c r="S20" i="11"/>
  <c r="R19" i="11"/>
  <c r="P21" i="11"/>
  <c r="P20" i="11"/>
  <c r="Q20" i="11"/>
  <c r="R20" i="11"/>
  <c r="S19" i="11"/>
  <c r="Q19" i="11"/>
  <c r="U19" i="11"/>
  <c r="U23" i="8"/>
  <c r="O19" i="8"/>
  <c r="T23" i="8"/>
  <c r="S19" i="8"/>
  <c r="O20" i="8"/>
  <c r="R21" i="8"/>
  <c r="S21" i="8"/>
  <c r="R20" i="8"/>
  <c r="O21" i="8"/>
  <c r="S23" i="12"/>
  <c r="R23" i="12"/>
  <c r="Q23" i="12"/>
  <c r="O20" i="11"/>
  <c r="O22" i="11"/>
  <c r="P22" i="11" s="1"/>
  <c r="Q22" i="11" s="1"/>
  <c r="R22" i="11" s="1"/>
  <c r="S22" i="11" s="1"/>
  <c r="T22" i="11" s="1"/>
  <c r="O19" i="11"/>
  <c r="O21" i="11"/>
  <c r="U21" i="11"/>
  <c r="O20" i="10"/>
  <c r="O19" i="10"/>
  <c r="O22" i="10"/>
  <c r="P22" i="10" s="1"/>
  <c r="Q22" i="10" s="1"/>
  <c r="R22" i="10" s="1"/>
  <c r="S22" i="10" s="1"/>
  <c r="T22" i="10" s="1"/>
  <c r="U22" i="10" s="1"/>
  <c r="Q20" i="10"/>
  <c r="P20" i="10"/>
  <c r="R20" i="10"/>
  <c r="S21" i="10"/>
  <c r="S20" i="10"/>
  <c r="U20" i="10"/>
  <c r="T20" i="10"/>
  <c r="Q21" i="10"/>
  <c r="O21" i="10"/>
  <c r="P21" i="10"/>
  <c r="R21" i="10"/>
  <c r="P19" i="10"/>
  <c r="T21" i="10"/>
  <c r="R19" i="10"/>
  <c r="S23" i="9"/>
  <c r="Q23" i="9"/>
  <c r="P23" i="9"/>
  <c r="R23" i="9"/>
  <c r="P23" i="8"/>
  <c r="Q23" i="8"/>
  <c r="R23" i="8"/>
  <c r="S23" i="8"/>
  <c r="Q20" i="7"/>
  <c r="R20" i="7"/>
  <c r="P20" i="7"/>
  <c r="T20" i="7"/>
  <c r="U20" i="7"/>
  <c r="O20" i="7"/>
  <c r="O22" i="7"/>
  <c r="P22" i="7" s="1"/>
  <c r="Q22" i="7" s="1"/>
  <c r="R22" i="7" s="1"/>
  <c r="S22" i="7" s="1"/>
  <c r="T22" i="7" s="1"/>
  <c r="U22" i="7" s="1"/>
  <c r="S20" i="7"/>
  <c r="O21" i="7"/>
  <c r="U19" i="7"/>
  <c r="Q21" i="7"/>
  <c r="R21" i="7"/>
  <c r="O19" i="7"/>
  <c r="S21" i="7"/>
  <c r="T21" i="7"/>
  <c r="Q20" i="6"/>
  <c r="P21" i="6"/>
  <c r="O20" i="6"/>
  <c r="O21" i="6"/>
  <c r="O19" i="6"/>
  <c r="Q21" i="6"/>
  <c r="T21" i="6"/>
  <c r="S19" i="6"/>
  <c r="U21" i="6"/>
  <c r="R21" i="6"/>
  <c r="T20" i="6"/>
  <c r="S20" i="6"/>
  <c r="S23" i="6" s="1"/>
  <c r="U20" i="6"/>
  <c r="U23" i="6" s="1"/>
  <c r="U19" i="6"/>
  <c r="R20" i="6"/>
  <c r="P20" i="6"/>
  <c r="N11" i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S23" i="11" l="1"/>
  <c r="O23" i="6"/>
  <c r="O23" i="8"/>
  <c r="Q23" i="6"/>
  <c r="P23" i="6"/>
  <c r="T23" i="6"/>
  <c r="R23" i="6"/>
  <c r="U22" i="11"/>
  <c r="U23" i="11" s="1"/>
  <c r="T23" i="11"/>
  <c r="R23" i="11"/>
  <c r="P23" i="11"/>
  <c r="O23" i="11"/>
  <c r="Q23" i="11"/>
  <c r="T23" i="10"/>
  <c r="U23" i="10"/>
  <c r="S23" i="10"/>
  <c r="P23" i="10"/>
  <c r="R23" i="10"/>
  <c r="Q23" i="10"/>
  <c r="O23" i="10"/>
  <c r="Q23" i="7"/>
  <c r="U23" i="7"/>
  <c r="R23" i="7"/>
  <c r="T23" i="7"/>
  <c r="S23" i="7"/>
  <c r="O23" i="7"/>
  <c r="P23" i="7"/>
  <c r="E46" i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P24" i="1"/>
  <c r="P25" i="1"/>
  <c r="S24" i="1"/>
  <c r="S25" i="1"/>
  <c r="T24" i="1"/>
  <c r="Q24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5A9C7618-E1A6-4757-86D2-45C20155C22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8664B10-27D9-448B-8E53-5663524AA16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EAE00FE-4D99-49FC-B37A-AE04F080DA1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05BE2A54-CEBF-48A5-924C-27365F85976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C34CDB5E-682A-4892-93F6-E065865B9BB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38F21F7C-32CF-40FE-BFEE-774980D6AE8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3B604C3E-1260-4A54-9203-E454BF2E651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<sst xmlns="http://schemas.openxmlformats.org/spreadsheetml/2006/main" count="2354" uniqueCount="130">
  <si>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</si>
  <si>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</si>
  <si>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</si>
  <si>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</si>
  <si>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</si>
  <si>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</si>
  <si>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</si>
  <si>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</si>
  <si>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</si>
  <si>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</si>
  <si>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</si>
  <si>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</si>
  <si>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</si>
  <si>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</si>
  <si>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</si>
  <si>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</si>
  <si>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</si>
  <si>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</si>
  <si>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</si>
  <si>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</si>
  <si>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</si>
  <si>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</si>
  <si>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</si>
  <si>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</si>
  <si>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</si>
  <si>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</si>
  <si>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</si>
  <si>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</si>
  <si>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</si>
  <si>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</si>
  <si>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</si>
  <si>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</si>
  <si>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</si>
  <si>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</si>
  <si>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</si>
  <si>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</si>
  <si>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</si>
  <si>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</si>
  <si>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</si>
  <si>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</si>
  <si>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</si>
  <si>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</si>
  <si>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</si>
  <si>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</si>
  <si>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</si>
  <si>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</si>
  <si>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</si>
  <si>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</si>
  <si>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</si>
  <si>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</si>
  <si>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</si>
  <si>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</si>
  <si>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</si>
  <si>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</si>
  <si>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</si>
  <si>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</si>
  <si>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</si>
  <si>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</si>
  <si>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</si>
  <si>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</si>
  <si>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</si>
  <si>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</si>
  <si>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</si>
  <si>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</si>
  <si>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</si>
  <si>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</si>
  <si>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</si>
  <si>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</si>
  <si>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</si>
  <si>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</si>
  <si>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</si>
  <si>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</si>
  <si>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</si>
  <si>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</si>
  <si>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</si>
  <si>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</si>
  <si>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</si>
  <si>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</si>
  <si>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</si>
  <si>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</si>
  <si>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</si>
  <si>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</si>
  <si>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</si>
  <si>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</si>
  <si>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</si>
  <si>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</si>
  <si>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</si>
  <si>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</si>
  <si>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</si>
  <si>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</si>
  <si>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</si>
  <si>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</si>
  <si>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</si>
  <si>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</si>
  <si>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</si>
  <si>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</si>
  <si>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</si>
  <si>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</si>
  <si>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</si>
  <si>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</si>
  <si>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</si>
  <si>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</si>
  <si>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</si>
  <si>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FRA</t>
  </si>
  <si>
    <t>TTF-linked, forest resources</t>
  </si>
  <si>
    <t>~tfm_ins-ts: region=FRA</t>
  </si>
  <si>
    <t>lo</t>
  </si>
  <si>
    <t>cap_bnd</t>
  </si>
  <si>
    <t>GBR</t>
  </si>
  <si>
    <t>NLD</t>
  </si>
  <si>
    <t>BEL</t>
  </si>
  <si>
    <t>DEU</t>
  </si>
  <si>
    <t>CHE</t>
  </si>
  <si>
    <t>ITA</t>
  </si>
  <si>
    <t>ESP</t>
  </si>
  <si>
    <t>UP</t>
  </si>
  <si>
    <t>~tfm_ins-ts: region=GBR</t>
  </si>
  <si>
    <t>~tfm_ins-ts: region=NLD</t>
  </si>
  <si>
    <t>~tfm_ins-ts: region=BEL</t>
  </si>
  <si>
    <t>~tfm_ins-ts: region=DEU</t>
  </si>
  <si>
    <t>~tfm_ins-ts: region=CHE</t>
  </si>
  <si>
    <t>~tfm_ins-ts: region=ITA</t>
  </si>
  <si>
    <t>~tfm_ins-ts: region=ESP</t>
  </si>
  <si>
    <t>NBP gas hub, Drax biomass plants</t>
  </si>
  <si>
    <t>TTF hub, major pellet importer</t>
  </si>
  <si>
    <t>Zeebrugge LNG, pellet imports</t>
  </si>
  <si>
    <t>TTF gas hub, imported coal via ARA</t>
  </si>
  <si>
    <t>European pricing, forest resources</t>
  </si>
  <si>
    <t>Pipeline gas, Mediterranean pellet imports</t>
  </si>
  <si>
    <t>Iberian market, olive &amp; agricultural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</si>
</sst>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Veda_FRA!$O$15:$U$15</c:f>
              <c:numCache>
                <c:formatCode>0</c:formatCode>
                <c:ptCount val="7"/>
                <c:pt idx="0">
                  <c:v>522.03</c:v>
                </c:pt>
                <c:pt idx="1">
                  <c:v>548.13149999999996</c:v>
                </c:pt>
                <c:pt idx="2">
                  <c:v>610.77509999999995</c:v>
                </c:pt>
                <c:pt idx="3">
                  <c:v>673.41869999999994</c:v>
                </c:pt>
                <c:pt idx="4">
                  <c:v>741.28259999999989</c:v>
                </c:pt>
                <c:pt idx="5">
                  <c:v>830.02769999999998</c:v>
                </c:pt>
                <c:pt idx="6">
                  <c:v>903.11189999999999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Veda_GBR!$O$15:$U$15</c:f>
              <c:numCache>
                <c:formatCode>0</c:formatCode>
                <c:ptCount val="7"/>
                <c:pt idx="0">
                  <c:v>322.94</c:v>
                </c:pt>
                <c:pt idx="1">
                  <c:v>339.08699999999999</c:v>
                </c:pt>
                <c:pt idx="2">
                  <c:v>377.83979999999997</c:v>
                </c:pt>
                <c:pt idx="3">
                  <c:v>416.5926</c:v>
                </c:pt>
                <c:pt idx="4">
                  <c:v>458.57479999999998</c:v>
                </c:pt>
                <c:pt idx="5">
                  <c:v>513.47460000000001</c:v>
                </c:pt>
                <c:pt idx="6">
                  <c:v>558.68619999999999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62-45DB-9B89-76785A03A8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98-4D4F-A361-00DC26D1F80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Veda_NLD!$O$15:$U$15</c:f>
              <c:numCache>
                <c:formatCode>0</c:formatCode>
                <c:ptCount val="7"/>
                <c:pt idx="0">
                  <c:v>121.57</c:v>
                </c:pt>
                <c:pt idx="1">
                  <c:v>127.6485</c:v>
                </c:pt>
                <c:pt idx="2">
                  <c:v>142.23689999999999</c:v>
                </c:pt>
                <c:pt idx="3">
                  <c:v>156.8253</c:v>
                </c:pt>
                <c:pt idx="4">
                  <c:v>172.62939999999998</c:v>
                </c:pt>
                <c:pt idx="5">
                  <c:v>193.2963</c:v>
                </c:pt>
                <c:pt idx="6">
                  <c:v>210.31609999999998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87-4F62-8887-DD5C3BD68D1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48-4886-850E-CB16378132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Veda_BEL!$O$15:$U$15</c:f>
              <c:numCache>
                <c:formatCode>0</c:formatCode>
                <c:ptCount val="7"/>
                <c:pt idx="0">
                  <c:v>94.18</c:v>
                </c:pt>
                <c:pt idx="1">
                  <c:v>98.88900000000001</c:v>
                </c:pt>
                <c:pt idx="2">
                  <c:v>110.1906</c:v>
                </c:pt>
                <c:pt idx="3">
                  <c:v>121.49220000000001</c:v>
                </c:pt>
                <c:pt idx="4">
                  <c:v>133.73560000000001</c:v>
                </c:pt>
                <c:pt idx="5">
                  <c:v>149.74620000000002</c:v>
                </c:pt>
                <c:pt idx="6">
                  <c:v>162.9314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BB-4A80-AEBC-77F86800CD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CC-4D9F-8A43-7F5D6DB304F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Veda_DEU!$O$15:$U$15</c:f>
              <c:numCache>
                <c:formatCode>0</c:formatCode>
                <c:ptCount val="7"/>
                <c:pt idx="0">
                  <c:v>573</c:v>
                </c:pt>
                <c:pt idx="1">
                  <c:v>601.65</c:v>
                </c:pt>
                <c:pt idx="2">
                  <c:v>670.41</c:v>
                </c:pt>
                <c:pt idx="3">
                  <c:v>739.17000000000007</c:v>
                </c:pt>
                <c:pt idx="4">
                  <c:v>813.66</c:v>
                </c:pt>
                <c:pt idx="5">
                  <c:v>911.07</c:v>
                </c:pt>
                <c:pt idx="6">
                  <c:v>991.29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1E-4556-9C07-17AD59D9D0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8-4E64-B5A7-0927D948C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Veda_CHE!$O$15:$U$15</c:f>
              <c:numCache>
                <c:formatCode>0</c:formatCode>
                <c:ptCount val="7"/>
                <c:pt idx="0">
                  <c:v>62</c:v>
                </c:pt>
                <c:pt idx="1">
                  <c:v>65.100000000000009</c:v>
                </c:pt>
                <c:pt idx="2">
                  <c:v>72.539999999999992</c:v>
                </c:pt>
                <c:pt idx="3">
                  <c:v>79.98</c:v>
                </c:pt>
                <c:pt idx="4">
                  <c:v>88.039999999999992</c:v>
                </c:pt>
                <c:pt idx="5">
                  <c:v>98.58</c:v>
                </c:pt>
                <c:pt idx="6">
                  <c:v>107.26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BE-4BCD-9EBE-A57F2E76EFD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F-4266-9F7A-45337AA0150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Veda_ITA!$O$15:$U$15</c:f>
              <c:numCache>
                <c:formatCode>0</c:formatCode>
                <c:ptCount val="7"/>
                <c:pt idx="0">
                  <c:v>282.07</c:v>
                </c:pt>
                <c:pt idx="1">
                  <c:v>296.17349999999999</c:v>
                </c:pt>
                <c:pt idx="2">
                  <c:v>330.02189999999996</c:v>
                </c:pt>
                <c:pt idx="3">
                  <c:v>363.87029999999999</c:v>
                </c:pt>
                <c:pt idx="4">
                  <c:v>400.53939999999994</c:v>
                </c:pt>
                <c:pt idx="5">
                  <c:v>448.49130000000002</c:v>
                </c:pt>
                <c:pt idx="6">
                  <c:v>487.98109999999997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05-46CF-B337-A8DE2D860EF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B7-434C-9248-0AD262E602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Veda_ESP!$O$15:$U$15</c:f>
              <c:numCache>
                <c:formatCode>0</c:formatCode>
                <c:ptCount val="7"/>
                <c:pt idx="0">
                  <c:v>287.94</c:v>
                </c:pt>
                <c:pt idx="1">
                  <c:v>302.33699999999999</c:v>
                </c:pt>
                <c:pt idx="2">
                  <c:v>336.88979999999998</c:v>
                </c:pt>
                <c:pt idx="3">
                  <c:v>371.44260000000003</c:v>
                </c:pt>
                <c:pt idx="4">
                  <c:v>408.87479999999999</c:v>
                </c:pt>
                <c:pt idx="5">
                  <c:v>457.82460000000003</c:v>
                </c:pt>
                <c:pt idx="6">
                  <c:v>498.13619999999997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3-4338-86BC-9FDE8DCF4E9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B9-4E3B-9674-08851765AC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3A2169-3DA7-42F6-80B2-A1979C6D49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76458D-29F1-4610-96F1-38F25FA6A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1F1810-3F9A-435F-A847-430C86E61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3932F5-7262-4BAE-984A-8B2FD0DAB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DECBD8-133A-46BF-B3ED-DABB5C372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267C06-B8D3-490B-B967-5A56F0D16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B0C26-A178-4C1C-8E15-282E1464D9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BE9E63-1CBD-426F-B4DF-E4BB3CED4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34969F-B569-4825-B448-2307DE2CF5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FB363D-941F-419C-9905-BD852A6E32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AFF327-ECA5-47CD-AE72-06F9F78B0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D7BF4-1EE6-4F10-86BD-3A16AAEE1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99CC7C-8860-449C-9DF6-3D7AC2C71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FF5A90-1CDB-4232-8F4A-D7EB34806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87</v>
      </c>
    </row>
    <row r="8" spans="1:7" ht="14.65" thickBot="1" x14ac:dyDescent="0.5">
      <c r="A8" s="4" t="s">
        <v>90</v>
      </c>
      <c r="B8" s="4" t="s">
        <v>88</v>
      </c>
      <c r="C8" s="4" t="s">
        <v>89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80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80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80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80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522.03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22.585000000000001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23.798999999999999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522.03</v>
      </c>
      <c r="P15" s="8">
        <f t="shared" ref="P15:U15" si="0">$N$11*E15</f>
        <v>548.13149999999996</v>
      </c>
      <c r="Q15" s="8">
        <f t="shared" si="0"/>
        <v>610.77509999999995</v>
      </c>
      <c r="R15" s="8">
        <f t="shared" si="0"/>
        <v>673.41869999999994</v>
      </c>
      <c r="S15" s="8">
        <f t="shared" si="0"/>
        <v>741.28259999999989</v>
      </c>
      <c r="T15" s="8">
        <f t="shared" si="0"/>
        <v>830.02769999999998</v>
      </c>
      <c r="U15" s="8">
        <f t="shared" si="0"/>
        <v>903.11189999999999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region=FRA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193.15109999999999</v>
      </c>
      <c r="P20" s="6">
        <f t="shared" si="2"/>
        <v>191.84602499999997</v>
      </c>
      <c r="Q20" s="6">
        <f t="shared" si="2"/>
        <v>207.663534</v>
      </c>
      <c r="R20" s="6">
        <f t="shared" si="2"/>
        <v>222.228171</v>
      </c>
      <c r="S20" s="6">
        <f t="shared" si="2"/>
        <v>222.38477999999995</v>
      </c>
      <c r="T20" s="6">
        <f t="shared" si="2"/>
        <v>240.70803299999997</v>
      </c>
      <c r="U20" s="6">
        <f t="shared" si="2"/>
        <v>270.93356999999997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307.99769999999995</v>
      </c>
      <c r="P21" s="6">
        <f t="shared" si="2"/>
        <v>323.39758499999994</v>
      </c>
      <c r="Q21" s="6">
        <f t="shared" si="2"/>
        <v>360.35730899999993</v>
      </c>
      <c r="R21" s="6">
        <f t="shared" si="2"/>
        <v>390.58284599999996</v>
      </c>
      <c r="S21" s="6">
        <f t="shared" si="2"/>
        <v>429.94390799999991</v>
      </c>
      <c r="T21" s="6">
        <f t="shared" si="2"/>
        <v>464.81551200000001</v>
      </c>
      <c r="U21" s="6">
        <f t="shared" si="2"/>
        <v>487.68042600000001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15.660899999999998</v>
      </c>
      <c r="P22" s="6">
        <f t="shared" ref="P22:U22" si="3">O22</f>
        <v>15.660899999999998</v>
      </c>
      <c r="Q22" s="6">
        <f t="shared" si="3"/>
        <v>15.660899999999998</v>
      </c>
      <c r="R22" s="6">
        <f t="shared" si="3"/>
        <v>15.660899999999998</v>
      </c>
      <c r="S22" s="6">
        <f t="shared" si="3"/>
        <v>15.660899999999998</v>
      </c>
      <c r="T22" s="6">
        <f t="shared" si="3"/>
        <v>15.660899999999998</v>
      </c>
      <c r="U22" s="6">
        <f t="shared" si="3"/>
        <v>15.660899999999998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5.2203000000000657</v>
      </c>
      <c r="P23" s="6">
        <f t="shared" si="4"/>
        <v>17.226990000000114</v>
      </c>
      <c r="Q23" s="6">
        <f t="shared" si="4"/>
        <v>27.093357000000083</v>
      </c>
      <c r="R23" s="6">
        <f t="shared" si="4"/>
        <v>44.946782999999982</v>
      </c>
      <c r="S23" s="6">
        <f t="shared" si="4"/>
        <v>73.29301200000009</v>
      </c>
      <c r="T23" s="6">
        <f t="shared" si="4"/>
        <v>108.843255</v>
      </c>
      <c r="U23" s="6">
        <f t="shared" si="4"/>
        <v>128.83700399999998</v>
      </c>
      <c r="V23" t="s">
        <v>16</v>
      </c>
    </row>
    <row r="24" spans="2:24" x14ac:dyDescent="0.45">
      <c r="N24" s="18" t="s">
        <v>101</v>
      </c>
      <c r="O24" s="19">
        <f>N12</f>
        <v>22.585000000000001</v>
      </c>
      <c r="P24" s="20">
        <f>$N$12*E16</f>
        <v>22.133300000000002</v>
      </c>
      <c r="Q24" s="20">
        <f>$N$12*F16</f>
        <v>21.6816</v>
      </c>
      <c r="R24" s="20">
        <f t="shared" ref="R24:U24" si="5">$N$12*G16</f>
        <v>20.778200000000002</v>
      </c>
      <c r="S24" s="20">
        <f t="shared" si="5"/>
        <v>18.971399999999999</v>
      </c>
      <c r="T24" s="20">
        <f t="shared" si="5"/>
        <v>18.745550000000001</v>
      </c>
      <c r="U24" s="20">
        <f t="shared" si="5"/>
        <v>18.068000000000001</v>
      </c>
      <c r="V24" s="18" t="s">
        <v>16</v>
      </c>
    </row>
    <row r="25" spans="2:24" x14ac:dyDescent="0.45">
      <c r="N25" s="18" t="s">
        <v>102</v>
      </c>
      <c r="O25" s="19">
        <f>N13</f>
        <v>23.798999999999999</v>
      </c>
      <c r="P25" s="20">
        <f>$N$13*E16</f>
        <v>23.32302</v>
      </c>
      <c r="Q25" s="20">
        <f t="shared" ref="Q25:U25" si="6">$N$13*F16</f>
        <v>22.84704</v>
      </c>
      <c r="R25" s="20">
        <f t="shared" si="6"/>
        <v>21.89508</v>
      </c>
      <c r="S25" s="20">
        <f t="shared" si="6"/>
        <v>19.991159999999997</v>
      </c>
      <c r="T25" s="20">
        <f t="shared" si="6"/>
        <v>19.753169999999997</v>
      </c>
      <c r="U25" s="20">
        <f t="shared" si="6"/>
        <v>19.039200000000001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region=FRA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52.44</v>
      </c>
      <c r="N30" t="s">
        <v>30</v>
      </c>
      <c r="O30" s="3">
        <v>52.44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37.49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region=FRA;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105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0</v>
      </c>
      <c r="D56">
        <v>1.08</v>
      </c>
      <c r="E56">
        <v>1.08</v>
      </c>
      <c r="F56" t="s">
        <v>107</v>
      </c>
    </row>
    <row r="57" spans="1:14" x14ac:dyDescent="0.45">
      <c r="A57" t="s">
        <v>30</v>
      </c>
      <c r="B57" t="s">
        <v>106</v>
      </c>
      <c r="C57">
        <v>0</v>
      </c>
      <c r="D57">
        <v>0</v>
      </c>
      <c r="E57">
        <v>0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8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57</v>
      </c>
    </row>
    <row r="10" spans="1:10" x14ac:dyDescent="0.45">
      <c r="A10" t="s">
        <v>33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</row>
    <row r="11" spans="1:10" x14ac:dyDescent="0.45">
      <c r="A11" t="s">
        <v>103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104</v>
      </c>
    </row>
    <row r="12" spans="1:10" x14ac:dyDescent="0.45">
      <c r="A12" t="s">
        <v>108</v>
      </c>
      <c r="B12">
        <v>27.4</v>
      </c>
      <c r="C12">
        <v>39.4</v>
      </c>
      <c r="D12">
        <v>13.7</v>
      </c>
      <c r="E12">
        <v>16.7</v>
      </c>
      <c r="F12">
        <v>48</v>
      </c>
      <c r="G12">
        <v>58</v>
      </c>
      <c r="H12">
        <v>26</v>
      </c>
      <c r="I12">
        <v>34</v>
      </c>
      <c r="J12" t="s">
        <v>123</v>
      </c>
    </row>
    <row r="13" spans="1:10" x14ac:dyDescent="0.45">
      <c r="A13" t="s">
        <v>109</v>
      </c>
      <c r="B13">
        <v>29.1</v>
      </c>
      <c r="C13">
        <v>41.1</v>
      </c>
      <c r="D13">
        <v>13.7</v>
      </c>
      <c r="E13">
        <v>16.7</v>
      </c>
      <c r="F13">
        <v>48</v>
      </c>
      <c r="G13">
        <v>58</v>
      </c>
      <c r="H13">
        <v>26</v>
      </c>
      <c r="I13">
        <v>34</v>
      </c>
      <c r="J13" t="s">
        <v>124</v>
      </c>
    </row>
    <row r="14" spans="1:10" x14ac:dyDescent="0.45">
      <c r="A14" t="s">
        <v>110</v>
      </c>
      <c r="B14">
        <v>29.1</v>
      </c>
      <c r="C14">
        <v>41.1</v>
      </c>
      <c r="D14">
        <v>13.7</v>
      </c>
      <c r="E14">
        <v>16.7</v>
      </c>
      <c r="F14">
        <v>48</v>
      </c>
      <c r="G14">
        <v>58</v>
      </c>
      <c r="H14">
        <v>26</v>
      </c>
      <c r="I14">
        <v>34</v>
      </c>
      <c r="J14" t="s">
        <v>125</v>
      </c>
    </row>
    <row r="15" spans="1:10" x14ac:dyDescent="0.45">
      <c r="A15" t="s">
        <v>111</v>
      </c>
      <c r="B15">
        <v>29.1</v>
      </c>
      <c r="C15">
        <v>41.1</v>
      </c>
      <c r="D15">
        <v>13.7</v>
      </c>
      <c r="E15">
        <v>16.7</v>
      </c>
      <c r="F15">
        <v>48</v>
      </c>
      <c r="G15">
        <v>58</v>
      </c>
      <c r="H15">
        <v>24</v>
      </c>
      <c r="I15">
        <v>32</v>
      </c>
      <c r="J15" t="s">
        <v>126</v>
      </c>
    </row>
    <row r="16" spans="1:10" x14ac:dyDescent="0.45">
      <c r="A16" t="s">
        <v>112</v>
      </c>
      <c r="B16">
        <v>29.1</v>
      </c>
      <c r="C16">
        <v>41.1</v>
      </c>
      <c r="D16">
        <v>15.2</v>
      </c>
      <c r="E16">
        <v>18.3</v>
      </c>
      <c r="F16">
        <v>50</v>
      </c>
      <c r="G16">
        <v>60</v>
      </c>
      <c r="H16">
        <v>28</v>
      </c>
      <c r="I16">
        <v>36</v>
      </c>
      <c r="J16" t="s">
        <v>127</v>
      </c>
    </row>
    <row r="17" spans="1:10" x14ac:dyDescent="0.45">
      <c r="A17" t="s">
        <v>113</v>
      </c>
      <c r="B17">
        <v>29.1</v>
      </c>
      <c r="C17">
        <v>41.1</v>
      </c>
      <c r="D17">
        <v>15.2</v>
      </c>
      <c r="E17">
        <v>18.3</v>
      </c>
      <c r="F17">
        <v>50</v>
      </c>
      <c r="G17">
        <v>60</v>
      </c>
      <c r="H17">
        <v>25</v>
      </c>
      <c r="I17">
        <v>33</v>
      </c>
      <c r="J17" t="s">
        <v>128</v>
      </c>
    </row>
    <row r="18" spans="1:10" x14ac:dyDescent="0.45">
      <c r="A18" t="s">
        <v>114</v>
      </c>
      <c r="B18">
        <v>29.1</v>
      </c>
      <c r="C18">
        <v>41.1</v>
      </c>
      <c r="D18">
        <v>13.7</v>
      </c>
      <c r="E18">
        <v>16.7</v>
      </c>
      <c r="F18">
        <v>50</v>
      </c>
      <c r="G18">
        <v>60</v>
      </c>
      <c r="H18">
        <v>24</v>
      </c>
      <c r="I18">
        <v>32</v>
      </c>
      <c r="J18" t="s">
        <v>129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55</v>
      </c>
    </row>
    <row r="10" spans="1:13" x14ac:dyDescent="0.45">
      <c r="A10" t="s">
        <v>33</v>
      </c>
      <c r="B10" t="s">
        <v>34</v>
      </c>
      <c r="C10" t="s">
        <v>35</v>
      </c>
      <c r="D10" t="s">
        <v>36</v>
      </c>
      <c r="E10" t="s">
        <v>37</v>
      </c>
      <c r="F10" t="s">
        <v>38</v>
      </c>
      <c r="G10" t="s">
        <v>39</v>
      </c>
      <c r="H10" t="s">
        <v>40</v>
      </c>
      <c r="I10" t="s">
        <v>41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133.27000000000001</v>
      </c>
      <c r="D11">
        <v>307.57</v>
      </c>
      <c r="E11">
        <v>9.9600000000000009</v>
      </c>
      <c r="F11">
        <v>0.11</v>
      </c>
      <c r="G11">
        <v>9.9600000000000009</v>
      </c>
      <c r="H11">
        <v>74.02</v>
      </c>
      <c r="I11">
        <v>574.96</v>
      </c>
      <c r="J11">
        <v>23.24</v>
      </c>
      <c r="K11">
        <v>36.066000000000003</v>
      </c>
      <c r="L11">
        <v>14.366</v>
      </c>
      <c r="M11">
        <v>21.7</v>
      </c>
    </row>
    <row r="12" spans="1:13" x14ac:dyDescent="0.45">
      <c r="A12" t="s">
        <v>103</v>
      </c>
      <c r="B12">
        <v>2016</v>
      </c>
      <c r="C12">
        <v>134.43</v>
      </c>
      <c r="D12">
        <v>313.89</v>
      </c>
      <c r="E12">
        <v>9.77</v>
      </c>
      <c r="F12">
        <v>0.15</v>
      </c>
      <c r="G12">
        <v>19.899999999999999</v>
      </c>
      <c r="H12">
        <v>61.4</v>
      </c>
      <c r="I12">
        <v>559.69000000000005</v>
      </c>
      <c r="J12">
        <v>26.395</v>
      </c>
      <c r="K12">
        <v>40.44</v>
      </c>
      <c r="L12">
        <v>16.468</v>
      </c>
      <c r="M12">
        <v>23.972000000000001</v>
      </c>
    </row>
    <row r="13" spans="1:13" x14ac:dyDescent="0.45">
      <c r="A13" t="s">
        <v>103</v>
      </c>
      <c r="B13">
        <v>2017</v>
      </c>
      <c r="C13">
        <v>133.97</v>
      </c>
      <c r="D13">
        <v>311.45</v>
      </c>
      <c r="E13">
        <v>9.83</v>
      </c>
      <c r="F13">
        <v>0.19</v>
      </c>
      <c r="G13">
        <v>21.12</v>
      </c>
      <c r="H13">
        <v>61.25</v>
      </c>
      <c r="I13">
        <v>556.64</v>
      </c>
      <c r="J13">
        <v>27.405999999999999</v>
      </c>
      <c r="K13">
        <v>41.881999999999998</v>
      </c>
      <c r="L13">
        <v>17.992999999999999</v>
      </c>
      <c r="M13">
        <v>23.888999999999999</v>
      </c>
    </row>
    <row r="14" spans="1:13" x14ac:dyDescent="0.45">
      <c r="A14" t="s">
        <v>103</v>
      </c>
      <c r="B14">
        <v>2018</v>
      </c>
      <c r="C14">
        <v>138.18</v>
      </c>
      <c r="D14">
        <v>309.37</v>
      </c>
      <c r="E14">
        <v>9.3800000000000008</v>
      </c>
      <c r="F14">
        <v>0.24</v>
      </c>
      <c r="G14">
        <v>13.51</v>
      </c>
      <c r="H14">
        <v>76.48</v>
      </c>
      <c r="I14">
        <v>577.22</v>
      </c>
      <c r="J14">
        <v>26.788</v>
      </c>
      <c r="K14">
        <v>40.886000000000003</v>
      </c>
      <c r="L14">
        <v>16.719000000000001</v>
      </c>
      <c r="M14">
        <v>24.167000000000002</v>
      </c>
    </row>
    <row r="15" spans="1:13" x14ac:dyDescent="0.45">
      <c r="A15" t="s">
        <v>103</v>
      </c>
      <c r="B15">
        <v>2019</v>
      </c>
      <c r="C15">
        <v>138.31</v>
      </c>
      <c r="D15">
        <v>304.81</v>
      </c>
      <c r="E15">
        <v>9.19</v>
      </c>
      <c r="F15">
        <v>0.33</v>
      </c>
      <c r="G15">
        <v>15.63</v>
      </c>
      <c r="H15">
        <v>73.3</v>
      </c>
      <c r="I15">
        <v>566.66</v>
      </c>
      <c r="J15">
        <v>28.88</v>
      </c>
      <c r="K15">
        <v>43.067</v>
      </c>
      <c r="L15">
        <v>18.891999999999999</v>
      </c>
      <c r="M15">
        <v>24.175000000000001</v>
      </c>
    </row>
    <row r="16" spans="1:13" x14ac:dyDescent="0.45">
      <c r="A16" t="s">
        <v>103</v>
      </c>
      <c r="B16">
        <v>2020</v>
      </c>
      <c r="C16">
        <v>127.67</v>
      </c>
      <c r="D16">
        <v>296.06</v>
      </c>
      <c r="E16">
        <v>7.49</v>
      </c>
      <c r="F16">
        <v>0.42</v>
      </c>
      <c r="G16">
        <v>19.54</v>
      </c>
      <c r="H16">
        <v>64.58</v>
      </c>
      <c r="I16">
        <v>528.27</v>
      </c>
      <c r="J16">
        <v>28.788</v>
      </c>
      <c r="K16">
        <v>41.764000000000003</v>
      </c>
      <c r="L16">
        <v>18.163</v>
      </c>
      <c r="M16">
        <v>23.600999999999999</v>
      </c>
    </row>
    <row r="17" spans="1:13" x14ac:dyDescent="0.45">
      <c r="A17" t="s">
        <v>103</v>
      </c>
      <c r="B17">
        <v>2021</v>
      </c>
      <c r="C17">
        <v>134.35</v>
      </c>
      <c r="D17">
        <v>309.3</v>
      </c>
      <c r="E17">
        <v>8.43</v>
      </c>
      <c r="F17">
        <v>0.89</v>
      </c>
      <c r="G17">
        <v>24.33</v>
      </c>
      <c r="H17">
        <v>69.23</v>
      </c>
      <c r="I17">
        <v>551.22</v>
      </c>
      <c r="J17">
        <v>29.757999999999999</v>
      </c>
      <c r="K17">
        <v>48.387</v>
      </c>
      <c r="L17">
        <v>20.803000000000001</v>
      </c>
      <c r="M17">
        <v>27.584</v>
      </c>
    </row>
    <row r="18" spans="1:13" x14ac:dyDescent="0.45">
      <c r="A18" t="s">
        <v>103</v>
      </c>
      <c r="B18">
        <v>2022</v>
      </c>
      <c r="C18">
        <v>130.61000000000001</v>
      </c>
      <c r="D18">
        <v>295.10000000000002</v>
      </c>
      <c r="E18">
        <v>8.91</v>
      </c>
      <c r="F18">
        <v>1.53</v>
      </c>
      <c r="G18">
        <v>52.44</v>
      </c>
      <c r="H18">
        <v>37.49</v>
      </c>
      <c r="I18">
        <v>469.59</v>
      </c>
      <c r="J18">
        <v>30.416</v>
      </c>
      <c r="K18">
        <v>46.384</v>
      </c>
      <c r="L18">
        <v>22.585000000000001</v>
      </c>
      <c r="M18">
        <v>23.798999999999999</v>
      </c>
    </row>
    <row r="19" spans="1:13" x14ac:dyDescent="0.45">
      <c r="A19" t="s">
        <v>103</v>
      </c>
      <c r="B19">
        <v>2023</v>
      </c>
      <c r="C19">
        <v>124.58</v>
      </c>
      <c r="D19">
        <v>283.07</v>
      </c>
      <c r="E19">
        <v>8.67</v>
      </c>
      <c r="F19">
        <v>2.2599999999999998</v>
      </c>
      <c r="G19">
        <v>25.43</v>
      </c>
      <c r="H19">
        <v>75.900000000000006</v>
      </c>
      <c r="I19">
        <v>520.71</v>
      </c>
      <c r="J19">
        <v>27.704000000000001</v>
      </c>
      <c r="K19">
        <v>43.685000000000002</v>
      </c>
      <c r="L19">
        <v>19.899999999999999</v>
      </c>
      <c r="M19">
        <v>23.785</v>
      </c>
    </row>
    <row r="20" spans="1:13" x14ac:dyDescent="0.45">
      <c r="A20" t="s">
        <v>103</v>
      </c>
      <c r="B20">
        <v>2024</v>
      </c>
      <c r="C20">
        <v>124.23</v>
      </c>
      <c r="D20">
        <v>284.18</v>
      </c>
      <c r="E20">
        <v>9.0299999999999994</v>
      </c>
      <c r="F20">
        <v>3.22</v>
      </c>
      <c r="G20">
        <v>15.13</v>
      </c>
      <c r="H20">
        <v>105.11</v>
      </c>
      <c r="I20">
        <v>565.05999999999995</v>
      </c>
      <c r="J20">
        <v>25.832999999999998</v>
      </c>
      <c r="K20">
        <v>43.003</v>
      </c>
      <c r="L20">
        <v>18.169</v>
      </c>
      <c r="M20">
        <v>24.834</v>
      </c>
    </row>
    <row r="21" spans="1:13" x14ac:dyDescent="0.45">
      <c r="A21" t="s">
        <v>108</v>
      </c>
      <c r="B21">
        <v>2015</v>
      </c>
      <c r="C21">
        <v>138.44</v>
      </c>
      <c r="D21">
        <v>206.03</v>
      </c>
      <c r="E21">
        <v>4.5199999999999996</v>
      </c>
      <c r="F21">
        <v>0.1</v>
      </c>
      <c r="G21">
        <v>22.96</v>
      </c>
      <c r="H21">
        <v>1.86</v>
      </c>
      <c r="I21">
        <v>335.3</v>
      </c>
      <c r="J21">
        <v>0</v>
      </c>
      <c r="K21">
        <v>14.38</v>
      </c>
      <c r="L21">
        <v>7.89</v>
      </c>
      <c r="M21">
        <v>6.49</v>
      </c>
    </row>
    <row r="22" spans="1:13" x14ac:dyDescent="0.45">
      <c r="A22" t="s">
        <v>108</v>
      </c>
      <c r="B22">
        <v>2016</v>
      </c>
      <c r="C22">
        <v>141.4</v>
      </c>
      <c r="D22">
        <v>206.03</v>
      </c>
      <c r="E22">
        <v>4.6900000000000004</v>
      </c>
      <c r="F22">
        <v>0.13</v>
      </c>
      <c r="G22">
        <v>20.02</v>
      </c>
      <c r="H22">
        <v>2.27</v>
      </c>
      <c r="I22">
        <v>334.29</v>
      </c>
      <c r="J22">
        <v>0</v>
      </c>
      <c r="K22">
        <v>14.414</v>
      </c>
      <c r="L22">
        <v>7.7569999999999997</v>
      </c>
      <c r="M22">
        <v>6.657</v>
      </c>
    </row>
    <row r="23" spans="1:13" x14ac:dyDescent="0.45">
      <c r="A23" t="s">
        <v>108</v>
      </c>
      <c r="B23">
        <v>2017</v>
      </c>
      <c r="C23">
        <v>145.15</v>
      </c>
      <c r="D23">
        <v>202.51</v>
      </c>
      <c r="E23">
        <v>4.83</v>
      </c>
      <c r="F23">
        <v>0.18</v>
      </c>
      <c r="G23">
        <v>18.170000000000002</v>
      </c>
      <c r="H23">
        <v>3.41</v>
      </c>
      <c r="I23">
        <v>334.56</v>
      </c>
      <c r="J23">
        <v>0</v>
      </c>
      <c r="K23">
        <v>14.78</v>
      </c>
      <c r="L23">
        <v>8.2469999999999999</v>
      </c>
      <c r="M23">
        <v>6.5330000000000004</v>
      </c>
    </row>
    <row r="24" spans="1:13" x14ac:dyDescent="0.45">
      <c r="A24" t="s">
        <v>108</v>
      </c>
      <c r="B24">
        <v>2018</v>
      </c>
      <c r="C24">
        <v>149.49</v>
      </c>
      <c r="D24">
        <v>203.07</v>
      </c>
      <c r="E24">
        <v>5.05</v>
      </c>
      <c r="F24">
        <v>0.61</v>
      </c>
      <c r="G24">
        <v>21.33</v>
      </c>
      <c r="H24">
        <v>2.2200000000000002</v>
      </c>
      <c r="I24">
        <v>329.99</v>
      </c>
      <c r="J24">
        <v>0</v>
      </c>
      <c r="K24">
        <v>14.939</v>
      </c>
      <c r="L24">
        <v>8.1980000000000004</v>
      </c>
      <c r="M24">
        <v>6.7409999999999997</v>
      </c>
    </row>
    <row r="25" spans="1:13" x14ac:dyDescent="0.45">
      <c r="A25" t="s">
        <v>108</v>
      </c>
      <c r="B25">
        <v>2019</v>
      </c>
      <c r="C25">
        <v>153.6</v>
      </c>
      <c r="D25">
        <v>199.31</v>
      </c>
      <c r="E25">
        <v>5.29</v>
      </c>
      <c r="F25">
        <v>0.85</v>
      </c>
      <c r="G25">
        <v>24.56</v>
      </c>
      <c r="H25">
        <v>3.39</v>
      </c>
      <c r="I25">
        <v>321.63</v>
      </c>
      <c r="J25">
        <v>0</v>
      </c>
      <c r="K25">
        <v>14.43</v>
      </c>
      <c r="L25">
        <v>8.0190000000000001</v>
      </c>
      <c r="M25">
        <v>6.4109999999999996</v>
      </c>
    </row>
    <row r="26" spans="1:13" x14ac:dyDescent="0.45">
      <c r="A26" t="s">
        <v>108</v>
      </c>
      <c r="B26">
        <v>2020</v>
      </c>
      <c r="C26">
        <v>161.07</v>
      </c>
      <c r="D26">
        <v>187.85</v>
      </c>
      <c r="E26">
        <v>4.8499999999999996</v>
      </c>
      <c r="F26">
        <v>0.88</v>
      </c>
      <c r="G26">
        <v>22.39</v>
      </c>
      <c r="H26">
        <v>4.4800000000000004</v>
      </c>
      <c r="I26">
        <v>308.98</v>
      </c>
      <c r="J26">
        <v>0</v>
      </c>
      <c r="K26">
        <v>14.536</v>
      </c>
      <c r="L26">
        <v>7.601</v>
      </c>
      <c r="M26">
        <v>6.9349999999999996</v>
      </c>
    </row>
    <row r="27" spans="1:13" x14ac:dyDescent="0.45">
      <c r="A27" t="s">
        <v>108</v>
      </c>
      <c r="B27">
        <v>2021</v>
      </c>
      <c r="C27">
        <v>159.69999999999999</v>
      </c>
      <c r="D27">
        <v>190.09</v>
      </c>
      <c r="E27">
        <v>4.74</v>
      </c>
      <c r="F27">
        <v>2.2599999999999998</v>
      </c>
      <c r="G27">
        <v>28.82</v>
      </c>
      <c r="H27">
        <v>4.1900000000000004</v>
      </c>
      <c r="I27">
        <v>306.74</v>
      </c>
      <c r="J27">
        <v>0</v>
      </c>
      <c r="K27">
        <v>14.542999999999999</v>
      </c>
      <c r="L27">
        <v>7.4980000000000002</v>
      </c>
      <c r="M27">
        <v>7.0449999999999999</v>
      </c>
    </row>
    <row r="28" spans="1:13" x14ac:dyDescent="0.45">
      <c r="A28" t="s">
        <v>108</v>
      </c>
      <c r="B28">
        <v>2022</v>
      </c>
      <c r="C28">
        <v>155.49</v>
      </c>
      <c r="D28">
        <v>177.18</v>
      </c>
      <c r="E28">
        <v>4.82</v>
      </c>
      <c r="F28">
        <v>4.08</v>
      </c>
      <c r="G28">
        <v>15.51</v>
      </c>
      <c r="H28">
        <v>20.82</v>
      </c>
      <c r="I28">
        <v>322.94</v>
      </c>
      <c r="J28">
        <v>0</v>
      </c>
      <c r="K28">
        <v>14.167999999999999</v>
      </c>
      <c r="L28">
        <v>6.9870000000000001</v>
      </c>
      <c r="M28">
        <v>7.181</v>
      </c>
    </row>
    <row r="29" spans="1:13" x14ac:dyDescent="0.45">
      <c r="A29" t="s">
        <v>108</v>
      </c>
      <c r="B29">
        <v>2023</v>
      </c>
      <c r="C29">
        <v>154.54</v>
      </c>
      <c r="D29">
        <v>174.34</v>
      </c>
      <c r="E29">
        <v>4.91</v>
      </c>
      <c r="F29">
        <v>6.35</v>
      </c>
      <c r="G29">
        <v>33.32</v>
      </c>
      <c r="H29">
        <v>9.49</v>
      </c>
      <c r="I29">
        <v>292.45999999999998</v>
      </c>
      <c r="J29">
        <v>0</v>
      </c>
      <c r="K29">
        <v>13.894</v>
      </c>
      <c r="L29">
        <v>6.6689999999999996</v>
      </c>
      <c r="M29">
        <v>7.2249999999999996</v>
      </c>
    </row>
    <row r="30" spans="1:13" x14ac:dyDescent="0.45">
      <c r="A30" t="s">
        <v>108</v>
      </c>
      <c r="B30">
        <v>2024</v>
      </c>
      <c r="C30">
        <v>151.51</v>
      </c>
      <c r="D30">
        <v>176.15</v>
      </c>
      <c r="E30">
        <v>5.03</v>
      </c>
      <c r="F30">
        <v>8.93</v>
      </c>
      <c r="G30">
        <v>43.73</v>
      </c>
      <c r="H30">
        <v>10.33</v>
      </c>
      <c r="I30">
        <v>283.27</v>
      </c>
      <c r="J30">
        <v>0</v>
      </c>
      <c r="K30">
        <v>14.222</v>
      </c>
      <c r="L30">
        <v>7.1429999999999998</v>
      </c>
      <c r="M30">
        <v>7.0789999999999997</v>
      </c>
    </row>
    <row r="31" spans="1:13" x14ac:dyDescent="0.45">
      <c r="A31" t="s">
        <v>109</v>
      </c>
      <c r="B31">
        <v>2015</v>
      </c>
      <c r="C31">
        <v>57.21</v>
      </c>
      <c r="D31">
        <v>67.48</v>
      </c>
      <c r="E31">
        <v>1.64</v>
      </c>
      <c r="F31">
        <v>0.16</v>
      </c>
      <c r="G31">
        <v>30.76</v>
      </c>
      <c r="H31">
        <v>22.01</v>
      </c>
      <c r="I31">
        <v>110.21</v>
      </c>
      <c r="J31">
        <v>29.603000000000002</v>
      </c>
      <c r="K31">
        <v>21.741</v>
      </c>
      <c r="L31">
        <v>20.081</v>
      </c>
      <c r="M31">
        <v>1.66</v>
      </c>
    </row>
    <row r="32" spans="1:13" x14ac:dyDescent="0.45">
      <c r="A32" t="s">
        <v>109</v>
      </c>
      <c r="B32">
        <v>2016</v>
      </c>
      <c r="C32">
        <v>58.53</v>
      </c>
      <c r="D32">
        <v>67.13</v>
      </c>
      <c r="E32">
        <v>1.71</v>
      </c>
      <c r="F32">
        <v>0.21</v>
      </c>
      <c r="G32">
        <v>24.26</v>
      </c>
      <c r="H32">
        <v>19.34</v>
      </c>
      <c r="I32">
        <v>115.16</v>
      </c>
      <c r="J32">
        <v>28.346</v>
      </c>
      <c r="K32">
        <v>21.286999999999999</v>
      </c>
      <c r="L32">
        <v>19.175000000000001</v>
      </c>
      <c r="M32">
        <v>2.1120000000000001</v>
      </c>
    </row>
    <row r="33" spans="1:13" x14ac:dyDescent="0.45">
      <c r="A33" t="s">
        <v>109</v>
      </c>
      <c r="B33">
        <v>2017</v>
      </c>
      <c r="C33">
        <v>60.87</v>
      </c>
      <c r="D33">
        <v>68</v>
      </c>
      <c r="E33">
        <v>1.72</v>
      </c>
      <c r="F33">
        <v>0.28000000000000003</v>
      </c>
      <c r="G33">
        <v>22.46</v>
      </c>
      <c r="H33">
        <v>18.95</v>
      </c>
      <c r="I33">
        <v>117.17</v>
      </c>
      <c r="J33">
        <v>27.327999999999999</v>
      </c>
      <c r="K33">
        <v>19.71</v>
      </c>
      <c r="L33">
        <v>17.439</v>
      </c>
      <c r="M33">
        <v>2.2709999999999999</v>
      </c>
    </row>
    <row r="34" spans="1:13" x14ac:dyDescent="0.45">
      <c r="A34" t="s">
        <v>109</v>
      </c>
      <c r="B34">
        <v>2018</v>
      </c>
      <c r="C34">
        <v>63.16</v>
      </c>
      <c r="D34">
        <v>69.34</v>
      </c>
      <c r="E34">
        <v>1.78</v>
      </c>
      <c r="F34">
        <v>0.39</v>
      </c>
      <c r="G34">
        <v>26.75</v>
      </c>
      <c r="H34">
        <v>18.78</v>
      </c>
      <c r="I34">
        <v>114.38</v>
      </c>
      <c r="J34">
        <v>24.956</v>
      </c>
      <c r="K34">
        <v>21.138999999999999</v>
      </c>
      <c r="L34">
        <v>16.437999999999999</v>
      </c>
      <c r="M34">
        <v>4.7009999999999996</v>
      </c>
    </row>
    <row r="35" spans="1:13" x14ac:dyDescent="0.45">
      <c r="A35" t="s">
        <v>109</v>
      </c>
      <c r="B35">
        <v>2019</v>
      </c>
      <c r="C35">
        <v>64.650000000000006</v>
      </c>
      <c r="D35">
        <v>69.540000000000006</v>
      </c>
      <c r="E35">
        <v>1.81</v>
      </c>
      <c r="F35">
        <v>0.53</v>
      </c>
      <c r="G35">
        <v>20.399999999999999</v>
      </c>
      <c r="H35">
        <v>19.55</v>
      </c>
      <c r="I35">
        <v>121.41</v>
      </c>
      <c r="J35">
        <v>24.497</v>
      </c>
      <c r="K35">
        <v>22.204000000000001</v>
      </c>
      <c r="L35">
        <v>17.024999999999999</v>
      </c>
      <c r="M35">
        <v>5.1790000000000003</v>
      </c>
    </row>
    <row r="36" spans="1:13" x14ac:dyDescent="0.45">
      <c r="A36" t="s">
        <v>109</v>
      </c>
      <c r="B36">
        <v>2020</v>
      </c>
      <c r="C36">
        <v>70.2</v>
      </c>
      <c r="D36">
        <v>68.33</v>
      </c>
      <c r="E36">
        <v>1.63</v>
      </c>
      <c r="F36">
        <v>0.67</v>
      </c>
      <c r="G36">
        <v>19.77</v>
      </c>
      <c r="H36">
        <v>22.43</v>
      </c>
      <c r="I36">
        <v>123.28</v>
      </c>
      <c r="J36">
        <v>21.129000000000001</v>
      </c>
      <c r="K36">
        <v>20.227</v>
      </c>
      <c r="L36">
        <v>15.135999999999999</v>
      </c>
      <c r="M36">
        <v>5.0910000000000002</v>
      </c>
    </row>
    <row r="37" spans="1:13" x14ac:dyDescent="0.45">
      <c r="A37" t="s">
        <v>109</v>
      </c>
      <c r="B37">
        <v>2021</v>
      </c>
      <c r="C37">
        <v>72.55</v>
      </c>
      <c r="D37">
        <v>69.25</v>
      </c>
      <c r="E37">
        <v>1.63</v>
      </c>
      <c r="F37">
        <v>1.07</v>
      </c>
      <c r="G37">
        <v>20.89</v>
      </c>
      <c r="H37">
        <v>20.63</v>
      </c>
      <c r="I37">
        <v>122.17</v>
      </c>
      <c r="J37">
        <v>21.524999999999999</v>
      </c>
      <c r="K37">
        <v>21.481000000000002</v>
      </c>
      <c r="L37">
        <v>16.103000000000002</v>
      </c>
      <c r="M37">
        <v>5.3780000000000001</v>
      </c>
    </row>
    <row r="38" spans="1:13" x14ac:dyDescent="0.45">
      <c r="A38" t="s">
        <v>109</v>
      </c>
      <c r="B38">
        <v>2022</v>
      </c>
      <c r="C38">
        <v>71.5</v>
      </c>
      <c r="D38">
        <v>65.88</v>
      </c>
      <c r="E38">
        <v>1.69</v>
      </c>
      <c r="F38">
        <v>1.65</v>
      </c>
      <c r="G38">
        <v>18.54</v>
      </c>
      <c r="H38">
        <v>22.81</v>
      </c>
      <c r="I38">
        <v>121.57</v>
      </c>
      <c r="J38">
        <v>20.457000000000001</v>
      </c>
      <c r="K38">
        <v>19.547000000000001</v>
      </c>
      <c r="L38">
        <v>14.882</v>
      </c>
      <c r="M38">
        <v>4.665</v>
      </c>
    </row>
    <row r="39" spans="1:13" x14ac:dyDescent="0.45">
      <c r="A39" t="s">
        <v>109</v>
      </c>
      <c r="B39">
        <v>2023</v>
      </c>
      <c r="C39">
        <v>72.709999999999994</v>
      </c>
      <c r="D39">
        <v>65.349999999999994</v>
      </c>
      <c r="E39">
        <v>1.66</v>
      </c>
      <c r="F39">
        <v>2.21</v>
      </c>
      <c r="G39">
        <v>19.55</v>
      </c>
      <c r="H39">
        <v>25.21</v>
      </c>
      <c r="I39">
        <v>121.64</v>
      </c>
      <c r="J39">
        <v>18.094000000000001</v>
      </c>
      <c r="K39">
        <v>17.292000000000002</v>
      </c>
      <c r="L39">
        <v>13.074999999999999</v>
      </c>
      <c r="M39">
        <v>4.2169999999999996</v>
      </c>
    </row>
    <row r="40" spans="1:13" x14ac:dyDescent="0.45">
      <c r="A40" t="s">
        <v>109</v>
      </c>
      <c r="B40">
        <v>2024</v>
      </c>
      <c r="C40">
        <v>74.430000000000007</v>
      </c>
      <c r="D40">
        <v>68.8</v>
      </c>
      <c r="E40">
        <v>1.7</v>
      </c>
      <c r="F40">
        <v>2.75</v>
      </c>
      <c r="G40">
        <v>20.03</v>
      </c>
      <c r="H40">
        <v>24.25</v>
      </c>
      <c r="I40">
        <v>123.84</v>
      </c>
      <c r="J40">
        <v>16.524000000000001</v>
      </c>
      <c r="K40">
        <v>17.977</v>
      </c>
      <c r="L40">
        <v>13.765000000000001</v>
      </c>
      <c r="M40">
        <v>4.2119999999999997</v>
      </c>
    </row>
    <row r="41" spans="1:13" x14ac:dyDescent="0.45">
      <c r="A41" t="s">
        <v>110</v>
      </c>
      <c r="B41">
        <v>2015</v>
      </c>
      <c r="C41">
        <v>47.7</v>
      </c>
      <c r="D41">
        <v>41.35</v>
      </c>
      <c r="E41">
        <v>1.56</v>
      </c>
      <c r="F41">
        <v>0.01</v>
      </c>
      <c r="G41">
        <v>23.71</v>
      </c>
      <c r="H41">
        <v>2.72</v>
      </c>
      <c r="I41">
        <v>68.150000000000006</v>
      </c>
      <c r="J41">
        <v>7.2930000000000001</v>
      </c>
      <c r="K41">
        <v>6.1239999999999997</v>
      </c>
      <c r="L41">
        <v>5.1959999999999997</v>
      </c>
      <c r="M41">
        <v>0.92800000000000005</v>
      </c>
    </row>
    <row r="42" spans="1:13" x14ac:dyDescent="0.45">
      <c r="A42" t="s">
        <v>110</v>
      </c>
      <c r="B42">
        <v>2016</v>
      </c>
      <c r="C42">
        <v>48.36</v>
      </c>
      <c r="D42">
        <v>41.37</v>
      </c>
      <c r="E42">
        <v>1.6</v>
      </c>
      <c r="F42">
        <v>0.03</v>
      </c>
      <c r="G42">
        <v>14.65</v>
      </c>
      <c r="H42">
        <v>8.4700000000000006</v>
      </c>
      <c r="I42">
        <v>83.97</v>
      </c>
      <c r="J42">
        <v>6.976</v>
      </c>
      <c r="K42">
        <v>5.9649999999999999</v>
      </c>
      <c r="L42">
        <v>5.0940000000000003</v>
      </c>
      <c r="M42">
        <v>0.871</v>
      </c>
    </row>
    <row r="43" spans="1:13" x14ac:dyDescent="0.45">
      <c r="A43" t="s">
        <v>110</v>
      </c>
      <c r="B43">
        <v>2017</v>
      </c>
      <c r="C43">
        <v>49.62</v>
      </c>
      <c r="D43">
        <v>40.98</v>
      </c>
      <c r="E43">
        <v>1.66</v>
      </c>
      <c r="F43">
        <v>0.05</v>
      </c>
      <c r="G43">
        <v>14.19</v>
      </c>
      <c r="H43">
        <v>8.17</v>
      </c>
      <c r="I43">
        <v>84.95</v>
      </c>
      <c r="J43">
        <v>6.069</v>
      </c>
      <c r="K43">
        <v>5.0659999999999998</v>
      </c>
      <c r="L43">
        <v>4.2640000000000002</v>
      </c>
      <c r="M43">
        <v>0.80200000000000005</v>
      </c>
    </row>
    <row r="44" spans="1:13" x14ac:dyDescent="0.45">
      <c r="A44" t="s">
        <v>110</v>
      </c>
      <c r="B44">
        <v>2018</v>
      </c>
      <c r="C44">
        <v>50.77</v>
      </c>
      <c r="D44">
        <v>40.99</v>
      </c>
      <c r="E44">
        <v>1.68</v>
      </c>
      <c r="F44">
        <v>7.0000000000000007E-2</v>
      </c>
      <c r="G44">
        <v>21.64</v>
      </c>
      <c r="H44">
        <v>4.3099999999999996</v>
      </c>
      <c r="I44">
        <v>73.55</v>
      </c>
      <c r="J44">
        <v>6.64</v>
      </c>
      <c r="K44">
        <v>5.4210000000000003</v>
      </c>
      <c r="L44">
        <v>4.5540000000000003</v>
      </c>
      <c r="M44">
        <v>0.86699999999999999</v>
      </c>
    </row>
    <row r="45" spans="1:13" x14ac:dyDescent="0.45">
      <c r="A45" t="s">
        <v>110</v>
      </c>
      <c r="B45">
        <v>2019</v>
      </c>
      <c r="C45">
        <v>51.77</v>
      </c>
      <c r="D45">
        <v>40.71</v>
      </c>
      <c r="E45">
        <v>1.63</v>
      </c>
      <c r="F45">
        <v>0.12</v>
      </c>
      <c r="G45">
        <v>12.73</v>
      </c>
      <c r="H45">
        <v>14.59</v>
      </c>
      <c r="I45">
        <v>92.34</v>
      </c>
      <c r="J45">
        <v>5.6790000000000003</v>
      </c>
      <c r="K45">
        <v>5.7110000000000003</v>
      </c>
      <c r="L45">
        <v>4.8239999999999998</v>
      </c>
      <c r="M45">
        <v>0.88700000000000001</v>
      </c>
    </row>
    <row r="46" spans="1:13" x14ac:dyDescent="0.45">
      <c r="A46" t="s">
        <v>110</v>
      </c>
      <c r="B46">
        <v>2020</v>
      </c>
      <c r="C46">
        <v>51.17</v>
      </c>
      <c r="D46">
        <v>40</v>
      </c>
      <c r="E46">
        <v>1.44</v>
      </c>
      <c r="F46">
        <v>0.14000000000000001</v>
      </c>
      <c r="G46">
        <v>13.72</v>
      </c>
      <c r="H46">
        <v>14.05</v>
      </c>
      <c r="I46">
        <v>87.92</v>
      </c>
      <c r="J46">
        <v>5.5380000000000003</v>
      </c>
      <c r="K46">
        <v>5.641</v>
      </c>
      <c r="L46">
        <v>4.6859999999999999</v>
      </c>
      <c r="M46">
        <v>0.95499999999999996</v>
      </c>
    </row>
    <row r="47" spans="1:13" x14ac:dyDescent="0.45">
      <c r="A47" t="s">
        <v>110</v>
      </c>
      <c r="B47">
        <v>2021</v>
      </c>
      <c r="C47">
        <v>52.96</v>
      </c>
      <c r="D47">
        <v>40.22</v>
      </c>
      <c r="E47">
        <v>1.52</v>
      </c>
      <c r="F47">
        <v>0.33</v>
      </c>
      <c r="G47">
        <v>15.19</v>
      </c>
      <c r="H47">
        <v>23.07</v>
      </c>
      <c r="I47">
        <v>99.05</v>
      </c>
      <c r="J47">
        <v>5.6970000000000001</v>
      </c>
      <c r="K47">
        <v>5.8</v>
      </c>
      <c r="L47">
        <v>4.7629999999999999</v>
      </c>
      <c r="M47">
        <v>1.0369999999999999</v>
      </c>
    </row>
    <row r="48" spans="1:13" x14ac:dyDescent="0.45">
      <c r="A48" t="s">
        <v>110</v>
      </c>
      <c r="B48">
        <v>2022</v>
      </c>
      <c r="C48">
        <v>51.47</v>
      </c>
      <c r="D48">
        <v>38.15</v>
      </c>
      <c r="E48">
        <v>1.66</v>
      </c>
      <c r="F48">
        <v>0.61</v>
      </c>
      <c r="G48">
        <v>16.350000000000001</v>
      </c>
      <c r="H48">
        <v>23.88</v>
      </c>
      <c r="I48">
        <v>94.18</v>
      </c>
      <c r="J48">
        <v>4.9379999999999997</v>
      </c>
      <c r="K48">
        <v>5.0049999999999999</v>
      </c>
      <c r="L48">
        <v>4.0209999999999999</v>
      </c>
      <c r="M48">
        <v>0.98399999999999999</v>
      </c>
    </row>
    <row r="49" spans="1:13" x14ac:dyDescent="0.45">
      <c r="A49" t="s">
        <v>110</v>
      </c>
      <c r="B49">
        <v>2023</v>
      </c>
      <c r="C49">
        <v>50.45</v>
      </c>
      <c r="D49">
        <v>37.700000000000003</v>
      </c>
      <c r="E49">
        <v>1.58</v>
      </c>
      <c r="F49">
        <v>1.1000000000000001</v>
      </c>
      <c r="G49">
        <v>20.22</v>
      </c>
      <c r="H49">
        <v>18.59</v>
      </c>
      <c r="I49">
        <v>82.1</v>
      </c>
      <c r="J49">
        <v>4.2699999999999996</v>
      </c>
      <c r="K49">
        <v>4.32</v>
      </c>
      <c r="L49">
        <v>3.1909999999999998</v>
      </c>
      <c r="M49">
        <v>1.129</v>
      </c>
    </row>
    <row r="50" spans="1:13" x14ac:dyDescent="0.45">
      <c r="A50" t="s">
        <v>110</v>
      </c>
      <c r="B50">
        <v>2024</v>
      </c>
      <c r="C50">
        <v>52.92</v>
      </c>
      <c r="D50">
        <v>38.72</v>
      </c>
      <c r="E50">
        <v>1.5</v>
      </c>
      <c r="F50">
        <v>1.74</v>
      </c>
      <c r="G50">
        <v>27.75</v>
      </c>
      <c r="H50">
        <v>17.41</v>
      </c>
      <c r="I50">
        <v>75.709999999999994</v>
      </c>
      <c r="J50">
        <v>3.92</v>
      </c>
      <c r="K50">
        <v>4.0739999999999998</v>
      </c>
      <c r="L50">
        <v>2.9460000000000002</v>
      </c>
      <c r="M50">
        <v>1.1279999999999999</v>
      </c>
    </row>
    <row r="51" spans="1:13" x14ac:dyDescent="0.45">
      <c r="A51" t="s">
        <v>111</v>
      </c>
      <c r="B51">
        <v>2015</v>
      </c>
      <c r="C51">
        <v>279.04000000000002</v>
      </c>
      <c r="D51">
        <v>274.98</v>
      </c>
      <c r="E51">
        <v>11.07</v>
      </c>
      <c r="F51">
        <v>0.08</v>
      </c>
      <c r="G51">
        <v>37.01</v>
      </c>
      <c r="H51">
        <v>85.29</v>
      </c>
      <c r="I51">
        <v>642.39</v>
      </c>
      <c r="J51">
        <v>91.739000000000004</v>
      </c>
      <c r="K51">
        <v>111.577</v>
      </c>
      <c r="L51">
        <v>48.174999999999997</v>
      </c>
      <c r="M51">
        <v>63.402000000000001</v>
      </c>
    </row>
    <row r="52" spans="1:13" x14ac:dyDescent="0.45">
      <c r="A52" t="s">
        <v>111</v>
      </c>
      <c r="B52">
        <v>2016</v>
      </c>
      <c r="C52">
        <v>285.44</v>
      </c>
      <c r="D52">
        <v>275.24</v>
      </c>
      <c r="E52">
        <v>11.63</v>
      </c>
      <c r="F52">
        <v>0.11</v>
      </c>
      <c r="G52">
        <v>28.34</v>
      </c>
      <c r="H52">
        <v>78.86</v>
      </c>
      <c r="I52">
        <v>644.86</v>
      </c>
      <c r="J52">
        <v>95.225999999999999</v>
      </c>
      <c r="K52">
        <v>113.752</v>
      </c>
      <c r="L52">
        <v>49.697000000000003</v>
      </c>
      <c r="M52">
        <v>64.055000000000007</v>
      </c>
    </row>
    <row r="53" spans="1:13" x14ac:dyDescent="0.45">
      <c r="A53" t="s">
        <v>111</v>
      </c>
      <c r="B53">
        <v>2017</v>
      </c>
      <c r="C53">
        <v>289</v>
      </c>
      <c r="D53">
        <v>274.77</v>
      </c>
      <c r="E53">
        <v>11.8</v>
      </c>
      <c r="F53">
        <v>0.16</v>
      </c>
      <c r="G53">
        <v>27.84</v>
      </c>
      <c r="H53">
        <v>80.3</v>
      </c>
      <c r="I53">
        <v>647.72</v>
      </c>
      <c r="J53">
        <v>95.143000000000001</v>
      </c>
      <c r="K53">
        <v>114.04600000000001</v>
      </c>
      <c r="L53">
        <v>47.804000000000002</v>
      </c>
      <c r="M53">
        <v>66.242000000000004</v>
      </c>
    </row>
    <row r="54" spans="1:13" x14ac:dyDescent="0.45">
      <c r="A54" t="s">
        <v>111</v>
      </c>
      <c r="B54">
        <v>2018</v>
      </c>
      <c r="C54">
        <v>285.68</v>
      </c>
      <c r="D54">
        <v>266.58</v>
      </c>
      <c r="E54">
        <v>11.86</v>
      </c>
      <c r="F54">
        <v>0.23</v>
      </c>
      <c r="G54">
        <v>31.73</v>
      </c>
      <c r="H54">
        <v>80.459999999999994</v>
      </c>
      <c r="I54">
        <v>634.29999999999995</v>
      </c>
      <c r="J54">
        <v>98.507999999999996</v>
      </c>
      <c r="K54">
        <v>110.97799999999999</v>
      </c>
      <c r="L54">
        <v>52.889000000000003</v>
      </c>
      <c r="M54">
        <v>58.088999999999999</v>
      </c>
    </row>
    <row r="55" spans="1:13" x14ac:dyDescent="0.45">
      <c r="A55" t="s">
        <v>111</v>
      </c>
      <c r="B55">
        <v>2019</v>
      </c>
      <c r="C55">
        <v>276.60000000000002</v>
      </c>
      <c r="D55">
        <v>261.64</v>
      </c>
      <c r="E55">
        <v>11.27</v>
      </c>
      <c r="F55">
        <v>0.34</v>
      </c>
      <c r="G55">
        <v>40.130000000000003</v>
      </c>
      <c r="H55">
        <v>72.790000000000006</v>
      </c>
      <c r="I55">
        <v>600.98</v>
      </c>
      <c r="J55">
        <v>97.305999999999997</v>
      </c>
      <c r="K55">
        <v>111.782</v>
      </c>
      <c r="L55">
        <v>49.478999999999999</v>
      </c>
      <c r="M55">
        <v>62.302999999999997</v>
      </c>
    </row>
    <row r="56" spans="1:13" x14ac:dyDescent="0.45">
      <c r="A56" t="s">
        <v>111</v>
      </c>
      <c r="B56">
        <v>2020</v>
      </c>
      <c r="C56">
        <v>264.64</v>
      </c>
      <c r="D56">
        <v>259.06</v>
      </c>
      <c r="E56">
        <v>10.87</v>
      </c>
      <c r="F56">
        <v>0.66</v>
      </c>
      <c r="G56">
        <v>47.85</v>
      </c>
      <c r="H56">
        <v>66.88</v>
      </c>
      <c r="I56">
        <v>568.91</v>
      </c>
      <c r="J56">
        <v>89.994</v>
      </c>
      <c r="K56">
        <v>103.56699999999999</v>
      </c>
      <c r="L56">
        <v>46.262</v>
      </c>
      <c r="M56">
        <v>57.305</v>
      </c>
    </row>
    <row r="57" spans="1:13" x14ac:dyDescent="0.45">
      <c r="A57" t="s">
        <v>111</v>
      </c>
      <c r="B57">
        <v>2021</v>
      </c>
      <c r="C57">
        <v>273.68</v>
      </c>
      <c r="D57">
        <v>267.54000000000002</v>
      </c>
      <c r="E57">
        <v>11.48</v>
      </c>
      <c r="F57">
        <v>1.39</v>
      </c>
      <c r="G57">
        <v>51.73</v>
      </c>
      <c r="H57">
        <v>70.31</v>
      </c>
      <c r="I57">
        <v>587.46</v>
      </c>
      <c r="J57">
        <v>97.787000000000006</v>
      </c>
      <c r="K57">
        <v>113.82899999999999</v>
      </c>
      <c r="L57">
        <v>48.845999999999997</v>
      </c>
      <c r="M57">
        <v>64.983000000000004</v>
      </c>
    </row>
    <row r="58" spans="1:13" x14ac:dyDescent="0.45">
      <c r="A58" t="s">
        <v>111</v>
      </c>
      <c r="B58">
        <v>2022</v>
      </c>
      <c r="C58">
        <v>254.86</v>
      </c>
      <c r="D58">
        <v>255.66</v>
      </c>
      <c r="E58">
        <v>12.95</v>
      </c>
      <c r="F58">
        <v>2.4500000000000002</v>
      </c>
      <c r="G58">
        <v>49.33</v>
      </c>
      <c r="H58">
        <v>76.59</v>
      </c>
      <c r="I58">
        <v>573</v>
      </c>
      <c r="J58">
        <v>88.561999999999998</v>
      </c>
      <c r="K58">
        <v>103.169</v>
      </c>
      <c r="L58">
        <v>45.581000000000003</v>
      </c>
      <c r="M58">
        <v>57.588000000000001</v>
      </c>
    </row>
    <row r="59" spans="1:13" x14ac:dyDescent="0.45">
      <c r="A59" t="s">
        <v>111</v>
      </c>
      <c r="B59">
        <v>2023</v>
      </c>
      <c r="C59">
        <v>279.62</v>
      </c>
      <c r="D59">
        <v>256.26</v>
      </c>
      <c r="E59">
        <v>12.74</v>
      </c>
      <c r="F59">
        <v>4.5199999999999996</v>
      </c>
      <c r="G59">
        <v>69.31</v>
      </c>
      <c r="H59">
        <v>60.08</v>
      </c>
      <c r="I59">
        <v>517.42999999999995</v>
      </c>
      <c r="J59">
        <v>83.772000000000006</v>
      </c>
      <c r="K59">
        <v>99.41</v>
      </c>
      <c r="L59">
        <v>42.277999999999999</v>
      </c>
      <c r="M59">
        <v>57.131999999999998</v>
      </c>
    </row>
    <row r="60" spans="1:13" x14ac:dyDescent="0.45">
      <c r="A60" t="s">
        <v>111</v>
      </c>
      <c r="B60">
        <v>2024</v>
      </c>
      <c r="C60">
        <v>293</v>
      </c>
      <c r="D60">
        <v>257.72000000000003</v>
      </c>
      <c r="E60">
        <v>11.58</v>
      </c>
      <c r="F60">
        <v>5.91</v>
      </c>
      <c r="G60">
        <v>81.66</v>
      </c>
      <c r="H60">
        <v>55.39</v>
      </c>
      <c r="I60">
        <v>507.66</v>
      </c>
      <c r="J60">
        <v>81.938000000000002</v>
      </c>
      <c r="K60">
        <v>100.52500000000001</v>
      </c>
      <c r="L60">
        <v>43.360999999999997</v>
      </c>
      <c r="M60">
        <v>57.164000000000001</v>
      </c>
    </row>
    <row r="61" spans="1:13" x14ac:dyDescent="0.45">
      <c r="A61" t="s">
        <v>112</v>
      </c>
      <c r="B61">
        <v>2015</v>
      </c>
      <c r="C61">
        <v>25</v>
      </c>
      <c r="D61">
        <v>36.909999999999997</v>
      </c>
      <c r="E61">
        <v>3.14</v>
      </c>
      <c r="F61">
        <v>0.04</v>
      </c>
      <c r="G61">
        <v>34.03</v>
      </c>
      <c r="H61">
        <v>35.07</v>
      </c>
      <c r="I61">
        <v>66.08</v>
      </c>
      <c r="J61">
        <v>4.3970000000000002</v>
      </c>
      <c r="K61">
        <v>5.5270000000000001</v>
      </c>
      <c r="L61">
        <v>2.0230000000000001</v>
      </c>
      <c r="M61">
        <v>3.504</v>
      </c>
    </row>
    <row r="62" spans="1:13" x14ac:dyDescent="0.45">
      <c r="A62" t="s">
        <v>112</v>
      </c>
      <c r="B62">
        <v>2016</v>
      </c>
      <c r="C62">
        <v>24.9</v>
      </c>
      <c r="D62">
        <v>37.049999999999997</v>
      </c>
      <c r="E62">
        <v>3.2</v>
      </c>
      <c r="F62">
        <v>0.05</v>
      </c>
      <c r="G62">
        <v>34.1</v>
      </c>
      <c r="H62">
        <v>30.17</v>
      </c>
      <c r="I62">
        <v>61.12</v>
      </c>
      <c r="J62">
        <v>4.766</v>
      </c>
      <c r="K62">
        <v>5.9560000000000004</v>
      </c>
      <c r="L62">
        <v>2.0840000000000001</v>
      </c>
      <c r="M62">
        <v>3.8719999999999999</v>
      </c>
    </row>
    <row r="63" spans="1:13" x14ac:dyDescent="0.45">
      <c r="A63" t="s">
        <v>112</v>
      </c>
      <c r="B63">
        <v>2017</v>
      </c>
      <c r="C63">
        <v>25.33</v>
      </c>
      <c r="D63">
        <v>37.18</v>
      </c>
      <c r="E63">
        <v>3.15</v>
      </c>
      <c r="F63">
        <v>7.0000000000000007E-2</v>
      </c>
      <c r="G63">
        <v>36.5</v>
      </c>
      <c r="H63">
        <v>30.95</v>
      </c>
      <c r="I63">
        <v>60.18</v>
      </c>
      <c r="J63">
        <v>5.0410000000000004</v>
      </c>
      <c r="K63">
        <v>6.2809999999999997</v>
      </c>
      <c r="L63">
        <v>2.1709999999999998</v>
      </c>
      <c r="M63">
        <v>4.1100000000000003</v>
      </c>
    </row>
    <row r="64" spans="1:13" x14ac:dyDescent="0.45">
      <c r="A64" t="s">
        <v>112</v>
      </c>
      <c r="B64">
        <v>2018</v>
      </c>
      <c r="C64">
        <v>25.21</v>
      </c>
      <c r="D64">
        <v>36.979999999999997</v>
      </c>
      <c r="E64">
        <v>3.09</v>
      </c>
      <c r="F64">
        <v>0.09</v>
      </c>
      <c r="G64">
        <v>31.02</v>
      </c>
      <c r="H64">
        <v>32.61</v>
      </c>
      <c r="I64">
        <v>66.319999999999993</v>
      </c>
      <c r="J64">
        <v>5.07</v>
      </c>
      <c r="K64">
        <v>6.2350000000000003</v>
      </c>
      <c r="L64">
        <v>2.2189999999999999</v>
      </c>
      <c r="M64">
        <v>4.016</v>
      </c>
    </row>
    <row r="65" spans="1:13" x14ac:dyDescent="0.45">
      <c r="A65" t="s">
        <v>112</v>
      </c>
      <c r="B65">
        <v>2019</v>
      </c>
      <c r="C65">
        <v>25.42</v>
      </c>
      <c r="D65">
        <v>36.590000000000003</v>
      </c>
      <c r="E65">
        <v>3.04</v>
      </c>
      <c r="F65">
        <v>0.12</v>
      </c>
      <c r="G65">
        <v>29.5</v>
      </c>
      <c r="H65">
        <v>35.770000000000003</v>
      </c>
      <c r="I65">
        <v>70.59</v>
      </c>
      <c r="J65">
        <v>5.6820000000000004</v>
      </c>
      <c r="K65">
        <v>7.0979999999999999</v>
      </c>
      <c r="L65">
        <v>2.4329999999999998</v>
      </c>
      <c r="M65">
        <v>4.665</v>
      </c>
    </row>
    <row r="66" spans="1:13" x14ac:dyDescent="0.45">
      <c r="A66" t="s">
        <v>112</v>
      </c>
      <c r="B66">
        <v>2020</v>
      </c>
      <c r="C66">
        <v>25.45</v>
      </c>
      <c r="D66">
        <v>36.159999999999997</v>
      </c>
      <c r="E66">
        <v>2.82</v>
      </c>
      <c r="F66">
        <v>0.14000000000000001</v>
      </c>
      <c r="G66">
        <v>26.99</v>
      </c>
      <c r="H66">
        <v>32.549999999999997</v>
      </c>
      <c r="I66">
        <v>68.650000000000006</v>
      </c>
      <c r="J66">
        <v>5.5659999999999998</v>
      </c>
      <c r="K66">
        <v>6.9420000000000002</v>
      </c>
      <c r="L66">
        <v>2.4140000000000001</v>
      </c>
      <c r="M66">
        <v>4.5279999999999996</v>
      </c>
    </row>
    <row r="67" spans="1:13" x14ac:dyDescent="0.45">
      <c r="A67" t="s">
        <v>112</v>
      </c>
      <c r="B67">
        <v>2021</v>
      </c>
      <c r="C67">
        <v>26.7</v>
      </c>
      <c r="D67">
        <v>37.6</v>
      </c>
      <c r="E67">
        <v>2.97</v>
      </c>
      <c r="F67">
        <v>0.26</v>
      </c>
      <c r="G67">
        <v>31.53</v>
      </c>
      <c r="H67">
        <v>29.12</v>
      </c>
      <c r="I67">
        <v>63.29</v>
      </c>
      <c r="J67">
        <v>5.9770000000000003</v>
      </c>
      <c r="K67">
        <v>7.524</v>
      </c>
      <c r="L67">
        <v>2.5609999999999999</v>
      </c>
      <c r="M67">
        <v>4.9630000000000001</v>
      </c>
    </row>
    <row r="68" spans="1:13" x14ac:dyDescent="0.45">
      <c r="A68" t="s">
        <v>112</v>
      </c>
      <c r="B68">
        <v>2022</v>
      </c>
      <c r="C68">
        <v>27.22</v>
      </c>
      <c r="D68">
        <v>36.68</v>
      </c>
      <c r="E68">
        <v>3.03</v>
      </c>
      <c r="F68">
        <v>0.44</v>
      </c>
      <c r="G68">
        <v>33.119999999999997</v>
      </c>
      <c r="H68">
        <v>29.73</v>
      </c>
      <c r="I68">
        <v>62</v>
      </c>
      <c r="J68">
        <v>5.6429999999999998</v>
      </c>
      <c r="K68">
        <v>6.9960000000000004</v>
      </c>
      <c r="L68">
        <v>2.5449999999999999</v>
      </c>
      <c r="M68">
        <v>4.4509999999999996</v>
      </c>
    </row>
    <row r="69" spans="1:13" x14ac:dyDescent="0.45">
      <c r="A69" t="s">
        <v>112</v>
      </c>
      <c r="B69">
        <v>2023</v>
      </c>
      <c r="C69">
        <v>27.14</v>
      </c>
      <c r="D69">
        <v>36.4</v>
      </c>
      <c r="E69">
        <v>3.02</v>
      </c>
      <c r="F69">
        <v>0.62</v>
      </c>
      <c r="G69">
        <v>27.46</v>
      </c>
      <c r="H69">
        <v>33.86</v>
      </c>
      <c r="I69">
        <v>70.459999999999994</v>
      </c>
      <c r="J69">
        <v>5.9429999999999996</v>
      </c>
      <c r="K69">
        <v>7.1909999999999998</v>
      </c>
      <c r="L69">
        <v>2.6869999999999998</v>
      </c>
      <c r="M69">
        <v>4.5039999999999996</v>
      </c>
    </row>
    <row r="70" spans="1:13" x14ac:dyDescent="0.45">
      <c r="A70" t="s">
        <v>112</v>
      </c>
      <c r="B70">
        <v>2024</v>
      </c>
      <c r="C70">
        <v>28.79</v>
      </c>
      <c r="D70">
        <v>36.909999999999997</v>
      </c>
      <c r="E70">
        <v>3.08</v>
      </c>
      <c r="F70">
        <v>0.88</v>
      </c>
      <c r="G70">
        <v>25.96</v>
      </c>
      <c r="H70">
        <v>40.35</v>
      </c>
      <c r="I70">
        <v>79.23</v>
      </c>
      <c r="J70">
        <v>6.3490000000000002</v>
      </c>
      <c r="K70">
        <v>7.4550000000000001</v>
      </c>
      <c r="L70">
        <v>2.827</v>
      </c>
      <c r="M70">
        <v>4.6280000000000001</v>
      </c>
    </row>
    <row r="71" spans="1:13" x14ac:dyDescent="0.45">
      <c r="A71" t="s">
        <v>113</v>
      </c>
      <c r="B71">
        <v>2015</v>
      </c>
      <c r="C71">
        <v>131.75</v>
      </c>
      <c r="D71">
        <v>163.96</v>
      </c>
      <c r="E71">
        <v>5.51</v>
      </c>
      <c r="F71">
        <v>7.0000000000000007E-2</v>
      </c>
      <c r="G71">
        <v>50.85</v>
      </c>
      <c r="H71">
        <v>4.47</v>
      </c>
      <c r="I71">
        <v>281.56</v>
      </c>
      <c r="J71">
        <v>59.222999999999999</v>
      </c>
      <c r="K71">
        <v>44.710999999999999</v>
      </c>
      <c r="L71">
        <v>31.463999999999999</v>
      </c>
      <c r="M71">
        <v>13.247</v>
      </c>
    </row>
    <row r="72" spans="1:13" x14ac:dyDescent="0.45">
      <c r="A72" t="s">
        <v>113</v>
      </c>
      <c r="B72">
        <v>2016</v>
      </c>
      <c r="C72">
        <v>131.72</v>
      </c>
      <c r="D72">
        <v>161.61000000000001</v>
      </c>
      <c r="E72">
        <v>5.84</v>
      </c>
      <c r="F72">
        <v>7.0000000000000007E-2</v>
      </c>
      <c r="G72">
        <v>43.18</v>
      </c>
      <c r="H72">
        <v>6.15</v>
      </c>
      <c r="I72">
        <v>287.94</v>
      </c>
      <c r="J72">
        <v>61.045999999999999</v>
      </c>
      <c r="K72">
        <v>45.857999999999997</v>
      </c>
      <c r="L72">
        <v>31.867999999999999</v>
      </c>
      <c r="M72">
        <v>13.99</v>
      </c>
    </row>
    <row r="73" spans="1:13" x14ac:dyDescent="0.45">
      <c r="A73" t="s">
        <v>113</v>
      </c>
      <c r="B73">
        <v>2017</v>
      </c>
      <c r="C73">
        <v>135.38999999999999</v>
      </c>
      <c r="D73">
        <v>164.97</v>
      </c>
      <c r="E73">
        <v>5.89</v>
      </c>
      <c r="F73">
        <v>0.08</v>
      </c>
      <c r="G73">
        <v>42.89</v>
      </c>
      <c r="H73">
        <v>5.13</v>
      </c>
      <c r="I73">
        <v>294</v>
      </c>
      <c r="J73">
        <v>61.08</v>
      </c>
      <c r="K73">
        <v>47.750999999999998</v>
      </c>
      <c r="L73">
        <v>33.521000000000001</v>
      </c>
      <c r="M73">
        <v>14.23</v>
      </c>
    </row>
    <row r="74" spans="1:13" x14ac:dyDescent="0.45">
      <c r="A74" t="s">
        <v>113</v>
      </c>
      <c r="B74">
        <v>2018</v>
      </c>
      <c r="C74">
        <v>138.85</v>
      </c>
      <c r="D74">
        <v>165.47</v>
      </c>
      <c r="E74">
        <v>6.07</v>
      </c>
      <c r="F74">
        <v>0.1</v>
      </c>
      <c r="G74">
        <v>47.17</v>
      </c>
      <c r="H74">
        <v>3.27</v>
      </c>
      <c r="I74">
        <v>287.99</v>
      </c>
      <c r="J74">
        <v>59.622</v>
      </c>
      <c r="K74">
        <v>47.627000000000002</v>
      </c>
      <c r="L74">
        <v>30.41</v>
      </c>
      <c r="M74">
        <v>17.216999999999999</v>
      </c>
    </row>
    <row r="75" spans="1:13" x14ac:dyDescent="0.45">
      <c r="A75" t="s">
        <v>113</v>
      </c>
      <c r="B75">
        <v>2019</v>
      </c>
      <c r="C75">
        <v>141.87</v>
      </c>
      <c r="D75">
        <v>160.86000000000001</v>
      </c>
      <c r="E75">
        <v>5.84</v>
      </c>
      <c r="F75">
        <v>0.14000000000000001</v>
      </c>
      <c r="G75">
        <v>43.97</v>
      </c>
      <c r="H75">
        <v>5.83</v>
      </c>
      <c r="I75">
        <v>292.02</v>
      </c>
      <c r="J75">
        <v>60.246000000000002</v>
      </c>
      <c r="K75">
        <v>48.22</v>
      </c>
      <c r="L75">
        <v>34.286000000000001</v>
      </c>
      <c r="M75">
        <v>13.933999999999999</v>
      </c>
    </row>
    <row r="76" spans="1:13" x14ac:dyDescent="0.45">
      <c r="A76" t="s">
        <v>113</v>
      </c>
      <c r="B76">
        <v>2020</v>
      </c>
      <c r="C76">
        <v>137.63999999999999</v>
      </c>
      <c r="D76">
        <v>147.78</v>
      </c>
      <c r="E76">
        <v>4.93</v>
      </c>
      <c r="F76">
        <v>0.19</v>
      </c>
      <c r="G76">
        <v>39.79</v>
      </c>
      <c r="H76">
        <v>7.59</v>
      </c>
      <c r="I76">
        <v>278.58999999999997</v>
      </c>
      <c r="J76">
        <v>59.3</v>
      </c>
      <c r="K76">
        <v>45.024000000000001</v>
      </c>
      <c r="L76">
        <v>31.337</v>
      </c>
      <c r="M76">
        <v>13.686999999999999</v>
      </c>
    </row>
    <row r="77" spans="1:13" x14ac:dyDescent="0.45">
      <c r="A77" t="s">
        <v>113</v>
      </c>
      <c r="B77">
        <v>2021</v>
      </c>
      <c r="C77">
        <v>167.82</v>
      </c>
      <c r="D77">
        <v>165.99</v>
      </c>
      <c r="E77">
        <v>5.46</v>
      </c>
      <c r="F77">
        <v>0.44</v>
      </c>
      <c r="G77">
        <v>46.57</v>
      </c>
      <c r="H77">
        <v>3.78</v>
      </c>
      <c r="I77">
        <v>286.98</v>
      </c>
      <c r="J77">
        <v>21.324000000000002</v>
      </c>
      <c r="K77">
        <v>17.997</v>
      </c>
      <c r="L77">
        <v>6.89</v>
      </c>
      <c r="M77">
        <v>11.106999999999999</v>
      </c>
    </row>
    <row r="78" spans="1:13" x14ac:dyDescent="0.45">
      <c r="A78" t="s">
        <v>113</v>
      </c>
      <c r="B78">
        <v>2022</v>
      </c>
      <c r="C78">
        <v>165.68</v>
      </c>
      <c r="D78">
        <v>166.22</v>
      </c>
      <c r="E78">
        <v>5.9</v>
      </c>
      <c r="F78">
        <v>0.6</v>
      </c>
      <c r="G78">
        <v>47.39</v>
      </c>
      <c r="H78">
        <v>4.4000000000000004</v>
      </c>
      <c r="I78">
        <v>282.07</v>
      </c>
      <c r="J78">
        <v>19.646999999999998</v>
      </c>
      <c r="K78">
        <v>17.373000000000001</v>
      </c>
      <c r="L78">
        <v>6.5309999999999997</v>
      </c>
      <c r="M78">
        <v>10.842000000000001</v>
      </c>
    </row>
    <row r="79" spans="1:13" x14ac:dyDescent="0.45">
      <c r="A79" t="s">
        <v>113</v>
      </c>
      <c r="B79">
        <v>2023</v>
      </c>
      <c r="C79">
        <v>160.19</v>
      </c>
      <c r="D79">
        <v>163.18</v>
      </c>
      <c r="E79">
        <v>6.49</v>
      </c>
      <c r="F79">
        <v>0.82</v>
      </c>
      <c r="G79">
        <v>54.57</v>
      </c>
      <c r="H79">
        <v>3.32</v>
      </c>
      <c r="I79">
        <v>263.17</v>
      </c>
      <c r="J79">
        <v>19.937000000000001</v>
      </c>
      <c r="K79">
        <v>16.628</v>
      </c>
      <c r="L79">
        <v>6.5359999999999996</v>
      </c>
      <c r="M79">
        <v>10.092000000000001</v>
      </c>
    </row>
    <row r="80" spans="1:13" x14ac:dyDescent="0.45">
      <c r="A80" t="s">
        <v>113</v>
      </c>
      <c r="B80">
        <v>2024</v>
      </c>
      <c r="C80">
        <v>163.46</v>
      </c>
      <c r="D80">
        <v>168.27</v>
      </c>
      <c r="E80">
        <v>6.63</v>
      </c>
      <c r="F80">
        <v>1.06</v>
      </c>
      <c r="G80">
        <v>55.91</v>
      </c>
      <c r="H80">
        <v>4.91</v>
      </c>
      <c r="I80">
        <v>269.38</v>
      </c>
      <c r="J80">
        <v>20.145</v>
      </c>
      <c r="K80">
        <v>17.812999999999999</v>
      </c>
      <c r="L80">
        <v>6.508</v>
      </c>
      <c r="M80">
        <v>11.305</v>
      </c>
    </row>
    <row r="81" spans="1:13" x14ac:dyDescent="0.45">
      <c r="A81" t="s">
        <v>114</v>
      </c>
      <c r="B81">
        <v>2015</v>
      </c>
      <c r="C81">
        <v>111.6</v>
      </c>
      <c r="D81">
        <v>150</v>
      </c>
      <c r="E81">
        <v>3.93</v>
      </c>
      <c r="F81">
        <v>0.03</v>
      </c>
      <c r="G81">
        <v>14.96</v>
      </c>
      <c r="H81">
        <v>15.09</v>
      </c>
      <c r="I81">
        <v>277.68</v>
      </c>
      <c r="J81">
        <v>0</v>
      </c>
      <c r="K81">
        <v>0</v>
      </c>
      <c r="L81">
        <v>0</v>
      </c>
      <c r="M81">
        <v>0</v>
      </c>
    </row>
    <row r="82" spans="1:13" x14ac:dyDescent="0.45">
      <c r="A82" t="s">
        <v>114</v>
      </c>
      <c r="B82">
        <v>2016</v>
      </c>
      <c r="C82">
        <v>113.7</v>
      </c>
      <c r="D82">
        <v>149.02000000000001</v>
      </c>
      <c r="E82">
        <v>3.84</v>
      </c>
      <c r="F82">
        <v>0.04</v>
      </c>
      <c r="G82">
        <v>21.84</v>
      </c>
      <c r="H82">
        <v>14.18</v>
      </c>
      <c r="I82">
        <v>271.3</v>
      </c>
      <c r="J82">
        <v>0</v>
      </c>
      <c r="K82">
        <v>0</v>
      </c>
      <c r="L82">
        <v>0</v>
      </c>
      <c r="M82">
        <v>0</v>
      </c>
    </row>
    <row r="83" spans="1:13" x14ac:dyDescent="0.45">
      <c r="A83" t="s">
        <v>114</v>
      </c>
      <c r="B83">
        <v>2017</v>
      </c>
      <c r="C83">
        <v>118.66</v>
      </c>
      <c r="D83">
        <v>152.59</v>
      </c>
      <c r="E83">
        <v>3.9</v>
      </c>
      <c r="F83">
        <v>0.06</v>
      </c>
      <c r="G83">
        <v>23.76</v>
      </c>
      <c r="H83">
        <v>14.59</v>
      </c>
      <c r="I83">
        <v>272.98</v>
      </c>
      <c r="J83">
        <v>0</v>
      </c>
      <c r="K83">
        <v>0</v>
      </c>
      <c r="L83">
        <v>0</v>
      </c>
      <c r="M83">
        <v>0</v>
      </c>
    </row>
    <row r="84" spans="1:13" x14ac:dyDescent="0.45">
      <c r="A84" t="s">
        <v>114</v>
      </c>
      <c r="B84">
        <v>2018</v>
      </c>
      <c r="C84">
        <v>117.47</v>
      </c>
      <c r="D84">
        <v>154.53</v>
      </c>
      <c r="E84">
        <v>3.91</v>
      </c>
      <c r="F84">
        <v>0.11</v>
      </c>
      <c r="G84">
        <v>24.02</v>
      </c>
      <c r="H84">
        <v>12.92</v>
      </c>
      <c r="I84">
        <v>271.98</v>
      </c>
      <c r="J84">
        <v>0</v>
      </c>
      <c r="K84">
        <v>0</v>
      </c>
      <c r="L84">
        <v>0</v>
      </c>
      <c r="M84">
        <v>0</v>
      </c>
    </row>
    <row r="85" spans="1:13" x14ac:dyDescent="0.45">
      <c r="A85" t="s">
        <v>114</v>
      </c>
      <c r="B85">
        <v>2019</v>
      </c>
      <c r="C85">
        <v>115.82</v>
      </c>
      <c r="D85">
        <v>153.09</v>
      </c>
      <c r="E85">
        <v>3.76</v>
      </c>
      <c r="F85">
        <v>0.16</v>
      </c>
      <c r="G85">
        <v>18.72</v>
      </c>
      <c r="H85">
        <v>11.86</v>
      </c>
      <c r="I85">
        <v>271.02999999999997</v>
      </c>
      <c r="J85">
        <v>0</v>
      </c>
      <c r="K85">
        <v>0</v>
      </c>
      <c r="L85">
        <v>0</v>
      </c>
      <c r="M85">
        <v>0</v>
      </c>
    </row>
    <row r="86" spans="1:13" x14ac:dyDescent="0.45">
      <c r="A86" t="s">
        <v>114</v>
      </c>
      <c r="B86">
        <v>2020</v>
      </c>
      <c r="C86">
        <v>106.27</v>
      </c>
      <c r="D86">
        <v>145.71</v>
      </c>
      <c r="E86">
        <v>3.11</v>
      </c>
      <c r="F86">
        <v>0.2</v>
      </c>
      <c r="G86">
        <v>17.93</v>
      </c>
      <c r="H86">
        <v>14.65</v>
      </c>
      <c r="I86">
        <v>259.88</v>
      </c>
      <c r="J86">
        <v>0</v>
      </c>
      <c r="K86">
        <v>0</v>
      </c>
      <c r="L86">
        <v>0</v>
      </c>
      <c r="M86">
        <v>0</v>
      </c>
    </row>
    <row r="87" spans="1:13" x14ac:dyDescent="0.45">
      <c r="A87" t="s">
        <v>114</v>
      </c>
      <c r="B87">
        <v>2021</v>
      </c>
      <c r="C87">
        <v>114</v>
      </c>
      <c r="D87">
        <v>148.05000000000001</v>
      </c>
      <c r="E87">
        <v>3.29</v>
      </c>
      <c r="F87">
        <v>0.35</v>
      </c>
      <c r="G87">
        <v>17.41</v>
      </c>
      <c r="H87">
        <v>16.559999999999999</v>
      </c>
      <c r="I87">
        <v>271.08999999999997</v>
      </c>
      <c r="J87">
        <v>0</v>
      </c>
      <c r="K87">
        <v>0</v>
      </c>
      <c r="L87">
        <v>0</v>
      </c>
      <c r="M87">
        <v>0</v>
      </c>
    </row>
    <row r="88" spans="1:13" x14ac:dyDescent="0.45">
      <c r="A88" t="s">
        <v>114</v>
      </c>
      <c r="B88">
        <v>2022</v>
      </c>
      <c r="C88">
        <v>102.28</v>
      </c>
      <c r="D88">
        <v>148.93</v>
      </c>
      <c r="E88">
        <v>3.43</v>
      </c>
      <c r="F88">
        <v>0.53</v>
      </c>
      <c r="G88">
        <v>8.0299999999999994</v>
      </c>
      <c r="H88">
        <v>27.83</v>
      </c>
      <c r="I88">
        <v>287.94</v>
      </c>
      <c r="J88">
        <v>0</v>
      </c>
      <c r="K88">
        <v>0</v>
      </c>
      <c r="L88">
        <v>0</v>
      </c>
      <c r="M88">
        <v>0</v>
      </c>
    </row>
    <row r="89" spans="1:13" x14ac:dyDescent="0.45">
      <c r="A89" t="s">
        <v>114</v>
      </c>
      <c r="B89">
        <v>2023</v>
      </c>
      <c r="C89">
        <v>100.97</v>
      </c>
      <c r="D89">
        <v>151.04</v>
      </c>
      <c r="E89">
        <v>3.52</v>
      </c>
      <c r="F89">
        <v>0.77</v>
      </c>
      <c r="G89">
        <v>11.32</v>
      </c>
      <c r="H89">
        <v>25.27</v>
      </c>
      <c r="I89">
        <v>279.77</v>
      </c>
      <c r="J89">
        <v>0</v>
      </c>
      <c r="K89">
        <v>0</v>
      </c>
      <c r="L89">
        <v>0</v>
      </c>
      <c r="M89">
        <v>0</v>
      </c>
    </row>
    <row r="90" spans="1:13" x14ac:dyDescent="0.45">
      <c r="A90" t="s">
        <v>114</v>
      </c>
      <c r="B90">
        <v>2024</v>
      </c>
      <c r="C90">
        <v>104.1</v>
      </c>
      <c r="D90">
        <v>156.66999999999999</v>
      </c>
      <c r="E90">
        <v>3.76</v>
      </c>
      <c r="F90">
        <v>0.91</v>
      </c>
      <c r="G90">
        <v>14.35</v>
      </c>
      <c r="H90">
        <v>24.58</v>
      </c>
      <c r="I90">
        <v>281.51</v>
      </c>
      <c r="J90">
        <v>3.7999999999999999E-2</v>
      </c>
      <c r="K90">
        <v>0.56200000000000006</v>
      </c>
      <c r="L90">
        <v>7.3999999999999996E-2</v>
      </c>
      <c r="M90">
        <v>0.48799999999999999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  <c r="G10" t="s">
        <v>48</v>
      </c>
      <c r="H10" t="s">
        <v>49</v>
      </c>
      <c r="I10" t="s">
        <v>50</v>
      </c>
      <c r="J10" t="s">
        <v>51</v>
      </c>
      <c r="K10" t="s">
        <v>52</v>
      </c>
      <c r="L10" t="s">
        <v>53</v>
      </c>
      <c r="M10" t="s">
        <v>13</v>
      </c>
    </row>
    <row r="11" spans="1:13" x14ac:dyDescent="0.45">
      <c r="A11" t="s">
        <v>0</v>
      </c>
      <c r="B11" t="s">
        <v>92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92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92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92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92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92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92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92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92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92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92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92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92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92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92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92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92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92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92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92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92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92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92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92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92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92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92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92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92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92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92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92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92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92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92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92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92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92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92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92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92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92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92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92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92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92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92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92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92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92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92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92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92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92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92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92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92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92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92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92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92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92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92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92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92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92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92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92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92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92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92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92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93</v>
      </c>
    </row>
    <row r="83" spans="1:13" x14ac:dyDescent="0.45">
      <c r="A83" t="s">
        <v>0</v>
      </c>
      <c r="B83" t="s">
        <v>92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93</v>
      </c>
    </row>
    <row r="84" spans="1:13" x14ac:dyDescent="0.45">
      <c r="A84" t="s">
        <v>0</v>
      </c>
      <c r="B84" t="s">
        <v>92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93</v>
      </c>
    </row>
    <row r="85" spans="1:13" x14ac:dyDescent="0.45">
      <c r="A85" t="s">
        <v>0</v>
      </c>
      <c r="B85" t="s">
        <v>92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92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93</v>
      </c>
    </row>
    <row r="87" spans="1:13" x14ac:dyDescent="0.45">
      <c r="A87" t="s">
        <v>0</v>
      </c>
      <c r="B87" t="s">
        <v>92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93</v>
      </c>
    </row>
    <row r="88" spans="1:13" x14ac:dyDescent="0.45">
      <c r="A88" t="s">
        <v>2</v>
      </c>
      <c r="B88" t="s">
        <v>92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92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93</v>
      </c>
    </row>
    <row r="90" spans="1:13" x14ac:dyDescent="0.45">
      <c r="A90" t="s">
        <v>2</v>
      </c>
      <c r="B90" t="s">
        <v>92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93</v>
      </c>
    </row>
    <row r="91" spans="1:13" x14ac:dyDescent="0.45">
      <c r="A91" t="s">
        <v>2</v>
      </c>
      <c r="B91" t="s">
        <v>92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93</v>
      </c>
    </row>
    <row r="92" spans="1:13" x14ac:dyDescent="0.45">
      <c r="A92" t="s">
        <v>2</v>
      </c>
      <c r="B92" t="s">
        <v>92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93</v>
      </c>
    </row>
    <row r="93" spans="1:13" x14ac:dyDescent="0.45">
      <c r="A93" t="s">
        <v>2</v>
      </c>
      <c r="B93" t="s">
        <v>92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93</v>
      </c>
    </row>
    <row r="94" spans="1:13" x14ac:dyDescent="0.45">
      <c r="A94" t="s">
        <v>2</v>
      </c>
      <c r="B94" t="s">
        <v>92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93</v>
      </c>
    </row>
    <row r="95" spans="1:13" x14ac:dyDescent="0.45">
      <c r="A95" t="s">
        <v>5</v>
      </c>
      <c r="B95" t="s">
        <v>92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92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93</v>
      </c>
    </row>
    <row r="97" spans="1:13" x14ac:dyDescent="0.45">
      <c r="A97" t="s">
        <v>5</v>
      </c>
      <c r="B97" t="s">
        <v>92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93</v>
      </c>
    </row>
    <row r="98" spans="1:13" x14ac:dyDescent="0.45">
      <c r="A98" t="s">
        <v>5</v>
      </c>
      <c r="B98" t="s">
        <v>92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93</v>
      </c>
    </row>
    <row r="99" spans="1:13" x14ac:dyDescent="0.45">
      <c r="A99" t="s">
        <v>5</v>
      </c>
      <c r="B99" t="s">
        <v>92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93</v>
      </c>
    </row>
    <row r="100" spans="1:13" x14ac:dyDescent="0.45">
      <c r="A100" t="s">
        <v>5</v>
      </c>
      <c r="B100" t="s">
        <v>92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93</v>
      </c>
    </row>
    <row r="101" spans="1:13" x14ac:dyDescent="0.45">
      <c r="A101" t="s">
        <v>5</v>
      </c>
      <c r="B101" t="s">
        <v>92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93</v>
      </c>
    </row>
    <row r="102" spans="1:13" x14ac:dyDescent="0.45">
      <c r="A102" t="s">
        <v>7</v>
      </c>
      <c r="B102" t="s">
        <v>92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92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93</v>
      </c>
    </row>
    <row r="104" spans="1:13" x14ac:dyDescent="0.45">
      <c r="A104" t="s">
        <v>7</v>
      </c>
      <c r="B104" t="s">
        <v>92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93</v>
      </c>
    </row>
    <row r="105" spans="1:13" x14ac:dyDescent="0.45">
      <c r="A105" t="s">
        <v>7</v>
      </c>
      <c r="B105" t="s">
        <v>92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93</v>
      </c>
    </row>
    <row r="106" spans="1:13" x14ac:dyDescent="0.45">
      <c r="A106" t="s">
        <v>7</v>
      </c>
      <c r="B106" t="s">
        <v>92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93</v>
      </c>
    </row>
    <row r="107" spans="1:13" x14ac:dyDescent="0.45">
      <c r="A107" t="s">
        <v>7</v>
      </c>
      <c r="B107" t="s">
        <v>92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93</v>
      </c>
    </row>
    <row r="108" spans="1:13" x14ac:dyDescent="0.45">
      <c r="A108" t="s">
        <v>7</v>
      </c>
      <c r="B108" t="s">
        <v>92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93</v>
      </c>
    </row>
    <row r="109" spans="1:13" x14ac:dyDescent="0.45">
      <c r="A109" t="s">
        <v>9</v>
      </c>
      <c r="B109" t="s">
        <v>92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92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93</v>
      </c>
    </row>
    <row r="111" spans="1:13" x14ac:dyDescent="0.45">
      <c r="A111" t="s">
        <v>9</v>
      </c>
      <c r="B111" t="s">
        <v>92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93</v>
      </c>
    </row>
    <row r="112" spans="1:13" x14ac:dyDescent="0.45">
      <c r="A112" t="s">
        <v>9</v>
      </c>
      <c r="B112" t="s">
        <v>92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93</v>
      </c>
    </row>
    <row r="113" spans="1:13" x14ac:dyDescent="0.45">
      <c r="A113" t="s">
        <v>9</v>
      </c>
      <c r="B113" t="s">
        <v>92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93</v>
      </c>
    </row>
    <row r="114" spans="1:13" x14ac:dyDescent="0.45">
      <c r="A114" t="s">
        <v>9</v>
      </c>
      <c r="B114" t="s">
        <v>92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93</v>
      </c>
    </row>
    <row r="115" spans="1:13" x14ac:dyDescent="0.45">
      <c r="A115" t="s">
        <v>9</v>
      </c>
      <c r="B115" t="s">
        <v>92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93</v>
      </c>
    </row>
    <row r="116" spans="1:13" x14ac:dyDescent="0.45">
      <c r="A116" t="s">
        <v>0</v>
      </c>
      <c r="B116" t="s">
        <v>92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92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92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92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92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92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92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92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92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92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92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92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92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92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92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92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92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92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92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92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92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92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92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92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92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92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92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92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92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92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92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92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92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92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92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92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92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92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92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92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92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92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92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92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92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92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92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92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92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92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92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92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92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92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92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92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92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92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92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92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92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92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92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92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92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92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92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92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92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92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92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92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92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92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92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92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92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92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92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92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92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92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92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92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92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92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92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92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92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92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92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92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92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92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92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92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92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92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92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92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92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92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92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92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92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92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92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92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92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92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92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92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92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92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92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92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92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92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92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92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92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92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92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92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92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92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92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92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92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92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92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92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92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92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92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92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92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92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92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92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92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67</v>
      </c>
    </row>
    <row r="257" spans="1:13" x14ac:dyDescent="0.45">
      <c r="A257" t="s">
        <v>0</v>
      </c>
      <c r="B257" t="s">
        <v>92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67</v>
      </c>
    </row>
    <row r="258" spans="1:13" x14ac:dyDescent="0.45">
      <c r="A258" t="s">
        <v>0</v>
      </c>
      <c r="B258" t="s">
        <v>92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67</v>
      </c>
    </row>
    <row r="259" spans="1:13" x14ac:dyDescent="0.45">
      <c r="A259" t="s">
        <v>0</v>
      </c>
      <c r="B259" t="s">
        <v>92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67</v>
      </c>
    </row>
    <row r="260" spans="1:13" x14ac:dyDescent="0.45">
      <c r="A260" t="s">
        <v>0</v>
      </c>
      <c r="B260" t="s">
        <v>92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67</v>
      </c>
    </row>
    <row r="261" spans="1:13" x14ac:dyDescent="0.45">
      <c r="A261" t="s">
        <v>0</v>
      </c>
      <c r="B261" t="s">
        <v>92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67</v>
      </c>
    </row>
    <row r="262" spans="1:13" x14ac:dyDescent="0.45">
      <c r="A262" t="s">
        <v>0</v>
      </c>
      <c r="B262" t="s">
        <v>92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67</v>
      </c>
    </row>
    <row r="263" spans="1:13" x14ac:dyDescent="0.45">
      <c r="A263" t="s">
        <v>2</v>
      </c>
      <c r="B263" t="s">
        <v>92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67</v>
      </c>
    </row>
    <row r="264" spans="1:13" x14ac:dyDescent="0.45">
      <c r="A264" t="s">
        <v>2</v>
      </c>
      <c r="B264" t="s">
        <v>92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67</v>
      </c>
    </row>
    <row r="265" spans="1:13" x14ac:dyDescent="0.45">
      <c r="A265" t="s">
        <v>2</v>
      </c>
      <c r="B265" t="s">
        <v>92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67</v>
      </c>
    </row>
    <row r="266" spans="1:13" x14ac:dyDescent="0.45">
      <c r="A266" t="s">
        <v>2</v>
      </c>
      <c r="B266" t="s">
        <v>92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67</v>
      </c>
    </row>
    <row r="267" spans="1:13" x14ac:dyDescent="0.45">
      <c r="A267" t="s">
        <v>2</v>
      </c>
      <c r="B267" t="s">
        <v>92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67</v>
      </c>
    </row>
    <row r="268" spans="1:13" x14ac:dyDescent="0.45">
      <c r="A268" t="s">
        <v>2</v>
      </c>
      <c r="B268" t="s">
        <v>92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67</v>
      </c>
    </row>
    <row r="269" spans="1:13" x14ac:dyDescent="0.45">
      <c r="A269" t="s">
        <v>2</v>
      </c>
      <c r="B269" t="s">
        <v>92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67</v>
      </c>
    </row>
    <row r="270" spans="1:13" x14ac:dyDescent="0.45">
      <c r="A270" t="s">
        <v>5</v>
      </c>
      <c r="B270" t="s">
        <v>92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67</v>
      </c>
    </row>
    <row r="271" spans="1:13" x14ac:dyDescent="0.45">
      <c r="A271" t="s">
        <v>5</v>
      </c>
      <c r="B271" t="s">
        <v>92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67</v>
      </c>
    </row>
    <row r="272" spans="1:13" x14ac:dyDescent="0.45">
      <c r="A272" t="s">
        <v>5</v>
      </c>
      <c r="B272" t="s">
        <v>92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67</v>
      </c>
    </row>
    <row r="273" spans="1:13" x14ac:dyDescent="0.45">
      <c r="A273" t="s">
        <v>5</v>
      </c>
      <c r="B273" t="s">
        <v>92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67</v>
      </c>
    </row>
    <row r="274" spans="1:13" x14ac:dyDescent="0.45">
      <c r="A274" t="s">
        <v>5</v>
      </c>
      <c r="B274" t="s">
        <v>92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67</v>
      </c>
    </row>
    <row r="275" spans="1:13" x14ac:dyDescent="0.45">
      <c r="A275" t="s">
        <v>5</v>
      </c>
      <c r="B275" t="s">
        <v>92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67</v>
      </c>
    </row>
    <row r="276" spans="1:13" x14ac:dyDescent="0.45">
      <c r="A276" t="s">
        <v>5</v>
      </c>
      <c r="B276" t="s">
        <v>92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67</v>
      </c>
    </row>
    <row r="277" spans="1:13" x14ac:dyDescent="0.45">
      <c r="A277" t="s">
        <v>7</v>
      </c>
      <c r="B277" t="s">
        <v>92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67</v>
      </c>
    </row>
    <row r="278" spans="1:13" x14ac:dyDescent="0.45">
      <c r="A278" t="s">
        <v>7</v>
      </c>
      <c r="B278" t="s">
        <v>92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67</v>
      </c>
    </row>
    <row r="279" spans="1:13" x14ac:dyDescent="0.45">
      <c r="A279" t="s">
        <v>7</v>
      </c>
      <c r="B279" t="s">
        <v>92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67</v>
      </c>
    </row>
    <row r="280" spans="1:13" x14ac:dyDescent="0.45">
      <c r="A280" t="s">
        <v>7</v>
      </c>
      <c r="B280" t="s">
        <v>92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67</v>
      </c>
    </row>
    <row r="281" spans="1:13" x14ac:dyDescent="0.45">
      <c r="A281" t="s">
        <v>7</v>
      </c>
      <c r="B281" t="s">
        <v>92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67</v>
      </c>
    </row>
    <row r="282" spans="1:13" x14ac:dyDescent="0.45">
      <c r="A282" t="s">
        <v>7</v>
      </c>
      <c r="B282" t="s">
        <v>92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67</v>
      </c>
    </row>
    <row r="283" spans="1:13" x14ac:dyDescent="0.45">
      <c r="A283" t="s">
        <v>7</v>
      </c>
      <c r="B283" t="s">
        <v>92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67</v>
      </c>
    </row>
    <row r="284" spans="1:13" x14ac:dyDescent="0.45">
      <c r="A284" t="s">
        <v>9</v>
      </c>
      <c r="B284" t="s">
        <v>92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67</v>
      </c>
    </row>
    <row r="285" spans="1:13" x14ac:dyDescent="0.45">
      <c r="A285" t="s">
        <v>9</v>
      </c>
      <c r="B285" t="s">
        <v>92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67</v>
      </c>
    </row>
    <row r="286" spans="1:13" x14ac:dyDescent="0.45">
      <c r="A286" t="s">
        <v>9</v>
      </c>
      <c r="B286" t="s">
        <v>92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67</v>
      </c>
    </row>
    <row r="287" spans="1:13" x14ac:dyDescent="0.45">
      <c r="A287" t="s">
        <v>9</v>
      </c>
      <c r="B287" t="s">
        <v>92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67</v>
      </c>
    </row>
    <row r="288" spans="1:13" x14ac:dyDescent="0.45">
      <c r="A288" t="s">
        <v>9</v>
      </c>
      <c r="B288" t="s">
        <v>92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67</v>
      </c>
    </row>
    <row r="289" spans="1:13" x14ac:dyDescent="0.45">
      <c r="A289" t="s">
        <v>9</v>
      </c>
      <c r="B289" t="s">
        <v>92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67</v>
      </c>
    </row>
    <row r="290" spans="1:13" x14ac:dyDescent="0.45">
      <c r="A290" t="s">
        <v>9</v>
      </c>
      <c r="B290" t="s">
        <v>92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67</v>
      </c>
    </row>
    <row r="291" spans="1:13" x14ac:dyDescent="0.45">
      <c r="A291" t="s">
        <v>0</v>
      </c>
      <c r="B291" t="s">
        <v>92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68</v>
      </c>
    </row>
    <row r="292" spans="1:13" x14ac:dyDescent="0.45">
      <c r="A292" t="s">
        <v>0</v>
      </c>
      <c r="B292" t="s">
        <v>92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68</v>
      </c>
    </row>
    <row r="293" spans="1:13" x14ac:dyDescent="0.45">
      <c r="A293" t="s">
        <v>0</v>
      </c>
      <c r="B293" t="s">
        <v>92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68</v>
      </c>
    </row>
    <row r="294" spans="1:13" x14ac:dyDescent="0.45">
      <c r="A294" t="s">
        <v>0</v>
      </c>
      <c r="B294" t="s">
        <v>92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68</v>
      </c>
    </row>
    <row r="295" spans="1:13" x14ac:dyDescent="0.45">
      <c r="A295" t="s">
        <v>0</v>
      </c>
      <c r="B295" t="s">
        <v>92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68</v>
      </c>
    </row>
    <row r="296" spans="1:13" x14ac:dyDescent="0.45">
      <c r="A296" t="s">
        <v>0</v>
      </c>
      <c r="B296" t="s">
        <v>92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68</v>
      </c>
    </row>
    <row r="297" spans="1:13" x14ac:dyDescent="0.45">
      <c r="A297" t="s">
        <v>0</v>
      </c>
      <c r="B297" t="s">
        <v>92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68</v>
      </c>
    </row>
    <row r="298" spans="1:13" x14ac:dyDescent="0.45">
      <c r="A298" t="s">
        <v>2</v>
      </c>
      <c r="B298" t="s">
        <v>92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68</v>
      </c>
    </row>
    <row r="299" spans="1:13" x14ac:dyDescent="0.45">
      <c r="A299" t="s">
        <v>2</v>
      </c>
      <c r="B299" t="s">
        <v>92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68</v>
      </c>
    </row>
    <row r="300" spans="1:13" x14ac:dyDescent="0.45">
      <c r="A300" t="s">
        <v>2</v>
      </c>
      <c r="B300" t="s">
        <v>92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68</v>
      </c>
    </row>
    <row r="301" spans="1:13" x14ac:dyDescent="0.45">
      <c r="A301" t="s">
        <v>2</v>
      </c>
      <c r="B301" t="s">
        <v>92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68</v>
      </c>
    </row>
    <row r="302" spans="1:13" x14ac:dyDescent="0.45">
      <c r="A302" t="s">
        <v>2</v>
      </c>
      <c r="B302" t="s">
        <v>92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68</v>
      </c>
    </row>
    <row r="303" spans="1:13" x14ac:dyDescent="0.45">
      <c r="A303" t="s">
        <v>2</v>
      </c>
      <c r="B303" t="s">
        <v>92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68</v>
      </c>
    </row>
    <row r="304" spans="1:13" x14ac:dyDescent="0.45">
      <c r="A304" t="s">
        <v>2</v>
      </c>
      <c r="B304" t="s">
        <v>92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68</v>
      </c>
    </row>
    <row r="305" spans="1:13" x14ac:dyDescent="0.45">
      <c r="A305" t="s">
        <v>5</v>
      </c>
      <c r="B305" t="s">
        <v>92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68</v>
      </c>
    </row>
    <row r="306" spans="1:13" x14ac:dyDescent="0.45">
      <c r="A306" t="s">
        <v>5</v>
      </c>
      <c r="B306" t="s">
        <v>92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68</v>
      </c>
    </row>
    <row r="307" spans="1:13" x14ac:dyDescent="0.45">
      <c r="A307" t="s">
        <v>5</v>
      </c>
      <c r="B307" t="s">
        <v>92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68</v>
      </c>
    </row>
    <row r="308" spans="1:13" x14ac:dyDescent="0.45">
      <c r="A308" t="s">
        <v>5</v>
      </c>
      <c r="B308" t="s">
        <v>92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68</v>
      </c>
    </row>
    <row r="309" spans="1:13" x14ac:dyDescent="0.45">
      <c r="A309" t="s">
        <v>5</v>
      </c>
      <c r="B309" t="s">
        <v>92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68</v>
      </c>
    </row>
    <row r="310" spans="1:13" x14ac:dyDescent="0.45">
      <c r="A310" t="s">
        <v>5</v>
      </c>
      <c r="B310" t="s">
        <v>92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68</v>
      </c>
    </row>
    <row r="311" spans="1:13" x14ac:dyDescent="0.45">
      <c r="A311" t="s">
        <v>5</v>
      </c>
      <c r="B311" t="s">
        <v>92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68</v>
      </c>
    </row>
    <row r="312" spans="1:13" x14ac:dyDescent="0.45">
      <c r="A312" t="s">
        <v>7</v>
      </c>
      <c r="B312" t="s">
        <v>92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68</v>
      </c>
    </row>
    <row r="313" spans="1:13" x14ac:dyDescent="0.45">
      <c r="A313" t="s">
        <v>7</v>
      </c>
      <c r="B313" t="s">
        <v>92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68</v>
      </c>
    </row>
    <row r="314" spans="1:13" x14ac:dyDescent="0.45">
      <c r="A314" t="s">
        <v>7</v>
      </c>
      <c r="B314" t="s">
        <v>92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68</v>
      </c>
    </row>
    <row r="315" spans="1:13" x14ac:dyDescent="0.45">
      <c r="A315" t="s">
        <v>7</v>
      </c>
      <c r="B315" t="s">
        <v>92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68</v>
      </c>
    </row>
    <row r="316" spans="1:13" x14ac:dyDescent="0.45">
      <c r="A316" t="s">
        <v>7</v>
      </c>
      <c r="B316" t="s">
        <v>92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68</v>
      </c>
    </row>
    <row r="317" spans="1:13" x14ac:dyDescent="0.45">
      <c r="A317" t="s">
        <v>7</v>
      </c>
      <c r="B317" t="s">
        <v>92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68</v>
      </c>
    </row>
    <row r="318" spans="1:13" x14ac:dyDescent="0.45">
      <c r="A318" t="s">
        <v>7</v>
      </c>
      <c r="B318" t="s">
        <v>92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68</v>
      </c>
    </row>
    <row r="319" spans="1:13" x14ac:dyDescent="0.45">
      <c r="A319" t="s">
        <v>9</v>
      </c>
      <c r="B319" t="s">
        <v>92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68</v>
      </c>
    </row>
    <row r="320" spans="1:13" x14ac:dyDescent="0.45">
      <c r="A320" t="s">
        <v>9</v>
      </c>
      <c r="B320" t="s">
        <v>92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68</v>
      </c>
    </row>
    <row r="321" spans="1:13" x14ac:dyDescent="0.45">
      <c r="A321" t="s">
        <v>9</v>
      </c>
      <c r="B321" t="s">
        <v>92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68</v>
      </c>
    </row>
    <row r="322" spans="1:13" x14ac:dyDescent="0.45">
      <c r="A322" t="s">
        <v>9</v>
      </c>
      <c r="B322" t="s">
        <v>92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68</v>
      </c>
    </row>
    <row r="323" spans="1:13" x14ac:dyDescent="0.45">
      <c r="A323" t="s">
        <v>9</v>
      </c>
      <c r="B323" t="s">
        <v>92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68</v>
      </c>
    </row>
    <row r="324" spans="1:13" x14ac:dyDescent="0.45">
      <c r="A324" t="s">
        <v>9</v>
      </c>
      <c r="B324" t="s">
        <v>92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68</v>
      </c>
    </row>
    <row r="325" spans="1:13" x14ac:dyDescent="0.45">
      <c r="A325" t="s">
        <v>9</v>
      </c>
      <c r="B325" t="s">
        <v>92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68</v>
      </c>
    </row>
    <row r="326" spans="1:13" x14ac:dyDescent="0.45">
      <c r="A326" t="s">
        <v>0</v>
      </c>
      <c r="B326" t="s">
        <v>92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69</v>
      </c>
    </row>
    <row r="327" spans="1:13" x14ac:dyDescent="0.45">
      <c r="A327" t="s">
        <v>0</v>
      </c>
      <c r="B327" t="s">
        <v>92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69</v>
      </c>
    </row>
    <row r="328" spans="1:13" x14ac:dyDescent="0.45">
      <c r="A328" t="s">
        <v>0</v>
      </c>
      <c r="B328" t="s">
        <v>92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69</v>
      </c>
    </row>
    <row r="329" spans="1:13" x14ac:dyDescent="0.45">
      <c r="A329" t="s">
        <v>0</v>
      </c>
      <c r="B329" t="s">
        <v>92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69</v>
      </c>
    </row>
    <row r="330" spans="1:13" x14ac:dyDescent="0.45">
      <c r="A330" t="s">
        <v>0</v>
      </c>
      <c r="B330" t="s">
        <v>92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69</v>
      </c>
    </row>
    <row r="331" spans="1:13" x14ac:dyDescent="0.45">
      <c r="A331" t="s">
        <v>0</v>
      </c>
      <c r="B331" t="s">
        <v>92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69</v>
      </c>
    </row>
    <row r="332" spans="1:13" x14ac:dyDescent="0.45">
      <c r="A332" t="s">
        <v>0</v>
      </c>
      <c r="B332" t="s">
        <v>92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69</v>
      </c>
    </row>
    <row r="333" spans="1:13" x14ac:dyDescent="0.45">
      <c r="A333" t="s">
        <v>2</v>
      </c>
      <c r="B333" t="s">
        <v>92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69</v>
      </c>
    </row>
    <row r="334" spans="1:13" x14ac:dyDescent="0.45">
      <c r="A334" t="s">
        <v>2</v>
      </c>
      <c r="B334" t="s">
        <v>92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69</v>
      </c>
    </row>
    <row r="335" spans="1:13" x14ac:dyDescent="0.45">
      <c r="A335" t="s">
        <v>2</v>
      </c>
      <c r="B335" t="s">
        <v>92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69</v>
      </c>
    </row>
    <row r="336" spans="1:13" x14ac:dyDescent="0.45">
      <c r="A336" t="s">
        <v>2</v>
      </c>
      <c r="B336" t="s">
        <v>92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69</v>
      </c>
    </row>
    <row r="337" spans="1:13" x14ac:dyDescent="0.45">
      <c r="A337" t="s">
        <v>2</v>
      </c>
      <c r="B337" t="s">
        <v>92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69</v>
      </c>
    </row>
    <row r="338" spans="1:13" x14ac:dyDescent="0.45">
      <c r="A338" t="s">
        <v>2</v>
      </c>
      <c r="B338" t="s">
        <v>92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69</v>
      </c>
    </row>
    <row r="339" spans="1:13" x14ac:dyDescent="0.45">
      <c r="A339" t="s">
        <v>2</v>
      </c>
      <c r="B339" t="s">
        <v>92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69</v>
      </c>
    </row>
    <row r="340" spans="1:13" x14ac:dyDescent="0.45">
      <c r="A340" t="s">
        <v>5</v>
      </c>
      <c r="B340" t="s">
        <v>92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69</v>
      </c>
    </row>
    <row r="341" spans="1:13" x14ac:dyDescent="0.45">
      <c r="A341" t="s">
        <v>5</v>
      </c>
      <c r="B341" t="s">
        <v>92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69</v>
      </c>
    </row>
    <row r="342" spans="1:13" x14ac:dyDescent="0.45">
      <c r="A342" t="s">
        <v>5</v>
      </c>
      <c r="B342" t="s">
        <v>92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69</v>
      </c>
    </row>
    <row r="343" spans="1:13" x14ac:dyDescent="0.45">
      <c r="A343" t="s">
        <v>5</v>
      </c>
      <c r="B343" t="s">
        <v>92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69</v>
      </c>
    </row>
    <row r="344" spans="1:13" x14ac:dyDescent="0.45">
      <c r="A344" t="s">
        <v>5</v>
      </c>
      <c r="B344" t="s">
        <v>92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69</v>
      </c>
    </row>
    <row r="345" spans="1:13" x14ac:dyDescent="0.45">
      <c r="A345" t="s">
        <v>5</v>
      </c>
      <c r="B345" t="s">
        <v>92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69</v>
      </c>
    </row>
    <row r="346" spans="1:13" x14ac:dyDescent="0.45">
      <c r="A346" t="s">
        <v>5</v>
      </c>
      <c r="B346" t="s">
        <v>92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69</v>
      </c>
    </row>
    <row r="347" spans="1:13" x14ac:dyDescent="0.45">
      <c r="A347" t="s">
        <v>7</v>
      </c>
      <c r="B347" t="s">
        <v>92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69</v>
      </c>
    </row>
    <row r="348" spans="1:13" x14ac:dyDescent="0.45">
      <c r="A348" t="s">
        <v>7</v>
      </c>
      <c r="B348" t="s">
        <v>92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69</v>
      </c>
    </row>
    <row r="349" spans="1:13" x14ac:dyDescent="0.45">
      <c r="A349" t="s">
        <v>7</v>
      </c>
      <c r="B349" t="s">
        <v>92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69</v>
      </c>
    </row>
    <row r="350" spans="1:13" x14ac:dyDescent="0.45">
      <c r="A350" t="s">
        <v>7</v>
      </c>
      <c r="B350" t="s">
        <v>92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69</v>
      </c>
    </row>
    <row r="351" spans="1:13" x14ac:dyDescent="0.45">
      <c r="A351" t="s">
        <v>7</v>
      </c>
      <c r="B351" t="s">
        <v>92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69</v>
      </c>
    </row>
    <row r="352" spans="1:13" x14ac:dyDescent="0.45">
      <c r="A352" t="s">
        <v>7</v>
      </c>
      <c r="B352" t="s">
        <v>92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69</v>
      </c>
    </row>
    <row r="353" spans="1:13" x14ac:dyDescent="0.45">
      <c r="A353" t="s">
        <v>7</v>
      </c>
      <c r="B353" t="s">
        <v>92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69</v>
      </c>
    </row>
    <row r="354" spans="1:13" x14ac:dyDescent="0.45">
      <c r="A354" t="s">
        <v>9</v>
      </c>
      <c r="B354" t="s">
        <v>92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69</v>
      </c>
    </row>
    <row r="355" spans="1:13" x14ac:dyDescent="0.45">
      <c r="A355" t="s">
        <v>9</v>
      </c>
      <c r="B355" t="s">
        <v>92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69</v>
      </c>
    </row>
    <row r="356" spans="1:13" x14ac:dyDescent="0.45">
      <c r="A356" t="s">
        <v>9</v>
      </c>
      <c r="B356" t="s">
        <v>92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69</v>
      </c>
    </row>
    <row r="357" spans="1:13" x14ac:dyDescent="0.45">
      <c r="A357" t="s">
        <v>9</v>
      </c>
      <c r="B357" t="s">
        <v>92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69</v>
      </c>
    </row>
    <row r="358" spans="1:13" x14ac:dyDescent="0.45">
      <c r="A358" t="s">
        <v>9</v>
      </c>
      <c r="B358" t="s">
        <v>92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69</v>
      </c>
    </row>
    <row r="359" spans="1:13" x14ac:dyDescent="0.45">
      <c r="A359" t="s">
        <v>9</v>
      </c>
      <c r="B359" t="s">
        <v>92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69</v>
      </c>
    </row>
    <row r="360" spans="1:13" x14ac:dyDescent="0.45">
      <c r="A360" t="s">
        <v>9</v>
      </c>
      <c r="B360" t="s">
        <v>92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69</v>
      </c>
    </row>
    <row r="361" spans="1:13" x14ac:dyDescent="0.45">
      <c r="A361" t="s">
        <v>0</v>
      </c>
      <c r="B361" t="s">
        <v>92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70</v>
      </c>
    </row>
    <row r="362" spans="1:13" x14ac:dyDescent="0.45">
      <c r="A362" t="s">
        <v>0</v>
      </c>
      <c r="B362" t="s">
        <v>92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70</v>
      </c>
    </row>
    <row r="363" spans="1:13" x14ac:dyDescent="0.45">
      <c r="A363" t="s">
        <v>0</v>
      </c>
      <c r="B363" t="s">
        <v>92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70</v>
      </c>
    </row>
    <row r="364" spans="1:13" x14ac:dyDescent="0.45">
      <c r="A364" t="s">
        <v>0</v>
      </c>
      <c r="B364" t="s">
        <v>92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70</v>
      </c>
    </row>
    <row r="365" spans="1:13" x14ac:dyDescent="0.45">
      <c r="A365" t="s">
        <v>0</v>
      </c>
      <c r="B365" t="s">
        <v>92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70</v>
      </c>
    </row>
    <row r="366" spans="1:13" x14ac:dyDescent="0.45">
      <c r="A366" t="s">
        <v>0</v>
      </c>
      <c r="B366" t="s">
        <v>92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70</v>
      </c>
    </row>
    <row r="367" spans="1:13" x14ac:dyDescent="0.45">
      <c r="A367" t="s">
        <v>0</v>
      </c>
      <c r="B367" t="s">
        <v>92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70</v>
      </c>
    </row>
    <row r="368" spans="1:13" x14ac:dyDescent="0.45">
      <c r="A368" t="s">
        <v>2</v>
      </c>
      <c r="B368" t="s">
        <v>92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70</v>
      </c>
    </row>
    <row r="369" spans="1:13" x14ac:dyDescent="0.45">
      <c r="A369" t="s">
        <v>2</v>
      </c>
      <c r="B369" t="s">
        <v>92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70</v>
      </c>
    </row>
    <row r="370" spans="1:13" x14ac:dyDescent="0.45">
      <c r="A370" t="s">
        <v>2</v>
      </c>
      <c r="B370" t="s">
        <v>92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70</v>
      </c>
    </row>
    <row r="371" spans="1:13" x14ac:dyDescent="0.45">
      <c r="A371" t="s">
        <v>2</v>
      </c>
      <c r="B371" t="s">
        <v>92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70</v>
      </c>
    </row>
    <row r="372" spans="1:13" x14ac:dyDescent="0.45">
      <c r="A372" t="s">
        <v>2</v>
      </c>
      <c r="B372" t="s">
        <v>92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70</v>
      </c>
    </row>
    <row r="373" spans="1:13" x14ac:dyDescent="0.45">
      <c r="A373" t="s">
        <v>2</v>
      </c>
      <c r="B373" t="s">
        <v>92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70</v>
      </c>
    </row>
    <row r="374" spans="1:13" x14ac:dyDescent="0.45">
      <c r="A374" t="s">
        <v>2</v>
      </c>
      <c r="B374" t="s">
        <v>92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70</v>
      </c>
    </row>
    <row r="375" spans="1:13" x14ac:dyDescent="0.45">
      <c r="A375" t="s">
        <v>5</v>
      </c>
      <c r="B375" t="s">
        <v>92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70</v>
      </c>
    </row>
    <row r="376" spans="1:13" x14ac:dyDescent="0.45">
      <c r="A376" t="s">
        <v>5</v>
      </c>
      <c r="B376" t="s">
        <v>92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70</v>
      </c>
    </row>
    <row r="377" spans="1:13" x14ac:dyDescent="0.45">
      <c r="A377" t="s">
        <v>5</v>
      </c>
      <c r="B377" t="s">
        <v>92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70</v>
      </c>
    </row>
    <row r="378" spans="1:13" x14ac:dyDescent="0.45">
      <c r="A378" t="s">
        <v>5</v>
      </c>
      <c r="B378" t="s">
        <v>92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70</v>
      </c>
    </row>
    <row r="379" spans="1:13" x14ac:dyDescent="0.45">
      <c r="A379" t="s">
        <v>5</v>
      </c>
      <c r="B379" t="s">
        <v>92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70</v>
      </c>
    </row>
    <row r="380" spans="1:13" x14ac:dyDescent="0.45">
      <c r="A380" t="s">
        <v>5</v>
      </c>
      <c r="B380" t="s">
        <v>92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70</v>
      </c>
    </row>
    <row r="381" spans="1:13" x14ac:dyDescent="0.45">
      <c r="A381" t="s">
        <v>5</v>
      </c>
      <c r="B381" t="s">
        <v>92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70</v>
      </c>
    </row>
    <row r="382" spans="1:13" x14ac:dyDescent="0.45">
      <c r="A382" t="s">
        <v>7</v>
      </c>
      <c r="B382" t="s">
        <v>92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70</v>
      </c>
    </row>
    <row r="383" spans="1:13" x14ac:dyDescent="0.45">
      <c r="A383" t="s">
        <v>7</v>
      </c>
      <c r="B383" t="s">
        <v>92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70</v>
      </c>
    </row>
    <row r="384" spans="1:13" x14ac:dyDescent="0.45">
      <c r="A384" t="s">
        <v>7</v>
      </c>
      <c r="B384" t="s">
        <v>92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70</v>
      </c>
    </row>
    <row r="385" spans="1:13" x14ac:dyDescent="0.45">
      <c r="A385" t="s">
        <v>7</v>
      </c>
      <c r="B385" t="s">
        <v>92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70</v>
      </c>
    </row>
    <row r="386" spans="1:13" x14ac:dyDescent="0.45">
      <c r="A386" t="s">
        <v>7</v>
      </c>
      <c r="B386" t="s">
        <v>92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70</v>
      </c>
    </row>
    <row r="387" spans="1:13" x14ac:dyDescent="0.45">
      <c r="A387" t="s">
        <v>7</v>
      </c>
      <c r="B387" t="s">
        <v>92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70</v>
      </c>
    </row>
    <row r="388" spans="1:13" x14ac:dyDescent="0.45">
      <c r="A388" t="s">
        <v>7</v>
      </c>
      <c r="B388" t="s">
        <v>92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70</v>
      </c>
    </row>
    <row r="389" spans="1:13" x14ac:dyDescent="0.45">
      <c r="A389" t="s">
        <v>9</v>
      </c>
      <c r="B389" t="s">
        <v>92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70</v>
      </c>
    </row>
    <row r="390" spans="1:13" x14ac:dyDescent="0.45">
      <c r="A390" t="s">
        <v>9</v>
      </c>
      <c r="B390" t="s">
        <v>92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70</v>
      </c>
    </row>
    <row r="391" spans="1:13" x14ac:dyDescent="0.45">
      <c r="A391" t="s">
        <v>9</v>
      </c>
      <c r="B391" t="s">
        <v>92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70</v>
      </c>
    </row>
    <row r="392" spans="1:13" x14ac:dyDescent="0.45">
      <c r="A392" t="s">
        <v>9</v>
      </c>
      <c r="B392" t="s">
        <v>92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70</v>
      </c>
    </row>
    <row r="393" spans="1:13" x14ac:dyDescent="0.45">
      <c r="A393" t="s">
        <v>9</v>
      </c>
      <c r="B393" t="s">
        <v>92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70</v>
      </c>
    </row>
    <row r="394" spans="1:13" x14ac:dyDescent="0.45">
      <c r="A394" t="s">
        <v>9</v>
      </c>
      <c r="B394" t="s">
        <v>92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70</v>
      </c>
    </row>
    <row r="395" spans="1:13" x14ac:dyDescent="0.45">
      <c r="A395" t="s">
        <v>9</v>
      </c>
      <c r="B395" t="s">
        <v>92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70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F107D-B1E8-4674-B0E5-68B59542255D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108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322.94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6.9870000000000001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7.181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322.94</v>
      </c>
      <c r="P15" s="8">
        <f t="shared" ref="P15:U15" si="0">$N$11*E15</f>
        <v>339.08699999999999</v>
      </c>
      <c r="Q15" s="8">
        <f t="shared" si="0"/>
        <v>377.83979999999997</v>
      </c>
      <c r="R15" s="8">
        <f t="shared" si="0"/>
        <v>416.5926</v>
      </c>
      <c r="S15" s="8">
        <f t="shared" si="0"/>
        <v>458.57479999999998</v>
      </c>
      <c r="T15" s="8">
        <f t="shared" si="0"/>
        <v>513.47460000000001</v>
      </c>
      <c r="U15" s="8">
        <f t="shared" si="0"/>
        <v>558.68619999999999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region=GBR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119.48779999999999</v>
      </c>
      <c r="P20" s="6">
        <f t="shared" si="2"/>
        <v>118.68044999999999</v>
      </c>
      <c r="Q20" s="6">
        <f t="shared" si="2"/>
        <v>128.465532</v>
      </c>
      <c r="R20" s="6">
        <f t="shared" si="2"/>
        <v>137.47555800000001</v>
      </c>
      <c r="S20" s="6">
        <f t="shared" si="2"/>
        <v>137.57244</v>
      </c>
      <c r="T20" s="6">
        <f t="shared" si="2"/>
        <v>148.907634</v>
      </c>
      <c r="U20" s="6">
        <f t="shared" si="2"/>
        <v>167.60585999999998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190.53459999999998</v>
      </c>
      <c r="P21" s="6">
        <f t="shared" si="2"/>
        <v>200.06132999999997</v>
      </c>
      <c r="Q21" s="6">
        <f t="shared" si="2"/>
        <v>222.92548199999996</v>
      </c>
      <c r="R21" s="6">
        <f t="shared" si="2"/>
        <v>241.62370799999999</v>
      </c>
      <c r="S21" s="6">
        <f t="shared" si="2"/>
        <v>265.97338399999995</v>
      </c>
      <c r="T21" s="6">
        <f t="shared" si="2"/>
        <v>287.54577600000005</v>
      </c>
      <c r="U21" s="6">
        <f t="shared" si="2"/>
        <v>301.69054800000004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9.6882000000000001</v>
      </c>
      <c r="P22" s="6">
        <f t="shared" ref="P22:U22" si="3">O22</f>
        <v>9.6882000000000001</v>
      </c>
      <c r="Q22" s="6">
        <f t="shared" si="3"/>
        <v>9.6882000000000001</v>
      </c>
      <c r="R22" s="6">
        <f t="shared" si="3"/>
        <v>9.6882000000000001</v>
      </c>
      <c r="S22" s="6">
        <f t="shared" si="3"/>
        <v>9.6882000000000001</v>
      </c>
      <c r="T22" s="6">
        <f t="shared" si="3"/>
        <v>9.6882000000000001</v>
      </c>
      <c r="U22" s="6">
        <f t="shared" si="3"/>
        <v>9.6882000000000001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3.2294000000000551</v>
      </c>
      <c r="P23" s="6">
        <f t="shared" si="4"/>
        <v>10.657020000000045</v>
      </c>
      <c r="Q23" s="6">
        <f t="shared" si="4"/>
        <v>16.760586000000046</v>
      </c>
      <c r="R23" s="6">
        <f t="shared" si="4"/>
        <v>27.80513400000001</v>
      </c>
      <c r="S23" s="6">
        <f t="shared" si="4"/>
        <v>45.340776000000062</v>
      </c>
      <c r="T23" s="6">
        <f t="shared" si="4"/>
        <v>67.332989999999938</v>
      </c>
      <c r="U23" s="6">
        <f t="shared" si="4"/>
        <v>79.701591999999948</v>
      </c>
      <c r="V23" t="s">
        <v>16</v>
      </c>
    </row>
    <row r="24" spans="2:24" x14ac:dyDescent="0.45">
      <c r="N24" s="18" t="s">
        <v>101</v>
      </c>
      <c r="O24" s="19">
        <f>N12</f>
        <v>6.9870000000000001</v>
      </c>
      <c r="P24" s="20">
        <f>$N$12*E16</f>
        <v>6.8472600000000003</v>
      </c>
      <c r="Q24" s="20">
        <f>$N$12*F16</f>
        <v>6.7075199999999997</v>
      </c>
      <c r="R24" s="20">
        <f t="shared" ref="R24:U24" si="5">$N$12*G16</f>
        <v>6.4280400000000002</v>
      </c>
      <c r="S24" s="20">
        <f t="shared" si="5"/>
        <v>5.8690800000000003</v>
      </c>
      <c r="T24" s="20">
        <f t="shared" si="5"/>
        <v>5.7992099999999995</v>
      </c>
      <c r="U24" s="20">
        <f t="shared" si="5"/>
        <v>5.5896000000000008</v>
      </c>
      <c r="V24" s="18" t="s">
        <v>16</v>
      </c>
    </row>
    <row r="25" spans="2:24" x14ac:dyDescent="0.45">
      <c r="N25" s="18" t="s">
        <v>102</v>
      </c>
      <c r="O25" s="19">
        <f>N13</f>
        <v>7.181</v>
      </c>
      <c r="P25" s="20">
        <f>$N$13*E16</f>
        <v>7.0373799999999997</v>
      </c>
      <c r="Q25" s="20">
        <f t="shared" ref="Q25:U25" si="6">$N$13*F16</f>
        <v>6.8937599999999994</v>
      </c>
      <c r="R25" s="20">
        <f t="shared" si="6"/>
        <v>6.6065200000000006</v>
      </c>
      <c r="S25" s="20">
        <f t="shared" si="6"/>
        <v>6.0320399999999994</v>
      </c>
      <c r="T25" s="20">
        <f t="shared" si="6"/>
        <v>5.9602300000000001</v>
      </c>
      <c r="U25" s="20">
        <f t="shared" si="6"/>
        <v>5.7448000000000006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region=GBR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15.51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20.82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region=GBR;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0</v>
      </c>
      <c r="D56">
        <v>0</v>
      </c>
      <c r="E56">
        <v>0</v>
      </c>
      <c r="F56" t="s">
        <v>107</v>
      </c>
    </row>
    <row r="57" spans="1:14" x14ac:dyDescent="0.45">
      <c r="A57" t="s">
        <v>30</v>
      </c>
      <c r="B57" t="s">
        <v>106</v>
      </c>
      <c r="C57">
        <v>3.1</v>
      </c>
      <c r="D57">
        <v>7.2</v>
      </c>
      <c r="E57">
        <v>11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0815-1175-47AE-9D9D-6284184F6E2B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109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121.57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14.882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4.665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121.57</v>
      </c>
      <c r="P15" s="8">
        <f t="shared" ref="P15:U15" si="0">$N$11*E15</f>
        <v>127.6485</v>
      </c>
      <c r="Q15" s="8">
        <f t="shared" si="0"/>
        <v>142.23689999999999</v>
      </c>
      <c r="R15" s="8">
        <f t="shared" si="0"/>
        <v>156.8253</v>
      </c>
      <c r="S15" s="8">
        <f t="shared" si="0"/>
        <v>172.62939999999998</v>
      </c>
      <c r="T15" s="8">
        <f t="shared" si="0"/>
        <v>193.2963</v>
      </c>
      <c r="U15" s="8">
        <f t="shared" si="0"/>
        <v>210.31609999999998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region=NLD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44.980899999999998</v>
      </c>
      <c r="P20" s="6">
        <f t="shared" si="2"/>
        <v>44.676974999999999</v>
      </c>
      <c r="Q20" s="6">
        <f t="shared" si="2"/>
        <v>48.360545999999999</v>
      </c>
      <c r="R20" s="6">
        <f t="shared" si="2"/>
        <v>51.752349000000002</v>
      </c>
      <c r="S20" s="6">
        <f t="shared" si="2"/>
        <v>51.788819999999994</v>
      </c>
      <c r="T20" s="6">
        <f t="shared" si="2"/>
        <v>56.055926999999997</v>
      </c>
      <c r="U20" s="6">
        <f t="shared" si="2"/>
        <v>63.094829999999988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71.726299999999995</v>
      </c>
      <c r="P21" s="6">
        <f t="shared" si="2"/>
        <v>75.312614999999994</v>
      </c>
      <c r="Q21" s="6">
        <f t="shared" si="2"/>
        <v>83.919770999999997</v>
      </c>
      <c r="R21" s="6">
        <f t="shared" si="2"/>
        <v>90.958673999999988</v>
      </c>
      <c r="S21" s="6">
        <f t="shared" si="2"/>
        <v>100.12505199999998</v>
      </c>
      <c r="T21" s="6">
        <f t="shared" si="2"/>
        <v>108.24592800000001</v>
      </c>
      <c r="U21" s="6">
        <f t="shared" si="2"/>
        <v>113.57069399999999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3.6470999999999996</v>
      </c>
      <c r="P22" s="6">
        <f t="shared" ref="P22:U22" si="3">O22</f>
        <v>3.6470999999999996</v>
      </c>
      <c r="Q22" s="6">
        <f t="shared" si="3"/>
        <v>3.6470999999999996</v>
      </c>
      <c r="R22" s="6">
        <f t="shared" si="3"/>
        <v>3.6470999999999996</v>
      </c>
      <c r="S22" s="6">
        <f t="shared" si="3"/>
        <v>3.6470999999999996</v>
      </c>
      <c r="T22" s="6">
        <f t="shared" si="3"/>
        <v>3.6470999999999996</v>
      </c>
      <c r="U22" s="6">
        <f t="shared" si="3"/>
        <v>3.6470999999999996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1.2156999999999982</v>
      </c>
      <c r="P23" s="6">
        <f t="shared" si="4"/>
        <v>4.0118100000000112</v>
      </c>
      <c r="Q23" s="6">
        <f t="shared" si="4"/>
        <v>6.3094830000000002</v>
      </c>
      <c r="R23" s="6">
        <f t="shared" si="4"/>
        <v>10.467177000000021</v>
      </c>
      <c r="S23" s="6">
        <f t="shared" si="4"/>
        <v>17.068428000000011</v>
      </c>
      <c r="T23" s="6">
        <f t="shared" si="4"/>
        <v>25.347345000000018</v>
      </c>
      <c r="U23" s="6">
        <f t="shared" si="4"/>
        <v>30.003476000000006</v>
      </c>
      <c r="V23" t="s">
        <v>16</v>
      </c>
    </row>
    <row r="24" spans="2:24" x14ac:dyDescent="0.45">
      <c r="N24" s="18" t="s">
        <v>101</v>
      </c>
      <c r="O24" s="19">
        <f>N12</f>
        <v>14.882</v>
      </c>
      <c r="P24" s="20">
        <f>$N$12*E16</f>
        <v>14.58436</v>
      </c>
      <c r="Q24" s="20">
        <f>$N$12*F16</f>
        <v>14.286719999999999</v>
      </c>
      <c r="R24" s="20">
        <f t="shared" ref="R24:U24" si="5">$N$12*G16</f>
        <v>13.69144</v>
      </c>
      <c r="S24" s="20">
        <f t="shared" si="5"/>
        <v>12.500879999999999</v>
      </c>
      <c r="T24" s="20">
        <f t="shared" si="5"/>
        <v>12.35206</v>
      </c>
      <c r="U24" s="20">
        <f t="shared" si="5"/>
        <v>11.9056</v>
      </c>
      <c r="V24" s="18" t="s">
        <v>16</v>
      </c>
    </row>
    <row r="25" spans="2:24" x14ac:dyDescent="0.45">
      <c r="N25" s="18" t="s">
        <v>102</v>
      </c>
      <c r="O25" s="19">
        <f>N13</f>
        <v>4.665</v>
      </c>
      <c r="P25" s="20">
        <f>$N$13*E16</f>
        <v>4.5716999999999999</v>
      </c>
      <c r="Q25" s="20">
        <f t="shared" ref="Q25:U25" si="6">$N$13*F16</f>
        <v>4.4783999999999997</v>
      </c>
      <c r="R25" s="20">
        <f t="shared" si="6"/>
        <v>4.2918000000000003</v>
      </c>
      <c r="S25" s="20">
        <f t="shared" si="6"/>
        <v>3.9186000000000001</v>
      </c>
      <c r="T25" s="20">
        <f t="shared" si="6"/>
        <v>3.87195</v>
      </c>
      <c r="U25" s="20">
        <f t="shared" si="6"/>
        <v>3.7320000000000002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region=NLD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18.54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22.81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region=NLD;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117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0.64</v>
      </c>
      <c r="D56">
        <v>0.7</v>
      </c>
      <c r="E56">
        <v>0.7</v>
      </c>
      <c r="F56" t="s">
        <v>107</v>
      </c>
    </row>
    <row r="57" spans="1:14" x14ac:dyDescent="0.45">
      <c r="A57" t="s">
        <v>30</v>
      </c>
      <c r="B57" t="s">
        <v>106</v>
      </c>
      <c r="C57">
        <v>0.7</v>
      </c>
      <c r="D57">
        <v>0.7</v>
      </c>
      <c r="E57">
        <v>0.7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BFB23-037E-4F74-BECD-BFFDBB0F6A52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110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94.18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4.0209999999999999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0.98399999999999999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94.18</v>
      </c>
      <c r="P15" s="8">
        <f t="shared" ref="P15:U15" si="0">$N$11*E15</f>
        <v>98.88900000000001</v>
      </c>
      <c r="Q15" s="8">
        <f t="shared" si="0"/>
        <v>110.1906</v>
      </c>
      <c r="R15" s="8">
        <f t="shared" si="0"/>
        <v>121.49220000000001</v>
      </c>
      <c r="S15" s="8">
        <f t="shared" si="0"/>
        <v>133.73560000000001</v>
      </c>
      <c r="T15" s="8">
        <f t="shared" si="0"/>
        <v>149.74620000000002</v>
      </c>
      <c r="U15" s="8">
        <f t="shared" si="0"/>
        <v>162.9314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region=BEL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34.846600000000002</v>
      </c>
      <c r="P20" s="6">
        <f t="shared" si="2"/>
        <v>34.611150000000002</v>
      </c>
      <c r="Q20" s="6">
        <f t="shared" si="2"/>
        <v>37.464804000000001</v>
      </c>
      <c r="R20" s="6">
        <f t="shared" si="2"/>
        <v>40.092426000000003</v>
      </c>
      <c r="S20" s="6">
        <f t="shared" si="2"/>
        <v>40.12068</v>
      </c>
      <c r="T20" s="6">
        <f t="shared" si="2"/>
        <v>43.426397999999999</v>
      </c>
      <c r="U20" s="6">
        <f t="shared" si="2"/>
        <v>48.879419999999996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55.566200000000002</v>
      </c>
      <c r="P21" s="6">
        <f t="shared" si="2"/>
        <v>58.34451</v>
      </c>
      <c r="Q21" s="6">
        <f t="shared" si="2"/>
        <v>65.012454000000005</v>
      </c>
      <c r="R21" s="6">
        <f t="shared" si="2"/>
        <v>70.465475999999995</v>
      </c>
      <c r="S21" s="6">
        <f t="shared" si="2"/>
        <v>77.566648000000001</v>
      </c>
      <c r="T21" s="6">
        <f t="shared" si="2"/>
        <v>83.857872000000015</v>
      </c>
      <c r="U21" s="6">
        <f t="shared" si="2"/>
        <v>87.982956000000001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2.8254000000000001</v>
      </c>
      <c r="P22" s="6">
        <f t="shared" ref="P22:U22" si="3">O22</f>
        <v>2.8254000000000001</v>
      </c>
      <c r="Q22" s="6">
        <f t="shared" si="3"/>
        <v>2.8254000000000001</v>
      </c>
      <c r="R22" s="6">
        <f t="shared" si="3"/>
        <v>2.8254000000000001</v>
      </c>
      <c r="S22" s="6">
        <f t="shared" si="3"/>
        <v>2.8254000000000001</v>
      </c>
      <c r="T22" s="6">
        <f t="shared" si="3"/>
        <v>2.8254000000000001</v>
      </c>
      <c r="U22" s="6">
        <f t="shared" si="3"/>
        <v>2.8254000000000001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0.94180000000000064</v>
      </c>
      <c r="P23" s="6">
        <f t="shared" si="4"/>
        <v>3.1079400000000135</v>
      </c>
      <c r="Q23" s="6">
        <f t="shared" si="4"/>
        <v>4.8879419999999953</v>
      </c>
      <c r="R23" s="6">
        <f t="shared" si="4"/>
        <v>8.1088980000000106</v>
      </c>
      <c r="S23" s="6">
        <f t="shared" si="4"/>
        <v>13.222871999999995</v>
      </c>
      <c r="T23" s="6">
        <f t="shared" si="4"/>
        <v>19.636529999999993</v>
      </c>
      <c r="U23" s="6">
        <f t="shared" si="4"/>
        <v>23.243624000000011</v>
      </c>
      <c r="V23" t="s">
        <v>16</v>
      </c>
    </row>
    <row r="24" spans="2:24" x14ac:dyDescent="0.45">
      <c r="N24" s="18" t="s">
        <v>101</v>
      </c>
      <c r="O24" s="19">
        <f>N12</f>
        <v>4.0209999999999999</v>
      </c>
      <c r="P24" s="20">
        <f>$N$12*E16</f>
        <v>3.9405799999999997</v>
      </c>
      <c r="Q24" s="20">
        <f>$N$12*F16</f>
        <v>3.8601599999999996</v>
      </c>
      <c r="R24" s="20">
        <f t="shared" ref="R24:U24" si="5">$N$12*G16</f>
        <v>3.6993200000000002</v>
      </c>
      <c r="S24" s="20">
        <f t="shared" si="5"/>
        <v>3.37764</v>
      </c>
      <c r="T24" s="20">
        <f t="shared" si="5"/>
        <v>3.3374299999999999</v>
      </c>
      <c r="U24" s="20">
        <f t="shared" si="5"/>
        <v>3.2168000000000001</v>
      </c>
      <c r="V24" s="18" t="s">
        <v>16</v>
      </c>
    </row>
    <row r="25" spans="2:24" x14ac:dyDescent="0.45">
      <c r="N25" s="18" t="s">
        <v>102</v>
      </c>
      <c r="O25" s="19">
        <f>N13</f>
        <v>0.98399999999999999</v>
      </c>
      <c r="P25" s="20">
        <f>$N$13*E16</f>
        <v>0.96431999999999995</v>
      </c>
      <c r="Q25" s="20">
        <f t="shared" ref="Q25:U25" si="6">$N$13*F16</f>
        <v>0.94463999999999992</v>
      </c>
      <c r="R25" s="20">
        <f t="shared" si="6"/>
        <v>0.90527999999999997</v>
      </c>
      <c r="S25" s="20">
        <f t="shared" si="6"/>
        <v>0.82655999999999996</v>
      </c>
      <c r="T25" s="20">
        <f t="shared" si="6"/>
        <v>0.81672</v>
      </c>
      <c r="U25" s="20">
        <f t="shared" si="6"/>
        <v>0.78720000000000001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region=BEL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16.350000000000001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23.88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region=BEL;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118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0.3</v>
      </c>
      <c r="D56">
        <v>2.08</v>
      </c>
      <c r="E56">
        <v>4.08</v>
      </c>
      <c r="F56" t="s">
        <v>107</v>
      </c>
    </row>
    <row r="57" spans="1:14" x14ac:dyDescent="0.45">
      <c r="A57" t="s">
        <v>30</v>
      </c>
      <c r="B57" t="s">
        <v>106</v>
      </c>
      <c r="C57">
        <v>0</v>
      </c>
      <c r="D57">
        <v>0</v>
      </c>
      <c r="E57">
        <v>0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6352A-5E95-4EC4-B393-1B52600FB3BE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111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573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45.581000000000003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57.588000000000001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573</v>
      </c>
      <c r="P15" s="8">
        <f t="shared" ref="P15:U15" si="0">$N$11*E15</f>
        <v>601.65</v>
      </c>
      <c r="Q15" s="8">
        <f t="shared" si="0"/>
        <v>670.41</v>
      </c>
      <c r="R15" s="8">
        <f t="shared" si="0"/>
        <v>739.17000000000007</v>
      </c>
      <c r="S15" s="8">
        <f t="shared" si="0"/>
        <v>813.66</v>
      </c>
      <c r="T15" s="8">
        <f t="shared" si="0"/>
        <v>911.07</v>
      </c>
      <c r="U15" s="8">
        <f t="shared" si="0"/>
        <v>991.29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region=DEU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212.01</v>
      </c>
      <c r="P20" s="6">
        <f t="shared" si="2"/>
        <v>210.57749999999999</v>
      </c>
      <c r="Q20" s="6">
        <f t="shared" si="2"/>
        <v>227.93940000000001</v>
      </c>
      <c r="R20" s="6">
        <f t="shared" si="2"/>
        <v>243.92610000000005</v>
      </c>
      <c r="S20" s="6">
        <f t="shared" si="2"/>
        <v>244.09799999999998</v>
      </c>
      <c r="T20" s="6">
        <f t="shared" si="2"/>
        <v>264.21030000000002</v>
      </c>
      <c r="U20" s="6">
        <f t="shared" si="2"/>
        <v>297.387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338.07</v>
      </c>
      <c r="P21" s="6">
        <f t="shared" si="2"/>
        <v>354.97349999999994</v>
      </c>
      <c r="Q21" s="6">
        <f t="shared" si="2"/>
        <v>395.54189999999994</v>
      </c>
      <c r="R21" s="6">
        <f t="shared" si="2"/>
        <v>428.71860000000004</v>
      </c>
      <c r="S21" s="6">
        <f t="shared" si="2"/>
        <v>471.92279999999994</v>
      </c>
      <c r="T21" s="6">
        <f t="shared" si="2"/>
        <v>510.19920000000008</v>
      </c>
      <c r="U21" s="6">
        <f t="shared" si="2"/>
        <v>535.29660000000001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17.189999999999998</v>
      </c>
      <c r="P22" s="6">
        <f t="shared" ref="P22:U22" si="3">O22</f>
        <v>17.189999999999998</v>
      </c>
      <c r="Q22" s="6">
        <f t="shared" si="3"/>
        <v>17.189999999999998</v>
      </c>
      <c r="R22" s="6">
        <f t="shared" si="3"/>
        <v>17.189999999999998</v>
      </c>
      <c r="S22" s="6">
        <f t="shared" si="3"/>
        <v>17.189999999999998</v>
      </c>
      <c r="T22" s="6">
        <f t="shared" si="3"/>
        <v>17.189999999999998</v>
      </c>
      <c r="U22" s="6">
        <f t="shared" si="3"/>
        <v>17.189999999999998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5.7300000000000182</v>
      </c>
      <c r="P23" s="6">
        <f t="shared" si="4"/>
        <v>18.908999999999992</v>
      </c>
      <c r="Q23" s="6">
        <f t="shared" si="4"/>
        <v>29.738699999999994</v>
      </c>
      <c r="R23" s="6">
        <f t="shared" si="4"/>
        <v>49.335299999999961</v>
      </c>
      <c r="S23" s="6">
        <f t="shared" si="4"/>
        <v>80.449200000000133</v>
      </c>
      <c r="T23" s="6">
        <f t="shared" si="4"/>
        <v>119.47050000000002</v>
      </c>
      <c r="U23" s="6">
        <f t="shared" si="4"/>
        <v>141.41639999999984</v>
      </c>
      <c r="V23" t="s">
        <v>16</v>
      </c>
    </row>
    <row r="24" spans="2:24" x14ac:dyDescent="0.45">
      <c r="N24" s="18" t="s">
        <v>101</v>
      </c>
      <c r="O24" s="19">
        <f>N12</f>
        <v>45.581000000000003</v>
      </c>
      <c r="P24" s="20">
        <f>$N$12*E16</f>
        <v>44.669380000000004</v>
      </c>
      <c r="Q24" s="20">
        <f>$N$12*F16</f>
        <v>43.757760000000005</v>
      </c>
      <c r="R24" s="20">
        <f t="shared" ref="R24:U24" si="5">$N$12*G16</f>
        <v>41.934520000000006</v>
      </c>
      <c r="S24" s="20">
        <f t="shared" si="5"/>
        <v>38.288040000000002</v>
      </c>
      <c r="T24" s="20">
        <f t="shared" si="5"/>
        <v>37.832230000000003</v>
      </c>
      <c r="U24" s="20">
        <f t="shared" si="5"/>
        <v>36.464800000000004</v>
      </c>
      <c r="V24" s="18" t="s">
        <v>16</v>
      </c>
    </row>
    <row r="25" spans="2:24" x14ac:dyDescent="0.45">
      <c r="N25" s="18" t="s">
        <v>102</v>
      </c>
      <c r="O25" s="19">
        <f>N13</f>
        <v>57.588000000000001</v>
      </c>
      <c r="P25" s="20">
        <f>$N$13*E16</f>
        <v>56.436239999999998</v>
      </c>
      <c r="Q25" s="20">
        <f t="shared" ref="Q25:U25" si="6">$N$13*F16</f>
        <v>55.284480000000002</v>
      </c>
      <c r="R25" s="20">
        <f t="shared" si="6"/>
        <v>52.980960000000003</v>
      </c>
      <c r="S25" s="20">
        <f t="shared" si="6"/>
        <v>48.373919999999998</v>
      </c>
      <c r="T25" s="20">
        <f t="shared" si="6"/>
        <v>47.79804</v>
      </c>
      <c r="U25" s="20">
        <f t="shared" si="6"/>
        <v>46.070400000000006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region=DEU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49.33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76.59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region=DEU;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119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8.3149999999999995</v>
      </c>
      <c r="D56">
        <v>14.914999999999999</v>
      </c>
      <c r="E56">
        <v>15.615</v>
      </c>
      <c r="F56" t="s">
        <v>107</v>
      </c>
    </row>
    <row r="57" spans="1:14" x14ac:dyDescent="0.45">
      <c r="A57" t="s">
        <v>30</v>
      </c>
      <c r="B57" t="s">
        <v>106</v>
      </c>
      <c r="C57">
        <v>7.7</v>
      </c>
      <c r="D57">
        <v>10.1</v>
      </c>
      <c r="E57">
        <v>10.1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8D6C-D496-43B0-87D6-869E9894BDB4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112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62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2.5449999999999999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4.4509999999999996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62</v>
      </c>
      <c r="P15" s="8">
        <f t="shared" ref="P15:U15" si="0">$N$11*E15</f>
        <v>65.100000000000009</v>
      </c>
      <c r="Q15" s="8">
        <f t="shared" si="0"/>
        <v>72.539999999999992</v>
      </c>
      <c r="R15" s="8">
        <f t="shared" si="0"/>
        <v>79.98</v>
      </c>
      <c r="S15" s="8">
        <f t="shared" si="0"/>
        <v>88.039999999999992</v>
      </c>
      <c r="T15" s="8">
        <f t="shared" si="0"/>
        <v>98.58</v>
      </c>
      <c r="U15" s="8">
        <f t="shared" si="0"/>
        <v>107.26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region=CHE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22.94</v>
      </c>
      <c r="P20" s="6">
        <f t="shared" si="2"/>
        <v>22.785</v>
      </c>
      <c r="Q20" s="6">
        <f t="shared" si="2"/>
        <v>24.663599999999999</v>
      </c>
      <c r="R20" s="6">
        <f t="shared" si="2"/>
        <v>26.393400000000003</v>
      </c>
      <c r="S20" s="6">
        <f t="shared" si="2"/>
        <v>26.411999999999995</v>
      </c>
      <c r="T20" s="6">
        <f t="shared" si="2"/>
        <v>28.588199999999997</v>
      </c>
      <c r="U20" s="6">
        <f t="shared" si="2"/>
        <v>32.177999999999997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36.58</v>
      </c>
      <c r="P21" s="6">
        <f t="shared" si="2"/>
        <v>38.409000000000006</v>
      </c>
      <c r="Q21" s="6">
        <f t="shared" si="2"/>
        <v>42.798599999999993</v>
      </c>
      <c r="R21" s="6">
        <f t="shared" si="2"/>
        <v>46.388399999999997</v>
      </c>
      <c r="S21" s="6">
        <f t="shared" si="2"/>
        <v>51.063199999999995</v>
      </c>
      <c r="T21" s="6">
        <f t="shared" si="2"/>
        <v>55.204800000000006</v>
      </c>
      <c r="U21" s="6">
        <f t="shared" si="2"/>
        <v>57.920400000000008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1.8599999999999999</v>
      </c>
      <c r="P22" s="6">
        <f t="shared" ref="P22:U22" si="3">O22</f>
        <v>1.8599999999999999</v>
      </c>
      <c r="Q22" s="6">
        <f t="shared" si="3"/>
        <v>1.8599999999999999</v>
      </c>
      <c r="R22" s="6">
        <f t="shared" si="3"/>
        <v>1.8599999999999999</v>
      </c>
      <c r="S22" s="6">
        <f t="shared" si="3"/>
        <v>1.8599999999999999</v>
      </c>
      <c r="T22" s="6">
        <f t="shared" si="3"/>
        <v>1.8599999999999999</v>
      </c>
      <c r="U22" s="6">
        <f t="shared" si="3"/>
        <v>1.8599999999999999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0.62000000000000455</v>
      </c>
      <c r="P23" s="6">
        <f t="shared" si="4"/>
        <v>2.0460000000000065</v>
      </c>
      <c r="Q23" s="6">
        <f t="shared" si="4"/>
        <v>3.2177999999999969</v>
      </c>
      <c r="R23" s="6">
        <f t="shared" si="4"/>
        <v>5.3382000000000005</v>
      </c>
      <c r="S23" s="6">
        <f t="shared" si="4"/>
        <v>8.7048000000000059</v>
      </c>
      <c r="T23" s="6">
        <f t="shared" si="4"/>
        <v>12.926999999999992</v>
      </c>
      <c r="U23" s="6">
        <f t="shared" si="4"/>
        <v>15.301600000000008</v>
      </c>
      <c r="V23" t="s">
        <v>16</v>
      </c>
    </row>
    <row r="24" spans="2:24" x14ac:dyDescent="0.45">
      <c r="N24" s="18" t="s">
        <v>101</v>
      </c>
      <c r="O24" s="19">
        <f>N12</f>
        <v>2.5449999999999999</v>
      </c>
      <c r="P24" s="20">
        <f>$N$12*E16</f>
        <v>2.4941</v>
      </c>
      <c r="Q24" s="20">
        <f>$N$12*F16</f>
        <v>2.4432</v>
      </c>
      <c r="R24" s="20">
        <f t="shared" ref="R24:U24" si="5">$N$12*G16</f>
        <v>2.3414000000000001</v>
      </c>
      <c r="S24" s="20">
        <f t="shared" si="5"/>
        <v>2.1377999999999999</v>
      </c>
      <c r="T24" s="20">
        <f t="shared" si="5"/>
        <v>2.1123499999999997</v>
      </c>
      <c r="U24" s="20">
        <f t="shared" si="5"/>
        <v>2.036</v>
      </c>
      <c r="V24" s="18" t="s">
        <v>16</v>
      </c>
    </row>
    <row r="25" spans="2:24" x14ac:dyDescent="0.45">
      <c r="N25" s="18" t="s">
        <v>102</v>
      </c>
      <c r="O25" s="19">
        <f>N13</f>
        <v>4.4509999999999996</v>
      </c>
      <c r="P25" s="20">
        <f>$N$13*E16</f>
        <v>4.36198</v>
      </c>
      <c r="Q25" s="20">
        <f t="shared" ref="Q25:U25" si="6">$N$13*F16</f>
        <v>4.2729599999999994</v>
      </c>
      <c r="R25" s="20">
        <f t="shared" si="6"/>
        <v>4.0949200000000001</v>
      </c>
      <c r="S25" s="20">
        <f t="shared" si="6"/>
        <v>3.7388399999999997</v>
      </c>
      <c r="T25" s="20">
        <f t="shared" si="6"/>
        <v>3.6943299999999994</v>
      </c>
      <c r="U25" s="20">
        <f t="shared" si="6"/>
        <v>3.5608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region=CHE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33.119999999999997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29.73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region=CHE;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32</v>
      </c>
      <c r="J50">
        <f>VLOOKUP($C$15,$AF$9:$AH$16,3,FALSE)*D50</f>
        <v>96</v>
      </c>
      <c r="M50">
        <f>HLOOKUP($B50&amp;"_"&amp;M$46,fuel_prices!$B$10:$I$100,MATCH($A$1,fuel_prices!$A$10:$A$100,0),FALSE)</f>
        <v>28</v>
      </c>
      <c r="N50">
        <f>HLOOKUP($B50&amp;"_"&amp;N$46,fuel_prices!$B$10:$I$100,MATCH($A$1,fuel_prices!$A$10:$A$100,0),FALSE)</f>
        <v>36</v>
      </c>
    </row>
    <row r="54" spans="1:14" x14ac:dyDescent="0.45">
      <c r="A54" t="s">
        <v>120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0</v>
      </c>
      <c r="D56">
        <v>0</v>
      </c>
      <c r="E56">
        <v>0</v>
      </c>
      <c r="F56" t="s">
        <v>107</v>
      </c>
    </row>
    <row r="57" spans="1:14" x14ac:dyDescent="0.45">
      <c r="A57" t="s">
        <v>30</v>
      </c>
      <c r="B57" t="s">
        <v>106</v>
      </c>
      <c r="C57">
        <v>1.2</v>
      </c>
      <c r="D57">
        <v>1.2</v>
      </c>
      <c r="E57">
        <v>1.2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8130B-5051-469D-A815-BB2809E7E5DE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113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282.07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6.5309999999999997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10.842000000000001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282.07</v>
      </c>
      <c r="P15" s="8">
        <f t="shared" ref="P15:U15" si="0">$N$11*E15</f>
        <v>296.17349999999999</v>
      </c>
      <c r="Q15" s="8">
        <f t="shared" si="0"/>
        <v>330.02189999999996</v>
      </c>
      <c r="R15" s="8">
        <f t="shared" si="0"/>
        <v>363.87029999999999</v>
      </c>
      <c r="S15" s="8">
        <f t="shared" si="0"/>
        <v>400.53939999999994</v>
      </c>
      <c r="T15" s="8">
        <f t="shared" si="0"/>
        <v>448.49130000000002</v>
      </c>
      <c r="U15" s="8">
        <f t="shared" si="0"/>
        <v>487.98109999999997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region=ITA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104.3659</v>
      </c>
      <c r="P20" s="6">
        <f t="shared" si="2"/>
        <v>103.66072499999999</v>
      </c>
      <c r="Q20" s="6">
        <f t="shared" si="2"/>
        <v>112.20744599999999</v>
      </c>
      <c r="R20" s="6">
        <f t="shared" si="2"/>
        <v>120.07719900000001</v>
      </c>
      <c r="S20" s="6">
        <f t="shared" si="2"/>
        <v>120.16181999999998</v>
      </c>
      <c r="T20" s="6">
        <f t="shared" si="2"/>
        <v>130.062477</v>
      </c>
      <c r="U20" s="6">
        <f t="shared" si="2"/>
        <v>146.39433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166.42129999999997</v>
      </c>
      <c r="P21" s="6">
        <f t="shared" si="2"/>
        <v>174.74236499999998</v>
      </c>
      <c r="Q21" s="6">
        <f t="shared" si="2"/>
        <v>194.71292099999997</v>
      </c>
      <c r="R21" s="6">
        <f t="shared" si="2"/>
        <v>211.04477399999999</v>
      </c>
      <c r="S21" s="6">
        <f t="shared" si="2"/>
        <v>232.31285199999996</v>
      </c>
      <c r="T21" s="6">
        <f t="shared" si="2"/>
        <v>251.15512800000005</v>
      </c>
      <c r="U21" s="6">
        <f t="shared" si="2"/>
        <v>263.509794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8.4620999999999995</v>
      </c>
      <c r="P22" s="6">
        <f t="shared" ref="P22:U22" si="3">O22</f>
        <v>8.4620999999999995</v>
      </c>
      <c r="Q22" s="6">
        <f t="shared" si="3"/>
        <v>8.4620999999999995</v>
      </c>
      <c r="R22" s="6">
        <f t="shared" si="3"/>
        <v>8.4620999999999995</v>
      </c>
      <c r="S22" s="6">
        <f t="shared" si="3"/>
        <v>8.4620999999999995</v>
      </c>
      <c r="T22" s="6">
        <f t="shared" si="3"/>
        <v>8.4620999999999995</v>
      </c>
      <c r="U22" s="6">
        <f t="shared" si="3"/>
        <v>8.4620999999999995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2.820699999999988</v>
      </c>
      <c r="P23" s="6">
        <f t="shared" si="4"/>
        <v>9.3083100000000059</v>
      </c>
      <c r="Q23" s="6">
        <f t="shared" si="4"/>
        <v>14.639432999999997</v>
      </c>
      <c r="R23" s="6">
        <f t="shared" si="4"/>
        <v>24.28622699999994</v>
      </c>
      <c r="S23" s="6">
        <f t="shared" si="4"/>
        <v>39.602627999999982</v>
      </c>
      <c r="T23" s="6">
        <f t="shared" si="4"/>
        <v>58.811594999999954</v>
      </c>
      <c r="U23" s="6">
        <f t="shared" si="4"/>
        <v>69.614875999999924</v>
      </c>
      <c r="V23" t="s">
        <v>16</v>
      </c>
    </row>
    <row r="24" spans="2:24" x14ac:dyDescent="0.45">
      <c r="N24" s="18" t="s">
        <v>101</v>
      </c>
      <c r="O24" s="19">
        <f>N12</f>
        <v>6.5309999999999997</v>
      </c>
      <c r="P24" s="20">
        <f>$N$12*E16</f>
        <v>6.4003799999999993</v>
      </c>
      <c r="Q24" s="20">
        <f>$N$12*F16</f>
        <v>6.2697599999999998</v>
      </c>
      <c r="R24" s="20">
        <f t="shared" ref="R24:U24" si="5">$N$12*G16</f>
        <v>6.0085199999999999</v>
      </c>
      <c r="S24" s="20">
        <f t="shared" si="5"/>
        <v>5.4860399999999991</v>
      </c>
      <c r="T24" s="20">
        <f t="shared" si="5"/>
        <v>5.4207299999999998</v>
      </c>
      <c r="U24" s="20">
        <f t="shared" si="5"/>
        <v>5.2248000000000001</v>
      </c>
      <c r="V24" s="18" t="s">
        <v>16</v>
      </c>
    </row>
    <row r="25" spans="2:24" x14ac:dyDescent="0.45">
      <c r="N25" s="18" t="s">
        <v>102</v>
      </c>
      <c r="O25" s="19">
        <f>N13</f>
        <v>10.842000000000001</v>
      </c>
      <c r="P25" s="20">
        <f>$N$13*E16</f>
        <v>10.625160000000001</v>
      </c>
      <c r="Q25" s="20">
        <f t="shared" ref="Q25:U25" si="6">$N$13*F16</f>
        <v>10.40832</v>
      </c>
      <c r="R25" s="20">
        <f t="shared" si="6"/>
        <v>9.9746400000000008</v>
      </c>
      <c r="S25" s="20">
        <f t="shared" si="6"/>
        <v>9.1072799999999994</v>
      </c>
      <c r="T25" s="20">
        <f t="shared" si="6"/>
        <v>8.9988600000000005</v>
      </c>
      <c r="U25" s="20">
        <f t="shared" si="6"/>
        <v>8.6736000000000004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region=ITA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47.39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4.4000000000000004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region=ITA;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29</v>
      </c>
      <c r="J50">
        <f>VLOOKUP($C$15,$AF$9:$AH$16,3,FALSE)*D50</f>
        <v>87</v>
      </c>
      <c r="M50">
        <f>HLOOKUP($B50&amp;"_"&amp;M$46,fuel_prices!$B$10:$I$100,MATCH($A$1,fuel_prices!$A$10:$A$100,0),FALSE)</f>
        <v>25</v>
      </c>
      <c r="N50">
        <f>HLOOKUP($B50&amp;"_"&amp;N$46,fuel_prices!$B$10:$I$100,MATCH($A$1,fuel_prices!$A$10:$A$100,0),FALSE)</f>
        <v>33</v>
      </c>
    </row>
    <row r="54" spans="1:14" x14ac:dyDescent="0.45">
      <c r="A54" t="s">
        <v>121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1.5049999999999999</v>
      </c>
      <c r="D56">
        <v>2.5049999999999999</v>
      </c>
      <c r="E56">
        <v>3.93</v>
      </c>
      <c r="F56" t="s">
        <v>107</v>
      </c>
    </row>
    <row r="57" spans="1:14" x14ac:dyDescent="0.45">
      <c r="A57" t="s">
        <v>30</v>
      </c>
      <c r="B57" t="s">
        <v>106</v>
      </c>
      <c r="C57">
        <v>1.125</v>
      </c>
      <c r="D57">
        <v>1.375</v>
      </c>
      <c r="E57">
        <v>2.875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F19E-FCF7-4168-8DFE-81FD4146D3F8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114</v>
      </c>
      <c r="B1" s="16"/>
    </row>
    <row r="2" spans="1:34" x14ac:dyDescent="0.45">
      <c r="A2" s="15" t="s">
        <v>92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80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91</v>
      </c>
    </row>
    <row r="9" spans="1:34" x14ac:dyDescent="0.45">
      <c r="N9" t="s">
        <v>4</v>
      </c>
      <c r="AF9" t="s">
        <v>0</v>
      </c>
      <c r="AG9" t="s">
        <v>82</v>
      </c>
      <c r="AH9" s="12">
        <v>5</v>
      </c>
    </row>
    <row r="10" spans="1:34" x14ac:dyDescent="0.45">
      <c r="N10" s="1">
        <v>2022</v>
      </c>
      <c r="AF10" t="s">
        <v>2</v>
      </c>
      <c r="AG10" t="s">
        <v>83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287.94</v>
      </c>
      <c r="O11" s="2" t="s">
        <v>54</v>
      </c>
      <c r="AF11" t="s">
        <v>5</v>
      </c>
      <c r="AG11" t="s">
        <v>84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85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86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287.94</v>
      </c>
      <c r="P15" s="8">
        <f t="shared" ref="P15:U15" si="0">$N$11*E15</f>
        <v>302.33699999999999</v>
      </c>
      <c r="Q15" s="8">
        <f t="shared" si="0"/>
        <v>336.88979999999998</v>
      </c>
      <c r="R15" s="8">
        <f t="shared" si="0"/>
        <v>371.44260000000003</v>
      </c>
      <c r="S15" s="8">
        <f t="shared" si="0"/>
        <v>408.87479999999999</v>
      </c>
      <c r="T15" s="8">
        <f t="shared" si="0"/>
        <v>457.82460000000003</v>
      </c>
      <c r="U15" s="8">
        <f t="shared" si="0"/>
        <v>498.13619999999997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region=ESP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106.5378</v>
      </c>
      <c r="P20" s="6">
        <f t="shared" si="2"/>
        <v>105.81795</v>
      </c>
      <c r="Q20" s="6">
        <f t="shared" si="2"/>
        <v>114.54253199999999</v>
      </c>
      <c r="R20" s="6">
        <f t="shared" si="2"/>
        <v>122.57605800000002</v>
      </c>
      <c r="S20" s="6">
        <f t="shared" si="2"/>
        <v>122.66243999999999</v>
      </c>
      <c r="T20" s="6">
        <f t="shared" si="2"/>
        <v>132.76913400000001</v>
      </c>
      <c r="U20" s="6">
        <f t="shared" si="2"/>
        <v>149.44085999999999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169.88459999999998</v>
      </c>
      <c r="P21" s="6">
        <f t="shared" si="2"/>
        <v>178.37882999999999</v>
      </c>
      <c r="Q21" s="6">
        <f t="shared" si="2"/>
        <v>198.76498199999997</v>
      </c>
      <c r="R21" s="6">
        <f t="shared" si="2"/>
        <v>215.43670800000001</v>
      </c>
      <c r="S21" s="6">
        <f t="shared" si="2"/>
        <v>237.14738399999999</v>
      </c>
      <c r="T21" s="6">
        <f t="shared" si="2"/>
        <v>256.38177600000006</v>
      </c>
      <c r="U21" s="6">
        <f t="shared" si="2"/>
        <v>268.99354799999998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8.6381999999999994</v>
      </c>
      <c r="P22" s="6">
        <f t="shared" ref="P22:U22" si="3">O22</f>
        <v>8.6381999999999994</v>
      </c>
      <c r="Q22" s="6">
        <f t="shared" si="3"/>
        <v>8.6381999999999994</v>
      </c>
      <c r="R22" s="6">
        <f t="shared" si="3"/>
        <v>8.6381999999999994</v>
      </c>
      <c r="S22" s="6">
        <f t="shared" si="3"/>
        <v>8.6381999999999994</v>
      </c>
      <c r="T22" s="6">
        <f t="shared" si="3"/>
        <v>8.6381999999999994</v>
      </c>
      <c r="U22" s="6">
        <f t="shared" si="3"/>
        <v>8.6381999999999994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2.8794000000000324</v>
      </c>
      <c r="P23" s="6">
        <f t="shared" si="4"/>
        <v>9.5020200000000159</v>
      </c>
      <c r="Q23" s="6">
        <f t="shared" si="4"/>
        <v>14.944086000000027</v>
      </c>
      <c r="R23" s="6">
        <f t="shared" si="4"/>
        <v>24.791633999999988</v>
      </c>
      <c r="S23" s="6">
        <f t="shared" si="4"/>
        <v>40.426776000000018</v>
      </c>
      <c r="T23" s="6">
        <f t="shared" si="4"/>
        <v>60.035489999999982</v>
      </c>
      <c r="U23" s="6">
        <f t="shared" si="4"/>
        <v>71.063592000000028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region=ESP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8.0299999999999994</v>
      </c>
      <c r="N30" t="s">
        <v>30</v>
      </c>
      <c r="O30" s="3">
        <v>0</v>
      </c>
      <c r="Q30" s="6"/>
      <c r="R30" s="6"/>
      <c r="S30" s="6"/>
      <c r="T30" s="6"/>
      <c r="U30" s="6"/>
      <c r="V30" t="s">
        <v>31</v>
      </c>
      <c r="W30" t="s">
        <v>115</v>
      </c>
    </row>
    <row r="31" spans="2:24" ht="15" customHeight="1" thickTop="1" thickBot="1" x14ac:dyDescent="0.5">
      <c r="L31" s="3">
        <f>SUMIFS(iea_data!H3:H9999,iea_data!$B$3:$B$9999,$N$10,iea_data!$A$3:A$9999,$A$1)</f>
        <v>27.83</v>
      </c>
      <c r="N31" t="s">
        <v>32</v>
      </c>
      <c r="O31" s="3">
        <v>0</v>
      </c>
      <c r="Q31" s="6"/>
      <c r="R31" s="6"/>
      <c r="S31" s="6"/>
      <c r="T31" s="6"/>
      <c r="U31" s="6"/>
      <c r="V31" t="s">
        <v>31</v>
      </c>
      <c r="W31" t="s">
        <v>115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71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72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73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74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region=ESP; attribute=flo_cost;pset_pn=-IMP*Z</v>
      </c>
    </row>
    <row r="46" spans="2:14" ht="14.65" thickTop="1" x14ac:dyDescent="0.45">
      <c r="B46" t="s">
        <v>12</v>
      </c>
      <c r="C46" t="s">
        <v>81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79</v>
      </c>
      <c r="N46" t="s">
        <v>80</v>
      </c>
    </row>
    <row r="47" spans="2:14" x14ac:dyDescent="0.45">
      <c r="B47" t="s">
        <v>75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76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77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78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122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32</v>
      </c>
      <c r="B56" t="s">
        <v>106</v>
      </c>
      <c r="C56">
        <v>4.38</v>
      </c>
      <c r="D56">
        <v>5.0999999999999996</v>
      </c>
      <c r="E56">
        <v>5.75</v>
      </c>
      <c r="F56" t="s">
        <v>107</v>
      </c>
    </row>
    <row r="57" spans="1:14" x14ac:dyDescent="0.45">
      <c r="A57" t="s">
        <v>30</v>
      </c>
      <c r="B57" t="s">
        <v>106</v>
      </c>
      <c r="C57">
        <v>0</v>
      </c>
      <c r="D57">
        <v>0</v>
      </c>
      <c r="E57">
        <v>0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controller</vt:lpstr>
      <vt:lpstr>Veda_FRA</vt:lpstr>
      <vt:lpstr>fuel_prices</vt:lpstr>
      <vt:lpstr>iea_data</vt:lpstr>
      <vt:lpstr>ar6_r10</vt:lpstr>
      <vt:lpstr>Veda_GBR</vt:lpstr>
      <vt:lpstr>Veda_NLD</vt:lpstr>
      <vt:lpstr>Veda_BEL</vt:lpstr>
      <vt:lpstr>Veda_DEU</vt:lpstr>
      <vt:lpstr>Veda_CHE</vt:lpstr>
      <vt:lpstr>Veda_ITA</vt:lpstr>
      <vt:lpstr>Veda_ESP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2026-09-03T19:19:14Z</dcterms:modified>
</cp:coreProperties>
</file>