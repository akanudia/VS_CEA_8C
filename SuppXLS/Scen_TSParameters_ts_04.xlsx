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ppXLS\"/>
    </mc:Choice>
  </mc:AlternateContent>
  <xr:revisionPtr revIDLastSave="0" documentId="13_ncr:1_{DD856075-7840-4667-A201-7FDFA4C66908}" xr6:coauthVersionLast="47" xr6:coauthVersionMax="47" xr10:uidLastSave="{00000000-0000-0000-0000-000000000000}"/>
  <bookViews>
    <workbookView xWindow="368" yWindow="368" windowWidth="21599" windowHeight="12772" firstSheet="21" activeTab="25" xr2:uid="{9AFE621A-5A4D-4021-A892-D7746615649C}"/>
  </bookViews>
  <sheets>
    <sheet name="resource_profiles_FRA" sheetId="2" r:id="rId1"/>
    <sheet name="firmness_FRA" sheetId="3" r:id="rId2"/>
    <sheet name="load_demand_peak_hydro_FRA" sheetId="4" r:id="rId3"/>
    <sheet name="resource_profiles_GBR" sheetId="5" r:id="rId4"/>
    <sheet name="firmness_GBR" sheetId="6" r:id="rId5"/>
    <sheet name="load_demand_peak_hydro_GBR" sheetId="7" r:id="rId6"/>
    <sheet name="resource_profiles_BEL" sheetId="8" r:id="rId7"/>
    <sheet name="firmness_BEL" sheetId="9" r:id="rId8"/>
    <sheet name="load_demand_peak_hydro_BEL" sheetId="10" r:id="rId9"/>
    <sheet name="resource_profiles_DEU" sheetId="11" r:id="rId10"/>
    <sheet name="firmness_DEU" sheetId="12" r:id="rId11"/>
    <sheet name="load_demand_peak_hydro_DEU" sheetId="13" r:id="rId12"/>
    <sheet name="resource_profiles_CHE" sheetId="14" r:id="rId13"/>
    <sheet name="firmness_CHE" sheetId="15" r:id="rId14"/>
    <sheet name="load_demand_peak_hydro_CHE" sheetId="16" r:id="rId15"/>
    <sheet name="resource_profiles_ITA" sheetId="17" r:id="rId16"/>
    <sheet name="firmness_ITA" sheetId="18" r:id="rId17"/>
    <sheet name="load_demand_peak_hydro_ITA" sheetId="19" r:id="rId18"/>
    <sheet name="resource_profiles_ESP" sheetId="20" r:id="rId19"/>
    <sheet name="firmness_ESP" sheetId="21" r:id="rId20"/>
    <sheet name="load_demand_peak_hydro_ESP" sheetId="22" r:id="rId21"/>
    <sheet name="resource_profiles_NLD" sheetId="23" r:id="rId22"/>
    <sheet name="firmness_NLD" sheetId="24" r:id="rId23"/>
    <sheet name="load_demand_peak_hydro_NLD" sheetId="25" r:id="rId24"/>
    <sheet name="ev_charging_uc" sheetId="26" r:id="rId25"/>
    <sheet name="timeslice_def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7" l="1"/>
  <c r="I24" i="26"/>
  <c r="I23" i="26" s="1"/>
  <c r="H24" i="26"/>
  <c r="E24" i="26"/>
  <c r="H23" i="26"/>
  <c r="H21" i="26" s="1"/>
  <c r="E23" i="26"/>
  <c r="P9" i="25"/>
  <c r="L9" i="25"/>
  <c r="H9" i="25"/>
  <c r="C9" i="25"/>
  <c r="AC9" i="24"/>
  <c r="W9" i="24"/>
  <c r="P9" i="24"/>
  <c r="I9" i="24"/>
  <c r="B9" i="24"/>
  <c r="L9" i="23"/>
  <c r="G9" i="23"/>
  <c r="B9" i="23"/>
  <c r="P9" i="22" l="1"/>
  <c r="L9" i="22"/>
  <c r="H9" i="22"/>
  <c r="C9" i="22"/>
  <c r="AC9" i="21"/>
  <c r="W9" i="21"/>
  <c r="P9" i="21"/>
  <c r="I9" i="21"/>
  <c r="B9" i="21"/>
  <c r="L9" i="20"/>
  <c r="G9" i="20"/>
  <c r="B9" i="20"/>
  <c r="P9" i="19" l="1"/>
  <c r="L9" i="19"/>
  <c r="H9" i="19"/>
  <c r="C9" i="19"/>
  <c r="AC9" i="18"/>
  <c r="W9" i="18"/>
  <c r="P9" i="18"/>
  <c r="I9" i="18"/>
  <c r="B9" i="18"/>
  <c r="L9" i="17"/>
  <c r="G9" i="17"/>
  <c r="B9" i="17"/>
  <c r="P9" i="16" l="1"/>
  <c r="L9" i="16"/>
  <c r="H9" i="16"/>
  <c r="C9" i="16"/>
  <c r="AC9" i="15"/>
  <c r="W9" i="15"/>
  <c r="P9" i="15"/>
  <c r="I9" i="15"/>
  <c r="B9" i="15"/>
  <c r="G9" i="14"/>
  <c r="B9" i="14"/>
  <c r="P9" i="13" l="1"/>
  <c r="L9" i="13"/>
  <c r="H9" i="13"/>
  <c r="C9" i="13"/>
  <c r="AC9" i="12"/>
  <c r="W9" i="12"/>
  <c r="P9" i="12"/>
  <c r="I9" i="12"/>
  <c r="B9" i="12"/>
  <c r="L9" i="11"/>
  <c r="G9" i="11"/>
  <c r="B9" i="11"/>
  <c r="P9" i="10" l="1"/>
  <c r="L9" i="10"/>
  <c r="H9" i="10"/>
  <c r="C9" i="10"/>
  <c r="AC9" i="9"/>
  <c r="W9" i="9"/>
  <c r="P9" i="9"/>
  <c r="I9" i="9"/>
  <c r="B9" i="9"/>
  <c r="G9" i="8"/>
  <c r="B9" i="8"/>
  <c r="P9" i="7" l="1"/>
  <c r="L9" i="7"/>
  <c r="H9" i="7"/>
  <c r="C9" i="7"/>
  <c r="AC9" i="6"/>
  <c r="W9" i="6"/>
  <c r="P9" i="6"/>
  <c r="I9" i="6"/>
  <c r="B9" i="6"/>
  <c r="L9" i="5"/>
  <c r="G9" i="5"/>
  <c r="B9" i="5"/>
  <c r="P9" i="4" l="1"/>
  <c r="L9" i="4"/>
  <c r="H9" i="4"/>
  <c r="C9" i="4"/>
  <c r="AC9" i="3"/>
  <c r="W9" i="3"/>
  <c r="P9" i="3"/>
  <c r="I9" i="3"/>
  <c r="B9" i="3"/>
  <c r="L9" i="2"/>
  <c r="G9" i="2"/>
  <c r="B9" i="2"/>
</calcChain>
</file>

<file path=xl/sharedStrings.xml><?xml version="1.0" encoding="utf-8"?>
<sst xmlns="http://schemas.openxmlformats.org/spreadsheetml/2006/main" count="8853" uniqueCount="876">
  <si>
    <t>commodity</t>
  </si>
  <si>
    <t>timeslice</t>
  </si>
  <si>
    <t>com_fr</t>
  </si>
  <si>
    <t>process</t>
  </si>
  <si>
    <t>elc_spv_FRA_001</t>
  </si>
  <si>
    <t>S1aH1</t>
  </si>
  <si>
    <t>IMPNRGZ</t>
  </si>
  <si>
    <t>elc_won_FRA_001</t>
  </si>
  <si>
    <t>elc_wof_FRA_001</t>
  </si>
  <si>
    <t>S1aH2</t>
  </si>
  <si>
    <t>S2aH1</t>
  </si>
  <si>
    <t>S2aH2</t>
  </si>
  <si>
    <t>elc_spv_FRA_002</t>
  </si>
  <si>
    <t>elc_won_FRA_002</t>
  </si>
  <si>
    <t>elc_wof_FRA_002</t>
  </si>
  <si>
    <t>elc_spv_FRA_003</t>
  </si>
  <si>
    <t>elc_won_FRA_003</t>
  </si>
  <si>
    <t>elc_wof_FRA_003</t>
  </si>
  <si>
    <t>elc_spv_FRA_004</t>
  </si>
  <si>
    <t>elc_won_FRA_004</t>
  </si>
  <si>
    <t>elc_wof_FRA_004</t>
  </si>
  <si>
    <t>elc_spv_FRA_005</t>
  </si>
  <si>
    <t>elc_won_FRA_005</t>
  </si>
  <si>
    <t>elc_wof_FRA_005</t>
  </si>
  <si>
    <t>elc_spv_FRA_006</t>
  </si>
  <si>
    <t>elc_won_FRA_006</t>
  </si>
  <si>
    <t>elc_wof_FRA_006</t>
  </si>
  <si>
    <t>elc_spv_FRA_007</t>
  </si>
  <si>
    <t>elc_won_FRA_007</t>
  </si>
  <si>
    <t>elc_wof_FRA_007</t>
  </si>
  <si>
    <t>elc_spv_FRA_008</t>
  </si>
  <si>
    <t>elc_won_FRA_008</t>
  </si>
  <si>
    <t>elc_wof_FRA_008</t>
  </si>
  <si>
    <t>elc_spv_FRA_009</t>
  </si>
  <si>
    <t>elc_won_FRA_009</t>
  </si>
  <si>
    <t>elc_wof_FRA_009</t>
  </si>
  <si>
    <t>elc_spv_FRA_010</t>
  </si>
  <si>
    <t>elc_won_FRA_010</t>
  </si>
  <si>
    <t>elc_wof_FRA_010</t>
  </si>
  <si>
    <t>elc_spv_FRA_011</t>
  </si>
  <si>
    <t>elc_won_FRA_011</t>
  </si>
  <si>
    <t>elc_wof_FRA_011</t>
  </si>
  <si>
    <t>elc_spv_FRA_012</t>
  </si>
  <si>
    <t>elc_won_FRA_012</t>
  </si>
  <si>
    <t>elc_wof_FRA_012</t>
  </si>
  <si>
    <t>elc_spv_FRA_013</t>
  </si>
  <si>
    <t>elc_won_FRA_013</t>
  </si>
  <si>
    <t>elc_wof_FRA_013</t>
  </si>
  <si>
    <t>elc_spv_FRA_014</t>
  </si>
  <si>
    <t>elc_won_FRA_014</t>
  </si>
  <si>
    <t>elc_wof_FRA_014</t>
  </si>
  <si>
    <t>elc_spv_FRA_015</t>
  </si>
  <si>
    <t>elc_won_FRA_015</t>
  </si>
  <si>
    <t>elc_wof_FRA_015</t>
  </si>
  <si>
    <t>elc_spv_FRA_016</t>
  </si>
  <si>
    <t>elc_won_FRA_016</t>
  </si>
  <si>
    <t>elc_wof_FRA_016</t>
  </si>
  <si>
    <t>elc_spv_FRA_017</t>
  </si>
  <si>
    <t>elc_won_FRA_017</t>
  </si>
  <si>
    <t>elc_wof_FRA_017</t>
  </si>
  <si>
    <t>elc_spv_FRA_018</t>
  </si>
  <si>
    <t>elc_won_FRA_018</t>
  </si>
  <si>
    <t>elc_spv_FRA_019</t>
  </si>
  <si>
    <t>elc_won_FRA_019</t>
  </si>
  <si>
    <t>elc_spv_FRA_020</t>
  </si>
  <si>
    <t>elc_won_FRA_020</t>
  </si>
  <si>
    <t>elc_spv_FRA_021</t>
  </si>
  <si>
    <t>elc_won_FRA_021</t>
  </si>
  <si>
    <t>elc_spv_FRA_022</t>
  </si>
  <si>
    <t>elc_won_FRA_022</t>
  </si>
  <si>
    <t>elc_spv_FRA_023</t>
  </si>
  <si>
    <t>elc_won_FRA_023</t>
  </si>
  <si>
    <t>elc_spv_FRA_024</t>
  </si>
  <si>
    <t>elc_won_FRA_024</t>
  </si>
  <si>
    <t>elc_spv_FRA_025</t>
  </si>
  <si>
    <t>elc_won_FRA_025</t>
  </si>
  <si>
    <t>elc_spv_FRA_026</t>
  </si>
  <si>
    <t>elc_won_FRA_026</t>
  </si>
  <si>
    <t>elc_spv_FRA_027</t>
  </si>
  <si>
    <t>elc_won_FRA_027</t>
  </si>
  <si>
    <t>elc_spv_FRA_028</t>
  </si>
  <si>
    <t>elc_won_FRA_028</t>
  </si>
  <si>
    <t>elc_spv_FRA_029</t>
  </si>
  <si>
    <t>elc_spv_FRA_030</t>
  </si>
  <si>
    <t>other_indexes</t>
  </si>
  <si>
    <t>ncap_com</t>
  </si>
  <si>
    <t>distr_solelc_spv_FRA_001</t>
  </si>
  <si>
    <t>DEF_E</t>
  </si>
  <si>
    <t>distr_sol*</t>
  </si>
  <si>
    <t>ELC4H</t>
  </si>
  <si>
    <t>ELC8H</t>
  </si>
  <si>
    <t>DEF_C</t>
  </si>
  <si>
    <t>OUT</t>
  </si>
  <si>
    <t>distr_solelc_spv_FRA_002</t>
  </si>
  <si>
    <t>distr_won*</t>
  </si>
  <si>
    <t>distr_solelc_spv_FRA_003</t>
  </si>
  <si>
    <t>distr_wof*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</si>
  <si>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</si>
  <si>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</si>
  <si>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</si>
  <si>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</si>
  <si>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</si>
  <si>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</si>
  <si>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</si>
  <si>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</si>
  <si>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</si>
  <si>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</si>
  <si>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</si>
  <si>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</si>
  <si>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</si>
  <si>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</si>
  <si>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</si>
  <si>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</si>
  <si>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</si>
  <si>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</si>
  <si>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</si>
  <si>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</si>
  <si>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</si>
  <si>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</si>
  <si>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</si>
  <si>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</si>
  <si>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</si>
  <si>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</si>
  <si>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</si>
  <si>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</si>
  <si>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distr_wonelc_won_FRA_001</t>
  </si>
  <si>
    <t>distr_wofelc_wof_FRA_002</t>
  </si>
  <si>
    <t>distr_wonelc_won_FRA_002</t>
  </si>
  <si>
    <t>distr_wofelc_wof_FRA_003</t>
  </si>
  <si>
    <t>distr_wonelc_won_FRA_003</t>
  </si>
  <si>
    <t>distr_wofelc_wof_FRA_004</t>
  </si>
  <si>
    <t>distr_wonelc_won_FRA_004</t>
  </si>
  <si>
    <t>distr_wofelc_wof_FRA_005</t>
  </si>
  <si>
    <t>distr_wonelc_won_FRA_005</t>
  </si>
  <si>
    <t>distr_wofelc_wof_FRA_006</t>
  </si>
  <si>
    <t>distr_wonelc_won_FRA_006</t>
  </si>
  <si>
    <t>distr_wofelc_wof_FRA_007</t>
  </si>
  <si>
    <t>distr_wonelc_won_FRA_007</t>
  </si>
  <si>
    <t>distr_wofelc_wof_FRA_008</t>
  </si>
  <si>
    <t>distr_wonelc_won_FRA_008</t>
  </si>
  <si>
    <t>distr_wofelc_wof_FRA_009</t>
  </si>
  <si>
    <t>distr_wonelc_won_FRA_009</t>
  </si>
  <si>
    <t>distr_wofelc_wof_FRA_010</t>
  </si>
  <si>
    <t>distr_wonelc_won_FRA_010</t>
  </si>
  <si>
    <t>distr_wofelc_wof_FRA_011</t>
  </si>
  <si>
    <t>distr_wonelc_won_FRA_011</t>
  </si>
  <si>
    <t>distr_wofelc_wof_FRA_012</t>
  </si>
  <si>
    <t>distr_wonelc_won_FRA_012</t>
  </si>
  <si>
    <t>distr_wofelc_wof_FRA_013</t>
  </si>
  <si>
    <t>distr_wonelc_won_FRA_013</t>
  </si>
  <si>
    <t>distr_wofelc_wof_FRA_014</t>
  </si>
  <si>
    <t>distr_wonelc_won_FRA_014</t>
  </si>
  <si>
    <t>distr_wofelc_wof_FRA_015</t>
  </si>
  <si>
    <t>distr_wonelc_won_FRA_015</t>
  </si>
  <si>
    <t>distr_wofelc_wof_FRA_016</t>
  </si>
  <si>
    <t>distr_wonelc_won_FRA_016</t>
  </si>
  <si>
    <t>distr_wofelc_wof_FRA_017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</si>
  <si>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</si>
  <si>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</si>
  <si>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</si>
  <si>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</si>
  <si>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</si>
  <si>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</si>
  <si>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</si>
  <si>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</si>
  <si>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</si>
  <si>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</si>
  <si>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</si>
  <si>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</si>
  <si>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ts_04</t>
  </si>
  <si>
    <t>g_yrfr</t>
  </si>
  <si>
    <t>com_pkflx</t>
  </si>
  <si>
    <t>Year</t>
  </si>
  <si>
    <t>ncap_afs</t>
  </si>
  <si>
    <t>pset_ci</t>
  </si>
  <si>
    <t>elc_roadtransport</t>
  </si>
  <si>
    <t>elc_buildings</t>
  </si>
  <si>
    <t>ELC</t>
  </si>
  <si>
    <t>S1</t>
  </si>
  <si>
    <t>hydro</t>
  </si>
  <si>
    <t>S2</t>
  </si>
  <si>
    <t>elc_industry</t>
  </si>
  <si>
    <t>elc_spv_GBR_001</t>
  </si>
  <si>
    <t>elc_won_GBR_001</t>
  </si>
  <si>
    <t>elc_wof_GBR_001</t>
  </si>
  <si>
    <t>elc_spv_GBR_002</t>
  </si>
  <si>
    <t>elc_won_GBR_002</t>
  </si>
  <si>
    <t>elc_wof_GBR_002</t>
  </si>
  <si>
    <t>elc_spv_GBR_003</t>
  </si>
  <si>
    <t>elc_won_GBR_003</t>
  </si>
  <si>
    <t>elc_wof_GBR_003</t>
  </si>
  <si>
    <t>elc_spv_GBR_004</t>
  </si>
  <si>
    <t>elc_won_GBR_004</t>
  </si>
  <si>
    <t>elc_wof_GBR_004</t>
  </si>
  <si>
    <t>elc_spv_GBR_005</t>
  </si>
  <si>
    <t>elc_won_GBR_005</t>
  </si>
  <si>
    <t>elc_wof_GBR_005</t>
  </si>
  <si>
    <t>elc_spv_GBR_006</t>
  </si>
  <si>
    <t>elc_won_GBR_006</t>
  </si>
  <si>
    <t>elc_wof_GBR_006</t>
  </si>
  <si>
    <t>elc_spv_GBR_007</t>
  </si>
  <si>
    <t>elc_won_GBR_007</t>
  </si>
  <si>
    <t>elc_wof_GBR_007</t>
  </si>
  <si>
    <t>elc_spv_GBR_008</t>
  </si>
  <si>
    <t>elc_won_GBR_008</t>
  </si>
  <si>
    <t>elc_wof_GBR_008</t>
  </si>
  <si>
    <t>elc_spv_GBR_009</t>
  </si>
  <si>
    <t>elc_won_GBR_009</t>
  </si>
  <si>
    <t>elc_wof_GBR_009</t>
  </si>
  <si>
    <t>elc_spv_GBR_010</t>
  </si>
  <si>
    <t>elc_won_GBR_010</t>
  </si>
  <si>
    <t>elc_wof_GBR_010</t>
  </si>
  <si>
    <t>elc_spv_GBR_011</t>
  </si>
  <si>
    <t>elc_won_GBR_011</t>
  </si>
  <si>
    <t>elc_wof_GBR_011</t>
  </si>
  <si>
    <t>elc_spv_GBR_012</t>
  </si>
  <si>
    <t>elc_won_GBR_012</t>
  </si>
  <si>
    <t>elc_wof_GBR_012</t>
  </si>
  <si>
    <t>elc_spv_GBR_013</t>
  </si>
  <si>
    <t>elc_won_GBR_013</t>
  </si>
  <si>
    <t>elc_wof_GBR_013</t>
  </si>
  <si>
    <t>elc_spv_GBR_014</t>
  </si>
  <si>
    <t>elc_won_GBR_014</t>
  </si>
  <si>
    <t>elc_wof_GBR_014</t>
  </si>
  <si>
    <t>elc_spv_GBR_015</t>
  </si>
  <si>
    <t>elc_won_GBR_015</t>
  </si>
  <si>
    <t>elc_wof_GBR_015</t>
  </si>
  <si>
    <t>elc_spv_GBR_016</t>
  </si>
  <si>
    <t>elc_won_GBR_016</t>
  </si>
  <si>
    <t>elc_wof_GBR_016</t>
  </si>
  <si>
    <t>elc_spv_GBR_017</t>
  </si>
  <si>
    <t>elc_won_GBR_017</t>
  </si>
  <si>
    <t>elc_wof_GBR_017</t>
  </si>
  <si>
    <t>elc_spv_GBR_018</t>
  </si>
  <si>
    <t>elc_won_GBR_018</t>
  </si>
  <si>
    <t>elc_wof_GBR_018</t>
  </si>
  <si>
    <t>elc_spv_GBR_019</t>
  </si>
  <si>
    <t>elc_won_GBR_019</t>
  </si>
  <si>
    <t>elc_wof_GBR_019</t>
  </si>
  <si>
    <t>elc_spv_GBR_020</t>
  </si>
  <si>
    <t>elc_won_GBR_020</t>
  </si>
  <si>
    <t>elc_wof_GBR_020</t>
  </si>
  <si>
    <t>elc_spv_GBR_021</t>
  </si>
  <si>
    <t>elc_won_GBR_021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</si>
  <si>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</si>
  <si>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</si>
  <si>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</si>
  <si>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</si>
  <si>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</si>
  <si>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</si>
  <si>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</si>
  <si>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</si>
  <si>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</si>
  <si>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</si>
  <si>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</si>
  <si>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</si>
  <si>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</si>
  <si>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</si>
  <si>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</si>
  <si>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</si>
  <si>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</si>
  <si>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</si>
  <si>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</si>
  <si>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</si>
  <si>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</si>
  <si>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</si>
  <si>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</si>
  <si>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</si>
  <si>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</si>
  <si>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</si>
  <si>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</si>
  <si>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</si>
  <si>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</si>
  <si>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</si>
  <si>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</si>
  <si>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</si>
  <si>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</si>
  <si>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</si>
  <si>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</si>
  <si>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</si>
  <si>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distr_wonelc_won_GBR_001</t>
  </si>
  <si>
    <t>distr_wofelc_wof_GBR_002</t>
  </si>
  <si>
    <t>distr_wonelc_won_GBR_002</t>
  </si>
  <si>
    <t>distr_wofelc_wof_GBR_003</t>
  </si>
  <si>
    <t>distr_wonelc_won_GBR_003</t>
  </si>
  <si>
    <t>distr_wofelc_wof_GBR_004</t>
  </si>
  <si>
    <t>distr_wonelc_won_GBR_004</t>
  </si>
  <si>
    <t>distr_wofelc_wof_GBR_005</t>
  </si>
  <si>
    <t>distr_wonelc_won_GBR_005</t>
  </si>
  <si>
    <t>distr_wofelc_wof_GBR_006</t>
  </si>
  <si>
    <t>distr_wonelc_won_GBR_006</t>
  </si>
  <si>
    <t>distr_wofelc_wof_GBR_007</t>
  </si>
  <si>
    <t>distr_wonelc_won_GBR_007</t>
  </si>
  <si>
    <t>distr_wofelc_wof_GBR_008</t>
  </si>
  <si>
    <t>distr_wonelc_won_GBR_008</t>
  </si>
  <si>
    <t>distr_wofelc_wof_GBR_009</t>
  </si>
  <si>
    <t>distr_wonelc_won_GBR_009</t>
  </si>
  <si>
    <t>distr_wofelc_wof_GBR_010</t>
  </si>
  <si>
    <t>distr_wonelc_won_GBR_010</t>
  </si>
  <si>
    <t>distr_wofelc_wof_GBR_011</t>
  </si>
  <si>
    <t>distr_wonelc_won_GBR_011</t>
  </si>
  <si>
    <t>distr_wofelc_wof_GBR_012</t>
  </si>
  <si>
    <t>distr_wonelc_won_GBR_012</t>
  </si>
  <si>
    <t>distr_wofelc_wof_GBR_013</t>
  </si>
  <si>
    <t>distr_wonelc_won_GBR_013</t>
  </si>
  <si>
    <t>distr_wofelc_wof_GBR_014</t>
  </si>
  <si>
    <t>distr_wonelc_won_GBR_014</t>
  </si>
  <si>
    <t>distr_wofelc_wof_GBR_015</t>
  </si>
  <si>
    <t>distr_wonelc_won_GBR_015</t>
  </si>
  <si>
    <t>distr_wofelc_wof_GBR_016</t>
  </si>
  <si>
    <t>distr_wonelc_won_GBR_016</t>
  </si>
  <si>
    <t>distr_wofelc_wof_GBR_017</t>
  </si>
  <si>
    <t>distr_wonelc_won_GBR_017</t>
  </si>
  <si>
    <t>distr_wofelc_wof_GBR_018</t>
  </si>
  <si>
    <t>distr_wonelc_won_GBR_018</t>
  </si>
  <si>
    <t>distr_wofelc_wof_GBR_019</t>
  </si>
  <si>
    <t>distr_wonelc_won_GBR_019</t>
  </si>
  <si>
    <t>distr_wofelc_wof_GBR_020</t>
  </si>
  <si>
    <t>distr_wonelc_won_GBR_020</t>
  </si>
  <si>
    <t>distr_wofelc_wof_GBR_021</t>
  </si>
  <si>
    <t>distr_wonelc_won_GBR_021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</si>
  <si>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</si>
  <si>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</si>
  <si>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</si>
  <si>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</si>
  <si>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</si>
  <si>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</si>
  <si>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</si>
  <si>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</si>
  <si>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</si>
  <si>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</si>
  <si>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</si>
  <si>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</si>
  <si>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</si>
  <si>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elc_spv_BEL_001</t>
  </si>
  <si>
    <t>elc_won_BEL_001</t>
  </si>
  <si>
    <t>elc_spv_BEL_002</t>
  </si>
  <si>
    <t>elc_won_BEL_002</t>
  </si>
  <si>
    <t>elc_spv_BEL_003</t>
  </si>
  <si>
    <t>elc_won_BEL_003</t>
  </si>
  <si>
    <t>elc_spv_BEL_004</t>
  </si>
  <si>
    <t>elc_won_BEL_004</t>
  </si>
  <si>
    <t>elc_spv_BEL_005</t>
  </si>
  <si>
    <t>elc_won_BEL_005</t>
  </si>
  <si>
    <t>elc_spv_BEL_006</t>
  </si>
  <si>
    <t>elc_won_BEL_006</t>
  </si>
  <si>
    <t>elc_spv_BEL_007</t>
  </si>
  <si>
    <t>elc_won_BEL_007</t>
  </si>
  <si>
    <t>elc_spv_BEL_008</t>
  </si>
  <si>
    <t>elc_won_BEL_008</t>
  </si>
  <si>
    <t>elc_spv_BEL_009</t>
  </si>
  <si>
    <t>elc_won_BEL_009</t>
  </si>
  <si>
    <t>elc_spv_BEL_010</t>
  </si>
  <si>
    <t>elc_won_BEL_010</t>
  </si>
  <si>
    <t>distr_solelc_spv_BEL_001</t>
  </si>
  <si>
    <t>distr_solelc_spv_BEL_002</t>
  </si>
  <si>
    <t>distr_solelc_spv_BEL_003</t>
  </si>
  <si>
    <t>distr_solelc_spv_BEL_004</t>
  </si>
  <si>
    <t>distr_solelc_spv_BEL_005</t>
  </si>
  <si>
    <t>distr_solelc_spv_BEL_006</t>
  </si>
  <si>
    <t>distr_solelc_spv_BEL_007</t>
  </si>
  <si>
    <t>distr_solelc_spv_BEL_008</t>
  </si>
  <si>
    <t>distr_solelc_spv_BEL_009</t>
  </si>
  <si>
    <t>distr_solelc_spv_BEL_010</t>
  </si>
  <si>
    <t>distr_wonelc_won_BEL_001</t>
  </si>
  <si>
    <t>distr_wonelc_won_BEL_002</t>
  </si>
  <si>
    <t>distr_wonelc_won_BEL_003</t>
  </si>
  <si>
    <t>distr_wonelc_won_BEL_004</t>
  </si>
  <si>
    <t>distr_wonelc_won_BEL_005</t>
  </si>
  <si>
    <t>distr_wonelc_won_BEL_006</t>
  </si>
  <si>
    <t>distr_wonelc_won_BEL_007</t>
  </si>
  <si>
    <t>distr_wonelc_won_BEL_008</t>
  </si>
  <si>
    <t>distr_wonelc_won_BEL_009</t>
  </si>
  <si>
    <t>distr_wonelc_won_BEL_010</t>
  </si>
  <si>
    <t>elc_spv_DEU_001</t>
  </si>
  <si>
    <t>elc_won_DEU_001</t>
  </si>
  <si>
    <t>elc_wof_DEU_001</t>
  </si>
  <si>
    <t>elc_spv_DEU_002</t>
  </si>
  <si>
    <t>elc_won_DEU_002</t>
  </si>
  <si>
    <t>elc_wof_DEU_002</t>
  </si>
  <si>
    <t>elc_spv_DEU_003</t>
  </si>
  <si>
    <t>elc_won_DEU_003</t>
  </si>
  <si>
    <t>elc_wof_DEU_003</t>
  </si>
  <si>
    <t>elc_spv_DEU_004</t>
  </si>
  <si>
    <t>elc_won_DEU_004</t>
  </si>
  <si>
    <t>elc_wof_DEU_004</t>
  </si>
  <si>
    <t>elc_spv_DEU_005</t>
  </si>
  <si>
    <t>elc_won_DEU_005</t>
  </si>
  <si>
    <t>elc_wof_DEU_005</t>
  </si>
  <si>
    <t>elc_spv_DEU_006</t>
  </si>
  <si>
    <t>elc_won_DEU_006</t>
  </si>
  <si>
    <t>elc_wof_DEU_006</t>
  </si>
  <si>
    <t>elc_spv_DEU_007</t>
  </si>
  <si>
    <t>elc_won_DEU_007</t>
  </si>
  <si>
    <t>elc_wof_DEU_007</t>
  </si>
  <si>
    <t>elc_spv_DEU_008</t>
  </si>
  <si>
    <t>elc_won_DEU_008</t>
  </si>
  <si>
    <t>elc_wof_DEU_008</t>
  </si>
  <si>
    <t>elc_spv_DEU_009</t>
  </si>
  <si>
    <t>elc_won_DEU_009</t>
  </si>
  <si>
    <t>elc_wof_DEU_009</t>
  </si>
  <si>
    <t>elc_spv_DEU_010</t>
  </si>
  <si>
    <t>elc_won_DEU_010</t>
  </si>
  <si>
    <t>elc_wof_DEU_010</t>
  </si>
  <si>
    <t>elc_spv_DEU_011</t>
  </si>
  <si>
    <t>elc_won_DEU_011</t>
  </si>
  <si>
    <t>elc_spv_DEU_012</t>
  </si>
  <si>
    <t>elc_won_DEU_012</t>
  </si>
  <si>
    <t>elc_spv_DEU_013</t>
  </si>
  <si>
    <t>elc_won_DEU_013</t>
  </si>
  <si>
    <t>elc_spv_DEU_014</t>
  </si>
  <si>
    <t>elc_won_DEU_014</t>
  </si>
  <si>
    <t>elc_spv_DEU_015</t>
  </si>
  <si>
    <t>elc_won_DEU_015</t>
  </si>
  <si>
    <t>elc_spv_DEU_016</t>
  </si>
  <si>
    <t>elc_won_DEU_016</t>
  </si>
  <si>
    <t>elc_spv_DEU_017</t>
  </si>
  <si>
    <t>elc_won_DEU_017</t>
  </si>
  <si>
    <t>elc_spv_DEU_018</t>
  </si>
  <si>
    <t>elc_won_DEU_018</t>
  </si>
  <si>
    <t>elc_spv_DEU_019</t>
  </si>
  <si>
    <t>elc_won_DEU_019</t>
  </si>
  <si>
    <t>elc_spv_DEU_020</t>
  </si>
  <si>
    <t>elc_won_DEU_020</t>
  </si>
  <si>
    <t>elc_spv_DEU_021</t>
  </si>
  <si>
    <t>elc_won_DEU_021</t>
  </si>
  <si>
    <t>elc_spv_DEU_022</t>
  </si>
  <si>
    <t>elc_won_DEU_022</t>
  </si>
  <si>
    <t>elc_spv_DEU_023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</si>
  <si>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</si>
  <si>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</si>
  <si>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</si>
  <si>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</si>
  <si>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</si>
  <si>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</si>
  <si>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</si>
  <si>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</si>
  <si>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</si>
  <si>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</si>
  <si>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</si>
  <si>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</si>
  <si>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</si>
  <si>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</si>
  <si>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</si>
  <si>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</si>
  <si>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</si>
  <si>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</si>
  <si>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</si>
  <si>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</si>
  <si>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</si>
  <si>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</si>
  <si>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</si>
  <si>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</si>
  <si>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distr_wonelc_won_DEU_001</t>
  </si>
  <si>
    <t>distr_wofelc_wof_DEU_002</t>
  </si>
  <si>
    <t>distr_wonelc_won_DEU_002</t>
  </si>
  <si>
    <t>distr_wofelc_wof_DEU_003</t>
  </si>
  <si>
    <t>distr_wonelc_won_DEU_003</t>
  </si>
  <si>
    <t>distr_wofelc_wof_DEU_004</t>
  </si>
  <si>
    <t>distr_wonelc_won_DEU_004</t>
  </si>
  <si>
    <t>distr_wofelc_wof_DEU_005</t>
  </si>
  <si>
    <t>distr_wonelc_won_DEU_005</t>
  </si>
  <si>
    <t>distr_wofelc_wof_DEU_006</t>
  </si>
  <si>
    <t>distr_wonelc_won_DEU_006</t>
  </si>
  <si>
    <t>distr_wofelc_wof_DEU_007</t>
  </si>
  <si>
    <t>distr_wonelc_won_DEU_007</t>
  </si>
  <si>
    <t>distr_wofelc_wof_DEU_008</t>
  </si>
  <si>
    <t>distr_wonelc_won_DEU_008</t>
  </si>
  <si>
    <t>distr_wofelc_wof_DEU_009</t>
  </si>
  <si>
    <t>distr_wonelc_won_DEU_009</t>
  </si>
  <si>
    <t>distr_wofelc_wof_DEU_010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</si>
  <si>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</si>
  <si>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</si>
  <si>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</si>
  <si>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</si>
  <si>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</si>
  <si>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</si>
  <si>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</si>
  <si>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</si>
  <si>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</si>
  <si>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</si>
  <si>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</si>
  <si>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</si>
  <si>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</si>
  <si>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elc_spv_CHE_001</t>
  </si>
  <si>
    <t>elc_won_CHE_001</t>
  </si>
  <si>
    <t>elc_spv_CHE_002</t>
  </si>
  <si>
    <t>elc_won_CHE_002</t>
  </si>
  <si>
    <t>elc_spv_CHE_003</t>
  </si>
  <si>
    <t>elc_won_CHE_003</t>
  </si>
  <si>
    <t>elc_spv_CHE_004</t>
  </si>
  <si>
    <t>elc_won_CHE_004</t>
  </si>
  <si>
    <t>elc_spv_CHE_005</t>
  </si>
  <si>
    <t>elc_won_CHE_005</t>
  </si>
  <si>
    <t>elc_spv_CHE_006</t>
  </si>
  <si>
    <t>elc_won_CHE_006</t>
  </si>
  <si>
    <t>elc_spv_CHE_007</t>
  </si>
  <si>
    <t>elc_spv_CHE_008</t>
  </si>
  <si>
    <t>elc_spv_CHE_009</t>
  </si>
  <si>
    <t>elc_spv_CHE_010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</si>
  <si>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</si>
  <si>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</si>
  <si>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</si>
  <si>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</si>
  <si>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</si>
  <si>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</si>
  <si>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</si>
  <si>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</si>
  <si>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</si>
  <si>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</si>
  <si>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</si>
  <si>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</si>
  <si>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</si>
  <si>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</si>
  <si>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</si>
  <si>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</si>
  <si>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elc_spv_ITA_001</t>
  </si>
  <si>
    <t>elc_won_ITA_001</t>
  </si>
  <si>
    <t>elc_wof_ITA_001</t>
  </si>
  <si>
    <t>elc_spv_ITA_002</t>
  </si>
  <si>
    <t>elc_won_ITA_002</t>
  </si>
  <si>
    <t>elc_wof_ITA_002</t>
  </si>
  <si>
    <t>elc_spv_ITA_003</t>
  </si>
  <si>
    <t>elc_won_ITA_003</t>
  </si>
  <si>
    <t>elc_wof_ITA_003</t>
  </si>
  <si>
    <t>elc_spv_ITA_004</t>
  </si>
  <si>
    <t>elc_won_ITA_004</t>
  </si>
  <si>
    <t>elc_wof_ITA_004</t>
  </si>
  <si>
    <t>elc_spv_ITA_005</t>
  </si>
  <si>
    <t>elc_won_ITA_005</t>
  </si>
  <si>
    <t>elc_wof_ITA_005</t>
  </si>
  <si>
    <t>elc_spv_ITA_006</t>
  </si>
  <si>
    <t>elc_won_ITA_006</t>
  </si>
  <si>
    <t>elc_wof_ITA_006</t>
  </si>
  <si>
    <t>elc_spv_ITA_007</t>
  </si>
  <si>
    <t>elc_won_ITA_007</t>
  </si>
  <si>
    <t>elc_wof_ITA_007</t>
  </si>
  <si>
    <t>elc_spv_ITA_008</t>
  </si>
  <si>
    <t>elc_won_ITA_008</t>
  </si>
  <si>
    <t>elc_wof_ITA_008</t>
  </si>
  <si>
    <t>elc_spv_ITA_009</t>
  </si>
  <si>
    <t>elc_won_ITA_009</t>
  </si>
  <si>
    <t>elc_wof_ITA_009</t>
  </si>
  <si>
    <t>elc_spv_ITA_010</t>
  </si>
  <si>
    <t>elc_won_ITA_010</t>
  </si>
  <si>
    <t>elc_wof_ITA_010</t>
  </si>
  <si>
    <t>elc_spv_ITA_011</t>
  </si>
  <si>
    <t>elc_won_ITA_011</t>
  </si>
  <si>
    <t>elc_wof_ITA_011</t>
  </si>
  <si>
    <t>elc_spv_ITA_012</t>
  </si>
  <si>
    <t>elc_won_ITA_012</t>
  </si>
  <si>
    <t>elc_wof_ITA_012</t>
  </si>
  <si>
    <t>elc_spv_ITA_013</t>
  </si>
  <si>
    <t>elc_won_ITA_013</t>
  </si>
  <si>
    <t>elc_wof_ITA_013</t>
  </si>
  <si>
    <t>elc_spv_ITA_014</t>
  </si>
  <si>
    <t>elc_won_ITA_014</t>
  </si>
  <si>
    <t>elc_wof_ITA_014</t>
  </si>
  <si>
    <t>elc_spv_ITA_015</t>
  </si>
  <si>
    <t>elc_won_ITA_015</t>
  </si>
  <si>
    <t>elc_wof_ITA_015</t>
  </si>
  <si>
    <t>elc_spv_ITA_016</t>
  </si>
  <si>
    <t>elc_won_ITA_016</t>
  </si>
  <si>
    <t>elc_wof_ITA_016</t>
  </si>
  <si>
    <t>elc_spv_ITA_017</t>
  </si>
  <si>
    <t>elc_won_ITA_017</t>
  </si>
  <si>
    <t>elc_wof_ITA_017</t>
  </si>
  <si>
    <t>elc_spv_ITA_018</t>
  </si>
  <si>
    <t>elc_won_ITA_018</t>
  </si>
  <si>
    <t>elc_wof_ITA_018</t>
  </si>
  <si>
    <t>elc_spv_ITA_019</t>
  </si>
  <si>
    <t>elc_won_ITA_019</t>
  </si>
  <si>
    <t>elc_wof_ITA_019</t>
  </si>
  <si>
    <t>elc_spv_ITA_020</t>
  </si>
  <si>
    <t>elc_wof_ITA_020</t>
  </si>
  <si>
    <t>elc_spv_ITA_021</t>
  </si>
  <si>
    <t>elc_spv_ITA_022</t>
  </si>
  <si>
    <t>elc_spv_ITA_023</t>
  </si>
  <si>
    <t>elc_spv_ITA_024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</si>
  <si>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</si>
  <si>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</si>
  <si>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</si>
  <si>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</si>
  <si>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</si>
  <si>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</si>
  <si>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</si>
  <si>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</si>
  <si>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</si>
  <si>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</si>
  <si>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</si>
  <si>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</si>
  <si>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</si>
  <si>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</si>
  <si>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</si>
  <si>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</si>
  <si>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</si>
  <si>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</si>
  <si>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</si>
  <si>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</si>
  <si>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</si>
  <si>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</si>
  <si>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</si>
  <si>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</si>
  <si>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</si>
  <si>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distr_wonelc_won_ITA_001</t>
  </si>
  <si>
    <t>distr_wofelc_wof_ITA_002</t>
  </si>
  <si>
    <t>distr_wonelc_won_ITA_002</t>
  </si>
  <si>
    <t>distr_wofelc_wof_ITA_003</t>
  </si>
  <si>
    <t>distr_wonelc_won_ITA_003</t>
  </si>
  <si>
    <t>distr_wofelc_wof_ITA_004</t>
  </si>
  <si>
    <t>distr_wonelc_won_ITA_004</t>
  </si>
  <si>
    <t>distr_wofelc_wof_ITA_005</t>
  </si>
  <si>
    <t>distr_wonelc_won_ITA_005</t>
  </si>
  <si>
    <t>distr_wofelc_wof_ITA_006</t>
  </si>
  <si>
    <t>distr_wonelc_won_ITA_006</t>
  </si>
  <si>
    <t>distr_wofelc_wof_ITA_007</t>
  </si>
  <si>
    <t>distr_wonelc_won_ITA_007</t>
  </si>
  <si>
    <t>distr_wofelc_wof_ITA_008</t>
  </si>
  <si>
    <t>distr_wonelc_won_ITA_008</t>
  </si>
  <si>
    <t>distr_wofelc_wof_ITA_009</t>
  </si>
  <si>
    <t>distr_wonelc_won_ITA_009</t>
  </si>
  <si>
    <t>distr_wofelc_wof_ITA_010</t>
  </si>
  <si>
    <t>distr_wonelc_won_ITA_010</t>
  </si>
  <si>
    <t>distr_wofelc_wof_ITA_011</t>
  </si>
  <si>
    <t>distr_wonelc_won_ITA_011</t>
  </si>
  <si>
    <t>distr_wofelc_wof_ITA_012</t>
  </si>
  <si>
    <t>distr_wonelc_won_ITA_012</t>
  </si>
  <si>
    <t>distr_wofelc_wof_ITA_013</t>
  </si>
  <si>
    <t>distr_wonelc_won_ITA_013</t>
  </si>
  <si>
    <t>distr_wofelc_wof_ITA_014</t>
  </si>
  <si>
    <t>distr_wonelc_won_ITA_014</t>
  </si>
  <si>
    <t>distr_wofelc_wof_ITA_015</t>
  </si>
  <si>
    <t>distr_wonelc_won_ITA_015</t>
  </si>
  <si>
    <t>distr_wofelc_wof_ITA_016</t>
  </si>
  <si>
    <t>distr_wonelc_won_ITA_016</t>
  </si>
  <si>
    <t>distr_wofelc_wof_ITA_017</t>
  </si>
  <si>
    <t>distr_wonelc_won_ITA_017</t>
  </si>
  <si>
    <t>distr_wofelc_wof_ITA_018</t>
  </si>
  <si>
    <t>distr_wonelc_won_ITA_018</t>
  </si>
  <si>
    <t>distr_wofelc_wof_ITA_019</t>
  </si>
  <si>
    <t>distr_wonelc_won_ITA_019</t>
  </si>
  <si>
    <t>distr_wofelc_wof_ITA_020</t>
  </si>
  <si>
    <t>elc_spv_ESP_001</t>
  </si>
  <si>
    <t>elc_won_ESP_001</t>
  </si>
  <si>
    <t>elc_wof_ESP_001</t>
  </si>
  <si>
    <t>elc_spv_ESP_002</t>
  </si>
  <si>
    <t>elc_won_ESP_002</t>
  </si>
  <si>
    <t>elc_wof_ESP_002</t>
  </si>
  <si>
    <t>elc_spv_ESP_003</t>
  </si>
  <si>
    <t>elc_won_ESP_003</t>
  </si>
  <si>
    <t>elc_wof_ESP_003</t>
  </si>
  <si>
    <t>elc_spv_ESP_004</t>
  </si>
  <si>
    <t>elc_won_ESP_004</t>
  </si>
  <si>
    <t>elc_wof_ESP_004</t>
  </si>
  <si>
    <t>elc_spv_ESP_005</t>
  </si>
  <si>
    <t>elc_won_ESP_005</t>
  </si>
  <si>
    <t>elc_wof_ESP_005</t>
  </si>
  <si>
    <t>elc_spv_ESP_006</t>
  </si>
  <si>
    <t>elc_won_ESP_006</t>
  </si>
  <si>
    <t>elc_wof_ESP_006</t>
  </si>
  <si>
    <t>elc_spv_ESP_007</t>
  </si>
  <si>
    <t>elc_won_ESP_007</t>
  </si>
  <si>
    <t>elc_wof_ESP_007</t>
  </si>
  <si>
    <t>elc_spv_ESP_008</t>
  </si>
  <si>
    <t>elc_won_ESP_008</t>
  </si>
  <si>
    <t>elc_wof_ESP_008</t>
  </si>
  <si>
    <t>elc_spv_ESP_009</t>
  </si>
  <si>
    <t>elc_won_ESP_009</t>
  </si>
  <si>
    <t>elc_wof_ESP_009</t>
  </si>
  <si>
    <t>elc_spv_ESP_010</t>
  </si>
  <si>
    <t>elc_won_ESP_010</t>
  </si>
  <si>
    <t>elc_wof_ESP_010</t>
  </si>
  <si>
    <t>elc_spv_ESP_011</t>
  </si>
  <si>
    <t>elc_won_ESP_011</t>
  </si>
  <si>
    <t>elc_wof_ESP_011</t>
  </si>
  <si>
    <t>elc_spv_ESP_012</t>
  </si>
  <si>
    <t>elc_won_ESP_012</t>
  </si>
  <si>
    <t>elc_wof_ESP_012</t>
  </si>
  <si>
    <t>elc_spv_ESP_013</t>
  </si>
  <si>
    <t>elc_won_ESP_013</t>
  </si>
  <si>
    <t>elc_wof_ESP_013</t>
  </si>
  <si>
    <t>elc_spv_ESP_014</t>
  </si>
  <si>
    <t>elc_won_ESP_014</t>
  </si>
  <si>
    <t>elc_wof_ESP_014</t>
  </si>
  <si>
    <t>elc_spv_ESP_015</t>
  </si>
  <si>
    <t>elc_won_ESP_015</t>
  </si>
  <si>
    <t>elc_wof_ESP_015</t>
  </si>
  <si>
    <t>elc_spv_ESP_016</t>
  </si>
  <si>
    <t>elc_won_ESP_016</t>
  </si>
  <si>
    <t>elc_wof_ESP_016</t>
  </si>
  <si>
    <t>elc_spv_ESP_017</t>
  </si>
  <si>
    <t>elc_won_ESP_017</t>
  </si>
  <si>
    <t>elc_wof_ESP_017</t>
  </si>
  <si>
    <t>elc_spv_ESP_018</t>
  </si>
  <si>
    <t>elc_won_ESP_018</t>
  </si>
  <si>
    <t>elc_wof_ESP_018</t>
  </si>
  <si>
    <t>elc_spv_ESP_019</t>
  </si>
  <si>
    <t>elc_won_ESP_019</t>
  </si>
  <si>
    <t>elc_wof_ESP_019</t>
  </si>
  <si>
    <t>elc_spv_ESP_020</t>
  </si>
  <si>
    <t>elc_won_ESP_020</t>
  </si>
  <si>
    <t>elc_spv_ESP_021</t>
  </si>
  <si>
    <t>elc_won_ESP_021</t>
  </si>
  <si>
    <t>elc_spv_ESP_022</t>
  </si>
  <si>
    <t>elc_won_ESP_022</t>
  </si>
  <si>
    <t>elc_spv_ESP_023</t>
  </si>
  <si>
    <t>elc_won_ESP_023</t>
  </si>
  <si>
    <t>elc_spv_ESP_024</t>
  </si>
  <si>
    <t>elc_won_ESP_024</t>
  </si>
  <si>
    <t>elc_spv_ESP_025</t>
  </si>
  <si>
    <t>elc_won_ESP_025</t>
  </si>
  <si>
    <t>elc_spv_ESP_026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</si>
  <si>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</si>
  <si>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</si>
  <si>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</si>
  <si>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</si>
  <si>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</si>
  <si>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</si>
  <si>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</si>
  <si>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</si>
  <si>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</si>
  <si>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</si>
  <si>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</si>
  <si>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</si>
  <si>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</si>
  <si>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</si>
  <si>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</si>
  <si>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</si>
  <si>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</si>
  <si>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</si>
  <si>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</si>
  <si>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</si>
  <si>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</si>
  <si>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</si>
  <si>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</si>
  <si>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</si>
  <si>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</si>
  <si>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</si>
  <si>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</si>
  <si>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distr_wonelc_won_ESP_001</t>
  </si>
  <si>
    <t>distr_wofelc_wof_ESP_002</t>
  </si>
  <si>
    <t>distr_wonelc_won_ESP_002</t>
  </si>
  <si>
    <t>distr_wofelc_wof_ESP_003</t>
  </si>
  <si>
    <t>distr_wonelc_won_ESP_003</t>
  </si>
  <si>
    <t>distr_wofelc_wof_ESP_004</t>
  </si>
  <si>
    <t>distr_wonelc_won_ESP_004</t>
  </si>
  <si>
    <t>distr_wofelc_wof_ESP_005</t>
  </si>
  <si>
    <t>distr_wonelc_won_ESP_005</t>
  </si>
  <si>
    <t>distr_wofelc_wof_ESP_006</t>
  </si>
  <si>
    <t>distr_wonelc_won_ESP_006</t>
  </si>
  <si>
    <t>distr_wofelc_wof_ESP_007</t>
  </si>
  <si>
    <t>distr_wonelc_won_ESP_007</t>
  </si>
  <si>
    <t>distr_wofelc_wof_ESP_008</t>
  </si>
  <si>
    <t>distr_wonelc_won_ESP_008</t>
  </si>
  <si>
    <t>distr_wofelc_wof_ESP_009</t>
  </si>
  <si>
    <t>distr_wonelc_won_ESP_009</t>
  </si>
  <si>
    <t>distr_wofelc_wof_ESP_010</t>
  </si>
  <si>
    <t>distr_wonelc_won_ESP_010</t>
  </si>
  <si>
    <t>distr_wofelc_wof_ESP_011</t>
  </si>
  <si>
    <t>distr_wonelc_won_ESP_011</t>
  </si>
  <si>
    <t>distr_wofelc_wof_ESP_012</t>
  </si>
  <si>
    <t>distr_wonelc_won_ESP_012</t>
  </si>
  <si>
    <t>distr_wofelc_wof_ESP_013</t>
  </si>
  <si>
    <t>distr_wonelc_won_ESP_013</t>
  </si>
  <si>
    <t>distr_wofelc_wof_ESP_014</t>
  </si>
  <si>
    <t>distr_wonelc_won_ESP_014</t>
  </si>
  <si>
    <t>distr_wofelc_wof_ESP_015</t>
  </si>
  <si>
    <t>distr_wonelc_won_ESP_015</t>
  </si>
  <si>
    <t>distr_wofelc_wof_ESP_016</t>
  </si>
  <si>
    <t>distr_wonelc_won_ESP_016</t>
  </si>
  <si>
    <t>distr_wofelc_wof_ESP_017</t>
  </si>
  <si>
    <t>distr_wonelc_won_ESP_017</t>
  </si>
  <si>
    <t>distr_wofelc_wof_ESP_018</t>
  </si>
  <si>
    <t>distr_wonelc_won_ESP_018</t>
  </si>
  <si>
    <t>distr_wofelc_wof_ESP_019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</si>
  <si>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</si>
  <si>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</si>
  <si>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</si>
  <si>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</si>
  <si>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</si>
  <si>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</si>
  <si>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</si>
  <si>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elc_spv_NLD_001</t>
  </si>
  <si>
    <t>elc_won_NLD_001</t>
  </si>
  <si>
    <t>elc_wof_NLD_001</t>
  </si>
  <si>
    <t>elc_spv_NLD_002</t>
  </si>
  <si>
    <t>elc_won_NLD_002</t>
  </si>
  <si>
    <t>elc_wof_NLD_002</t>
  </si>
  <si>
    <t>elc_spv_NLD_003</t>
  </si>
  <si>
    <t>elc_won_NLD_003</t>
  </si>
  <si>
    <t>elc_wof_NLD_003</t>
  </si>
  <si>
    <t>elc_spv_NLD_004</t>
  </si>
  <si>
    <t>elc_won_NLD_004</t>
  </si>
  <si>
    <t>elc_wof_NLD_004</t>
  </si>
  <si>
    <t>elc_spv_NLD_005</t>
  </si>
  <si>
    <t>elc_won_NLD_005</t>
  </si>
  <si>
    <t>elc_wof_NLD_005</t>
  </si>
  <si>
    <t>elc_spv_NLD_006</t>
  </si>
  <si>
    <t>elc_won_NLD_006</t>
  </si>
  <si>
    <t>elc_spv_NLD_007</t>
  </si>
  <si>
    <t>elc_won_NLD_007</t>
  </si>
  <si>
    <t>elc_spv_NLD_008</t>
  </si>
  <si>
    <t>elc_won_NLD_008</t>
  </si>
  <si>
    <t>elc_spv_NLD_009</t>
  </si>
  <si>
    <t>elc_won_NLD_009</t>
  </si>
  <si>
    <t>elc_spv_NLD_010</t>
  </si>
  <si>
    <t>elc_won_NLD_010</t>
  </si>
  <si>
    <t>distr_solelc_spv_NLD_001</t>
  </si>
  <si>
    <t>distr_solelc_spv_NLD_002</t>
  </si>
  <si>
    <t>distr_solelc_spv_NLD_003</t>
  </si>
  <si>
    <t>distr_solelc_spv_NLD_004</t>
  </si>
  <si>
    <t>distr_solelc_spv_NLD_005</t>
  </si>
  <si>
    <t>distr_solelc_spv_NLD_006</t>
  </si>
  <si>
    <t>distr_solelc_spv_NLD_007</t>
  </si>
  <si>
    <t>distr_solelc_spv_NLD_008</t>
  </si>
  <si>
    <t>distr_solelc_spv_NLD_009</t>
  </si>
  <si>
    <t>distr_solelc_spv_NLD_010</t>
  </si>
  <si>
    <t>distr_wofelc_wof_NLD_001</t>
  </si>
  <si>
    <t>distr_wonelc_won_NLD_001</t>
  </si>
  <si>
    <t>distr_wofelc_wof_NLD_002</t>
  </si>
  <si>
    <t>distr_wonelc_won_NLD_002</t>
  </si>
  <si>
    <t>distr_wofelc_wof_NLD_003</t>
  </si>
  <si>
    <t>distr_wonelc_won_NLD_003</t>
  </si>
  <si>
    <t>distr_wofelc_wof_NLD_004</t>
  </si>
  <si>
    <t>distr_wonelc_won_NLD_004</t>
  </si>
  <si>
    <t>distr_wofelc_wof_NLD_005</t>
  </si>
  <si>
    <t>distr_wonelc_won_NLD_005</t>
  </si>
  <si>
    <t>distr_wonelc_won_NLD_006</t>
  </si>
  <si>
    <t>distr_wonelc_won_NLD_007</t>
  </si>
  <si>
    <t>distr_wonelc_won_NLD_008</t>
  </si>
  <si>
    <t>distr_wonelc_won_NLD_009</t>
  </si>
  <si>
    <t>distr_wonelc_won_NLD_010</t>
  </si>
  <si>
    <t>day_night</t>
  </si>
  <si>
    <t>D</t>
  </si>
  <si>
    <t>S1aH2,S2aH2</t>
  </si>
  <si>
    <t>N</t>
  </si>
  <si>
    <t>S1aH1,S2aH1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</si>
  <si>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</si>
  <si>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</si>
  <si>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</si>
  <si>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</si>
  <si>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</si>
  <si>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</si>
  <si>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</si>
  <si>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</si>
  <si>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</si>
  <si>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</si>
  <si>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</si>
  <si>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</si>
  <si>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</si>
  <si>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</si>
  <si>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</si>
  <si>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</si>
  <si>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</si>
  <si>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</si>
  <si>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</si>
  <si>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</si>
  <si>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</si>
  <si>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</si>
  <si>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</si>
  <si>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</si>
  <si>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</si>
  <si>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</si>
  <si>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</si>
  <si>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</si>
  <si>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</si>
  <si>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</si>
  <si>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season</t>
  </si>
  <si>
    <t>weekly</t>
  </si>
  <si>
    <t>daynite</t>
  </si>
  <si>
    <t>wparent</t>
  </si>
  <si>
    <t>dparent</t>
  </si>
  <si>
    <t>a</t>
  </si>
  <si>
    <t>H1</t>
  </si>
  <si>
    <t>S1,S2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</si>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</sst>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2" borderId="3" applyNumberFormat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6">
    <xf numFmtId="0" fontId="0" fillId="0" borderId="0" xfId="0"/>
    <xf numFmtId="0" fontId="0" fillId="3" borderId="0" xfId="0" applyFill="1"/>
    <xf numFmtId="0" fontId="3" fillId="2" borderId="3" xfId="1"/>
    <xf numFmtId="0" fontId="4" fillId="0" borderId="0" xfId="0" applyFont="1"/>
    <xf numFmtId="0" fontId="1" fillId="0" borderId="1" xfId="2"/>
    <xf numFmtId="0" fontId="2" fillId="0" borderId="2" xfId="3"/>
  </cellXfs>
  <cellStyles count="4">
    <cellStyle name="Heading 2 2" xfId="2" xr:uid="{95B1ADFF-5D94-460A-813D-6ED6DC51B6AC}"/>
    <cellStyle name="Heading 3 2" xfId="3" xr:uid="{0490DD74-AA8E-4344-A9E9-1CD509804894}"/>
    <cellStyle name="Input 2" xfId="1" xr:uid="{59B1F941-B3E0-435A-AD7B-8A54BC2D7BB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A549-6D6A-4819-B347-BE20E8947B10}">
  <dimension ref="B9:O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region=FRA")</f>
        <v>~TFM_DINS-AT: region=FRA</v>
      </c>
      <c r="G9" t="str">
        <f>IF(A11="x","DeActivated","~TFM_DINS-AT: region=FRA")</f>
        <v>~TFM_DINS-AT: region=FRA</v>
      </c>
      <c r="L9" t="str">
        <f>IF(A11="x","DeActivated","~TFM_DINS-AT: region=FRA")</f>
        <v>~TFM_DINS-AT: region=FRA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</v>
      </c>
      <c r="C11" t="s">
        <v>5</v>
      </c>
      <c r="D11">
        <v>1.8612869542678559E-2</v>
      </c>
      <c r="E11" t="s">
        <v>6</v>
      </c>
      <c r="G11" t="s">
        <v>7</v>
      </c>
      <c r="H11" t="s">
        <v>5</v>
      </c>
      <c r="I11">
        <v>0.28665789829640587</v>
      </c>
      <c r="J11" t="s">
        <v>6</v>
      </c>
      <c r="L11" t="s">
        <v>8</v>
      </c>
      <c r="M11" t="s">
        <v>5</v>
      </c>
      <c r="N11">
        <v>0.27131116871600036</v>
      </c>
      <c r="O11" t="s">
        <v>6</v>
      </c>
    </row>
    <row r="12" spans="2:15" x14ac:dyDescent="0.45">
      <c r="B12" t="s">
        <v>4</v>
      </c>
      <c r="C12" t="s">
        <v>9</v>
      </c>
      <c r="D12">
        <v>0.42307029940914975</v>
      </c>
      <c r="E12" t="s">
        <v>6</v>
      </c>
      <c r="G12" t="s">
        <v>7</v>
      </c>
      <c r="H12" t="s">
        <v>9</v>
      </c>
      <c r="I12">
        <v>0.26581901381522155</v>
      </c>
      <c r="J12" t="s">
        <v>6</v>
      </c>
      <c r="L12" t="s">
        <v>8</v>
      </c>
      <c r="M12" t="s">
        <v>9</v>
      </c>
      <c r="N12">
        <v>0.25885932173790654</v>
      </c>
      <c r="O12" t="s">
        <v>6</v>
      </c>
    </row>
    <row r="13" spans="2:15" x14ac:dyDescent="0.45">
      <c r="B13" t="s">
        <v>4</v>
      </c>
      <c r="C13" t="s">
        <v>10</v>
      </c>
      <c r="D13">
        <v>3.1376793817969782E-2</v>
      </c>
      <c r="E13" t="s">
        <v>6</v>
      </c>
      <c r="G13" t="s">
        <v>7</v>
      </c>
      <c r="H13" t="s">
        <v>10</v>
      </c>
      <c r="I13">
        <v>0.23925831353572788</v>
      </c>
      <c r="J13" t="s">
        <v>6</v>
      </c>
      <c r="L13" t="s">
        <v>8</v>
      </c>
      <c r="M13" t="s">
        <v>10</v>
      </c>
      <c r="N13">
        <v>0.24541952403525175</v>
      </c>
      <c r="O13" t="s">
        <v>6</v>
      </c>
    </row>
    <row r="14" spans="2:15" x14ac:dyDescent="0.45">
      <c r="B14" t="s">
        <v>4</v>
      </c>
      <c r="C14" t="s">
        <v>11</v>
      </c>
      <c r="D14">
        <v>0.52694003723020622</v>
      </c>
      <c r="E14" t="s">
        <v>6</v>
      </c>
      <c r="G14" t="s">
        <v>7</v>
      </c>
      <c r="H14" t="s">
        <v>11</v>
      </c>
      <c r="I14">
        <v>0.20826477435264137</v>
      </c>
      <c r="J14" t="s">
        <v>6</v>
      </c>
      <c r="L14" t="s">
        <v>8</v>
      </c>
      <c r="M14" t="s">
        <v>11</v>
      </c>
      <c r="N14">
        <v>0.2244099855108426</v>
      </c>
      <c r="O14" t="s">
        <v>6</v>
      </c>
    </row>
    <row r="15" spans="2:15" x14ac:dyDescent="0.45">
      <c r="B15" t="s">
        <v>12</v>
      </c>
      <c r="C15" t="s">
        <v>5</v>
      </c>
      <c r="D15">
        <v>2.3403168962563024E-2</v>
      </c>
      <c r="E15" t="s">
        <v>6</v>
      </c>
      <c r="G15" t="s">
        <v>13</v>
      </c>
      <c r="H15" t="s">
        <v>5</v>
      </c>
      <c r="I15">
        <v>0.28315423243081589</v>
      </c>
      <c r="J15" t="s">
        <v>6</v>
      </c>
      <c r="L15" t="s">
        <v>14</v>
      </c>
      <c r="M15" t="s">
        <v>5</v>
      </c>
      <c r="N15">
        <v>0.28517091615171203</v>
      </c>
      <c r="O15" t="s">
        <v>6</v>
      </c>
    </row>
    <row r="16" spans="2:15" x14ac:dyDescent="0.45">
      <c r="B16" t="s">
        <v>12</v>
      </c>
      <c r="C16" t="s">
        <v>9</v>
      </c>
      <c r="D16">
        <v>0.43553391488999721</v>
      </c>
      <c r="E16" t="s">
        <v>6</v>
      </c>
      <c r="G16" t="s">
        <v>13</v>
      </c>
      <c r="H16" t="s">
        <v>9</v>
      </c>
      <c r="I16">
        <v>0.25000806387119895</v>
      </c>
      <c r="J16" t="s">
        <v>6</v>
      </c>
      <c r="L16" t="s">
        <v>14</v>
      </c>
      <c r="M16" t="s">
        <v>9</v>
      </c>
      <c r="N16">
        <v>0.28840992256818831</v>
      </c>
      <c r="O16" t="s">
        <v>6</v>
      </c>
    </row>
    <row r="17" spans="2:15" x14ac:dyDescent="0.45">
      <c r="B17" t="s">
        <v>12</v>
      </c>
      <c r="C17" t="s">
        <v>10</v>
      </c>
      <c r="D17">
        <v>3.6267883382367902E-2</v>
      </c>
      <c r="E17" t="s">
        <v>6</v>
      </c>
      <c r="G17" t="s">
        <v>13</v>
      </c>
      <c r="H17" t="s">
        <v>10</v>
      </c>
      <c r="I17">
        <v>0.24584801452533028</v>
      </c>
      <c r="J17" t="s">
        <v>6</v>
      </c>
      <c r="L17" t="s">
        <v>14</v>
      </c>
      <c r="M17" t="s">
        <v>10</v>
      </c>
      <c r="N17">
        <v>0.22210404501570558</v>
      </c>
      <c r="O17" t="s">
        <v>6</v>
      </c>
    </row>
    <row r="18" spans="2:15" x14ac:dyDescent="0.45">
      <c r="B18" t="s">
        <v>12</v>
      </c>
      <c r="C18" t="s">
        <v>11</v>
      </c>
      <c r="D18">
        <v>0.50479503276506965</v>
      </c>
      <c r="E18" t="s">
        <v>6</v>
      </c>
      <c r="G18" t="s">
        <v>13</v>
      </c>
      <c r="H18" t="s">
        <v>11</v>
      </c>
      <c r="I18">
        <v>0.22098968917265252</v>
      </c>
      <c r="J18" t="s">
        <v>6</v>
      </c>
      <c r="L18" t="s">
        <v>14</v>
      </c>
      <c r="M18" t="s">
        <v>11</v>
      </c>
      <c r="N18">
        <v>0.20431511626439619</v>
      </c>
      <c r="O18" t="s">
        <v>6</v>
      </c>
    </row>
    <row r="19" spans="2:15" x14ac:dyDescent="0.45">
      <c r="B19" t="s">
        <v>15</v>
      </c>
      <c r="C19" t="s">
        <v>5</v>
      </c>
      <c r="D19">
        <v>2.0978013576816341E-2</v>
      </c>
      <c r="E19" t="s">
        <v>6</v>
      </c>
      <c r="G19" t="s">
        <v>16</v>
      </c>
      <c r="H19" t="s">
        <v>5</v>
      </c>
      <c r="I19">
        <v>0.2828830355058079</v>
      </c>
      <c r="J19" t="s">
        <v>6</v>
      </c>
      <c r="L19" t="s">
        <v>17</v>
      </c>
      <c r="M19" t="s">
        <v>5</v>
      </c>
      <c r="N19">
        <v>0.28700745494840973</v>
      </c>
      <c r="O19" t="s">
        <v>6</v>
      </c>
    </row>
    <row r="20" spans="2:15" x14ac:dyDescent="0.45">
      <c r="B20" t="s">
        <v>15</v>
      </c>
      <c r="C20" t="s">
        <v>9</v>
      </c>
      <c r="D20">
        <v>0.4289257372889157</v>
      </c>
      <c r="E20" t="s">
        <v>6</v>
      </c>
      <c r="G20" t="s">
        <v>16</v>
      </c>
      <c r="H20" t="s">
        <v>9</v>
      </c>
      <c r="I20">
        <v>0.24336984687487997</v>
      </c>
      <c r="J20" t="s">
        <v>6</v>
      </c>
      <c r="L20" t="s">
        <v>17</v>
      </c>
      <c r="M20" t="s">
        <v>9</v>
      </c>
      <c r="N20">
        <v>0.29274593578945146</v>
      </c>
      <c r="O20" t="s">
        <v>6</v>
      </c>
    </row>
    <row r="21" spans="2:15" x14ac:dyDescent="0.45">
      <c r="B21" t="s">
        <v>15</v>
      </c>
      <c r="C21" t="s">
        <v>10</v>
      </c>
      <c r="D21">
        <v>3.4487586437560183E-2</v>
      </c>
      <c r="E21" t="s">
        <v>6</v>
      </c>
      <c r="G21" t="s">
        <v>16</v>
      </c>
      <c r="H21" t="s">
        <v>10</v>
      </c>
      <c r="I21">
        <v>0.25806874113836054</v>
      </c>
      <c r="J21" t="s">
        <v>6</v>
      </c>
      <c r="L21" t="s">
        <v>17</v>
      </c>
      <c r="M21" t="s">
        <v>10</v>
      </c>
      <c r="N21">
        <v>0.22091833769709018</v>
      </c>
      <c r="O21" t="s">
        <v>6</v>
      </c>
    </row>
    <row r="22" spans="2:15" x14ac:dyDescent="0.45">
      <c r="B22" t="s">
        <v>15</v>
      </c>
      <c r="C22" t="s">
        <v>11</v>
      </c>
      <c r="D22">
        <v>0.51560866269671157</v>
      </c>
      <c r="E22" t="s">
        <v>6</v>
      </c>
      <c r="G22" t="s">
        <v>16</v>
      </c>
      <c r="H22" t="s">
        <v>11</v>
      </c>
      <c r="I22">
        <v>0.21567837648095092</v>
      </c>
      <c r="J22" t="s">
        <v>6</v>
      </c>
      <c r="L22" t="s">
        <v>17</v>
      </c>
      <c r="M22" t="s">
        <v>11</v>
      </c>
      <c r="N22">
        <v>0.19932827156504512</v>
      </c>
      <c r="O22" t="s">
        <v>6</v>
      </c>
    </row>
    <row r="23" spans="2:15" x14ac:dyDescent="0.45">
      <c r="B23" t="s">
        <v>18</v>
      </c>
      <c r="C23" t="s">
        <v>5</v>
      </c>
      <c r="D23">
        <v>2.2428463780579343E-2</v>
      </c>
      <c r="E23" t="s">
        <v>6</v>
      </c>
      <c r="G23" t="s">
        <v>19</v>
      </c>
      <c r="H23" t="s">
        <v>5</v>
      </c>
      <c r="I23">
        <v>0.2800323270156781</v>
      </c>
      <c r="J23" t="s">
        <v>6</v>
      </c>
      <c r="L23" t="s">
        <v>20</v>
      </c>
      <c r="M23" t="s">
        <v>5</v>
      </c>
      <c r="N23">
        <v>0.28038322632854107</v>
      </c>
      <c r="O23" t="s">
        <v>6</v>
      </c>
    </row>
    <row r="24" spans="2:15" x14ac:dyDescent="0.45">
      <c r="B24" t="s">
        <v>18</v>
      </c>
      <c r="C24" t="s">
        <v>9</v>
      </c>
      <c r="D24">
        <v>0.41915895853017021</v>
      </c>
      <c r="E24" t="s">
        <v>6</v>
      </c>
      <c r="G24" t="s">
        <v>19</v>
      </c>
      <c r="H24" t="s">
        <v>9</v>
      </c>
      <c r="I24">
        <v>0.26996119305732375</v>
      </c>
      <c r="J24" t="s">
        <v>6</v>
      </c>
      <c r="L24" t="s">
        <v>20</v>
      </c>
      <c r="M24" t="s">
        <v>9</v>
      </c>
      <c r="N24">
        <v>0.29034614538915965</v>
      </c>
      <c r="O24" t="s">
        <v>6</v>
      </c>
    </row>
    <row r="25" spans="2:15" x14ac:dyDescent="0.45">
      <c r="B25" t="s">
        <v>18</v>
      </c>
      <c r="C25" t="s">
        <v>10</v>
      </c>
      <c r="D25">
        <v>3.8061867448996645E-2</v>
      </c>
      <c r="E25" t="s">
        <v>6</v>
      </c>
      <c r="G25" t="s">
        <v>19</v>
      </c>
      <c r="H25" t="s">
        <v>10</v>
      </c>
      <c r="I25">
        <v>0.23203509300577541</v>
      </c>
      <c r="J25" t="s">
        <v>6</v>
      </c>
      <c r="L25" t="s">
        <v>20</v>
      </c>
      <c r="M25" t="s">
        <v>10</v>
      </c>
      <c r="N25">
        <v>0.2153862037350816</v>
      </c>
      <c r="O25" t="s">
        <v>6</v>
      </c>
    </row>
    <row r="26" spans="2:15" x14ac:dyDescent="0.45">
      <c r="B26" t="s">
        <v>18</v>
      </c>
      <c r="C26" t="s">
        <v>11</v>
      </c>
      <c r="D26">
        <v>0.52035071024025048</v>
      </c>
      <c r="E26" t="s">
        <v>6</v>
      </c>
      <c r="G26" t="s">
        <v>19</v>
      </c>
      <c r="H26" t="s">
        <v>11</v>
      </c>
      <c r="I26">
        <v>0.21797138692122203</v>
      </c>
      <c r="J26" t="s">
        <v>6</v>
      </c>
      <c r="L26" t="s">
        <v>20</v>
      </c>
      <c r="M26" t="s">
        <v>11</v>
      </c>
      <c r="N26">
        <v>0.21388442454721768</v>
      </c>
      <c r="O26" t="s">
        <v>6</v>
      </c>
    </row>
    <row r="27" spans="2:15" x14ac:dyDescent="0.45">
      <c r="B27" t="s">
        <v>21</v>
      </c>
      <c r="C27" t="s">
        <v>5</v>
      </c>
      <c r="D27">
        <v>1.8394529533690494E-2</v>
      </c>
      <c r="E27" t="s">
        <v>6</v>
      </c>
      <c r="G27" t="s">
        <v>22</v>
      </c>
      <c r="H27" t="s">
        <v>5</v>
      </c>
      <c r="I27">
        <v>0.28422666197859991</v>
      </c>
      <c r="J27" t="s">
        <v>6</v>
      </c>
      <c r="L27" t="s">
        <v>23</v>
      </c>
      <c r="M27" t="s">
        <v>5</v>
      </c>
      <c r="N27">
        <v>0.28317222297298938</v>
      </c>
      <c r="O27" t="s">
        <v>6</v>
      </c>
    </row>
    <row r="28" spans="2:15" x14ac:dyDescent="0.45">
      <c r="B28" t="s">
        <v>21</v>
      </c>
      <c r="C28" t="s">
        <v>9</v>
      </c>
      <c r="D28">
        <v>0.41324893347882158</v>
      </c>
      <c r="E28" t="s">
        <v>6</v>
      </c>
      <c r="G28" t="s">
        <v>22</v>
      </c>
      <c r="H28" t="s">
        <v>9</v>
      </c>
      <c r="I28">
        <v>0.26618230714031638</v>
      </c>
      <c r="J28" t="s">
        <v>6</v>
      </c>
      <c r="L28" t="s">
        <v>23</v>
      </c>
      <c r="M28" t="s">
        <v>9</v>
      </c>
      <c r="N28">
        <v>0.28700227870651818</v>
      </c>
      <c r="O28" t="s">
        <v>6</v>
      </c>
    </row>
    <row r="29" spans="2:15" x14ac:dyDescent="0.45">
      <c r="B29" t="s">
        <v>21</v>
      </c>
      <c r="C29" t="s">
        <v>10</v>
      </c>
      <c r="D29">
        <v>3.2068945967363656E-2</v>
      </c>
      <c r="E29" t="s">
        <v>6</v>
      </c>
      <c r="G29" t="s">
        <v>22</v>
      </c>
      <c r="H29" t="s">
        <v>10</v>
      </c>
      <c r="I29">
        <v>0.23737183296621972</v>
      </c>
      <c r="J29" t="s">
        <v>6</v>
      </c>
      <c r="L29" t="s">
        <v>23</v>
      </c>
      <c r="M29" t="s">
        <v>10</v>
      </c>
      <c r="N29">
        <v>0.22238217939286226</v>
      </c>
      <c r="O29" t="s">
        <v>6</v>
      </c>
    </row>
    <row r="30" spans="2:15" x14ac:dyDescent="0.45">
      <c r="B30" t="s">
        <v>21</v>
      </c>
      <c r="C30" t="s">
        <v>11</v>
      </c>
      <c r="D30">
        <v>0.53628759102012435</v>
      </c>
      <c r="E30" t="s">
        <v>6</v>
      </c>
      <c r="G30" t="s">
        <v>22</v>
      </c>
      <c r="H30" t="s">
        <v>11</v>
      </c>
      <c r="I30">
        <v>0.21221919791486607</v>
      </c>
      <c r="J30" t="s">
        <v>6</v>
      </c>
      <c r="L30" t="s">
        <v>23</v>
      </c>
      <c r="M30" t="s">
        <v>11</v>
      </c>
      <c r="N30">
        <v>0.20744331892762949</v>
      </c>
      <c r="O30" t="s">
        <v>6</v>
      </c>
    </row>
    <row r="31" spans="2:15" x14ac:dyDescent="0.45">
      <c r="B31" t="s">
        <v>24</v>
      </c>
      <c r="C31" t="s">
        <v>5</v>
      </c>
      <c r="D31">
        <v>1.7607066455377983E-2</v>
      </c>
      <c r="E31" t="s">
        <v>6</v>
      </c>
      <c r="G31" t="s">
        <v>25</v>
      </c>
      <c r="H31" t="s">
        <v>5</v>
      </c>
      <c r="I31">
        <v>0.2907058543323417</v>
      </c>
      <c r="J31" t="s">
        <v>6</v>
      </c>
      <c r="L31" t="s">
        <v>26</v>
      </c>
      <c r="M31" t="s">
        <v>5</v>
      </c>
      <c r="N31">
        <v>0.28431738824698743</v>
      </c>
      <c r="O31" t="s">
        <v>6</v>
      </c>
    </row>
    <row r="32" spans="2:15" x14ac:dyDescent="0.45">
      <c r="B32" t="s">
        <v>24</v>
      </c>
      <c r="C32" t="s">
        <v>9</v>
      </c>
      <c r="D32">
        <v>0.4112391407790284</v>
      </c>
      <c r="E32" t="s">
        <v>6</v>
      </c>
      <c r="G32" t="s">
        <v>25</v>
      </c>
      <c r="H32" t="s">
        <v>9</v>
      </c>
      <c r="I32">
        <v>0.26532237394040886</v>
      </c>
      <c r="J32" t="s">
        <v>6</v>
      </c>
      <c r="L32" t="s">
        <v>26</v>
      </c>
      <c r="M32" t="s">
        <v>9</v>
      </c>
      <c r="N32">
        <v>0.30102664753564101</v>
      </c>
      <c r="O32" t="s">
        <v>6</v>
      </c>
    </row>
    <row r="33" spans="2:15" x14ac:dyDescent="0.45">
      <c r="B33" t="s">
        <v>24</v>
      </c>
      <c r="C33" t="s">
        <v>10</v>
      </c>
      <c r="D33">
        <v>3.189931472281711E-2</v>
      </c>
      <c r="E33" t="s">
        <v>6</v>
      </c>
      <c r="G33" t="s">
        <v>25</v>
      </c>
      <c r="H33" t="s">
        <v>10</v>
      </c>
      <c r="I33">
        <v>0.23836726877991654</v>
      </c>
      <c r="J33" t="s">
        <v>6</v>
      </c>
      <c r="L33" t="s">
        <v>26</v>
      </c>
      <c r="M33" t="s">
        <v>10</v>
      </c>
      <c r="N33">
        <v>0.20604529500478114</v>
      </c>
      <c r="O33" t="s">
        <v>6</v>
      </c>
    </row>
    <row r="34" spans="2:15" x14ac:dyDescent="0.45">
      <c r="B34" t="s">
        <v>24</v>
      </c>
      <c r="C34" t="s">
        <v>11</v>
      </c>
      <c r="D34">
        <v>0.53925447804277538</v>
      </c>
      <c r="E34" t="s">
        <v>6</v>
      </c>
      <c r="G34" t="s">
        <v>25</v>
      </c>
      <c r="H34" t="s">
        <v>11</v>
      </c>
      <c r="I34">
        <v>0.20560450294732466</v>
      </c>
      <c r="J34" t="s">
        <v>6</v>
      </c>
      <c r="L34" t="s">
        <v>26</v>
      </c>
      <c r="M34" t="s">
        <v>11</v>
      </c>
      <c r="N34">
        <v>0.20861066921259036</v>
      </c>
      <c r="O34" t="s">
        <v>6</v>
      </c>
    </row>
    <row r="35" spans="2:15" x14ac:dyDescent="0.45">
      <c r="B35" t="s">
        <v>27</v>
      </c>
      <c r="C35" t="s">
        <v>5</v>
      </c>
      <c r="D35">
        <v>1.6470387553252329E-2</v>
      </c>
      <c r="E35" t="s">
        <v>6</v>
      </c>
      <c r="G35" t="s">
        <v>28</v>
      </c>
      <c r="H35" t="s">
        <v>5</v>
      </c>
      <c r="I35">
        <v>0.28949638676835621</v>
      </c>
      <c r="J35" t="s">
        <v>6</v>
      </c>
      <c r="L35" t="s">
        <v>29</v>
      </c>
      <c r="M35" t="s">
        <v>5</v>
      </c>
      <c r="N35">
        <v>0.29643514349051325</v>
      </c>
      <c r="O35" t="s">
        <v>6</v>
      </c>
    </row>
    <row r="36" spans="2:15" x14ac:dyDescent="0.45">
      <c r="B36" t="s">
        <v>27</v>
      </c>
      <c r="C36" t="s">
        <v>9</v>
      </c>
      <c r="D36">
        <v>0.41440765230824278</v>
      </c>
      <c r="E36" t="s">
        <v>6</v>
      </c>
      <c r="G36" t="s">
        <v>28</v>
      </c>
      <c r="H36" t="s">
        <v>9</v>
      </c>
      <c r="I36">
        <v>0.25427042150288326</v>
      </c>
      <c r="J36" t="s">
        <v>6</v>
      </c>
      <c r="L36" t="s">
        <v>29</v>
      </c>
      <c r="M36" t="s">
        <v>9</v>
      </c>
      <c r="N36">
        <v>0.30185297966324193</v>
      </c>
      <c r="O36" t="s">
        <v>6</v>
      </c>
    </row>
    <row r="37" spans="2:15" x14ac:dyDescent="0.45">
      <c r="B37" t="s">
        <v>27</v>
      </c>
      <c r="C37" t="s">
        <v>10</v>
      </c>
      <c r="D37">
        <v>3.0686520173015902E-2</v>
      </c>
      <c r="E37" t="s">
        <v>6</v>
      </c>
      <c r="G37" t="s">
        <v>28</v>
      </c>
      <c r="H37" t="s">
        <v>10</v>
      </c>
      <c r="I37">
        <v>0.25057717437779764</v>
      </c>
      <c r="J37" t="s">
        <v>6</v>
      </c>
      <c r="L37" t="s">
        <v>29</v>
      </c>
      <c r="M37" t="s">
        <v>10</v>
      </c>
      <c r="N37">
        <v>0.20151986757966037</v>
      </c>
      <c r="O37" t="s">
        <v>6</v>
      </c>
    </row>
    <row r="38" spans="2:15" x14ac:dyDescent="0.45">
      <c r="B38" t="s">
        <v>27</v>
      </c>
      <c r="C38" t="s">
        <v>11</v>
      </c>
      <c r="D38">
        <v>0.53843543996548981</v>
      </c>
      <c r="E38" t="s">
        <v>6</v>
      </c>
      <c r="G38" t="s">
        <v>28</v>
      </c>
      <c r="H38" t="s">
        <v>11</v>
      </c>
      <c r="I38">
        <v>0.20565601735096292</v>
      </c>
      <c r="J38" t="s">
        <v>6</v>
      </c>
      <c r="L38" t="s">
        <v>29</v>
      </c>
      <c r="M38" t="s">
        <v>11</v>
      </c>
      <c r="N38">
        <v>0.20019200926658515</v>
      </c>
      <c r="O38" t="s">
        <v>6</v>
      </c>
    </row>
    <row r="39" spans="2:15" x14ac:dyDescent="0.45">
      <c r="B39" t="s">
        <v>30</v>
      </c>
      <c r="C39" t="s">
        <v>5</v>
      </c>
      <c r="D39">
        <v>1.9473621758048308E-2</v>
      </c>
      <c r="E39" t="s">
        <v>6</v>
      </c>
      <c r="G39" t="s">
        <v>31</v>
      </c>
      <c r="H39" t="s">
        <v>5</v>
      </c>
      <c r="I39">
        <v>0.28389428328321792</v>
      </c>
      <c r="J39" t="s">
        <v>6</v>
      </c>
      <c r="L39" t="s">
        <v>32</v>
      </c>
      <c r="M39" t="s">
        <v>5</v>
      </c>
      <c r="N39">
        <v>0.29601208900368536</v>
      </c>
      <c r="O39" t="s">
        <v>6</v>
      </c>
    </row>
    <row r="40" spans="2:15" x14ac:dyDescent="0.45">
      <c r="B40" t="s">
        <v>30</v>
      </c>
      <c r="C40" t="s">
        <v>9</v>
      </c>
      <c r="D40">
        <v>0.41921449477250888</v>
      </c>
      <c r="E40" t="s">
        <v>6</v>
      </c>
      <c r="G40" t="s">
        <v>31</v>
      </c>
      <c r="H40" t="s">
        <v>9</v>
      </c>
      <c r="I40">
        <v>0.2634663197316594</v>
      </c>
      <c r="J40" t="s">
        <v>6</v>
      </c>
      <c r="L40" t="s">
        <v>32</v>
      </c>
      <c r="M40" t="s">
        <v>9</v>
      </c>
      <c r="N40">
        <v>0.30330178708198036</v>
      </c>
      <c r="O40" t="s">
        <v>6</v>
      </c>
    </row>
    <row r="41" spans="2:15" x14ac:dyDescent="0.45">
      <c r="B41" t="s">
        <v>30</v>
      </c>
      <c r="C41" t="s">
        <v>10</v>
      </c>
      <c r="D41">
        <v>3.445268791103144E-2</v>
      </c>
      <c r="E41" t="s">
        <v>6</v>
      </c>
      <c r="G41" t="s">
        <v>31</v>
      </c>
      <c r="H41" t="s">
        <v>10</v>
      </c>
      <c r="I41">
        <v>0.24209375123247479</v>
      </c>
      <c r="J41" t="s">
        <v>6</v>
      </c>
      <c r="L41" t="s">
        <v>32</v>
      </c>
      <c r="M41" t="s">
        <v>10</v>
      </c>
      <c r="N41">
        <v>0.19950458192155701</v>
      </c>
      <c r="O41" t="s">
        <v>6</v>
      </c>
    </row>
    <row r="42" spans="2:15" x14ac:dyDescent="0.45">
      <c r="B42" t="s">
        <v>30</v>
      </c>
      <c r="C42" t="s">
        <v>11</v>
      </c>
      <c r="D42">
        <v>0.52685919555841221</v>
      </c>
      <c r="E42" t="s">
        <v>6</v>
      </c>
      <c r="G42" t="s">
        <v>31</v>
      </c>
      <c r="H42" t="s">
        <v>11</v>
      </c>
      <c r="I42">
        <v>0.21054564575264659</v>
      </c>
      <c r="J42" t="s">
        <v>6</v>
      </c>
      <c r="L42" t="s">
        <v>32</v>
      </c>
      <c r="M42" t="s">
        <v>11</v>
      </c>
      <c r="N42">
        <v>0.2011815419927773</v>
      </c>
      <c r="O42" t="s">
        <v>6</v>
      </c>
    </row>
    <row r="43" spans="2:15" x14ac:dyDescent="0.45">
      <c r="B43" t="s">
        <v>33</v>
      </c>
      <c r="C43" t="s">
        <v>5</v>
      </c>
      <c r="D43">
        <v>2.7511026021310489E-2</v>
      </c>
      <c r="E43" t="s">
        <v>6</v>
      </c>
      <c r="G43" t="s">
        <v>34</v>
      </c>
      <c r="H43" t="s">
        <v>5</v>
      </c>
      <c r="I43">
        <v>0.287744117213449</v>
      </c>
      <c r="J43" t="s">
        <v>6</v>
      </c>
      <c r="L43" t="s">
        <v>35</v>
      </c>
      <c r="M43" t="s">
        <v>5</v>
      </c>
      <c r="N43">
        <v>0.29367599025328411</v>
      </c>
      <c r="O43" t="s">
        <v>6</v>
      </c>
    </row>
    <row r="44" spans="2:15" x14ac:dyDescent="0.45">
      <c r="B44" t="s">
        <v>33</v>
      </c>
      <c r="C44" t="s">
        <v>9</v>
      </c>
      <c r="D44">
        <v>0.41406783225189375</v>
      </c>
      <c r="E44" t="s">
        <v>6</v>
      </c>
      <c r="G44" t="s">
        <v>34</v>
      </c>
      <c r="H44" t="s">
        <v>9</v>
      </c>
      <c r="I44">
        <v>0.25991449021779933</v>
      </c>
      <c r="J44" t="s">
        <v>6</v>
      </c>
      <c r="L44" t="s">
        <v>35</v>
      </c>
      <c r="M44" t="s">
        <v>9</v>
      </c>
      <c r="N44">
        <v>0.27793768288643589</v>
      </c>
      <c r="O44" t="s">
        <v>6</v>
      </c>
    </row>
    <row r="45" spans="2:15" x14ac:dyDescent="0.45">
      <c r="B45" t="s">
        <v>33</v>
      </c>
      <c r="C45" t="s">
        <v>10</v>
      </c>
      <c r="D45">
        <v>4.3780706211402898E-2</v>
      </c>
      <c r="E45" t="s">
        <v>6</v>
      </c>
      <c r="G45" t="s">
        <v>34</v>
      </c>
      <c r="H45" t="s">
        <v>10</v>
      </c>
      <c r="I45">
        <v>0.24598633766414055</v>
      </c>
      <c r="J45" t="s">
        <v>6</v>
      </c>
      <c r="L45" t="s">
        <v>35</v>
      </c>
      <c r="M45" t="s">
        <v>10</v>
      </c>
      <c r="N45">
        <v>0.22680666384033069</v>
      </c>
      <c r="O45" t="s">
        <v>6</v>
      </c>
    </row>
    <row r="46" spans="2:15" x14ac:dyDescent="0.45">
      <c r="B46" t="s">
        <v>33</v>
      </c>
      <c r="C46" t="s">
        <v>11</v>
      </c>
      <c r="D46">
        <v>0.51464043551539718</v>
      </c>
      <c r="E46" t="s">
        <v>6</v>
      </c>
      <c r="G46" t="s">
        <v>34</v>
      </c>
      <c r="H46" t="s">
        <v>11</v>
      </c>
      <c r="I46">
        <v>0.20635505490460854</v>
      </c>
      <c r="J46" t="s">
        <v>6</v>
      </c>
      <c r="L46" t="s">
        <v>35</v>
      </c>
      <c r="M46" t="s">
        <v>11</v>
      </c>
      <c r="N46">
        <v>0.20157966301994695</v>
      </c>
      <c r="O46" t="s">
        <v>6</v>
      </c>
    </row>
    <row r="47" spans="2:15" x14ac:dyDescent="0.45">
      <c r="B47" t="s">
        <v>36</v>
      </c>
      <c r="C47" t="s">
        <v>5</v>
      </c>
      <c r="D47">
        <v>2.2427673055743096E-2</v>
      </c>
      <c r="E47" t="s">
        <v>6</v>
      </c>
      <c r="G47" t="s">
        <v>37</v>
      </c>
      <c r="H47" t="s">
        <v>5</v>
      </c>
      <c r="I47">
        <v>0.29229512642057304</v>
      </c>
      <c r="J47" t="s">
        <v>6</v>
      </c>
      <c r="L47" t="s">
        <v>38</v>
      </c>
      <c r="M47" t="s">
        <v>5</v>
      </c>
      <c r="N47">
        <v>0.31318568592347951</v>
      </c>
      <c r="O47" t="s">
        <v>6</v>
      </c>
    </row>
    <row r="48" spans="2:15" x14ac:dyDescent="0.45">
      <c r="B48" t="s">
        <v>36</v>
      </c>
      <c r="C48" t="s">
        <v>9</v>
      </c>
      <c r="D48">
        <v>0.41658690257264153</v>
      </c>
      <c r="E48" t="s">
        <v>6</v>
      </c>
      <c r="G48" t="s">
        <v>37</v>
      </c>
      <c r="H48" t="s">
        <v>9</v>
      </c>
      <c r="I48">
        <v>0.26159440571089737</v>
      </c>
      <c r="J48" t="s">
        <v>6</v>
      </c>
      <c r="L48" t="s">
        <v>38</v>
      </c>
      <c r="M48" t="s">
        <v>9</v>
      </c>
      <c r="N48">
        <v>0.32170833404361349</v>
      </c>
      <c r="O48" t="s">
        <v>6</v>
      </c>
    </row>
    <row r="49" spans="2:15" x14ac:dyDescent="0.45">
      <c r="B49" t="s">
        <v>36</v>
      </c>
      <c r="C49" t="s">
        <v>10</v>
      </c>
      <c r="D49">
        <v>3.8374110199910168E-2</v>
      </c>
      <c r="E49" t="s">
        <v>6</v>
      </c>
      <c r="G49" t="s">
        <v>37</v>
      </c>
      <c r="H49" t="s">
        <v>10</v>
      </c>
      <c r="I49">
        <v>0.24636498071543769</v>
      </c>
      <c r="J49" t="s">
        <v>6</v>
      </c>
      <c r="L49" t="s">
        <v>38</v>
      </c>
      <c r="M49" t="s">
        <v>10</v>
      </c>
      <c r="N49">
        <v>0.18031356954538957</v>
      </c>
      <c r="O49" t="s">
        <v>6</v>
      </c>
    </row>
    <row r="50" spans="2:15" x14ac:dyDescent="0.45">
      <c r="B50" t="s">
        <v>36</v>
      </c>
      <c r="C50" t="s">
        <v>11</v>
      </c>
      <c r="D50">
        <v>0.5226113141717057</v>
      </c>
      <c r="E50" t="s">
        <v>6</v>
      </c>
      <c r="G50" t="s">
        <v>37</v>
      </c>
      <c r="H50" t="s">
        <v>11</v>
      </c>
      <c r="I50">
        <v>0.19974548715309423</v>
      </c>
      <c r="J50" t="s">
        <v>6</v>
      </c>
      <c r="L50" t="s">
        <v>38</v>
      </c>
      <c r="M50" t="s">
        <v>11</v>
      </c>
      <c r="N50">
        <v>0.18479241048751743</v>
      </c>
      <c r="O50" t="s">
        <v>6</v>
      </c>
    </row>
    <row r="51" spans="2:15" x14ac:dyDescent="0.45">
      <c r="B51" t="s">
        <v>39</v>
      </c>
      <c r="C51" t="s">
        <v>5</v>
      </c>
      <c r="D51">
        <v>2.3892045329507484E-2</v>
      </c>
      <c r="E51" t="s">
        <v>6</v>
      </c>
      <c r="G51" t="s">
        <v>40</v>
      </c>
      <c r="H51" t="s">
        <v>5</v>
      </c>
      <c r="I51">
        <v>0.29288692503635128</v>
      </c>
      <c r="J51" t="s">
        <v>6</v>
      </c>
      <c r="L51" t="s">
        <v>41</v>
      </c>
      <c r="M51" t="s">
        <v>5</v>
      </c>
      <c r="N51">
        <v>0.28870257519700415</v>
      </c>
      <c r="O51" t="s">
        <v>6</v>
      </c>
    </row>
    <row r="52" spans="2:15" x14ac:dyDescent="0.45">
      <c r="B52" t="s">
        <v>39</v>
      </c>
      <c r="C52" t="s">
        <v>9</v>
      </c>
      <c r="D52">
        <v>0.41837120010731432</v>
      </c>
      <c r="E52" t="s">
        <v>6</v>
      </c>
      <c r="G52" t="s">
        <v>40</v>
      </c>
      <c r="H52" t="s">
        <v>9</v>
      </c>
      <c r="I52">
        <v>0.30369813208402541</v>
      </c>
      <c r="J52" t="s">
        <v>6</v>
      </c>
      <c r="L52" t="s">
        <v>41</v>
      </c>
      <c r="M52" t="s">
        <v>9</v>
      </c>
      <c r="N52">
        <v>0.27461299024672087</v>
      </c>
      <c r="O52" t="s">
        <v>6</v>
      </c>
    </row>
    <row r="53" spans="2:15" x14ac:dyDescent="0.45">
      <c r="B53" t="s">
        <v>39</v>
      </c>
      <c r="C53" t="s">
        <v>10</v>
      </c>
      <c r="D53">
        <v>3.9992191181001828E-2</v>
      </c>
      <c r="E53" t="s">
        <v>6</v>
      </c>
      <c r="G53" t="s">
        <v>40</v>
      </c>
      <c r="H53" t="s">
        <v>10</v>
      </c>
      <c r="I53">
        <v>0.20074954403655304</v>
      </c>
      <c r="J53" t="s">
        <v>6</v>
      </c>
      <c r="L53" t="s">
        <v>41</v>
      </c>
      <c r="M53" t="s">
        <v>10</v>
      </c>
      <c r="N53">
        <v>0.22530583035190685</v>
      </c>
      <c r="O53" t="s">
        <v>6</v>
      </c>
    </row>
    <row r="54" spans="2:15" x14ac:dyDescent="0.45">
      <c r="B54" t="s">
        <v>39</v>
      </c>
      <c r="C54" t="s">
        <v>11</v>
      </c>
      <c r="D54">
        <v>0.51774456338217822</v>
      </c>
      <c r="E54" t="s">
        <v>6</v>
      </c>
      <c r="G54" t="s">
        <v>40</v>
      </c>
      <c r="H54" t="s">
        <v>11</v>
      </c>
      <c r="I54">
        <v>0.20266539884306847</v>
      </c>
      <c r="J54" t="s">
        <v>6</v>
      </c>
      <c r="L54" t="s">
        <v>41</v>
      </c>
      <c r="M54" t="s">
        <v>11</v>
      </c>
      <c r="N54">
        <v>0.21137860420436408</v>
      </c>
      <c r="O54" t="s">
        <v>6</v>
      </c>
    </row>
    <row r="55" spans="2:15" x14ac:dyDescent="0.45">
      <c r="B55" t="s">
        <v>42</v>
      </c>
      <c r="C55" t="s">
        <v>5</v>
      </c>
      <c r="D55">
        <v>1.2413222791410277E-2</v>
      </c>
      <c r="E55" t="s">
        <v>6</v>
      </c>
      <c r="G55" t="s">
        <v>43</v>
      </c>
      <c r="H55" t="s">
        <v>5</v>
      </c>
      <c r="I55">
        <v>0.28858336952275992</v>
      </c>
      <c r="J55" t="s">
        <v>6</v>
      </c>
      <c r="L55" t="s">
        <v>44</v>
      </c>
      <c r="M55" t="s">
        <v>5</v>
      </c>
      <c r="N55">
        <v>0.28885648621990612</v>
      </c>
      <c r="O55" t="s">
        <v>6</v>
      </c>
    </row>
    <row r="56" spans="2:15" x14ac:dyDescent="0.45">
      <c r="B56" t="s">
        <v>42</v>
      </c>
      <c r="C56" t="s">
        <v>9</v>
      </c>
      <c r="D56">
        <v>0.41483698361141058</v>
      </c>
      <c r="E56" t="s">
        <v>6</v>
      </c>
      <c r="G56" t="s">
        <v>43</v>
      </c>
      <c r="H56" t="s">
        <v>9</v>
      </c>
      <c r="I56">
        <v>0.29708012413844476</v>
      </c>
      <c r="J56" t="s">
        <v>6</v>
      </c>
      <c r="L56" t="s">
        <v>44</v>
      </c>
      <c r="M56" t="s">
        <v>9</v>
      </c>
      <c r="N56">
        <v>0.2687733782383499</v>
      </c>
      <c r="O56" t="s">
        <v>6</v>
      </c>
    </row>
    <row r="57" spans="2:15" x14ac:dyDescent="0.45">
      <c r="B57" t="s">
        <v>42</v>
      </c>
      <c r="C57" t="s">
        <v>10</v>
      </c>
      <c r="D57">
        <v>2.4905038918287895E-2</v>
      </c>
      <c r="E57" t="s">
        <v>6</v>
      </c>
      <c r="G57" t="s">
        <v>43</v>
      </c>
      <c r="H57" t="s">
        <v>10</v>
      </c>
      <c r="I57">
        <v>0.21717186118859672</v>
      </c>
      <c r="J57" t="s">
        <v>6</v>
      </c>
      <c r="L57" t="s">
        <v>44</v>
      </c>
      <c r="M57" t="s">
        <v>10</v>
      </c>
      <c r="N57">
        <v>0.23207264653214935</v>
      </c>
      <c r="O57" t="s">
        <v>6</v>
      </c>
    </row>
    <row r="58" spans="2:15" x14ac:dyDescent="0.45">
      <c r="B58" t="s">
        <v>42</v>
      </c>
      <c r="C58" t="s">
        <v>11</v>
      </c>
      <c r="D58">
        <v>0.54784475467889227</v>
      </c>
      <c r="E58" t="s">
        <v>6</v>
      </c>
      <c r="G58" t="s">
        <v>43</v>
      </c>
      <c r="H58" t="s">
        <v>11</v>
      </c>
      <c r="I58">
        <v>0.19716464515020241</v>
      </c>
      <c r="J58" t="s">
        <v>6</v>
      </c>
      <c r="L58" t="s">
        <v>44</v>
      </c>
      <c r="M58" t="s">
        <v>11</v>
      </c>
      <c r="N58">
        <v>0.21029748900959311</v>
      </c>
      <c r="O58" t="s">
        <v>6</v>
      </c>
    </row>
    <row r="59" spans="2:15" x14ac:dyDescent="0.45">
      <c r="B59" t="s">
        <v>45</v>
      </c>
      <c r="C59" t="s">
        <v>5</v>
      </c>
      <c r="D59">
        <v>1.1339017160850387E-2</v>
      </c>
      <c r="E59" t="s">
        <v>6</v>
      </c>
      <c r="G59" t="s">
        <v>46</v>
      </c>
      <c r="H59" t="s">
        <v>5</v>
      </c>
      <c r="I59">
        <v>0.28590383718961726</v>
      </c>
      <c r="J59" t="s">
        <v>6</v>
      </c>
      <c r="L59" t="s">
        <v>47</v>
      </c>
      <c r="M59" t="s">
        <v>5</v>
      </c>
      <c r="N59">
        <v>0.28004596278765159</v>
      </c>
      <c r="O59" t="s">
        <v>6</v>
      </c>
    </row>
    <row r="60" spans="2:15" x14ac:dyDescent="0.45">
      <c r="B60" t="s">
        <v>45</v>
      </c>
      <c r="C60" t="s">
        <v>9</v>
      </c>
      <c r="D60">
        <v>0.42244138602946307</v>
      </c>
      <c r="E60" t="s">
        <v>6</v>
      </c>
      <c r="G60" t="s">
        <v>46</v>
      </c>
      <c r="H60" t="s">
        <v>9</v>
      </c>
      <c r="I60">
        <v>0.30189473617294221</v>
      </c>
      <c r="J60" t="s">
        <v>6</v>
      </c>
      <c r="L60" t="s">
        <v>47</v>
      </c>
      <c r="M60" t="s">
        <v>9</v>
      </c>
      <c r="N60">
        <v>0.27118292038295505</v>
      </c>
      <c r="O60" t="s">
        <v>6</v>
      </c>
    </row>
    <row r="61" spans="2:15" x14ac:dyDescent="0.45">
      <c r="B61" t="s">
        <v>45</v>
      </c>
      <c r="C61" t="s">
        <v>10</v>
      </c>
      <c r="D61">
        <v>2.3277666449945052E-2</v>
      </c>
      <c r="E61" t="s">
        <v>6</v>
      </c>
      <c r="G61" t="s">
        <v>46</v>
      </c>
      <c r="H61" t="s">
        <v>10</v>
      </c>
      <c r="I61">
        <v>0.21833247573008172</v>
      </c>
      <c r="J61" t="s">
        <v>6</v>
      </c>
      <c r="L61" t="s">
        <v>47</v>
      </c>
      <c r="M61" t="s">
        <v>10</v>
      </c>
      <c r="N61">
        <v>0.22997973841120964</v>
      </c>
      <c r="O61" t="s">
        <v>6</v>
      </c>
    </row>
    <row r="62" spans="2:15" x14ac:dyDescent="0.45">
      <c r="B62" t="s">
        <v>45</v>
      </c>
      <c r="C62" t="s">
        <v>11</v>
      </c>
      <c r="D62">
        <v>0.54294193035974003</v>
      </c>
      <c r="E62" t="s">
        <v>6</v>
      </c>
      <c r="G62" t="s">
        <v>46</v>
      </c>
      <c r="H62" t="s">
        <v>11</v>
      </c>
      <c r="I62">
        <v>0.19386895090735776</v>
      </c>
      <c r="J62" t="s">
        <v>6</v>
      </c>
      <c r="L62" t="s">
        <v>47</v>
      </c>
      <c r="M62" t="s">
        <v>11</v>
      </c>
      <c r="N62">
        <v>0.21879137841818791</v>
      </c>
      <c r="O62" t="s">
        <v>6</v>
      </c>
    </row>
    <row r="63" spans="2:15" x14ac:dyDescent="0.45">
      <c r="B63" t="s">
        <v>48</v>
      </c>
      <c r="C63" t="s">
        <v>5</v>
      </c>
      <c r="D63">
        <v>1.5290695859138118E-2</v>
      </c>
      <c r="E63" t="s">
        <v>6</v>
      </c>
      <c r="G63" t="s">
        <v>49</v>
      </c>
      <c r="H63" t="s">
        <v>5</v>
      </c>
      <c r="I63">
        <v>0.30837624256656798</v>
      </c>
      <c r="J63" t="s">
        <v>6</v>
      </c>
      <c r="L63" t="s">
        <v>50</v>
      </c>
      <c r="M63" t="s">
        <v>5</v>
      </c>
      <c r="N63">
        <v>0.27441735791783362</v>
      </c>
      <c r="O63" t="s">
        <v>6</v>
      </c>
    </row>
    <row r="64" spans="2:15" x14ac:dyDescent="0.45">
      <c r="B64" t="s">
        <v>48</v>
      </c>
      <c r="C64" t="s">
        <v>9</v>
      </c>
      <c r="D64">
        <v>0.4075973297855745</v>
      </c>
      <c r="E64" t="s">
        <v>6</v>
      </c>
      <c r="G64" t="s">
        <v>49</v>
      </c>
      <c r="H64" t="s">
        <v>9</v>
      </c>
      <c r="I64">
        <v>0.31462035263706689</v>
      </c>
      <c r="J64" t="s">
        <v>6</v>
      </c>
      <c r="L64" t="s">
        <v>50</v>
      </c>
      <c r="M64" t="s">
        <v>9</v>
      </c>
      <c r="N64">
        <v>0.2638482711758845</v>
      </c>
      <c r="O64" t="s">
        <v>6</v>
      </c>
    </row>
    <row r="65" spans="2:15" x14ac:dyDescent="0.45">
      <c r="B65" t="s">
        <v>48</v>
      </c>
      <c r="C65" t="s">
        <v>10</v>
      </c>
      <c r="D65">
        <v>2.9129013495314368E-2</v>
      </c>
      <c r="E65" t="s">
        <v>6</v>
      </c>
      <c r="G65" t="s">
        <v>49</v>
      </c>
      <c r="H65" t="s">
        <v>10</v>
      </c>
      <c r="I65">
        <v>0.1931256214287525</v>
      </c>
      <c r="J65" t="s">
        <v>6</v>
      </c>
      <c r="L65" t="s">
        <v>50</v>
      </c>
      <c r="M65" t="s">
        <v>10</v>
      </c>
      <c r="N65">
        <v>0.23599248876468795</v>
      </c>
      <c r="O65" t="s">
        <v>6</v>
      </c>
    </row>
    <row r="66" spans="2:15" x14ac:dyDescent="0.45">
      <c r="B66" t="s">
        <v>48</v>
      </c>
      <c r="C66" t="s">
        <v>11</v>
      </c>
      <c r="D66">
        <v>0.54798296085997211</v>
      </c>
      <c r="E66" t="s">
        <v>6</v>
      </c>
      <c r="G66" t="s">
        <v>49</v>
      </c>
      <c r="H66" t="s">
        <v>11</v>
      </c>
      <c r="I66">
        <v>0.1838777833676126</v>
      </c>
      <c r="J66" t="s">
        <v>6</v>
      </c>
      <c r="L66" t="s">
        <v>50</v>
      </c>
      <c r="M66" t="s">
        <v>11</v>
      </c>
      <c r="N66">
        <v>0.22574188214159202</v>
      </c>
      <c r="O66" t="s">
        <v>6</v>
      </c>
    </row>
    <row r="67" spans="2:15" x14ac:dyDescent="0.45">
      <c r="B67" t="s">
        <v>51</v>
      </c>
      <c r="C67" t="s">
        <v>5</v>
      </c>
      <c r="D67">
        <v>1.4225750176421978E-2</v>
      </c>
      <c r="E67" t="s">
        <v>6</v>
      </c>
      <c r="G67" t="s">
        <v>52</v>
      </c>
      <c r="H67" t="s">
        <v>5</v>
      </c>
      <c r="I67">
        <v>0.26665546048642558</v>
      </c>
      <c r="J67" t="s">
        <v>6</v>
      </c>
      <c r="L67" t="s">
        <v>53</v>
      </c>
      <c r="M67" t="s">
        <v>5</v>
      </c>
      <c r="N67">
        <v>0.286099548592607</v>
      </c>
      <c r="O67" t="s">
        <v>6</v>
      </c>
    </row>
    <row r="68" spans="2:15" x14ac:dyDescent="0.45">
      <c r="B68" t="s">
        <v>51</v>
      </c>
      <c r="C68" t="s">
        <v>9</v>
      </c>
      <c r="D68">
        <v>0.4144182263054394</v>
      </c>
      <c r="E68" t="s">
        <v>6</v>
      </c>
      <c r="G68" t="s">
        <v>52</v>
      </c>
      <c r="H68" t="s">
        <v>9</v>
      </c>
      <c r="I68">
        <v>0.26515968473186075</v>
      </c>
      <c r="J68" t="s">
        <v>6</v>
      </c>
      <c r="L68" t="s">
        <v>53</v>
      </c>
      <c r="M68" t="s">
        <v>9</v>
      </c>
      <c r="N68">
        <v>0.28306756801399197</v>
      </c>
      <c r="O68" t="s">
        <v>6</v>
      </c>
    </row>
    <row r="69" spans="2:15" x14ac:dyDescent="0.45">
      <c r="B69" t="s">
        <v>51</v>
      </c>
      <c r="C69" t="s">
        <v>10</v>
      </c>
      <c r="D69">
        <v>2.7151772408994967E-2</v>
      </c>
      <c r="E69" t="s">
        <v>6</v>
      </c>
      <c r="G69" t="s">
        <v>52</v>
      </c>
      <c r="H69" t="s">
        <v>10</v>
      </c>
      <c r="I69">
        <v>0.23900821765503491</v>
      </c>
      <c r="J69" t="s">
        <v>6</v>
      </c>
      <c r="L69" t="s">
        <v>53</v>
      </c>
      <c r="M69" t="s">
        <v>10</v>
      </c>
      <c r="N69">
        <v>0.21912001277714346</v>
      </c>
      <c r="O69" t="s">
        <v>6</v>
      </c>
    </row>
    <row r="70" spans="2:15" x14ac:dyDescent="0.45">
      <c r="B70" t="s">
        <v>51</v>
      </c>
      <c r="C70" t="s">
        <v>11</v>
      </c>
      <c r="D70">
        <v>0.54420425110914605</v>
      </c>
      <c r="E70" t="s">
        <v>6</v>
      </c>
      <c r="G70" t="s">
        <v>52</v>
      </c>
      <c r="H70" t="s">
        <v>11</v>
      </c>
      <c r="I70">
        <v>0.22917663712668096</v>
      </c>
      <c r="J70" t="s">
        <v>6</v>
      </c>
      <c r="L70" t="s">
        <v>53</v>
      </c>
      <c r="M70" t="s">
        <v>11</v>
      </c>
      <c r="N70">
        <v>0.21171287061626087</v>
      </c>
      <c r="O70" t="s">
        <v>6</v>
      </c>
    </row>
    <row r="71" spans="2:15" x14ac:dyDescent="0.45">
      <c r="B71" t="s">
        <v>54</v>
      </c>
      <c r="C71" t="s">
        <v>5</v>
      </c>
      <c r="D71">
        <v>1.3387642749494293E-2</v>
      </c>
      <c r="E71" t="s">
        <v>6</v>
      </c>
      <c r="G71" t="s">
        <v>55</v>
      </c>
      <c r="H71" t="s">
        <v>5</v>
      </c>
      <c r="I71">
        <v>0.28527137130758395</v>
      </c>
      <c r="J71" t="s">
        <v>6</v>
      </c>
      <c r="L71" t="s">
        <v>56</v>
      </c>
      <c r="M71" t="s">
        <v>5</v>
      </c>
      <c r="N71">
        <v>0.28570108757288409</v>
      </c>
      <c r="O71" t="s">
        <v>6</v>
      </c>
    </row>
    <row r="72" spans="2:15" x14ac:dyDescent="0.45">
      <c r="B72" t="s">
        <v>54</v>
      </c>
      <c r="C72" t="s">
        <v>9</v>
      </c>
      <c r="D72">
        <v>0.41385055318029418</v>
      </c>
      <c r="E72" t="s">
        <v>6</v>
      </c>
      <c r="G72" t="s">
        <v>55</v>
      </c>
      <c r="H72" t="s">
        <v>9</v>
      </c>
      <c r="I72">
        <v>0.297775423408359</v>
      </c>
      <c r="J72" t="s">
        <v>6</v>
      </c>
      <c r="L72" t="s">
        <v>56</v>
      </c>
      <c r="M72" t="s">
        <v>9</v>
      </c>
      <c r="N72">
        <v>0.28327190185537016</v>
      </c>
      <c r="O72" t="s">
        <v>6</v>
      </c>
    </row>
    <row r="73" spans="2:15" x14ac:dyDescent="0.45">
      <c r="B73" t="s">
        <v>54</v>
      </c>
      <c r="C73" t="s">
        <v>10</v>
      </c>
      <c r="D73">
        <v>2.6685914630371278E-2</v>
      </c>
      <c r="E73" t="s">
        <v>6</v>
      </c>
      <c r="G73" t="s">
        <v>55</v>
      </c>
      <c r="H73" t="s">
        <v>10</v>
      </c>
      <c r="I73">
        <v>0.21131225850918334</v>
      </c>
      <c r="J73" t="s">
        <v>6</v>
      </c>
      <c r="L73" t="s">
        <v>56</v>
      </c>
      <c r="M73" t="s">
        <v>10</v>
      </c>
      <c r="N73">
        <v>0.22332174845715921</v>
      </c>
      <c r="O73" t="s">
        <v>6</v>
      </c>
    </row>
    <row r="74" spans="2:15" x14ac:dyDescent="0.45">
      <c r="B74" t="s">
        <v>54</v>
      </c>
      <c r="C74" t="s">
        <v>11</v>
      </c>
      <c r="D74">
        <v>0.54607588943983953</v>
      </c>
      <c r="E74" t="s">
        <v>6</v>
      </c>
      <c r="G74" t="s">
        <v>55</v>
      </c>
      <c r="H74" t="s">
        <v>11</v>
      </c>
      <c r="I74">
        <v>0.20564094677487271</v>
      </c>
      <c r="J74" t="s">
        <v>6</v>
      </c>
      <c r="L74" t="s">
        <v>56</v>
      </c>
      <c r="M74" t="s">
        <v>11</v>
      </c>
      <c r="N74">
        <v>0.2077052621145826</v>
      </c>
      <c r="O74" t="s">
        <v>6</v>
      </c>
    </row>
    <row r="75" spans="2:15" x14ac:dyDescent="0.45">
      <c r="B75" t="s">
        <v>57</v>
      </c>
      <c r="C75" t="s">
        <v>5</v>
      </c>
      <c r="D75">
        <v>1.5706537486378794E-2</v>
      </c>
      <c r="E75" t="s">
        <v>6</v>
      </c>
      <c r="G75" t="s">
        <v>58</v>
      </c>
      <c r="H75" t="s">
        <v>5</v>
      </c>
      <c r="I75">
        <v>0.26621673930503914</v>
      </c>
      <c r="J75" t="s">
        <v>6</v>
      </c>
      <c r="L75" t="s">
        <v>59</v>
      </c>
      <c r="M75" t="s">
        <v>5</v>
      </c>
      <c r="N75">
        <v>0.28530555139940428</v>
      </c>
      <c r="O75" t="s">
        <v>6</v>
      </c>
    </row>
    <row r="76" spans="2:15" x14ac:dyDescent="0.45">
      <c r="B76" t="s">
        <v>57</v>
      </c>
      <c r="C76" t="s">
        <v>9</v>
      </c>
      <c r="D76">
        <v>0.41125433987833648</v>
      </c>
      <c r="E76" t="s">
        <v>6</v>
      </c>
      <c r="G76" t="s">
        <v>58</v>
      </c>
      <c r="H76" t="s">
        <v>9</v>
      </c>
      <c r="I76">
        <v>0.27433654487155262</v>
      </c>
      <c r="J76" t="s">
        <v>6</v>
      </c>
      <c r="L76" t="s">
        <v>59</v>
      </c>
      <c r="M76" t="s">
        <v>9</v>
      </c>
      <c r="N76">
        <v>0.2715977346807974</v>
      </c>
      <c r="O76" t="s">
        <v>6</v>
      </c>
    </row>
    <row r="77" spans="2:15" x14ac:dyDescent="0.45">
      <c r="B77" t="s">
        <v>57</v>
      </c>
      <c r="C77" t="s">
        <v>10</v>
      </c>
      <c r="D77">
        <v>2.8954393664498552E-2</v>
      </c>
      <c r="E77" t="s">
        <v>6</v>
      </c>
      <c r="G77" t="s">
        <v>58</v>
      </c>
      <c r="H77" t="s">
        <v>10</v>
      </c>
      <c r="I77">
        <v>0.22699994009628105</v>
      </c>
      <c r="J77" t="s">
        <v>6</v>
      </c>
      <c r="L77" t="s">
        <v>59</v>
      </c>
      <c r="M77" t="s">
        <v>10</v>
      </c>
      <c r="N77">
        <v>0.23420949955327863</v>
      </c>
      <c r="O77" t="s">
        <v>6</v>
      </c>
    </row>
    <row r="78" spans="2:15" x14ac:dyDescent="0.45">
      <c r="B78" t="s">
        <v>57</v>
      </c>
      <c r="C78" t="s">
        <v>11</v>
      </c>
      <c r="D78">
        <v>0.54408472897078375</v>
      </c>
      <c r="E78" t="s">
        <v>6</v>
      </c>
      <c r="G78" t="s">
        <v>58</v>
      </c>
      <c r="H78" t="s">
        <v>11</v>
      </c>
      <c r="I78">
        <v>0.23244677572713088</v>
      </c>
      <c r="J78" t="s">
        <v>6</v>
      </c>
      <c r="L78" t="s">
        <v>59</v>
      </c>
      <c r="M78" t="s">
        <v>11</v>
      </c>
      <c r="N78">
        <v>0.20888721436651647</v>
      </c>
      <c r="O78" t="s">
        <v>6</v>
      </c>
    </row>
    <row r="79" spans="2:15" x14ac:dyDescent="0.45">
      <c r="B79" t="s">
        <v>60</v>
      </c>
      <c r="C79" t="s">
        <v>5</v>
      </c>
      <c r="D79">
        <v>9.8507889514094019E-3</v>
      </c>
      <c r="E79" t="s">
        <v>6</v>
      </c>
      <c r="G79" t="s">
        <v>61</v>
      </c>
      <c r="H79" t="s">
        <v>5</v>
      </c>
      <c r="I79">
        <v>0.29157045368523216</v>
      </c>
      <c r="J79" t="s">
        <v>6</v>
      </c>
    </row>
    <row r="80" spans="2:15" x14ac:dyDescent="0.45">
      <c r="B80" t="s">
        <v>60</v>
      </c>
      <c r="C80" t="s">
        <v>9</v>
      </c>
      <c r="D80">
        <v>0.4414173006074561</v>
      </c>
      <c r="E80" t="s">
        <v>6</v>
      </c>
      <c r="G80" t="s">
        <v>61</v>
      </c>
      <c r="H80" t="s">
        <v>9</v>
      </c>
      <c r="I80">
        <v>0.26759879368663281</v>
      </c>
      <c r="J80" t="s">
        <v>6</v>
      </c>
    </row>
    <row r="81" spans="2:10" x14ac:dyDescent="0.45">
      <c r="B81" t="s">
        <v>60</v>
      </c>
      <c r="C81" t="s">
        <v>10</v>
      </c>
      <c r="D81">
        <v>1.6745935792838205E-2</v>
      </c>
      <c r="E81" t="s">
        <v>6</v>
      </c>
      <c r="G81" t="s">
        <v>61</v>
      </c>
      <c r="H81" t="s">
        <v>10</v>
      </c>
      <c r="I81">
        <v>0.23420094912252723</v>
      </c>
      <c r="J81" t="s">
        <v>6</v>
      </c>
    </row>
    <row r="82" spans="2:10" x14ac:dyDescent="0.45">
      <c r="B82" t="s">
        <v>60</v>
      </c>
      <c r="C82" t="s">
        <v>11</v>
      </c>
      <c r="D82">
        <v>0.53198597464829722</v>
      </c>
      <c r="E82" t="s">
        <v>6</v>
      </c>
      <c r="G82" t="s">
        <v>61</v>
      </c>
      <c r="H82" t="s">
        <v>11</v>
      </c>
      <c r="I82">
        <v>0.2066298035056067</v>
      </c>
      <c r="J82" t="s">
        <v>6</v>
      </c>
    </row>
    <row r="83" spans="2:10" x14ac:dyDescent="0.45">
      <c r="B83" t="s">
        <v>62</v>
      </c>
      <c r="C83" t="s">
        <v>5</v>
      </c>
      <c r="D83">
        <v>1.2707175626794688E-2</v>
      </c>
      <c r="E83" t="s">
        <v>6</v>
      </c>
      <c r="G83" t="s">
        <v>63</v>
      </c>
      <c r="H83" t="s">
        <v>5</v>
      </c>
      <c r="I83">
        <v>0.29979264499810432</v>
      </c>
      <c r="J83" t="s">
        <v>6</v>
      </c>
    </row>
    <row r="84" spans="2:10" x14ac:dyDescent="0.45">
      <c r="B84" t="s">
        <v>62</v>
      </c>
      <c r="C84" t="s">
        <v>9</v>
      </c>
      <c r="D84">
        <v>0.45667884794008201</v>
      </c>
      <c r="E84" t="s">
        <v>6</v>
      </c>
      <c r="G84" t="s">
        <v>63</v>
      </c>
      <c r="H84" t="s">
        <v>9</v>
      </c>
      <c r="I84">
        <v>0.26962436640277621</v>
      </c>
      <c r="J84" t="s">
        <v>6</v>
      </c>
    </row>
    <row r="85" spans="2:10" x14ac:dyDescent="0.45">
      <c r="B85" t="s">
        <v>62</v>
      </c>
      <c r="C85" t="s">
        <v>10</v>
      </c>
      <c r="D85">
        <v>2.011713474668499E-2</v>
      </c>
      <c r="E85" t="s">
        <v>6</v>
      </c>
      <c r="G85" t="s">
        <v>63</v>
      </c>
      <c r="H85" t="s">
        <v>10</v>
      </c>
      <c r="I85">
        <v>0.23856675092936216</v>
      </c>
      <c r="J85" t="s">
        <v>6</v>
      </c>
    </row>
    <row r="86" spans="2:10" x14ac:dyDescent="0.45">
      <c r="B86" t="s">
        <v>62</v>
      </c>
      <c r="C86" t="s">
        <v>11</v>
      </c>
      <c r="D86">
        <v>0.5104968416864365</v>
      </c>
      <c r="E86" t="s">
        <v>6</v>
      </c>
      <c r="G86" t="s">
        <v>63</v>
      </c>
      <c r="H86" t="s">
        <v>11</v>
      </c>
      <c r="I86">
        <v>0.19201623766975481</v>
      </c>
      <c r="J86" t="s">
        <v>6</v>
      </c>
    </row>
    <row r="87" spans="2:10" x14ac:dyDescent="0.45">
      <c r="B87" t="s">
        <v>64</v>
      </c>
      <c r="C87" t="s">
        <v>5</v>
      </c>
      <c r="D87">
        <v>1.7762134658072169E-2</v>
      </c>
      <c r="E87" t="s">
        <v>6</v>
      </c>
      <c r="G87" t="s">
        <v>65</v>
      </c>
      <c r="H87" t="s">
        <v>5</v>
      </c>
      <c r="I87">
        <v>0.32322159900879727</v>
      </c>
      <c r="J87" t="s">
        <v>6</v>
      </c>
    </row>
    <row r="88" spans="2:10" x14ac:dyDescent="0.45">
      <c r="B88" t="s">
        <v>64</v>
      </c>
      <c r="C88" t="s">
        <v>9</v>
      </c>
      <c r="D88">
        <v>0.44930315657152686</v>
      </c>
      <c r="E88" t="s">
        <v>6</v>
      </c>
      <c r="G88" t="s">
        <v>65</v>
      </c>
      <c r="H88" t="s">
        <v>9</v>
      </c>
      <c r="I88">
        <v>0.3080855050298888</v>
      </c>
      <c r="J88" t="s">
        <v>6</v>
      </c>
    </row>
    <row r="89" spans="2:10" x14ac:dyDescent="0.45">
      <c r="B89" t="s">
        <v>64</v>
      </c>
      <c r="C89" t="s">
        <v>10</v>
      </c>
      <c r="D89">
        <v>2.6057723010450187E-2</v>
      </c>
      <c r="E89" t="s">
        <v>6</v>
      </c>
      <c r="G89" t="s">
        <v>65</v>
      </c>
      <c r="H89" t="s">
        <v>10</v>
      </c>
      <c r="I89">
        <v>0.20129945269934943</v>
      </c>
      <c r="J89" t="s">
        <v>6</v>
      </c>
    </row>
    <row r="90" spans="2:10" x14ac:dyDescent="0.45">
      <c r="B90" t="s">
        <v>64</v>
      </c>
      <c r="C90" t="s">
        <v>11</v>
      </c>
      <c r="D90">
        <v>0.5068769857599521</v>
      </c>
      <c r="E90" t="s">
        <v>6</v>
      </c>
      <c r="G90" t="s">
        <v>65</v>
      </c>
      <c r="H90" t="s">
        <v>11</v>
      </c>
      <c r="I90">
        <v>0.1673934432619674</v>
      </c>
      <c r="J90" t="s">
        <v>6</v>
      </c>
    </row>
    <row r="91" spans="2:10" x14ac:dyDescent="0.45">
      <c r="B91" t="s">
        <v>66</v>
      </c>
      <c r="C91" t="s">
        <v>5</v>
      </c>
      <c r="D91">
        <v>1.5828307442890006E-2</v>
      </c>
      <c r="E91" t="s">
        <v>6</v>
      </c>
      <c r="G91" t="s">
        <v>67</v>
      </c>
      <c r="H91" t="s">
        <v>5</v>
      </c>
      <c r="I91">
        <v>0.31488006141903457</v>
      </c>
      <c r="J91" t="s">
        <v>6</v>
      </c>
    </row>
    <row r="92" spans="2:10" x14ac:dyDescent="0.45">
      <c r="B92" t="s">
        <v>66</v>
      </c>
      <c r="C92" t="s">
        <v>9</v>
      </c>
      <c r="D92">
        <v>0.43985150082913682</v>
      </c>
      <c r="E92" t="s">
        <v>6</v>
      </c>
      <c r="G92" t="s">
        <v>67</v>
      </c>
      <c r="H92" t="s">
        <v>9</v>
      </c>
      <c r="I92">
        <v>0.27934309684931213</v>
      </c>
      <c r="J92" t="s">
        <v>6</v>
      </c>
    </row>
    <row r="93" spans="2:10" x14ac:dyDescent="0.45">
      <c r="B93" t="s">
        <v>66</v>
      </c>
      <c r="C93" t="s">
        <v>10</v>
      </c>
      <c r="D93">
        <v>2.4852281974619809E-2</v>
      </c>
      <c r="E93" t="s">
        <v>6</v>
      </c>
      <c r="G93" t="s">
        <v>67</v>
      </c>
      <c r="H93" t="s">
        <v>10</v>
      </c>
      <c r="I93">
        <v>0.22833461220647186</v>
      </c>
      <c r="J93" t="s">
        <v>6</v>
      </c>
    </row>
    <row r="94" spans="2:10" x14ac:dyDescent="0.45">
      <c r="B94" t="s">
        <v>66</v>
      </c>
      <c r="C94" t="s">
        <v>11</v>
      </c>
      <c r="D94">
        <v>0.51946790975335155</v>
      </c>
      <c r="E94" t="s">
        <v>6</v>
      </c>
      <c r="G94" t="s">
        <v>67</v>
      </c>
      <c r="H94" t="s">
        <v>11</v>
      </c>
      <c r="I94">
        <v>0.17744222952518232</v>
      </c>
      <c r="J94" t="s">
        <v>6</v>
      </c>
    </row>
    <row r="95" spans="2:10" x14ac:dyDescent="0.45">
      <c r="B95" t="s">
        <v>68</v>
      </c>
      <c r="C95" t="s">
        <v>5</v>
      </c>
      <c r="D95">
        <v>1.9127670916381578E-2</v>
      </c>
      <c r="E95" t="s">
        <v>6</v>
      </c>
      <c r="G95" t="s">
        <v>69</v>
      </c>
      <c r="H95" t="s">
        <v>5</v>
      </c>
      <c r="I95">
        <v>0.28363098355022243</v>
      </c>
      <c r="J95" t="s">
        <v>6</v>
      </c>
    </row>
    <row r="96" spans="2:10" x14ac:dyDescent="0.45">
      <c r="B96" t="s">
        <v>68</v>
      </c>
      <c r="C96" t="s">
        <v>9</v>
      </c>
      <c r="D96">
        <v>0.44361008168717864</v>
      </c>
      <c r="E96" t="s">
        <v>6</v>
      </c>
      <c r="G96" t="s">
        <v>69</v>
      </c>
      <c r="H96" t="s">
        <v>9</v>
      </c>
      <c r="I96">
        <v>0.27083482783083518</v>
      </c>
      <c r="J96" t="s">
        <v>6</v>
      </c>
    </row>
    <row r="97" spans="2:10" x14ac:dyDescent="0.45">
      <c r="B97" t="s">
        <v>68</v>
      </c>
      <c r="C97" t="s">
        <v>10</v>
      </c>
      <c r="D97">
        <v>2.942898925690458E-2</v>
      </c>
      <c r="E97" t="s">
        <v>6</v>
      </c>
      <c r="G97" t="s">
        <v>69</v>
      </c>
      <c r="H97" t="s">
        <v>10</v>
      </c>
      <c r="I97">
        <v>0.23538547967955525</v>
      </c>
      <c r="J97" t="s">
        <v>6</v>
      </c>
    </row>
    <row r="98" spans="2:10" x14ac:dyDescent="0.45">
      <c r="B98" t="s">
        <v>68</v>
      </c>
      <c r="C98" t="s">
        <v>11</v>
      </c>
      <c r="D98">
        <v>0.50783325813953584</v>
      </c>
      <c r="E98" t="s">
        <v>6</v>
      </c>
      <c r="G98" t="s">
        <v>69</v>
      </c>
      <c r="H98" t="s">
        <v>11</v>
      </c>
      <c r="I98">
        <v>0.21014870893938786</v>
      </c>
      <c r="J98" t="s">
        <v>6</v>
      </c>
    </row>
    <row r="99" spans="2:10" x14ac:dyDescent="0.45">
      <c r="B99" t="s">
        <v>70</v>
      </c>
      <c r="C99" t="s">
        <v>5</v>
      </c>
      <c r="D99">
        <v>2.1915347799933326E-2</v>
      </c>
      <c r="E99" t="s">
        <v>6</v>
      </c>
      <c r="G99" t="s">
        <v>71</v>
      </c>
      <c r="H99" t="s">
        <v>5</v>
      </c>
      <c r="I99">
        <v>0.27279717116073582</v>
      </c>
      <c r="J99" t="s">
        <v>6</v>
      </c>
    </row>
    <row r="100" spans="2:10" x14ac:dyDescent="0.45">
      <c r="B100" t="s">
        <v>70</v>
      </c>
      <c r="C100" t="s">
        <v>9</v>
      </c>
      <c r="D100">
        <v>0.43882587403972168</v>
      </c>
      <c r="E100" t="s">
        <v>6</v>
      </c>
      <c r="G100" t="s">
        <v>71</v>
      </c>
      <c r="H100" t="s">
        <v>9</v>
      </c>
      <c r="I100">
        <v>0.32377454215402973</v>
      </c>
      <c r="J100" t="s">
        <v>6</v>
      </c>
    </row>
    <row r="101" spans="2:10" x14ac:dyDescent="0.45">
      <c r="B101" t="s">
        <v>70</v>
      </c>
      <c r="C101" t="s">
        <v>10</v>
      </c>
      <c r="D101">
        <v>3.3412171391049045E-2</v>
      </c>
      <c r="E101" t="s">
        <v>6</v>
      </c>
      <c r="G101" t="s">
        <v>71</v>
      </c>
      <c r="H101" t="s">
        <v>10</v>
      </c>
      <c r="I101">
        <v>0.19121535538384582</v>
      </c>
      <c r="J101" t="s">
        <v>6</v>
      </c>
    </row>
    <row r="102" spans="2:10" x14ac:dyDescent="0.45">
      <c r="B102" t="s">
        <v>70</v>
      </c>
      <c r="C102" t="s">
        <v>11</v>
      </c>
      <c r="D102">
        <v>0.50584660676929716</v>
      </c>
      <c r="E102" t="s">
        <v>6</v>
      </c>
      <c r="G102" t="s">
        <v>71</v>
      </c>
      <c r="H102" t="s">
        <v>11</v>
      </c>
      <c r="I102">
        <v>0.21221293130138591</v>
      </c>
      <c r="J102" t="s">
        <v>6</v>
      </c>
    </row>
    <row r="103" spans="2:10" x14ac:dyDescent="0.45">
      <c r="B103" t="s">
        <v>72</v>
      </c>
      <c r="C103" t="s">
        <v>5</v>
      </c>
      <c r="D103">
        <v>2.1863243144305596E-2</v>
      </c>
      <c r="E103" t="s">
        <v>6</v>
      </c>
      <c r="G103" t="s">
        <v>73</v>
      </c>
      <c r="H103" t="s">
        <v>5</v>
      </c>
      <c r="I103">
        <v>0.27242628810755098</v>
      </c>
      <c r="J103" t="s">
        <v>6</v>
      </c>
    </row>
    <row r="104" spans="2:10" x14ac:dyDescent="0.45">
      <c r="B104" t="s">
        <v>72</v>
      </c>
      <c r="C104" t="s">
        <v>9</v>
      </c>
      <c r="D104">
        <v>0.43913535261381531</v>
      </c>
      <c r="E104" t="s">
        <v>6</v>
      </c>
      <c r="G104" t="s">
        <v>73</v>
      </c>
      <c r="H104" t="s">
        <v>9</v>
      </c>
      <c r="I104">
        <v>0.31307142527342208</v>
      </c>
      <c r="J104" t="s">
        <v>6</v>
      </c>
    </row>
    <row r="105" spans="2:10" x14ac:dyDescent="0.45">
      <c r="B105" t="s">
        <v>72</v>
      </c>
      <c r="C105" t="s">
        <v>10</v>
      </c>
      <c r="D105">
        <v>3.3350424074894025E-2</v>
      </c>
      <c r="E105" t="s">
        <v>6</v>
      </c>
      <c r="G105" t="s">
        <v>73</v>
      </c>
      <c r="H105" t="s">
        <v>10</v>
      </c>
      <c r="I105">
        <v>0.20850711331154631</v>
      </c>
      <c r="J105" t="s">
        <v>6</v>
      </c>
    </row>
    <row r="106" spans="2:10" x14ac:dyDescent="0.45">
      <c r="B106" t="s">
        <v>72</v>
      </c>
      <c r="C106" t="s">
        <v>11</v>
      </c>
      <c r="D106">
        <v>0.50565098016698562</v>
      </c>
      <c r="E106" t="s">
        <v>6</v>
      </c>
      <c r="G106" t="s">
        <v>73</v>
      </c>
      <c r="H106" t="s">
        <v>11</v>
      </c>
      <c r="I106">
        <v>0.20599517330748365</v>
      </c>
      <c r="J106" t="s">
        <v>6</v>
      </c>
    </row>
    <row r="107" spans="2:10" x14ac:dyDescent="0.45">
      <c r="B107" t="s">
        <v>74</v>
      </c>
      <c r="C107" t="s">
        <v>5</v>
      </c>
      <c r="D107">
        <v>1.9006795837011908E-2</v>
      </c>
      <c r="E107" t="s">
        <v>6</v>
      </c>
      <c r="G107" t="s">
        <v>75</v>
      </c>
      <c r="H107" t="s">
        <v>5</v>
      </c>
      <c r="I107">
        <v>0.27533543361115831</v>
      </c>
      <c r="J107" t="s">
        <v>6</v>
      </c>
    </row>
    <row r="108" spans="2:10" x14ac:dyDescent="0.45">
      <c r="B108" t="s">
        <v>74</v>
      </c>
      <c r="C108" t="s">
        <v>9</v>
      </c>
      <c r="D108">
        <v>0.42948201975059364</v>
      </c>
      <c r="E108" t="s">
        <v>6</v>
      </c>
      <c r="G108" t="s">
        <v>75</v>
      </c>
      <c r="H108" t="s">
        <v>9</v>
      </c>
      <c r="I108">
        <v>0.26762832911135115</v>
      </c>
      <c r="J108" t="s">
        <v>6</v>
      </c>
    </row>
    <row r="109" spans="2:10" x14ac:dyDescent="0.45">
      <c r="B109" t="s">
        <v>74</v>
      </c>
      <c r="C109" t="s">
        <v>10</v>
      </c>
      <c r="D109">
        <v>2.9771035393889863E-2</v>
      </c>
      <c r="E109" t="s">
        <v>6</v>
      </c>
      <c r="G109" t="s">
        <v>75</v>
      </c>
      <c r="H109" t="s">
        <v>10</v>
      </c>
      <c r="I109">
        <v>0.24195103858915443</v>
      </c>
      <c r="J109" t="s">
        <v>6</v>
      </c>
    </row>
    <row r="110" spans="2:10" x14ac:dyDescent="0.45">
      <c r="B110" t="s">
        <v>74</v>
      </c>
      <c r="C110" t="s">
        <v>11</v>
      </c>
      <c r="D110">
        <v>0.52174014901850518</v>
      </c>
      <c r="E110" t="s">
        <v>6</v>
      </c>
      <c r="G110" t="s">
        <v>75</v>
      </c>
      <c r="H110" t="s">
        <v>11</v>
      </c>
      <c r="I110">
        <v>0.21508519868833906</v>
      </c>
      <c r="J110" t="s">
        <v>6</v>
      </c>
    </row>
    <row r="111" spans="2:10" x14ac:dyDescent="0.45">
      <c r="B111" t="s">
        <v>76</v>
      </c>
      <c r="C111" t="s">
        <v>5</v>
      </c>
      <c r="D111">
        <v>2.0303432713692934E-2</v>
      </c>
      <c r="E111" t="s">
        <v>6</v>
      </c>
      <c r="G111" t="s">
        <v>77</v>
      </c>
      <c r="H111" t="s">
        <v>5</v>
      </c>
      <c r="I111">
        <v>0.28081821200094309</v>
      </c>
      <c r="J111" t="s">
        <v>6</v>
      </c>
    </row>
    <row r="112" spans="2:10" x14ac:dyDescent="0.45">
      <c r="B112" t="s">
        <v>76</v>
      </c>
      <c r="C112" t="s">
        <v>9</v>
      </c>
      <c r="D112">
        <v>0.43528055799206483</v>
      </c>
      <c r="E112" t="s">
        <v>6</v>
      </c>
      <c r="G112" t="s">
        <v>77</v>
      </c>
      <c r="H112" t="s">
        <v>9</v>
      </c>
      <c r="I112">
        <v>0.26039728470356988</v>
      </c>
      <c r="J112" t="s">
        <v>6</v>
      </c>
    </row>
    <row r="113" spans="2:10" x14ac:dyDescent="0.45">
      <c r="B113" t="s">
        <v>76</v>
      </c>
      <c r="C113" t="s">
        <v>10</v>
      </c>
      <c r="D113">
        <v>3.146886589775421E-2</v>
      </c>
      <c r="E113" t="s">
        <v>6</v>
      </c>
      <c r="G113" t="s">
        <v>77</v>
      </c>
      <c r="H113" t="s">
        <v>10</v>
      </c>
      <c r="I113">
        <v>0.2428085246447873</v>
      </c>
      <c r="J113" t="s">
        <v>6</v>
      </c>
    </row>
    <row r="114" spans="2:10" x14ac:dyDescent="0.45">
      <c r="B114" t="s">
        <v>76</v>
      </c>
      <c r="C114" t="s">
        <v>11</v>
      </c>
      <c r="D114">
        <v>0.51294714339648706</v>
      </c>
      <c r="E114" t="s">
        <v>6</v>
      </c>
      <c r="G114" t="s">
        <v>77</v>
      </c>
      <c r="H114" t="s">
        <v>11</v>
      </c>
      <c r="I114">
        <v>0.21597597865070295</v>
      </c>
      <c r="J114" t="s">
        <v>6</v>
      </c>
    </row>
    <row r="115" spans="2:10" x14ac:dyDescent="0.45">
      <c r="B115" t="s">
        <v>78</v>
      </c>
      <c r="C115" t="s">
        <v>5</v>
      </c>
      <c r="D115">
        <v>1.2816191648672502E-2</v>
      </c>
      <c r="E115" t="s">
        <v>6</v>
      </c>
      <c r="G115" t="s">
        <v>79</v>
      </c>
      <c r="H115" t="s">
        <v>5</v>
      </c>
      <c r="I115">
        <v>0.27033985721700998</v>
      </c>
      <c r="J115" t="s">
        <v>6</v>
      </c>
    </row>
    <row r="116" spans="2:10" x14ac:dyDescent="0.45">
      <c r="B116" t="s">
        <v>78</v>
      </c>
      <c r="C116" t="s">
        <v>9</v>
      </c>
      <c r="D116">
        <v>0.4510630699264595</v>
      </c>
      <c r="E116" t="s">
        <v>6</v>
      </c>
      <c r="G116" t="s">
        <v>79</v>
      </c>
      <c r="H116" t="s">
        <v>9</v>
      </c>
      <c r="I116">
        <v>0.23598023301490847</v>
      </c>
      <c r="J116" t="s">
        <v>6</v>
      </c>
    </row>
    <row r="117" spans="2:10" x14ac:dyDescent="0.45">
      <c r="B117" t="s">
        <v>78</v>
      </c>
      <c r="C117" t="s">
        <v>10</v>
      </c>
      <c r="D117">
        <v>2.1436095644965462E-2</v>
      </c>
      <c r="E117" t="s">
        <v>6</v>
      </c>
      <c r="G117" t="s">
        <v>79</v>
      </c>
      <c r="H117" t="s">
        <v>10</v>
      </c>
      <c r="I117">
        <v>0.26211908520333349</v>
      </c>
      <c r="J117" t="s">
        <v>6</v>
      </c>
    </row>
    <row r="118" spans="2:10" x14ac:dyDescent="0.45">
      <c r="B118" t="s">
        <v>78</v>
      </c>
      <c r="C118" t="s">
        <v>11</v>
      </c>
      <c r="D118">
        <v>0.51468464277990189</v>
      </c>
      <c r="E118" t="s">
        <v>6</v>
      </c>
      <c r="G118" t="s">
        <v>79</v>
      </c>
      <c r="H118" t="s">
        <v>11</v>
      </c>
      <c r="I118">
        <v>0.23156082456474664</v>
      </c>
      <c r="J118" t="s">
        <v>6</v>
      </c>
    </row>
    <row r="119" spans="2:10" x14ac:dyDescent="0.45">
      <c r="B119" t="s">
        <v>80</v>
      </c>
      <c r="C119" t="s">
        <v>5</v>
      </c>
      <c r="D119">
        <v>1.2386017890647482E-2</v>
      </c>
      <c r="E119" t="s">
        <v>6</v>
      </c>
      <c r="G119" t="s">
        <v>81</v>
      </c>
      <c r="H119" t="s">
        <v>5</v>
      </c>
      <c r="I119">
        <v>0.25988929601662852</v>
      </c>
      <c r="J119" t="s">
        <v>6</v>
      </c>
    </row>
    <row r="120" spans="2:10" x14ac:dyDescent="0.45">
      <c r="B120" t="s">
        <v>80</v>
      </c>
      <c r="C120" t="s">
        <v>9</v>
      </c>
      <c r="D120">
        <v>0.4317664218702178</v>
      </c>
      <c r="E120" t="s">
        <v>6</v>
      </c>
      <c r="G120" t="s">
        <v>81</v>
      </c>
      <c r="H120" t="s">
        <v>9</v>
      </c>
      <c r="I120">
        <v>0.26641594172837241</v>
      </c>
      <c r="J120" t="s">
        <v>6</v>
      </c>
    </row>
    <row r="121" spans="2:10" x14ac:dyDescent="0.45">
      <c r="B121" t="s">
        <v>80</v>
      </c>
      <c r="C121" t="s">
        <v>10</v>
      </c>
      <c r="D121">
        <v>2.287209597338152E-2</v>
      </c>
      <c r="E121" t="s">
        <v>6</v>
      </c>
      <c r="G121" t="s">
        <v>81</v>
      </c>
      <c r="H121" t="s">
        <v>10</v>
      </c>
      <c r="I121">
        <v>0.23555592809107204</v>
      </c>
      <c r="J121" t="s">
        <v>6</v>
      </c>
    </row>
    <row r="122" spans="2:10" x14ac:dyDescent="0.45">
      <c r="B122" t="s">
        <v>80</v>
      </c>
      <c r="C122" t="s">
        <v>11</v>
      </c>
      <c r="D122">
        <v>0.53297546426575348</v>
      </c>
      <c r="E122" t="s">
        <v>6</v>
      </c>
      <c r="G122" t="s">
        <v>81</v>
      </c>
      <c r="H122" t="s">
        <v>11</v>
      </c>
      <c r="I122">
        <v>0.23813883416392925</v>
      </c>
      <c r="J122" t="s">
        <v>6</v>
      </c>
    </row>
    <row r="123" spans="2:10" x14ac:dyDescent="0.45">
      <c r="B123" t="s">
        <v>82</v>
      </c>
      <c r="C123" t="s">
        <v>5</v>
      </c>
      <c r="D123">
        <v>1.5734177672901146E-2</v>
      </c>
      <c r="E123" t="s">
        <v>6</v>
      </c>
    </row>
    <row r="124" spans="2:10" x14ac:dyDescent="0.45">
      <c r="B124" t="s">
        <v>82</v>
      </c>
      <c r="C124" t="s">
        <v>9</v>
      </c>
      <c r="D124">
        <v>0.43317349299112862</v>
      </c>
      <c r="E124" t="s">
        <v>6</v>
      </c>
    </row>
    <row r="125" spans="2:10" x14ac:dyDescent="0.45">
      <c r="B125" t="s">
        <v>82</v>
      </c>
      <c r="C125" t="s">
        <v>10</v>
      </c>
      <c r="D125">
        <v>2.6624258968976321E-2</v>
      </c>
      <c r="E125" t="s">
        <v>6</v>
      </c>
    </row>
    <row r="126" spans="2:10" x14ac:dyDescent="0.45">
      <c r="B126" t="s">
        <v>82</v>
      </c>
      <c r="C126" t="s">
        <v>11</v>
      </c>
      <c r="D126">
        <v>0.52446807036699328</v>
      </c>
      <c r="E126" t="s">
        <v>6</v>
      </c>
    </row>
    <row r="127" spans="2:10" x14ac:dyDescent="0.45">
      <c r="B127" t="s">
        <v>83</v>
      </c>
      <c r="C127" t="s">
        <v>5</v>
      </c>
      <c r="D127">
        <v>1.5167411759204724E-2</v>
      </c>
      <c r="E127" t="s">
        <v>6</v>
      </c>
    </row>
    <row r="128" spans="2:10" x14ac:dyDescent="0.45">
      <c r="B128" t="s">
        <v>83</v>
      </c>
      <c r="C128" t="s">
        <v>9</v>
      </c>
      <c r="D128">
        <v>0.42185923671568326</v>
      </c>
      <c r="E128" t="s">
        <v>6</v>
      </c>
    </row>
    <row r="129" spans="2:5" x14ac:dyDescent="0.45">
      <c r="B129" t="s">
        <v>83</v>
      </c>
      <c r="C129" t="s">
        <v>10</v>
      </c>
      <c r="D129">
        <v>2.7180599103746886E-2</v>
      </c>
      <c r="E129" t="s">
        <v>6</v>
      </c>
    </row>
    <row r="130" spans="2:5" x14ac:dyDescent="0.45">
      <c r="B130" t="s">
        <v>83</v>
      </c>
      <c r="C130" t="s">
        <v>11</v>
      </c>
      <c r="D130">
        <v>0.5357927524213667</v>
      </c>
      <c r="E13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AB51-576C-44C3-8668-E8AC232E2FD4}">
  <dimension ref="B9:AF85"/>
  <sheetViews>
    <sheetView workbookViewId="0"/>
  </sheetViews>
  <sheetFormatPr defaultRowHeight="14.25" x14ac:dyDescent="0.45"/>
  <sheetData>
    <row r="9" spans="2:32" x14ac:dyDescent="0.45">
      <c r="B9" t="str">
        <f>IF(A11="x","DeActivated","~TFM_DINS-TSL: attribute=FLO_EMIS; other_indexes=ACT; region=FRA")</f>
        <v>~TFM_DINS-TSL: attribute=FLO_EMIS; other_indexes=ACT; region=FRA</v>
      </c>
      <c r="I9" t="str">
        <f>IF(A11="x","DeActivated","~TFM_INS-TSL: attribute=FLO_SHAR; limtype=FX; region=FRA")</f>
        <v>~TFM_INS-TSL: attribute=FLO_SHAR; limtype=FX; region=FRA</v>
      </c>
      <c r="P9" t="str">
        <f>IF(A11="x","DeActivated","~TFM_INS-TSL: attribute=FLO_SHAR; limtype=FX; region=FRA")</f>
        <v>~TFM_INS-TSL: attribute=FLO_SHAR; limtype=FX; region=FRA</v>
      </c>
      <c r="W9" t="str">
        <f>IF(A11="x","DeActivated","~TFM_DINS-TSL: attribute=NCAP_PKCNT; region=FRA")</f>
        <v>~TFM_DINS-TSL: attribute=NCAP_PKCNT; region=FRA</v>
      </c>
      <c r="AC9" t="str">
        <f>IF(A11="x","DeActivated","~TFM_DINS-AT: region=FRA")</f>
        <v>~TFM_DINS-AT: region=FRA</v>
      </c>
    </row>
    <row r="10" spans="2:3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I10" t="s">
        <v>3</v>
      </c>
      <c r="J10" t="s">
        <v>0</v>
      </c>
      <c r="K10" t="s">
        <v>5</v>
      </c>
      <c r="L10" t="s">
        <v>9</v>
      </c>
      <c r="M10" t="s">
        <v>10</v>
      </c>
      <c r="N10" t="s">
        <v>11</v>
      </c>
      <c r="P10" t="s">
        <v>3</v>
      </c>
      <c r="Q10" t="s">
        <v>0</v>
      </c>
      <c r="R10" t="s">
        <v>5</v>
      </c>
      <c r="S10" t="s">
        <v>9</v>
      </c>
      <c r="T10" t="s">
        <v>10</v>
      </c>
      <c r="U10" t="s">
        <v>11</v>
      </c>
      <c r="W10" t="s">
        <v>3</v>
      </c>
      <c r="X10" t="s">
        <v>5</v>
      </c>
      <c r="Y10" t="s">
        <v>9</v>
      </c>
      <c r="Z10" t="s">
        <v>10</v>
      </c>
      <c r="AA10" t="s">
        <v>11</v>
      </c>
      <c r="AC10" t="s">
        <v>3</v>
      </c>
      <c r="AD10" t="s">
        <v>0</v>
      </c>
      <c r="AE10" t="s">
        <v>84</v>
      </c>
      <c r="AF10" t="s">
        <v>85</v>
      </c>
    </row>
    <row r="11" spans="2:32" x14ac:dyDescent="0.45">
      <c r="B11" t="s">
        <v>86</v>
      </c>
      <c r="C11" t="s">
        <v>87</v>
      </c>
      <c r="D11">
        <v>0.88645389306163913</v>
      </c>
      <c r="E11">
        <v>0.41307358198524979</v>
      </c>
      <c r="F11">
        <v>0.84817809861865368</v>
      </c>
      <c r="G11">
        <v>0.36157399278782382</v>
      </c>
      <c r="I11" t="s">
        <v>88</v>
      </c>
      <c r="J11" t="s">
        <v>89</v>
      </c>
      <c r="K11">
        <v>0.17907453524502523</v>
      </c>
      <c r="L11">
        <v>0.15182283324253817</v>
      </c>
      <c r="M11">
        <v>0.1352370617714283</v>
      </c>
      <c r="N11">
        <v>0.12346080477441203</v>
      </c>
      <c r="P11" t="s">
        <v>88</v>
      </c>
      <c r="Q11" t="s">
        <v>90</v>
      </c>
      <c r="R11">
        <v>0.54388398877526578</v>
      </c>
      <c r="S11">
        <v>5.7013503842021557E-2</v>
      </c>
      <c r="T11">
        <v>0.51647878986288132</v>
      </c>
      <c r="U11">
        <v>6.0082410311067612E-2</v>
      </c>
      <c r="W11" t="s">
        <v>86</v>
      </c>
      <c r="X11">
        <v>9.8297885283578669E-3</v>
      </c>
      <c r="Y11">
        <v>0.22343097426677155</v>
      </c>
      <c r="Z11">
        <v>1.6480094723049503E-2</v>
      </c>
      <c r="AA11">
        <v>0.27676574532441905</v>
      </c>
      <c r="AC11" t="s">
        <v>86</v>
      </c>
      <c r="AD11" t="s">
        <v>91</v>
      </c>
      <c r="AE11" t="s">
        <v>92</v>
      </c>
      <c r="AF11">
        <v>0.27676574532441905</v>
      </c>
    </row>
    <row r="12" spans="2:32" x14ac:dyDescent="0.45">
      <c r="B12" t="s">
        <v>93</v>
      </c>
      <c r="C12" t="s">
        <v>87</v>
      </c>
      <c r="D12">
        <v>0.87548276190178242</v>
      </c>
      <c r="E12">
        <v>0.39264302407836532</v>
      </c>
      <c r="F12">
        <v>0.83798612438993803</v>
      </c>
      <c r="G12">
        <v>0.35093917544806341</v>
      </c>
      <c r="I12" t="s">
        <v>94</v>
      </c>
      <c r="J12" t="s">
        <v>89</v>
      </c>
      <c r="K12">
        <v>4.5487436013058845E-3</v>
      </c>
      <c r="L12">
        <v>2.8138653919513126E-3</v>
      </c>
      <c r="M12">
        <v>1.9548679053229359E-3</v>
      </c>
      <c r="N12">
        <v>3.4285105628809234E-3</v>
      </c>
      <c r="P12" t="s">
        <v>94</v>
      </c>
      <c r="Q12" t="s">
        <v>90</v>
      </c>
      <c r="R12">
        <v>1.2531785627409066E-2</v>
      </c>
      <c r="S12">
        <v>1.1126461284447534E-2</v>
      </c>
      <c r="T12">
        <v>1.2512203456989867E-2</v>
      </c>
      <c r="U12">
        <v>9.3440482950995427E-3</v>
      </c>
      <c r="W12" t="s">
        <v>93</v>
      </c>
      <c r="X12">
        <v>1.3648841489927711E-2</v>
      </c>
      <c r="Y12">
        <v>0.25400548862978495</v>
      </c>
      <c r="Z12">
        <v>2.1036022706202768E-2</v>
      </c>
      <c r="AA12">
        <v>0.29279017083160913</v>
      </c>
      <c r="AC12" t="s">
        <v>93</v>
      </c>
      <c r="AD12" t="s">
        <v>91</v>
      </c>
      <c r="AE12" t="s">
        <v>92</v>
      </c>
      <c r="AF12">
        <v>0.29279017083160913</v>
      </c>
    </row>
    <row r="13" spans="2:32" x14ac:dyDescent="0.45">
      <c r="B13" t="s">
        <v>95</v>
      </c>
      <c r="C13" t="s">
        <v>87</v>
      </c>
      <c r="D13">
        <v>0.8809528975473313</v>
      </c>
      <c r="E13">
        <v>0.40902016440603584</v>
      </c>
      <c r="F13">
        <v>0.84288193461785055</v>
      </c>
      <c r="G13">
        <v>0.36132744895218355</v>
      </c>
      <c r="I13" t="s">
        <v>96</v>
      </c>
      <c r="J13" t="s">
        <v>89</v>
      </c>
      <c r="K13">
        <v>3.3914268002640884E-3</v>
      </c>
      <c r="L13">
        <v>2.904666000141028E-3</v>
      </c>
      <c r="M13">
        <v>2.430346175844215E-3</v>
      </c>
      <c r="N13">
        <v>2.438728916514951E-3</v>
      </c>
      <c r="P13" t="s">
        <v>96</v>
      </c>
      <c r="Q13" t="s">
        <v>90</v>
      </c>
      <c r="R13">
        <v>7.4765274100826945E-3</v>
      </c>
      <c r="S13">
        <v>1.0471769957236891E-2</v>
      </c>
      <c r="T13">
        <v>7.9921521482711911E-3</v>
      </c>
      <c r="U13">
        <v>1.0284409670556683E-2</v>
      </c>
      <c r="W13" t="s">
        <v>95</v>
      </c>
      <c r="X13">
        <v>1.1397570507348253E-2</v>
      </c>
      <c r="Y13">
        <v>0.23303976400174822</v>
      </c>
      <c r="Z13">
        <v>1.8635069876812099E-2</v>
      </c>
      <c r="AA13">
        <v>0.27860469377405944</v>
      </c>
      <c r="AC13" t="s">
        <v>95</v>
      </c>
      <c r="AD13" t="s">
        <v>91</v>
      </c>
      <c r="AE13" t="s">
        <v>92</v>
      </c>
      <c r="AF13">
        <v>0.27860469377405944</v>
      </c>
    </row>
    <row r="14" spans="2:32" x14ac:dyDescent="0.45">
      <c r="B14" t="s">
        <v>97</v>
      </c>
      <c r="C14" t="s">
        <v>87</v>
      </c>
      <c r="D14">
        <v>0.87720414137015668</v>
      </c>
      <c r="E14">
        <v>0.40800491746255607</v>
      </c>
      <c r="F14">
        <v>0.83537730456592985</v>
      </c>
      <c r="G14">
        <v>0.35385104137752832</v>
      </c>
      <c r="W14" t="s">
        <v>97</v>
      </c>
      <c r="X14">
        <v>1.2082703254111465E-2</v>
      </c>
      <c r="Y14">
        <v>0.22581008497817137</v>
      </c>
      <c r="Z14">
        <v>2.0392711363758684E-2</v>
      </c>
      <c r="AA14">
        <v>0.27879246482258419</v>
      </c>
      <c r="AC14" t="s">
        <v>97</v>
      </c>
      <c r="AD14" t="s">
        <v>91</v>
      </c>
      <c r="AE14" t="s">
        <v>92</v>
      </c>
      <c r="AF14">
        <v>0.27879246482258419</v>
      </c>
    </row>
    <row r="15" spans="2:32" x14ac:dyDescent="0.45">
      <c r="B15" t="s">
        <v>98</v>
      </c>
      <c r="C15" t="s">
        <v>87</v>
      </c>
      <c r="D15">
        <v>0.88715866557584266</v>
      </c>
      <c r="E15">
        <v>0.42440191473445305</v>
      </c>
      <c r="F15">
        <v>0.84680377785625049</v>
      </c>
      <c r="G15">
        <v>0.36205139618339832</v>
      </c>
      <c r="W15" t="s">
        <v>98</v>
      </c>
      <c r="X15">
        <v>9.3258743338900784E-3</v>
      </c>
      <c r="Y15">
        <v>0.20951379132469614</v>
      </c>
      <c r="Z15">
        <v>1.6169845063206376E-2</v>
      </c>
      <c r="AA15">
        <v>0.27040761691827092</v>
      </c>
      <c r="AC15" t="s">
        <v>98</v>
      </c>
      <c r="AD15" t="s">
        <v>91</v>
      </c>
      <c r="AE15" t="s">
        <v>92</v>
      </c>
      <c r="AF15">
        <v>0.27040761691827092</v>
      </c>
    </row>
    <row r="16" spans="2:32" x14ac:dyDescent="0.45">
      <c r="B16" t="s">
        <v>99</v>
      </c>
      <c r="C16" t="s">
        <v>87</v>
      </c>
      <c r="D16">
        <v>0.88937907207279565</v>
      </c>
      <c r="E16">
        <v>0.42157399338230256</v>
      </c>
      <c r="F16">
        <v>0.84564241982107768</v>
      </c>
      <c r="G16">
        <v>0.36230672506286926</v>
      </c>
      <c r="W16" t="s">
        <v>99</v>
      </c>
      <c r="X16">
        <v>8.6341515994448614E-3</v>
      </c>
      <c r="Y16">
        <v>0.20166341134170226</v>
      </c>
      <c r="Z16">
        <v>1.5557303277988226E-2</v>
      </c>
      <c r="AA16">
        <v>0.26299453551972157</v>
      </c>
      <c r="AC16" t="s">
        <v>99</v>
      </c>
      <c r="AD16" t="s">
        <v>91</v>
      </c>
      <c r="AE16" t="s">
        <v>92</v>
      </c>
      <c r="AF16">
        <v>0.26299453551972157</v>
      </c>
    </row>
    <row r="17" spans="2:32" x14ac:dyDescent="0.45">
      <c r="B17" t="s">
        <v>100</v>
      </c>
      <c r="C17" t="s">
        <v>87</v>
      </c>
      <c r="D17">
        <v>0.89250673135658942</v>
      </c>
      <c r="E17">
        <v>0.41436484374190663</v>
      </c>
      <c r="F17">
        <v>0.85114225057737136</v>
      </c>
      <c r="G17">
        <v>0.36294710452287743</v>
      </c>
      <c r="W17" t="s">
        <v>100</v>
      </c>
      <c r="X17">
        <v>7.7575171881076538E-3</v>
      </c>
      <c r="Y17">
        <v>0.19518511481715115</v>
      </c>
      <c r="Z17">
        <v>1.4374305440501205E-2</v>
      </c>
      <c r="AA17">
        <v>0.2522161336774974</v>
      </c>
      <c r="AC17" t="s">
        <v>100</v>
      </c>
      <c r="AD17" t="s">
        <v>91</v>
      </c>
      <c r="AE17" t="s">
        <v>92</v>
      </c>
      <c r="AF17">
        <v>0.2522161336774974</v>
      </c>
    </row>
    <row r="18" spans="2:32" x14ac:dyDescent="0.45">
      <c r="B18" t="s">
        <v>101</v>
      </c>
      <c r="C18" t="s">
        <v>87</v>
      </c>
      <c r="D18">
        <v>0.88810845515047476</v>
      </c>
      <c r="E18">
        <v>0.41702248546411508</v>
      </c>
      <c r="F18">
        <v>0.84300486949039821</v>
      </c>
      <c r="G18">
        <v>0.36149763715272132</v>
      </c>
      <c r="W18" t="s">
        <v>101</v>
      </c>
      <c r="X18">
        <v>9.5119193332487747E-3</v>
      </c>
      <c r="Y18">
        <v>0.20476593964636933</v>
      </c>
      <c r="Z18">
        <v>1.67365075049935E-2</v>
      </c>
      <c r="AA18">
        <v>0.25593889519763219</v>
      </c>
      <c r="AC18" t="s">
        <v>101</v>
      </c>
      <c r="AD18" t="s">
        <v>91</v>
      </c>
      <c r="AE18" t="s">
        <v>92</v>
      </c>
      <c r="AF18">
        <v>0.25593889519763219</v>
      </c>
    </row>
    <row r="19" spans="2:32" x14ac:dyDescent="0.45">
      <c r="B19" t="s">
        <v>102</v>
      </c>
      <c r="C19" t="s">
        <v>87</v>
      </c>
      <c r="D19">
        <v>0.86981113416893929</v>
      </c>
      <c r="E19">
        <v>0.42271246825780695</v>
      </c>
      <c r="F19">
        <v>0.82606422744912344</v>
      </c>
      <c r="G19">
        <v>0.35464465755631308</v>
      </c>
      <c r="W19" t="s">
        <v>102</v>
      </c>
      <c r="X19">
        <v>1.5350413038915793E-2</v>
      </c>
      <c r="Y19">
        <v>0.2310387204850709</v>
      </c>
      <c r="Z19">
        <v>2.4294968427579399E-2</v>
      </c>
      <c r="AA19">
        <v>0.28558637387045566</v>
      </c>
      <c r="AC19" t="s">
        <v>102</v>
      </c>
      <c r="AD19" t="s">
        <v>91</v>
      </c>
      <c r="AE19" t="s">
        <v>92</v>
      </c>
      <c r="AF19">
        <v>0.28558637387045566</v>
      </c>
    </row>
    <row r="20" spans="2:32" x14ac:dyDescent="0.45">
      <c r="B20" t="s">
        <v>103</v>
      </c>
      <c r="C20" t="s">
        <v>87</v>
      </c>
      <c r="D20">
        <v>0.88296572651982697</v>
      </c>
      <c r="E20">
        <v>0.4268944740886742</v>
      </c>
      <c r="F20">
        <v>0.83661955671321886</v>
      </c>
      <c r="G20">
        <v>0.364535785144947</v>
      </c>
      <c r="W20" t="s">
        <v>103</v>
      </c>
      <c r="X20">
        <v>1.1400919416280186E-2</v>
      </c>
      <c r="Y20">
        <v>0.21176845650923401</v>
      </c>
      <c r="Z20">
        <v>1.9400560452359043E-2</v>
      </c>
      <c r="AA20">
        <v>0.26421335480760449</v>
      </c>
      <c r="AC20" t="s">
        <v>103</v>
      </c>
      <c r="AD20" t="s">
        <v>91</v>
      </c>
      <c r="AE20" t="s">
        <v>92</v>
      </c>
      <c r="AF20">
        <v>0.26421335480760449</v>
      </c>
    </row>
    <row r="21" spans="2:32" x14ac:dyDescent="0.45">
      <c r="B21" t="s">
        <v>104</v>
      </c>
      <c r="C21" t="s">
        <v>87</v>
      </c>
      <c r="D21">
        <v>0.88168463415482712</v>
      </c>
      <c r="E21">
        <v>0.43017147878553086</v>
      </c>
      <c r="F21">
        <v>0.83534170089715443</v>
      </c>
      <c r="G21">
        <v>0.36204547130819476</v>
      </c>
      <c r="W21" t="s">
        <v>104</v>
      </c>
      <c r="X21">
        <v>1.2810249467227298E-2</v>
      </c>
      <c r="Y21">
        <v>0.22431898857394514</v>
      </c>
      <c r="Z21">
        <v>2.1325526167491306E-2</v>
      </c>
      <c r="AA21">
        <v>0.27608327797072746</v>
      </c>
      <c r="AC21" t="s">
        <v>104</v>
      </c>
      <c r="AD21" t="s">
        <v>91</v>
      </c>
      <c r="AE21" t="s">
        <v>92</v>
      </c>
      <c r="AF21">
        <v>0.27608327797072746</v>
      </c>
    </row>
    <row r="22" spans="2:32" x14ac:dyDescent="0.45">
      <c r="B22" t="s">
        <v>105</v>
      </c>
      <c r="C22" t="s">
        <v>87</v>
      </c>
      <c r="D22">
        <v>0.90293416728053766</v>
      </c>
      <c r="E22">
        <v>0.42722735714360627</v>
      </c>
      <c r="F22">
        <v>0.86229966237303579</v>
      </c>
      <c r="G22">
        <v>0.36006048363054538</v>
      </c>
      <c r="W22" t="s">
        <v>105</v>
      </c>
      <c r="X22">
        <v>5.9183098538190745E-3</v>
      </c>
      <c r="Y22">
        <v>0.19778375439574811</v>
      </c>
      <c r="Z22">
        <v>1.1809205273765453E-2</v>
      </c>
      <c r="AA22">
        <v>0.25977117270867006</v>
      </c>
      <c r="AC22" t="s">
        <v>105</v>
      </c>
      <c r="AD22" t="s">
        <v>91</v>
      </c>
      <c r="AE22" t="s">
        <v>92</v>
      </c>
      <c r="AF22">
        <v>0.25977117270867006</v>
      </c>
    </row>
    <row r="23" spans="2:32" x14ac:dyDescent="0.45">
      <c r="B23" t="s">
        <v>106</v>
      </c>
      <c r="C23" t="s">
        <v>87</v>
      </c>
      <c r="D23">
        <v>0.90500985517062316</v>
      </c>
      <c r="E23">
        <v>0.40135386366276204</v>
      </c>
      <c r="F23">
        <v>0.86359288973409809</v>
      </c>
      <c r="G23">
        <v>0.35260887970261773</v>
      </c>
      <c r="W23" t="s">
        <v>106</v>
      </c>
      <c r="X23">
        <v>5.678829747528571E-3</v>
      </c>
      <c r="Y23">
        <v>0.211567958275442</v>
      </c>
      <c r="Z23">
        <v>1.1594263737156683E-2</v>
      </c>
      <c r="AA23">
        <v>0.27043140033337154</v>
      </c>
      <c r="AC23" t="s">
        <v>106</v>
      </c>
      <c r="AD23" t="s">
        <v>91</v>
      </c>
      <c r="AE23" t="s">
        <v>92</v>
      </c>
      <c r="AF23">
        <v>0.27043140033337154</v>
      </c>
    </row>
    <row r="24" spans="2:32" x14ac:dyDescent="0.45">
      <c r="B24" t="s">
        <v>107</v>
      </c>
      <c r="C24" t="s">
        <v>87</v>
      </c>
      <c r="D24">
        <v>0.8945461816192295</v>
      </c>
      <c r="E24">
        <v>0.42206881605101293</v>
      </c>
      <c r="F24">
        <v>0.85399861144945033</v>
      </c>
      <c r="G24">
        <v>0.35709064355129366</v>
      </c>
      <c r="W24" t="s">
        <v>107</v>
      </c>
      <c r="X24">
        <v>7.4944831125828915E-3</v>
      </c>
      <c r="Y24">
        <v>0.19977712806224451</v>
      </c>
      <c r="Z24">
        <v>1.4199089946504366E-2</v>
      </c>
      <c r="AA24">
        <v>0.26711715972304173</v>
      </c>
      <c r="AC24" t="s">
        <v>107</v>
      </c>
      <c r="AD24" t="s">
        <v>91</v>
      </c>
      <c r="AE24" t="s">
        <v>92</v>
      </c>
      <c r="AF24">
        <v>0.26711715972304173</v>
      </c>
    </row>
    <row r="25" spans="2:32" x14ac:dyDescent="0.45">
      <c r="B25" t="s">
        <v>108</v>
      </c>
      <c r="C25" t="s">
        <v>87</v>
      </c>
      <c r="D25">
        <v>0.89805997909354807</v>
      </c>
      <c r="E25">
        <v>0.42725232801905061</v>
      </c>
      <c r="F25">
        <v>0.85890691617887616</v>
      </c>
      <c r="G25">
        <v>0.36037231527194102</v>
      </c>
      <c r="W25" t="s">
        <v>108</v>
      </c>
      <c r="X25">
        <v>6.7665423597453728E-3</v>
      </c>
      <c r="Y25">
        <v>0.19711990216122288</v>
      </c>
      <c r="Z25">
        <v>1.2844290226110187E-2</v>
      </c>
      <c r="AA25">
        <v>0.25743871295905402</v>
      </c>
      <c r="AC25" t="s">
        <v>108</v>
      </c>
      <c r="AD25" t="s">
        <v>91</v>
      </c>
      <c r="AE25" t="s">
        <v>92</v>
      </c>
      <c r="AF25">
        <v>0.25743871295905402</v>
      </c>
    </row>
    <row r="26" spans="2:32" x14ac:dyDescent="0.45">
      <c r="B26" t="s">
        <v>109</v>
      </c>
      <c r="C26" t="s">
        <v>87</v>
      </c>
      <c r="D26">
        <v>0.89991150749528093</v>
      </c>
      <c r="E26">
        <v>0.4188091875369741</v>
      </c>
      <c r="F26">
        <v>0.85899981058095887</v>
      </c>
      <c r="G26">
        <v>0.36144299599268692</v>
      </c>
      <c r="W26" t="s">
        <v>109</v>
      </c>
      <c r="X26">
        <v>6.7189716780535341E-3</v>
      </c>
      <c r="Y26">
        <v>0.20770274482191581</v>
      </c>
      <c r="Z26">
        <v>1.3319903743526137E-2</v>
      </c>
      <c r="AA26">
        <v>0.27256619773942098</v>
      </c>
      <c r="AC26" t="s">
        <v>109</v>
      </c>
      <c r="AD26" t="s">
        <v>91</v>
      </c>
      <c r="AE26" t="s">
        <v>92</v>
      </c>
      <c r="AF26">
        <v>0.27256619773942098</v>
      </c>
    </row>
    <row r="27" spans="2:32" x14ac:dyDescent="0.45">
      <c r="B27" t="s">
        <v>110</v>
      </c>
      <c r="C27" t="s">
        <v>87</v>
      </c>
      <c r="D27">
        <v>0.89389114346384346</v>
      </c>
      <c r="E27">
        <v>0.41467751967564126</v>
      </c>
      <c r="F27">
        <v>0.85409431785029233</v>
      </c>
      <c r="G27">
        <v>0.35753498155360808</v>
      </c>
      <c r="W27" t="s">
        <v>110</v>
      </c>
      <c r="X27">
        <v>8.015427440310809E-3</v>
      </c>
      <c r="Y27">
        <v>0.20987307505976094</v>
      </c>
      <c r="Z27">
        <v>1.4695386230862211E-2</v>
      </c>
      <c r="AA27">
        <v>0.27614238195369661</v>
      </c>
      <c r="AC27" t="s">
        <v>110</v>
      </c>
      <c r="AD27" t="s">
        <v>91</v>
      </c>
      <c r="AE27" t="s">
        <v>92</v>
      </c>
      <c r="AF27">
        <v>0.27614238195369661</v>
      </c>
    </row>
    <row r="28" spans="2:32" x14ac:dyDescent="0.45">
      <c r="B28" t="s">
        <v>111</v>
      </c>
      <c r="C28" t="s">
        <v>87</v>
      </c>
      <c r="D28">
        <v>0.91491126635060127</v>
      </c>
      <c r="E28">
        <v>0.34077283071481129</v>
      </c>
      <c r="F28">
        <v>0.8770119062057925</v>
      </c>
      <c r="G28">
        <v>0.28339291586871956</v>
      </c>
      <c r="W28" t="s">
        <v>111</v>
      </c>
      <c r="X28">
        <v>6.6898103370784555E-3</v>
      </c>
      <c r="Y28">
        <v>0.29977274258286968</v>
      </c>
      <c r="Z28">
        <v>1.1310257968917875E-2</v>
      </c>
      <c r="AA28">
        <v>0.3593050089020236</v>
      </c>
      <c r="AC28" t="s">
        <v>111</v>
      </c>
      <c r="AD28" t="s">
        <v>91</v>
      </c>
      <c r="AE28" t="s">
        <v>92</v>
      </c>
      <c r="AF28">
        <v>0.3593050089020236</v>
      </c>
    </row>
    <row r="29" spans="2:32" x14ac:dyDescent="0.45">
      <c r="B29" t="s">
        <v>112</v>
      </c>
      <c r="C29" t="s">
        <v>87</v>
      </c>
      <c r="D29">
        <v>0.90091885816182171</v>
      </c>
      <c r="E29">
        <v>0.35423851083593394</v>
      </c>
      <c r="F29">
        <v>0.86012524001514834</v>
      </c>
      <c r="G29">
        <v>0.29779995018211347</v>
      </c>
      <c r="W29" t="s">
        <v>112</v>
      </c>
      <c r="X29">
        <v>8.4968111817512997E-3</v>
      </c>
      <c r="Y29">
        <v>0.30536399713123163</v>
      </c>
      <c r="Z29">
        <v>1.3378066736892152E-2</v>
      </c>
      <c r="AA29">
        <v>0.33948476773906439</v>
      </c>
      <c r="AC29" t="s">
        <v>112</v>
      </c>
      <c r="AD29" t="s">
        <v>91</v>
      </c>
      <c r="AE29" t="s">
        <v>92</v>
      </c>
      <c r="AF29">
        <v>0.33948476773906439</v>
      </c>
    </row>
    <row r="30" spans="2:32" x14ac:dyDescent="0.45">
      <c r="B30" t="s">
        <v>113</v>
      </c>
      <c r="C30" t="s">
        <v>87</v>
      </c>
      <c r="D30">
        <v>0.87804493685876406</v>
      </c>
      <c r="E30">
        <v>0.34590681293455416</v>
      </c>
      <c r="F30">
        <v>0.84276466258909988</v>
      </c>
      <c r="G30">
        <v>0.3023686144944488</v>
      </c>
      <c r="W30" t="s">
        <v>113</v>
      </c>
      <c r="X30">
        <v>1.2132571210695905E-2</v>
      </c>
      <c r="Y30">
        <v>0.30690019230414683</v>
      </c>
      <c r="Z30">
        <v>1.7701678646566032E-2</v>
      </c>
      <c r="AA30">
        <v>0.34433451885509492</v>
      </c>
      <c r="AC30" t="s">
        <v>113</v>
      </c>
      <c r="AD30" t="s">
        <v>91</v>
      </c>
      <c r="AE30" t="s">
        <v>92</v>
      </c>
      <c r="AF30">
        <v>0.34433451885509492</v>
      </c>
    </row>
    <row r="31" spans="2:32" x14ac:dyDescent="0.45">
      <c r="B31" t="s">
        <v>114</v>
      </c>
      <c r="C31" t="s">
        <v>87</v>
      </c>
      <c r="D31">
        <v>0.89225048382880123</v>
      </c>
      <c r="E31">
        <v>0.36410347872081283</v>
      </c>
      <c r="F31">
        <v>0.85276690161742141</v>
      </c>
      <c r="G31">
        <v>0.31279048513586155</v>
      </c>
      <c r="W31" t="s">
        <v>114</v>
      </c>
      <c r="X31">
        <v>1.0370907150264966E-2</v>
      </c>
      <c r="Y31">
        <v>0.28819626428552508</v>
      </c>
      <c r="Z31">
        <v>1.6194548316799912E-2</v>
      </c>
      <c r="AA31">
        <v>0.33850204066246126</v>
      </c>
      <c r="AC31" t="s">
        <v>114</v>
      </c>
      <c r="AD31" t="s">
        <v>91</v>
      </c>
      <c r="AE31" t="s">
        <v>92</v>
      </c>
      <c r="AF31">
        <v>0.33850204066246126</v>
      </c>
    </row>
    <row r="32" spans="2:32" x14ac:dyDescent="0.45">
      <c r="B32" t="s">
        <v>115</v>
      </c>
      <c r="C32" t="s">
        <v>87</v>
      </c>
      <c r="D32">
        <v>0.88380064580751172</v>
      </c>
      <c r="E32">
        <v>0.38579601015449272</v>
      </c>
      <c r="F32">
        <v>0.84532941070971312</v>
      </c>
      <c r="G32">
        <v>0.34881488382678272</v>
      </c>
      <c r="W32" t="s">
        <v>115</v>
      </c>
      <c r="X32">
        <v>1.1319143052663324E-2</v>
      </c>
      <c r="Y32">
        <v>0.26251423898768772</v>
      </c>
      <c r="Z32">
        <v>1.7319968666633E-2</v>
      </c>
      <c r="AA32">
        <v>0.29887727512718726</v>
      </c>
      <c r="AC32" t="s">
        <v>115</v>
      </c>
      <c r="AD32" t="s">
        <v>91</v>
      </c>
      <c r="AE32" t="s">
        <v>92</v>
      </c>
      <c r="AF32">
        <v>0.29887727512718726</v>
      </c>
    </row>
    <row r="33" spans="2:32" x14ac:dyDescent="0.45">
      <c r="B33" t="s">
        <v>116</v>
      </c>
      <c r="C33" t="s">
        <v>87</v>
      </c>
      <c r="D33">
        <v>0.87404379359488693</v>
      </c>
      <c r="E33">
        <v>0.38500274725059136</v>
      </c>
      <c r="F33">
        <v>0.84107005010042879</v>
      </c>
      <c r="G33">
        <v>0.35113052365299535</v>
      </c>
      <c r="W33" t="s">
        <v>116</v>
      </c>
      <c r="X33">
        <v>1.2944256134895638E-2</v>
      </c>
      <c r="Y33">
        <v>0.25919162059599565</v>
      </c>
      <c r="Z33">
        <v>1.9626991272507537E-2</v>
      </c>
      <c r="AA33">
        <v>0.29714461895009542</v>
      </c>
      <c r="AC33" t="s">
        <v>116</v>
      </c>
      <c r="AD33" t="s">
        <v>91</v>
      </c>
      <c r="AE33" t="s">
        <v>92</v>
      </c>
      <c r="AF33">
        <v>0.29714461895009542</v>
      </c>
    </row>
    <row r="34" spans="2:32" x14ac:dyDescent="0.45">
      <c r="B34" t="s">
        <v>117</v>
      </c>
      <c r="C34" t="s">
        <v>87</v>
      </c>
      <c r="D34">
        <v>0.87647510467071355</v>
      </c>
      <c r="E34">
        <v>0.38310553229596717</v>
      </c>
      <c r="F34">
        <v>0.84015775892182476</v>
      </c>
      <c r="G34">
        <v>0.34977163214470403</v>
      </c>
      <c r="W34" t="s">
        <v>117</v>
      </c>
      <c r="X34">
        <v>1.2831847156077214E-2</v>
      </c>
      <c r="Y34">
        <v>0.25773476004351142</v>
      </c>
      <c r="Z34">
        <v>1.9466875538046872E-2</v>
      </c>
      <c r="AA34">
        <v>0.29515200989639573</v>
      </c>
      <c r="AC34" t="s">
        <v>117</v>
      </c>
      <c r="AD34" t="s">
        <v>91</v>
      </c>
      <c r="AE34" t="s">
        <v>92</v>
      </c>
      <c r="AF34">
        <v>0.29515200989639573</v>
      </c>
    </row>
    <row r="35" spans="2:32" x14ac:dyDescent="0.45">
      <c r="B35" t="s">
        <v>118</v>
      </c>
      <c r="C35" t="s">
        <v>87</v>
      </c>
      <c r="D35">
        <v>0.88667473724949175</v>
      </c>
      <c r="E35">
        <v>0.39523530541456703</v>
      </c>
      <c r="F35">
        <v>0.84807233932557691</v>
      </c>
      <c r="G35">
        <v>0.34910583377725002</v>
      </c>
      <c r="W35" t="s">
        <v>118</v>
      </c>
      <c r="X35">
        <v>1.1007901702331803E-2</v>
      </c>
      <c r="Y35">
        <v>0.24873713049135959</v>
      </c>
      <c r="Z35">
        <v>1.7147857678071029E-2</v>
      </c>
      <c r="AA35">
        <v>0.30051779193884209</v>
      </c>
      <c r="AC35" t="s">
        <v>118</v>
      </c>
      <c r="AD35" t="s">
        <v>91</v>
      </c>
      <c r="AE35" t="s">
        <v>92</v>
      </c>
      <c r="AF35">
        <v>0.30051779193884209</v>
      </c>
    </row>
    <row r="36" spans="2:32" x14ac:dyDescent="0.45">
      <c r="B36" t="s">
        <v>119</v>
      </c>
      <c r="C36" t="s">
        <v>87</v>
      </c>
      <c r="D36">
        <v>0.881994959121574</v>
      </c>
      <c r="E36">
        <v>0.39207646607379176</v>
      </c>
      <c r="F36">
        <v>0.84580596765546823</v>
      </c>
      <c r="G36">
        <v>0.3531431763859853</v>
      </c>
      <c r="W36" t="s">
        <v>119</v>
      </c>
      <c r="X36">
        <v>1.1574284242464799E-2</v>
      </c>
      <c r="Y36">
        <v>0.24813838006915451</v>
      </c>
      <c r="Z36">
        <v>1.784128221669732E-2</v>
      </c>
      <c r="AA36">
        <v>0.29081552469415639</v>
      </c>
      <c r="AC36" t="s">
        <v>119</v>
      </c>
      <c r="AD36" t="s">
        <v>91</v>
      </c>
      <c r="AE36" t="s">
        <v>92</v>
      </c>
      <c r="AF36">
        <v>0.29081552469415639</v>
      </c>
    </row>
    <row r="37" spans="2:32" x14ac:dyDescent="0.45">
      <c r="B37" t="s">
        <v>120</v>
      </c>
      <c r="C37" t="s">
        <v>87</v>
      </c>
      <c r="D37">
        <v>0.90114553043642265</v>
      </c>
      <c r="E37">
        <v>0.37244498525068093</v>
      </c>
      <c r="F37">
        <v>0.86078938396184024</v>
      </c>
      <c r="G37">
        <v>0.32928473709310552</v>
      </c>
      <c r="W37" t="s">
        <v>120</v>
      </c>
      <c r="X37">
        <v>7.6945904746975905E-3</v>
      </c>
      <c r="Y37">
        <v>0.2708094336045207</v>
      </c>
      <c r="Z37">
        <v>1.2799485180979559E-2</v>
      </c>
      <c r="AA37">
        <v>0.30731801944008946</v>
      </c>
      <c r="AC37" t="s">
        <v>120</v>
      </c>
      <c r="AD37" t="s">
        <v>91</v>
      </c>
      <c r="AE37" t="s">
        <v>92</v>
      </c>
      <c r="AF37">
        <v>0.30731801944008946</v>
      </c>
    </row>
    <row r="38" spans="2:32" x14ac:dyDescent="0.45">
      <c r="B38" t="s">
        <v>121</v>
      </c>
      <c r="C38" t="s">
        <v>87</v>
      </c>
      <c r="D38">
        <v>0.90333267703984643</v>
      </c>
      <c r="E38">
        <v>0.39275673805172184</v>
      </c>
      <c r="F38">
        <v>0.86134256397421993</v>
      </c>
      <c r="G38">
        <v>0.34259154620937587</v>
      </c>
      <c r="W38" t="s">
        <v>121</v>
      </c>
      <c r="X38">
        <v>6.7528520766357786E-3</v>
      </c>
      <c r="Y38">
        <v>0.23539888318338964</v>
      </c>
      <c r="Z38">
        <v>1.2401716419145946E-2</v>
      </c>
      <c r="AA38">
        <v>0.28899015524764354</v>
      </c>
      <c r="AC38" t="s">
        <v>121</v>
      </c>
      <c r="AD38" t="s">
        <v>91</v>
      </c>
      <c r="AE38" t="s">
        <v>92</v>
      </c>
      <c r="AF38">
        <v>0.28899015524764354</v>
      </c>
    </row>
    <row r="39" spans="2:32" x14ac:dyDescent="0.45">
      <c r="B39" t="s">
        <v>122</v>
      </c>
      <c r="C39" t="s">
        <v>87</v>
      </c>
      <c r="D39">
        <v>0.89184218343937227</v>
      </c>
      <c r="E39">
        <v>0.38095622964802822</v>
      </c>
      <c r="F39">
        <v>0.85372037004835422</v>
      </c>
      <c r="G39">
        <v>0.34022373483428553</v>
      </c>
      <c r="W39" t="s">
        <v>122</v>
      </c>
      <c r="X39">
        <v>9.1209343336409923E-3</v>
      </c>
      <c r="Y39">
        <v>0.25110603596720954</v>
      </c>
      <c r="Z39">
        <v>1.5349460169367746E-2</v>
      </c>
      <c r="AA39">
        <v>0.30236716693538268</v>
      </c>
      <c r="AC39" t="s">
        <v>122</v>
      </c>
      <c r="AD39" t="s">
        <v>91</v>
      </c>
      <c r="AE39" t="s">
        <v>92</v>
      </c>
      <c r="AF39">
        <v>0.30236716693538268</v>
      </c>
    </row>
    <row r="40" spans="2:32" x14ac:dyDescent="0.45">
      <c r="B40" t="s">
        <v>123</v>
      </c>
      <c r="C40" t="s">
        <v>87</v>
      </c>
      <c r="D40">
        <v>0.8953226598521935</v>
      </c>
      <c r="E40">
        <v>0.39247826887469939</v>
      </c>
      <c r="F40">
        <v>0.85572210557610573</v>
      </c>
      <c r="G40">
        <v>0.3498967728580657</v>
      </c>
      <c r="W40" t="s">
        <v>123</v>
      </c>
      <c r="X40">
        <v>8.079566887279576E-3</v>
      </c>
      <c r="Y40">
        <v>0.22472126254451907</v>
      </c>
      <c r="Z40">
        <v>1.439978231955494E-2</v>
      </c>
      <c r="AA40">
        <v>0.28385316209602274</v>
      </c>
      <c r="AC40" t="s">
        <v>123</v>
      </c>
      <c r="AD40" t="s">
        <v>91</v>
      </c>
      <c r="AE40" t="s">
        <v>92</v>
      </c>
      <c r="AF40">
        <v>0.28385316209602274</v>
      </c>
    </row>
    <row r="41" spans="2:32" x14ac:dyDescent="0.45">
      <c r="B41" t="s">
        <v>124</v>
      </c>
      <c r="C41" t="s">
        <v>87</v>
      </c>
      <c r="D41">
        <v>0.27848766633185484</v>
      </c>
      <c r="E41">
        <v>0.31063755972249307</v>
      </c>
      <c r="F41">
        <v>0.32943027458110324</v>
      </c>
      <c r="G41">
        <v>0.35840744804878655</v>
      </c>
      <c r="W41" t="s">
        <v>124</v>
      </c>
      <c r="X41">
        <v>0.53825427216710953</v>
      </c>
      <c r="Y41">
        <v>0.51355105090257758</v>
      </c>
      <c r="Z41">
        <v>0.48422724477634704</v>
      </c>
      <c r="AA41">
        <v>0.44277418192941609</v>
      </c>
      <c r="AC41" t="s">
        <v>125</v>
      </c>
      <c r="AD41" t="s">
        <v>91</v>
      </c>
      <c r="AE41" t="s">
        <v>92</v>
      </c>
      <c r="AF41">
        <v>0.15900262866904699</v>
      </c>
    </row>
    <row r="42" spans="2:32" x14ac:dyDescent="0.45">
      <c r="B42" t="s">
        <v>126</v>
      </c>
      <c r="C42" t="s">
        <v>87</v>
      </c>
      <c r="D42">
        <v>0.45548325772564241</v>
      </c>
      <c r="E42">
        <v>0.45210266916311037</v>
      </c>
      <c r="F42">
        <v>0.51094393164898988</v>
      </c>
      <c r="G42">
        <v>0.52004214180474095</v>
      </c>
      <c r="W42" t="s">
        <v>126</v>
      </c>
      <c r="X42">
        <v>0.25493332719099987</v>
      </c>
      <c r="Y42">
        <v>0.25782889134490544</v>
      </c>
      <c r="Z42">
        <v>0.19746864657507943</v>
      </c>
      <c r="AA42">
        <v>0.18165283518680331</v>
      </c>
      <c r="AC42" t="s">
        <v>127</v>
      </c>
      <c r="AD42" t="s">
        <v>91</v>
      </c>
      <c r="AE42" t="s">
        <v>92</v>
      </c>
      <c r="AF42">
        <v>0.16940610682157128</v>
      </c>
    </row>
    <row r="43" spans="2:32" x14ac:dyDescent="0.45">
      <c r="B43" t="s">
        <v>128</v>
      </c>
      <c r="C43" t="s">
        <v>87</v>
      </c>
      <c r="D43">
        <v>0.43935403624140612</v>
      </c>
      <c r="E43">
        <v>0.43873175090636768</v>
      </c>
      <c r="F43">
        <v>0.49392237470866068</v>
      </c>
      <c r="G43">
        <v>0.5024427129922443</v>
      </c>
      <c r="W43" t="s">
        <v>128</v>
      </c>
      <c r="X43">
        <v>0.30032268641510806</v>
      </c>
      <c r="Y43">
        <v>0.30632739448944385</v>
      </c>
      <c r="Z43">
        <v>0.22990426471580808</v>
      </c>
      <c r="AA43">
        <v>0.20743601544779422</v>
      </c>
      <c r="AC43" t="s">
        <v>129</v>
      </c>
      <c r="AD43" t="s">
        <v>91</v>
      </c>
      <c r="AE43" t="s">
        <v>92</v>
      </c>
      <c r="AF43">
        <v>0.22852812829583471</v>
      </c>
    </row>
    <row r="44" spans="2:32" x14ac:dyDescent="0.45">
      <c r="B44" t="s">
        <v>130</v>
      </c>
      <c r="C44" t="s">
        <v>87</v>
      </c>
      <c r="D44">
        <v>0.51673689010011026</v>
      </c>
      <c r="E44">
        <v>0.50201644942717472</v>
      </c>
      <c r="F44">
        <v>0.53673448573878391</v>
      </c>
      <c r="G44">
        <v>0.52969336829639668</v>
      </c>
      <c r="W44" t="s">
        <v>130</v>
      </c>
      <c r="X44">
        <v>0.29373317092503359</v>
      </c>
      <c r="Y44">
        <v>0.30417045651328017</v>
      </c>
      <c r="Z44">
        <v>0.22440841835233802</v>
      </c>
      <c r="AA44">
        <v>0.22284373181987319</v>
      </c>
      <c r="AC44" t="s">
        <v>131</v>
      </c>
      <c r="AD44" t="s">
        <v>91</v>
      </c>
      <c r="AE44" t="s">
        <v>92</v>
      </c>
      <c r="AF44">
        <v>0.49809283676208105</v>
      </c>
    </row>
    <row r="45" spans="2:32" x14ac:dyDescent="0.45">
      <c r="B45" t="s">
        <v>132</v>
      </c>
      <c r="C45" t="s">
        <v>87</v>
      </c>
      <c r="D45">
        <v>0.35184552016935056</v>
      </c>
      <c r="E45">
        <v>0.36094871883977192</v>
      </c>
      <c r="F45">
        <v>0.44999282661121887</v>
      </c>
      <c r="G45">
        <v>0.45199259582771173</v>
      </c>
      <c r="W45" t="s">
        <v>132</v>
      </c>
      <c r="X45">
        <v>0.42389909167019019</v>
      </c>
      <c r="Y45">
        <v>0.42963255355230395</v>
      </c>
      <c r="Z45">
        <v>0.33107936698620927</v>
      </c>
      <c r="AA45">
        <v>0.3088386079477477</v>
      </c>
      <c r="AC45" t="s">
        <v>133</v>
      </c>
      <c r="AD45" t="s">
        <v>91</v>
      </c>
      <c r="AE45" t="s">
        <v>92</v>
      </c>
      <c r="AF45">
        <v>0.36152262849788969</v>
      </c>
    </row>
    <row r="46" spans="2:32" x14ac:dyDescent="0.45">
      <c r="B46" t="s">
        <v>134</v>
      </c>
      <c r="C46" t="s">
        <v>87</v>
      </c>
      <c r="D46">
        <v>0.48439878379929052</v>
      </c>
      <c r="E46">
        <v>0.48648960336553809</v>
      </c>
      <c r="F46">
        <v>0.52393964044367791</v>
      </c>
      <c r="G46">
        <v>0.50732580838706554</v>
      </c>
      <c r="W46" t="s">
        <v>134</v>
      </c>
      <c r="X46">
        <v>0.25498650743554202</v>
      </c>
      <c r="Y46">
        <v>0.26997199845358505</v>
      </c>
      <c r="Z46">
        <v>0.18377937896917015</v>
      </c>
      <c r="AA46">
        <v>0.18606753060458489</v>
      </c>
      <c r="AC46" t="s">
        <v>135</v>
      </c>
      <c r="AD46" t="s">
        <v>91</v>
      </c>
      <c r="AE46" t="s">
        <v>92</v>
      </c>
      <c r="AF46">
        <v>0.2930120548953285</v>
      </c>
    </row>
    <row r="47" spans="2:32" x14ac:dyDescent="0.45">
      <c r="B47" t="s">
        <v>136</v>
      </c>
      <c r="C47" t="s">
        <v>87</v>
      </c>
      <c r="D47">
        <v>0.36175687961762432</v>
      </c>
      <c r="E47">
        <v>0.37675143512273779</v>
      </c>
      <c r="F47">
        <v>0.4365265703395203</v>
      </c>
      <c r="G47">
        <v>0.46032716650436017</v>
      </c>
      <c r="W47" t="s">
        <v>136</v>
      </c>
      <c r="X47">
        <v>0.32417365903472622</v>
      </c>
      <c r="Y47">
        <v>0.33009846186169051</v>
      </c>
      <c r="Z47">
        <v>0.21917257032731238</v>
      </c>
      <c r="AA47">
        <v>0.21772839450979831</v>
      </c>
      <c r="AC47" t="s">
        <v>137</v>
      </c>
      <c r="AD47" t="s">
        <v>91</v>
      </c>
      <c r="AE47" t="s">
        <v>92</v>
      </c>
      <c r="AF47">
        <v>0.30794212320084752</v>
      </c>
    </row>
    <row r="48" spans="2:32" x14ac:dyDescent="0.45">
      <c r="B48" t="s">
        <v>138</v>
      </c>
      <c r="C48" t="s">
        <v>87</v>
      </c>
      <c r="D48">
        <v>0.42894155242830834</v>
      </c>
      <c r="E48">
        <v>0.43841963826159597</v>
      </c>
      <c r="F48">
        <v>0.50618123226260903</v>
      </c>
      <c r="G48">
        <v>0.48382736145370503</v>
      </c>
      <c r="W48" t="s">
        <v>138</v>
      </c>
      <c r="X48">
        <v>0.28981978261414548</v>
      </c>
      <c r="Y48">
        <v>0.29695698677187132</v>
      </c>
      <c r="Z48">
        <v>0.19426374248982167</v>
      </c>
      <c r="AA48">
        <v>0.19589665004664833</v>
      </c>
      <c r="AC48" t="s">
        <v>139</v>
      </c>
      <c r="AD48" t="s">
        <v>91</v>
      </c>
      <c r="AE48" t="s">
        <v>92</v>
      </c>
      <c r="AF48">
        <v>0.35916319428258153</v>
      </c>
    </row>
    <row r="49" spans="2:32" x14ac:dyDescent="0.45">
      <c r="B49" t="s">
        <v>140</v>
      </c>
      <c r="C49" t="s">
        <v>87</v>
      </c>
      <c r="D49">
        <v>0.32107150267565304</v>
      </c>
      <c r="E49">
        <v>0.34588191289973086</v>
      </c>
      <c r="F49">
        <v>0.33848520356939932</v>
      </c>
      <c r="G49">
        <v>0.38745542547133038</v>
      </c>
      <c r="W49" t="s">
        <v>140</v>
      </c>
      <c r="X49">
        <v>0.43078381592290715</v>
      </c>
      <c r="Y49">
        <v>0.40769780164638703</v>
      </c>
      <c r="Z49">
        <v>0.33087735536288071</v>
      </c>
      <c r="AA49">
        <v>0.29407489473913989</v>
      </c>
      <c r="AC49" t="s">
        <v>141</v>
      </c>
      <c r="AD49" t="s">
        <v>91</v>
      </c>
      <c r="AE49" t="s">
        <v>92</v>
      </c>
      <c r="AF49">
        <v>0.3463756479030165</v>
      </c>
    </row>
    <row r="50" spans="2:32" x14ac:dyDescent="0.45">
      <c r="B50" t="s">
        <v>142</v>
      </c>
      <c r="C50" t="s">
        <v>87</v>
      </c>
      <c r="D50">
        <v>0.43688272416595048</v>
      </c>
      <c r="E50">
        <v>0.44478358262007761</v>
      </c>
      <c r="F50">
        <v>0.48358576030414147</v>
      </c>
      <c r="G50">
        <v>0.47749107542141722</v>
      </c>
      <c r="W50" t="s">
        <v>142</v>
      </c>
      <c r="X50">
        <v>0.28924288864669878</v>
      </c>
      <c r="Y50">
        <v>0.29711398707802755</v>
      </c>
      <c r="Z50">
        <v>0.16561874705873589</v>
      </c>
      <c r="AA50">
        <v>0.16973258068191119</v>
      </c>
      <c r="AC50" t="s">
        <v>143</v>
      </c>
      <c r="AD50" t="s">
        <v>91</v>
      </c>
      <c r="AE50" t="s">
        <v>92</v>
      </c>
      <c r="AF50">
        <v>0.29126723750421407</v>
      </c>
    </row>
    <row r="51" spans="2:32" x14ac:dyDescent="0.45">
      <c r="B51" t="s">
        <v>144</v>
      </c>
      <c r="C51" t="s">
        <v>87</v>
      </c>
      <c r="D51">
        <v>0.27479482070558436</v>
      </c>
      <c r="E51">
        <v>0.28338763286556867</v>
      </c>
      <c r="F51">
        <v>0.3266629810497011</v>
      </c>
      <c r="G51">
        <v>0.35360823994002549</v>
      </c>
      <c r="W51" t="s">
        <v>144</v>
      </c>
      <c r="X51">
        <v>0.55060958562700668</v>
      </c>
      <c r="Y51">
        <v>0.52373812275266884</v>
      </c>
      <c r="Z51">
        <v>0.42735209627242982</v>
      </c>
      <c r="AA51">
        <v>0.40093542840317681</v>
      </c>
      <c r="AC51" t="s">
        <v>145</v>
      </c>
      <c r="AD51" t="s">
        <v>91</v>
      </c>
      <c r="AE51" t="s">
        <v>92</v>
      </c>
      <c r="AF51">
        <v>0.2229267643619591</v>
      </c>
    </row>
    <row r="52" spans="2:32" x14ac:dyDescent="0.45">
      <c r="B52" t="s">
        <v>146</v>
      </c>
      <c r="C52" t="s">
        <v>87</v>
      </c>
      <c r="D52">
        <v>0.29427134717113884</v>
      </c>
      <c r="E52">
        <v>0.31853553416925551</v>
      </c>
      <c r="F52">
        <v>0.32499927890482383</v>
      </c>
      <c r="G52">
        <v>0.35864931508006803</v>
      </c>
      <c r="W52" t="s">
        <v>146</v>
      </c>
      <c r="X52">
        <v>0.49935100237622937</v>
      </c>
      <c r="Y52">
        <v>0.464633000254631</v>
      </c>
      <c r="Z52">
        <v>0.3989955529112062</v>
      </c>
      <c r="AA52">
        <v>0.36155817653243782</v>
      </c>
      <c r="AC52" t="s">
        <v>147</v>
      </c>
      <c r="AD52" t="s">
        <v>91</v>
      </c>
      <c r="AE52" t="s">
        <v>92</v>
      </c>
      <c r="AF52">
        <v>0.30248131727868605</v>
      </c>
    </row>
    <row r="53" spans="2:32" x14ac:dyDescent="0.45">
      <c r="B53" t="s">
        <v>148</v>
      </c>
      <c r="C53" t="s">
        <v>87</v>
      </c>
      <c r="D53">
        <v>0.23866431719466946</v>
      </c>
      <c r="E53">
        <v>0.24645560294464539</v>
      </c>
      <c r="F53">
        <v>0.30396110180512986</v>
      </c>
      <c r="G53">
        <v>0.32905629223206279</v>
      </c>
      <c r="W53" t="s">
        <v>148</v>
      </c>
      <c r="X53">
        <v>0.60801683897218872</v>
      </c>
      <c r="Y53">
        <v>0.58877400121463741</v>
      </c>
      <c r="Z53">
        <v>0.49658793628722919</v>
      </c>
      <c r="AA53">
        <v>0.47242926632022997</v>
      </c>
      <c r="AC53" t="s">
        <v>149</v>
      </c>
      <c r="AD53" t="s">
        <v>91</v>
      </c>
      <c r="AE53" t="s">
        <v>92</v>
      </c>
      <c r="AF53">
        <v>0.19821645120302461</v>
      </c>
    </row>
    <row r="54" spans="2:32" x14ac:dyDescent="0.45">
      <c r="B54" t="s">
        <v>150</v>
      </c>
      <c r="C54" t="s">
        <v>87</v>
      </c>
      <c r="D54">
        <v>0.25856844579869986</v>
      </c>
      <c r="E54">
        <v>0.27095474567070932</v>
      </c>
      <c r="F54">
        <v>0.3071936968335528</v>
      </c>
      <c r="G54">
        <v>0.32482427357977689</v>
      </c>
      <c r="W54" t="s">
        <v>150</v>
      </c>
      <c r="X54">
        <v>0.57837371159864559</v>
      </c>
      <c r="Y54">
        <v>0.55609785422019409</v>
      </c>
      <c r="Z54">
        <v>0.49466985453636342</v>
      </c>
      <c r="AA54">
        <v>0.4731832974272836</v>
      </c>
      <c r="AC54" t="s">
        <v>151</v>
      </c>
      <c r="AD54" t="s">
        <v>91</v>
      </c>
      <c r="AE54" t="s">
        <v>92</v>
      </c>
      <c r="AF54">
        <v>0.11646698845472381</v>
      </c>
    </row>
    <row r="55" spans="2:32" x14ac:dyDescent="0.45">
      <c r="B55" t="s">
        <v>152</v>
      </c>
      <c r="C55" t="s">
        <v>87</v>
      </c>
      <c r="D55">
        <v>0.20417819431382409</v>
      </c>
      <c r="E55">
        <v>0.20593357429718495</v>
      </c>
      <c r="F55">
        <v>0.29261258777171417</v>
      </c>
      <c r="G55">
        <v>0.3112100632545407</v>
      </c>
      <c r="W55" t="s">
        <v>152</v>
      </c>
      <c r="X55">
        <v>0.6661430852382394</v>
      </c>
      <c r="Y55">
        <v>0.65908353933207975</v>
      </c>
      <c r="Z55">
        <v>0.50740260715082852</v>
      </c>
      <c r="AA55">
        <v>0.49025034800145023</v>
      </c>
      <c r="AC55" t="s">
        <v>153</v>
      </c>
      <c r="AD55" t="s">
        <v>91</v>
      </c>
      <c r="AE55" t="s">
        <v>92</v>
      </c>
      <c r="AF55">
        <v>0.24704277454464268</v>
      </c>
    </row>
    <row r="56" spans="2:32" x14ac:dyDescent="0.45">
      <c r="B56" t="s">
        <v>154</v>
      </c>
      <c r="C56" t="s">
        <v>87</v>
      </c>
      <c r="D56">
        <v>0.23287724970778662</v>
      </c>
      <c r="E56">
        <v>0.23319090371569171</v>
      </c>
      <c r="F56">
        <v>0.31119601180370915</v>
      </c>
      <c r="G56">
        <v>0.33000613516796612</v>
      </c>
      <c r="W56" t="s">
        <v>154</v>
      </c>
      <c r="X56">
        <v>0.62956228984426377</v>
      </c>
      <c r="Y56">
        <v>0.62420940954630222</v>
      </c>
      <c r="Z56">
        <v>0.48941596301228985</v>
      </c>
      <c r="AA56">
        <v>0.45519198905980851</v>
      </c>
      <c r="AC56" t="s">
        <v>155</v>
      </c>
      <c r="AD56" t="s">
        <v>91</v>
      </c>
      <c r="AE56" t="s">
        <v>92</v>
      </c>
      <c r="AF56">
        <v>0.21840501316761909</v>
      </c>
    </row>
    <row r="57" spans="2:32" x14ac:dyDescent="0.45">
      <c r="B57" t="s">
        <v>156</v>
      </c>
      <c r="C57" t="s">
        <v>87</v>
      </c>
      <c r="D57">
        <v>0.25955164043770962</v>
      </c>
      <c r="E57">
        <v>0.26855879079437028</v>
      </c>
      <c r="F57">
        <v>0.29762875498723002</v>
      </c>
      <c r="G57">
        <v>0.3485484436440881</v>
      </c>
      <c r="W57" t="s">
        <v>156</v>
      </c>
      <c r="X57">
        <v>0.57482882940639646</v>
      </c>
      <c r="Y57">
        <v>0.54721055068933289</v>
      </c>
      <c r="Z57">
        <v>0.46930277631084544</v>
      </c>
      <c r="AA57">
        <v>0.41856265362859224</v>
      </c>
      <c r="AC57" t="s">
        <v>157</v>
      </c>
      <c r="AD57" t="s">
        <v>91</v>
      </c>
      <c r="AE57" t="s">
        <v>92</v>
      </c>
      <c r="AF57">
        <v>0.3137181710885667</v>
      </c>
    </row>
    <row r="58" spans="2:32" x14ac:dyDescent="0.45">
      <c r="B58" t="s">
        <v>125</v>
      </c>
      <c r="C58" t="s">
        <v>87</v>
      </c>
      <c r="D58">
        <v>0.3865809607828623</v>
      </c>
      <c r="E58">
        <v>0.43529688667707839</v>
      </c>
      <c r="F58">
        <v>0.40479486361414585</v>
      </c>
      <c r="G58">
        <v>0.46213648654677331</v>
      </c>
      <c r="W58" t="s">
        <v>125</v>
      </c>
      <c r="X58">
        <v>0.1630068576520893</v>
      </c>
      <c r="Y58">
        <v>0.15115691004401619</v>
      </c>
      <c r="Z58">
        <v>0.13530981444185866</v>
      </c>
      <c r="AA58">
        <v>0.1177817713248379</v>
      </c>
      <c r="AC58" t="s">
        <v>158</v>
      </c>
      <c r="AD58" t="s">
        <v>91</v>
      </c>
      <c r="AE58" t="s">
        <v>92</v>
      </c>
      <c r="AF58">
        <v>0.32029673089044397</v>
      </c>
    </row>
    <row r="59" spans="2:32" x14ac:dyDescent="0.45">
      <c r="B59" t="s">
        <v>127</v>
      </c>
      <c r="C59" t="s">
        <v>87</v>
      </c>
      <c r="D59">
        <v>0.41385829071640207</v>
      </c>
      <c r="E59">
        <v>0.44870443966587997</v>
      </c>
      <c r="F59">
        <v>0.39109782910654822</v>
      </c>
      <c r="G59">
        <v>0.46534068933639733</v>
      </c>
      <c r="W59" t="s">
        <v>127</v>
      </c>
      <c r="X59">
        <v>0.1725078239697598</v>
      </c>
      <c r="Y59">
        <v>0.15231397639041458</v>
      </c>
      <c r="Z59">
        <v>0.14896105616744321</v>
      </c>
      <c r="AA59">
        <v>0.13389922047908831</v>
      </c>
      <c r="AC59" t="s">
        <v>159</v>
      </c>
      <c r="AD59" t="s">
        <v>91</v>
      </c>
      <c r="AE59" t="s">
        <v>92</v>
      </c>
      <c r="AF59">
        <v>0.2635838610916485</v>
      </c>
    </row>
    <row r="60" spans="2:32" x14ac:dyDescent="0.45">
      <c r="B60" t="s">
        <v>129</v>
      </c>
      <c r="C60" t="s">
        <v>87</v>
      </c>
      <c r="D60">
        <v>0.38067743814217447</v>
      </c>
      <c r="E60">
        <v>0.41309800562380006</v>
      </c>
      <c r="F60">
        <v>0.36413639134960224</v>
      </c>
      <c r="G60">
        <v>0.43884861096044164</v>
      </c>
      <c r="W60" t="s">
        <v>129</v>
      </c>
      <c r="X60">
        <v>0.23287201215267245</v>
      </c>
      <c r="Y60">
        <v>0.20034437850861331</v>
      </c>
      <c r="Z60">
        <v>0.21128374870390906</v>
      </c>
      <c r="AA60">
        <v>0.17657828567791117</v>
      </c>
      <c r="AC60" t="s">
        <v>160</v>
      </c>
      <c r="AD60" t="s">
        <v>91</v>
      </c>
      <c r="AE60" t="s">
        <v>92</v>
      </c>
      <c r="AF60">
        <v>0.20682406268439088</v>
      </c>
    </row>
    <row r="61" spans="2:32" x14ac:dyDescent="0.45">
      <c r="B61" t="s">
        <v>131</v>
      </c>
      <c r="C61" t="s">
        <v>87</v>
      </c>
      <c r="D61">
        <v>0.2368410196901779</v>
      </c>
      <c r="E61">
        <v>0.25275895435824786</v>
      </c>
      <c r="F61">
        <v>0.29998401534984892</v>
      </c>
      <c r="G61">
        <v>0.32453358373647845</v>
      </c>
      <c r="W61" t="s">
        <v>131</v>
      </c>
      <c r="X61">
        <v>0.51043051912193482</v>
      </c>
      <c r="Y61">
        <v>0.49207330233452595</v>
      </c>
      <c r="Z61">
        <v>0.4206321219347226</v>
      </c>
      <c r="AA61">
        <v>0.39513750189263824</v>
      </c>
      <c r="AC61" t="s">
        <v>161</v>
      </c>
      <c r="AD61" t="s">
        <v>91</v>
      </c>
      <c r="AE61" t="s">
        <v>92</v>
      </c>
      <c r="AF61">
        <v>0.24583933161206978</v>
      </c>
    </row>
    <row r="62" spans="2:32" x14ac:dyDescent="0.45">
      <c r="B62" t="s">
        <v>133</v>
      </c>
      <c r="C62" t="s">
        <v>87</v>
      </c>
      <c r="D62">
        <v>0.28141724659319739</v>
      </c>
      <c r="E62">
        <v>0.31141412206285501</v>
      </c>
      <c r="F62">
        <v>0.30127038372681492</v>
      </c>
      <c r="G62">
        <v>0.35345531287257564</v>
      </c>
      <c r="W62" t="s">
        <v>133</v>
      </c>
      <c r="X62">
        <v>0.36835363799295306</v>
      </c>
      <c r="Y62">
        <v>0.34496841542569812</v>
      </c>
      <c r="Z62">
        <v>0.30594941735043607</v>
      </c>
      <c r="AA62">
        <v>0.27353009470955258</v>
      </c>
      <c r="AC62" t="s">
        <v>162</v>
      </c>
      <c r="AD62" t="s">
        <v>91</v>
      </c>
      <c r="AE62" t="s">
        <v>92</v>
      </c>
      <c r="AF62">
        <v>0.23331933554916956</v>
      </c>
    </row>
    <row r="63" spans="2:32" x14ac:dyDescent="0.45">
      <c r="B63" t="s">
        <v>135</v>
      </c>
      <c r="C63" t="s">
        <v>87</v>
      </c>
      <c r="D63">
        <v>0.31447897579228551</v>
      </c>
      <c r="E63">
        <v>0.36365812576722167</v>
      </c>
      <c r="F63">
        <v>0.3400109461586891</v>
      </c>
      <c r="G63">
        <v>0.40255358120636053</v>
      </c>
      <c r="W63" t="s">
        <v>135</v>
      </c>
      <c r="X63">
        <v>0.29677083225332018</v>
      </c>
      <c r="Y63">
        <v>0.27085777790943422</v>
      </c>
      <c r="Z63">
        <v>0.24201058161804481</v>
      </c>
      <c r="AA63">
        <v>0.2087470548966722</v>
      </c>
      <c r="AC63" t="s">
        <v>163</v>
      </c>
      <c r="AD63" t="s">
        <v>91</v>
      </c>
      <c r="AE63" t="s">
        <v>92</v>
      </c>
      <c r="AF63">
        <v>0.18578360318445408</v>
      </c>
    </row>
    <row r="64" spans="2:32" x14ac:dyDescent="0.45">
      <c r="B64" t="s">
        <v>137</v>
      </c>
      <c r="C64" t="s">
        <v>87</v>
      </c>
      <c r="D64">
        <v>0.31677848434810496</v>
      </c>
      <c r="E64">
        <v>0.36480245276304818</v>
      </c>
      <c r="F64">
        <v>0.34149166597206543</v>
      </c>
      <c r="G64">
        <v>0.40802380671159655</v>
      </c>
      <c r="W64" t="s">
        <v>137</v>
      </c>
      <c r="X64">
        <v>0.31170385784679755</v>
      </c>
      <c r="Y64">
        <v>0.27377568405438668</v>
      </c>
      <c r="Z64">
        <v>0.26832481318900397</v>
      </c>
      <c r="AA64">
        <v>0.22022202370951924</v>
      </c>
      <c r="AC64" t="s">
        <v>164</v>
      </c>
      <c r="AD64" t="s">
        <v>91</v>
      </c>
      <c r="AE64" t="s">
        <v>92</v>
      </c>
      <c r="AF64">
        <v>0.16654630823394112</v>
      </c>
    </row>
    <row r="65" spans="2:32" x14ac:dyDescent="0.45">
      <c r="B65" t="s">
        <v>139</v>
      </c>
      <c r="C65" t="s">
        <v>87</v>
      </c>
      <c r="D65">
        <v>0.2856823324686702</v>
      </c>
      <c r="E65">
        <v>0.3193534621617346</v>
      </c>
      <c r="F65">
        <v>0.31437510132285768</v>
      </c>
      <c r="G65">
        <v>0.36340913786465356</v>
      </c>
      <c r="W65" t="s">
        <v>139</v>
      </c>
      <c r="X65">
        <v>0.37698130496288496</v>
      </c>
      <c r="Y65">
        <v>0.34985514987325184</v>
      </c>
      <c r="Z65">
        <v>0.31971796810903885</v>
      </c>
      <c r="AA65">
        <v>0.27805437237246583</v>
      </c>
      <c r="AC65" t="s">
        <v>165</v>
      </c>
      <c r="AD65" t="s">
        <v>91</v>
      </c>
      <c r="AE65" t="s">
        <v>92</v>
      </c>
      <c r="AF65">
        <v>0.23895434039901942</v>
      </c>
    </row>
    <row r="66" spans="2:32" x14ac:dyDescent="0.45">
      <c r="B66" t="s">
        <v>141</v>
      </c>
      <c r="C66" t="s">
        <v>87</v>
      </c>
      <c r="D66">
        <v>0.31412543305213958</v>
      </c>
      <c r="E66">
        <v>0.34793469989126036</v>
      </c>
      <c r="F66">
        <v>0.33625587052874339</v>
      </c>
      <c r="G66">
        <v>0.39561468821719642</v>
      </c>
      <c r="W66" t="s">
        <v>141</v>
      </c>
      <c r="X66">
        <v>0.35067457754525783</v>
      </c>
      <c r="Y66">
        <v>0.31675853163457052</v>
      </c>
      <c r="Z66">
        <v>0.29814608702048156</v>
      </c>
      <c r="AA66">
        <v>0.25011125715733001</v>
      </c>
      <c r="AC66" t="s">
        <v>166</v>
      </c>
      <c r="AD66" t="s">
        <v>91</v>
      </c>
      <c r="AE66" t="s">
        <v>92</v>
      </c>
      <c r="AF66">
        <v>0.20696873104597863</v>
      </c>
    </row>
    <row r="67" spans="2:32" x14ac:dyDescent="0.45">
      <c r="B67" t="s">
        <v>143</v>
      </c>
      <c r="C67" t="s">
        <v>87</v>
      </c>
      <c r="D67">
        <v>0.33164700494435018</v>
      </c>
      <c r="E67">
        <v>0.37687335219902368</v>
      </c>
      <c r="F67">
        <v>0.34646523715145505</v>
      </c>
      <c r="G67">
        <v>0.41322441704810031</v>
      </c>
      <c r="W67" t="s">
        <v>143</v>
      </c>
      <c r="X67">
        <v>0.29793905861935477</v>
      </c>
      <c r="Y67">
        <v>0.26664553710502314</v>
      </c>
      <c r="Z67">
        <v>0.24974979522827437</v>
      </c>
      <c r="AA67">
        <v>0.20248979530040492</v>
      </c>
      <c r="AC67" t="s">
        <v>167</v>
      </c>
      <c r="AD67" t="s">
        <v>91</v>
      </c>
      <c r="AE67" t="s">
        <v>92</v>
      </c>
      <c r="AF67">
        <v>0.16062336987618739</v>
      </c>
    </row>
    <row r="68" spans="2:32" x14ac:dyDescent="0.45">
      <c r="B68" t="s">
        <v>145</v>
      </c>
      <c r="C68" t="s">
        <v>87</v>
      </c>
      <c r="D68">
        <v>0.3721767841979422</v>
      </c>
      <c r="E68">
        <v>0.38409161362195954</v>
      </c>
      <c r="F68">
        <v>0.44226681286704411</v>
      </c>
      <c r="G68">
        <v>0.43243770411792198</v>
      </c>
      <c r="W68" t="s">
        <v>145</v>
      </c>
      <c r="X68">
        <v>0.2171089739052062</v>
      </c>
      <c r="Y68">
        <v>0.22512302256410741</v>
      </c>
      <c r="Z68">
        <v>0.14799691278570209</v>
      </c>
      <c r="AA68">
        <v>0.1494093224530352</v>
      </c>
      <c r="AC68" t="s">
        <v>168</v>
      </c>
      <c r="AD68" t="s">
        <v>91</v>
      </c>
      <c r="AE68" t="s">
        <v>92</v>
      </c>
      <c r="AF68">
        <v>0.19191633373512776</v>
      </c>
    </row>
    <row r="69" spans="2:32" x14ac:dyDescent="0.45">
      <c r="B69" t="s">
        <v>147</v>
      </c>
      <c r="C69" t="s">
        <v>87</v>
      </c>
      <c r="D69">
        <v>0.41814020703289606</v>
      </c>
      <c r="E69">
        <v>0.43348119656483891</v>
      </c>
      <c r="F69">
        <v>0.50444058563025029</v>
      </c>
      <c r="G69">
        <v>0.5080938655907401</v>
      </c>
      <c r="W69" t="s">
        <v>147</v>
      </c>
      <c r="X69">
        <v>0.29544961364646455</v>
      </c>
      <c r="Y69">
        <v>0.30414853095623318</v>
      </c>
      <c r="Z69">
        <v>0.22112404893862345</v>
      </c>
      <c r="AA69">
        <v>0.20075273290262213</v>
      </c>
      <c r="AC69" t="s">
        <v>124</v>
      </c>
      <c r="AD69" t="s">
        <v>91</v>
      </c>
      <c r="AE69" t="s">
        <v>92</v>
      </c>
      <c r="AF69">
        <v>0.53573990401945326</v>
      </c>
    </row>
    <row r="70" spans="2:32" x14ac:dyDescent="0.45">
      <c r="B70" t="s">
        <v>149</v>
      </c>
      <c r="C70" t="s">
        <v>87</v>
      </c>
      <c r="D70">
        <v>0.52966356983275742</v>
      </c>
      <c r="E70">
        <v>0.52883352759373103</v>
      </c>
      <c r="F70">
        <v>0.60037584315670134</v>
      </c>
      <c r="G70">
        <v>0.56070127948625159</v>
      </c>
      <c r="W70" t="s">
        <v>149</v>
      </c>
      <c r="X70">
        <v>0.18863128333273718</v>
      </c>
      <c r="Y70">
        <v>0.19918162720541568</v>
      </c>
      <c r="Z70">
        <v>0.14326244964523588</v>
      </c>
      <c r="AA70">
        <v>0.12721030494554755</v>
      </c>
      <c r="AC70" t="s">
        <v>126</v>
      </c>
      <c r="AD70" t="s">
        <v>91</v>
      </c>
      <c r="AE70" t="s">
        <v>92</v>
      </c>
      <c r="AF70">
        <v>0.25618712454190612</v>
      </c>
    </row>
    <row r="71" spans="2:32" x14ac:dyDescent="0.45">
      <c r="B71" t="s">
        <v>151</v>
      </c>
      <c r="C71" t="s">
        <v>87</v>
      </c>
      <c r="D71">
        <v>0.56840492197128967</v>
      </c>
      <c r="E71">
        <v>0.53960835211153457</v>
      </c>
      <c r="F71">
        <v>0.57405541615470101</v>
      </c>
      <c r="G71">
        <v>0.51936624432199829</v>
      </c>
      <c r="W71" t="s">
        <v>151</v>
      </c>
      <c r="X71">
        <v>0.11539954689646698</v>
      </c>
      <c r="Y71">
        <v>0.11773619730413154</v>
      </c>
      <c r="Z71">
        <v>7.1875914541072713E-2</v>
      </c>
      <c r="AA71">
        <v>6.8434129793638832E-2</v>
      </c>
      <c r="AC71" t="s">
        <v>128</v>
      </c>
      <c r="AD71" t="s">
        <v>91</v>
      </c>
      <c r="AE71" t="s">
        <v>92</v>
      </c>
      <c r="AF71">
        <v>0.30535022291082997</v>
      </c>
    </row>
    <row r="72" spans="2:32" x14ac:dyDescent="0.45">
      <c r="B72" t="s">
        <v>153</v>
      </c>
      <c r="C72" t="s">
        <v>87</v>
      </c>
      <c r="D72">
        <v>0.36954114834884344</v>
      </c>
      <c r="E72">
        <v>0.40066050392891833</v>
      </c>
      <c r="F72">
        <v>0.37583890177652152</v>
      </c>
      <c r="G72">
        <v>0.4122279471254422</v>
      </c>
      <c r="W72" t="s">
        <v>153</v>
      </c>
      <c r="X72">
        <v>0.25042784888313807</v>
      </c>
      <c r="Y72">
        <v>0.24902310020878529</v>
      </c>
      <c r="Z72">
        <v>0.22323653508193753</v>
      </c>
      <c r="AA72">
        <v>0.21405372123117475</v>
      </c>
      <c r="AC72" t="s">
        <v>130</v>
      </c>
      <c r="AD72" t="s">
        <v>91</v>
      </c>
      <c r="AE72" t="s">
        <v>92</v>
      </c>
      <c r="AF72">
        <v>0.30314808656320175</v>
      </c>
    </row>
    <row r="73" spans="2:32" x14ac:dyDescent="0.45">
      <c r="B73" t="s">
        <v>155</v>
      </c>
      <c r="C73" t="s">
        <v>87</v>
      </c>
      <c r="D73">
        <v>0.45162648324734139</v>
      </c>
      <c r="E73">
        <v>0.47793940958438269</v>
      </c>
      <c r="F73">
        <v>0.46691365935164442</v>
      </c>
      <c r="G73">
        <v>0.47575169571789094</v>
      </c>
      <c r="W73" t="s">
        <v>155</v>
      </c>
      <c r="X73">
        <v>0.21048998607462849</v>
      </c>
      <c r="Y73">
        <v>0.21971621070594882</v>
      </c>
      <c r="Z73">
        <v>0.15506659107977128</v>
      </c>
      <c r="AA73">
        <v>0.1509048307361231</v>
      </c>
      <c r="AC73" t="s">
        <v>132</v>
      </c>
      <c r="AD73" t="s">
        <v>91</v>
      </c>
      <c r="AE73" t="s">
        <v>92</v>
      </c>
      <c r="AF73">
        <v>0.4273737207309507</v>
      </c>
    </row>
    <row r="74" spans="2:32" x14ac:dyDescent="0.45">
      <c r="B74" t="s">
        <v>157</v>
      </c>
      <c r="C74" t="s">
        <v>87</v>
      </c>
      <c r="D74">
        <v>0.3278213508801604</v>
      </c>
      <c r="E74">
        <v>0.35868487238488844</v>
      </c>
      <c r="F74">
        <v>0.36598399215823552</v>
      </c>
      <c r="G74">
        <v>0.39620797754380166</v>
      </c>
      <c r="W74" t="s">
        <v>157</v>
      </c>
      <c r="X74">
        <v>0.30754661305269487</v>
      </c>
      <c r="Y74">
        <v>0.31692701004480989</v>
      </c>
      <c r="Z74">
        <v>0.26080843291413053</v>
      </c>
      <c r="AA74">
        <v>0.26706649917009634</v>
      </c>
      <c r="AC74" t="s">
        <v>134</v>
      </c>
      <c r="AD74" t="s">
        <v>91</v>
      </c>
      <c r="AE74" t="s">
        <v>92</v>
      </c>
      <c r="AF74">
        <v>0.26909283128192424</v>
      </c>
    </row>
    <row r="75" spans="2:32" x14ac:dyDescent="0.45">
      <c r="B75" t="s">
        <v>158</v>
      </c>
      <c r="C75" t="s">
        <v>87</v>
      </c>
      <c r="D75">
        <v>0.30037314065007503</v>
      </c>
      <c r="E75">
        <v>0.34705439672816768</v>
      </c>
      <c r="F75">
        <v>0.32611987760091415</v>
      </c>
      <c r="G75">
        <v>0.38026821165982005</v>
      </c>
      <c r="W75" t="s">
        <v>158</v>
      </c>
      <c r="X75">
        <v>0.32375132155192643</v>
      </c>
      <c r="Y75">
        <v>0.29713388996292772</v>
      </c>
      <c r="Z75">
        <v>0.25862886046453648</v>
      </c>
      <c r="AA75">
        <v>0.22818195579005807</v>
      </c>
      <c r="AC75" t="s">
        <v>136</v>
      </c>
      <c r="AD75" t="s">
        <v>91</v>
      </c>
      <c r="AE75" t="s">
        <v>92</v>
      </c>
      <c r="AF75">
        <v>0.32846387501589164</v>
      </c>
    </row>
    <row r="76" spans="2:32" x14ac:dyDescent="0.45">
      <c r="B76" t="s">
        <v>159</v>
      </c>
      <c r="C76" t="s">
        <v>87</v>
      </c>
      <c r="D76">
        <v>0.31470167550266265</v>
      </c>
      <c r="E76">
        <v>0.3605121417282543</v>
      </c>
      <c r="F76">
        <v>0.31310639053846501</v>
      </c>
      <c r="G76">
        <v>0.39513699657237805</v>
      </c>
      <c r="W76" t="s">
        <v>159</v>
      </c>
      <c r="X76">
        <v>0.26668016757385349</v>
      </c>
      <c r="Y76">
        <v>0.23984401356724777</v>
      </c>
      <c r="Z76">
        <v>0.21105709668995573</v>
      </c>
      <c r="AA76">
        <v>0.16987442500697228</v>
      </c>
      <c r="AC76" t="s">
        <v>138</v>
      </c>
      <c r="AD76" t="s">
        <v>91</v>
      </c>
      <c r="AE76" t="s">
        <v>92</v>
      </c>
      <c r="AF76">
        <v>0.29586320766338425</v>
      </c>
    </row>
    <row r="77" spans="2:32" x14ac:dyDescent="0.45">
      <c r="B77" t="s">
        <v>160</v>
      </c>
      <c r="C77" t="s">
        <v>87</v>
      </c>
      <c r="D77">
        <v>0.38387678952976878</v>
      </c>
      <c r="E77">
        <v>0.44396950446755007</v>
      </c>
      <c r="F77">
        <v>0.38070227172934162</v>
      </c>
      <c r="G77">
        <v>0.47208994479582689</v>
      </c>
      <c r="W77" t="s">
        <v>160</v>
      </c>
      <c r="X77">
        <v>0.20859212493652604</v>
      </c>
      <c r="Y77">
        <v>0.19882399676693072</v>
      </c>
      <c r="Z77">
        <v>0.1291993790068145</v>
      </c>
      <c r="AA77">
        <v>0.1074375942370782</v>
      </c>
      <c r="AC77" t="s">
        <v>140</v>
      </c>
      <c r="AD77" t="s">
        <v>91</v>
      </c>
      <c r="AE77" t="s">
        <v>92</v>
      </c>
      <c r="AF77">
        <v>0.42906908937533117</v>
      </c>
    </row>
    <row r="78" spans="2:32" x14ac:dyDescent="0.45">
      <c r="B78" t="s">
        <v>161</v>
      </c>
      <c r="C78" t="s">
        <v>87</v>
      </c>
      <c r="D78">
        <v>0.32639013364536351</v>
      </c>
      <c r="E78">
        <v>0.38308265231885869</v>
      </c>
      <c r="F78">
        <v>0.30753564536644962</v>
      </c>
      <c r="G78">
        <v>0.4243126549587708</v>
      </c>
      <c r="W78" t="s">
        <v>161</v>
      </c>
      <c r="X78">
        <v>0.24928467966386739</v>
      </c>
      <c r="Y78">
        <v>0.22115072672614752</v>
      </c>
      <c r="Z78">
        <v>0.17978045482251925</v>
      </c>
      <c r="AA78">
        <v>0.1397100703239548</v>
      </c>
      <c r="AC78" t="s">
        <v>142</v>
      </c>
      <c r="AD78" t="s">
        <v>91</v>
      </c>
      <c r="AE78" t="s">
        <v>92</v>
      </c>
      <c r="AF78">
        <v>0.2960872749528603</v>
      </c>
    </row>
    <row r="79" spans="2:32" x14ac:dyDescent="0.45">
      <c r="B79" t="s">
        <v>162</v>
      </c>
      <c r="C79" t="s">
        <v>87</v>
      </c>
      <c r="D79">
        <v>0.35063562872060705</v>
      </c>
      <c r="E79">
        <v>0.38787323412395608</v>
      </c>
      <c r="F79">
        <v>0.36574272448863343</v>
      </c>
      <c r="G79">
        <v>0.44713983471412083</v>
      </c>
      <c r="W79" t="s">
        <v>162</v>
      </c>
      <c r="X79">
        <v>0.23752924880956813</v>
      </c>
      <c r="Y79">
        <v>0.22681299624212567</v>
      </c>
      <c r="Z79">
        <v>0.19604844023593121</v>
      </c>
      <c r="AA79">
        <v>0.17502917623146877</v>
      </c>
      <c r="AC79" t="s">
        <v>144</v>
      </c>
      <c r="AD79" t="s">
        <v>91</v>
      </c>
      <c r="AE79" t="s">
        <v>92</v>
      </c>
      <c r="AF79">
        <v>0.54665410399260905</v>
      </c>
    </row>
    <row r="80" spans="2:32" x14ac:dyDescent="0.45">
      <c r="B80" t="s">
        <v>163</v>
      </c>
      <c r="C80" t="s">
        <v>87</v>
      </c>
      <c r="D80">
        <v>0.41888485642124512</v>
      </c>
      <c r="E80">
        <v>0.4108263951138883</v>
      </c>
      <c r="F80">
        <v>0.44775572489207399</v>
      </c>
      <c r="G80">
        <v>0.42737989129586829</v>
      </c>
      <c r="W80" t="s">
        <v>163</v>
      </c>
      <c r="X80">
        <v>0.15811052001493583</v>
      </c>
      <c r="Y80">
        <v>0.18765649588575928</v>
      </c>
      <c r="Z80">
        <v>0.11022090377996639</v>
      </c>
      <c r="AA80">
        <v>0.12232438673599709</v>
      </c>
      <c r="AC80" t="s">
        <v>146</v>
      </c>
      <c r="AD80" t="s">
        <v>91</v>
      </c>
      <c r="AE80" t="s">
        <v>92</v>
      </c>
      <c r="AF80">
        <v>0.4979868931390955</v>
      </c>
    </row>
    <row r="81" spans="2:32" x14ac:dyDescent="0.45">
      <c r="B81" t="s">
        <v>164</v>
      </c>
      <c r="C81" t="s">
        <v>87</v>
      </c>
      <c r="D81">
        <v>0.40241645874746701</v>
      </c>
      <c r="E81">
        <v>0.43104618666836103</v>
      </c>
      <c r="F81">
        <v>0.4182806763595267</v>
      </c>
      <c r="G81">
        <v>0.44113778160947503</v>
      </c>
      <c r="W81" t="s">
        <v>164</v>
      </c>
      <c r="X81">
        <v>0.14690811236554152</v>
      </c>
      <c r="Y81">
        <v>0.16882633626146495</v>
      </c>
      <c r="Z81">
        <v>0.11182475089941525</v>
      </c>
      <c r="AA81">
        <v>0.1104775687301006</v>
      </c>
      <c r="AC81" t="s">
        <v>148</v>
      </c>
      <c r="AD81" t="s">
        <v>91</v>
      </c>
      <c r="AE81" t="s">
        <v>92</v>
      </c>
      <c r="AF81">
        <v>0.60283462053416503</v>
      </c>
    </row>
    <row r="82" spans="2:32" x14ac:dyDescent="0.45">
      <c r="B82" t="s">
        <v>165</v>
      </c>
      <c r="C82" t="s">
        <v>87</v>
      </c>
      <c r="D82">
        <v>0.3541006980018212</v>
      </c>
      <c r="E82">
        <v>0.37108897895642856</v>
      </c>
      <c r="F82">
        <v>0.36467947363096953</v>
      </c>
      <c r="G82">
        <v>0.41961445065221792</v>
      </c>
      <c r="W82" t="s">
        <v>165</v>
      </c>
      <c r="X82">
        <v>0.24165307889412294</v>
      </c>
      <c r="Y82">
        <v>0.23488880047448668</v>
      </c>
      <c r="Z82">
        <v>0.21119226908095398</v>
      </c>
      <c r="AA82">
        <v>0.18774183165979733</v>
      </c>
      <c r="AC82" t="s">
        <v>150</v>
      </c>
      <c r="AD82" t="s">
        <v>91</v>
      </c>
      <c r="AE82" t="s">
        <v>92</v>
      </c>
      <c r="AF82">
        <v>0.57029920407111723</v>
      </c>
    </row>
    <row r="83" spans="2:32" x14ac:dyDescent="0.45">
      <c r="B83" t="s">
        <v>166</v>
      </c>
      <c r="C83" t="s">
        <v>87</v>
      </c>
      <c r="D83">
        <v>0.36644466819695631</v>
      </c>
      <c r="E83">
        <v>0.40022423764789294</v>
      </c>
      <c r="F83">
        <v>0.37403731831328418</v>
      </c>
      <c r="G83">
        <v>0.4480396836677954</v>
      </c>
      <c r="W83" t="s">
        <v>166</v>
      </c>
      <c r="X83">
        <v>0.21098208539062804</v>
      </c>
      <c r="Y83">
        <v>0.19563959817759882</v>
      </c>
      <c r="Z83">
        <v>0.18142809446339375</v>
      </c>
      <c r="AA83">
        <v>0.16137864316661613</v>
      </c>
      <c r="AC83" t="s">
        <v>152</v>
      </c>
      <c r="AD83" t="s">
        <v>91</v>
      </c>
      <c r="AE83" t="s">
        <v>92</v>
      </c>
      <c r="AF83">
        <v>0.66018998006806606</v>
      </c>
    </row>
    <row r="84" spans="2:32" x14ac:dyDescent="0.45">
      <c r="B84" t="s">
        <v>167</v>
      </c>
      <c r="C84" t="s">
        <v>87</v>
      </c>
      <c r="D84">
        <v>0.42128834285999411</v>
      </c>
      <c r="E84">
        <v>0.43509373910462779</v>
      </c>
      <c r="F84">
        <v>0.40858285147942336</v>
      </c>
      <c r="G84">
        <v>0.47437120506042896</v>
      </c>
      <c r="W84" t="s">
        <v>167</v>
      </c>
      <c r="X84">
        <v>0.163380935399453</v>
      </c>
      <c r="Y84">
        <v>0.14261556398917388</v>
      </c>
      <c r="Z84">
        <v>0.15754703706499182</v>
      </c>
      <c r="AA84">
        <v>0.13917995243346079</v>
      </c>
      <c r="AC84" t="s">
        <v>154</v>
      </c>
      <c r="AD84" t="s">
        <v>91</v>
      </c>
      <c r="AE84" t="s">
        <v>92</v>
      </c>
      <c r="AF84">
        <v>0.62770594375364963</v>
      </c>
    </row>
    <row r="85" spans="2:32" x14ac:dyDescent="0.45">
      <c r="B85" t="s">
        <v>168</v>
      </c>
      <c r="C85" t="s">
        <v>87</v>
      </c>
      <c r="D85">
        <v>0.40694453372611872</v>
      </c>
      <c r="E85">
        <v>0.40190675582151819</v>
      </c>
      <c r="F85">
        <v>0.41224088392061115</v>
      </c>
      <c r="G85">
        <v>0.45657406741723139</v>
      </c>
      <c r="W85" t="s">
        <v>168</v>
      </c>
      <c r="X85">
        <v>0.18924959894761043</v>
      </c>
      <c r="Y85">
        <v>0.19400225749243039</v>
      </c>
      <c r="Z85">
        <v>0.17059288414622298</v>
      </c>
      <c r="AA85">
        <v>0.17246346070109173</v>
      </c>
      <c r="AC85" t="s">
        <v>156</v>
      </c>
      <c r="AD85" t="s">
        <v>91</v>
      </c>
      <c r="AE85" t="s">
        <v>92</v>
      </c>
      <c r="AF85">
        <v>0.57186116009158483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E4FC-C3EB-49A7-BD13-50B44355A0F3}">
  <dimension ref="A9:S68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region=FRA")</f>
        <v>~TFM_DINS-AT: region=FRA</v>
      </c>
      <c r="H9" t="str">
        <f>IF(A11="x","DeActivated","~TFM_DINS-AT: region=FRA")</f>
        <v>~TFM_DINS-AT: region=FRA</v>
      </c>
      <c r="L9" t="str">
        <f>IF(A11="x","DeActivated","~TFM_DINS-AT: region=FRA")</f>
        <v>~TFM_DINS-AT: region=FRA</v>
      </c>
      <c r="P9" t="str">
        <f>IF(A11="x","DeActivated","~TFM_INS-AT: region=FRA")</f>
        <v>~TFM_INS-AT: region=FRA</v>
      </c>
    </row>
    <row r="10" spans="1:19" x14ac:dyDescent="0.45">
      <c r="A10" t="s">
        <v>169</v>
      </c>
      <c r="C10" t="s">
        <v>170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171</v>
      </c>
      <c r="P10" t="s">
        <v>172</v>
      </c>
      <c r="Q10" t="s">
        <v>1</v>
      </c>
      <c r="R10" t="s">
        <v>173</v>
      </c>
      <c r="S10" t="s">
        <v>174</v>
      </c>
    </row>
    <row r="11" spans="1:19" x14ac:dyDescent="0.45">
      <c r="C11">
        <v>0.24931506849315069</v>
      </c>
      <c r="D11">
        <v>0.13646719538572463</v>
      </c>
      <c r="E11" t="s">
        <v>5</v>
      </c>
      <c r="F11" t="s">
        <v>175</v>
      </c>
      <c r="H11" t="s">
        <v>176</v>
      </c>
      <c r="I11" t="s">
        <v>5</v>
      </c>
      <c r="L11" t="s">
        <v>177</v>
      </c>
      <c r="M11" t="s">
        <v>5</v>
      </c>
      <c r="N11">
        <v>0.3457442836703164</v>
      </c>
      <c r="P11">
        <v>2020</v>
      </c>
      <c r="Q11" t="s">
        <v>178</v>
      </c>
      <c r="R11">
        <v>0.32229999999999998</v>
      </c>
      <c r="S11" t="s">
        <v>179</v>
      </c>
    </row>
    <row r="12" spans="1:19" x14ac:dyDescent="0.45">
      <c r="C12">
        <v>0.24931506849315069</v>
      </c>
      <c r="D12">
        <v>0.36216294160057688</v>
      </c>
      <c r="E12" t="s">
        <v>9</v>
      </c>
      <c r="F12" t="s">
        <v>175</v>
      </c>
      <c r="H12" t="s">
        <v>176</v>
      </c>
      <c r="I12" t="s">
        <v>9</v>
      </c>
      <c r="L12" t="s">
        <v>177</v>
      </c>
      <c r="M12" t="s">
        <v>9</v>
      </c>
      <c r="N12">
        <v>0.15308723502715615</v>
      </c>
      <c r="P12">
        <v>2020</v>
      </c>
      <c r="Q12" t="s">
        <v>180</v>
      </c>
      <c r="R12">
        <v>0.23194999999999999</v>
      </c>
      <c r="S12" t="s">
        <v>179</v>
      </c>
    </row>
    <row r="13" spans="1:19" x14ac:dyDescent="0.45">
      <c r="C13">
        <v>0.25068493150684934</v>
      </c>
      <c r="D13">
        <v>0.13721701514059123</v>
      </c>
      <c r="E13" t="s">
        <v>10</v>
      </c>
      <c r="F13" t="s">
        <v>175</v>
      </c>
      <c r="H13" t="s">
        <v>176</v>
      </c>
      <c r="I13" t="s">
        <v>10</v>
      </c>
      <c r="L13" t="s">
        <v>177</v>
      </c>
      <c r="M13" t="s">
        <v>10</v>
      </c>
      <c r="N13">
        <v>0.39995921245857979</v>
      </c>
      <c r="P13">
        <v>2021</v>
      </c>
      <c r="Q13" t="s">
        <v>178</v>
      </c>
      <c r="R13">
        <v>0.30814999999999998</v>
      </c>
      <c r="S13" t="s">
        <v>179</v>
      </c>
    </row>
    <row r="14" spans="1:19" x14ac:dyDescent="0.45">
      <c r="C14">
        <v>0.25068493150684934</v>
      </c>
      <c r="D14">
        <v>0.36415284787310753</v>
      </c>
      <c r="E14" t="s">
        <v>11</v>
      </c>
      <c r="F14" t="s">
        <v>175</v>
      </c>
      <c r="H14" t="s">
        <v>176</v>
      </c>
      <c r="I14" t="s">
        <v>11</v>
      </c>
      <c r="L14" t="s">
        <v>177</v>
      </c>
      <c r="M14" t="s">
        <v>11</v>
      </c>
      <c r="N14">
        <v>0.21732334316905755</v>
      </c>
      <c r="P14">
        <v>2021</v>
      </c>
      <c r="Q14" t="s">
        <v>180</v>
      </c>
      <c r="R14">
        <v>0.2233333333333333</v>
      </c>
      <c r="S14" t="s">
        <v>179</v>
      </c>
    </row>
    <row r="15" spans="1:19" x14ac:dyDescent="0.45">
      <c r="H15" t="s">
        <v>181</v>
      </c>
      <c r="I15" t="s">
        <v>5</v>
      </c>
      <c r="P15">
        <v>2022</v>
      </c>
      <c r="Q15" t="s">
        <v>178</v>
      </c>
      <c r="R15">
        <v>0.24585000000000001</v>
      </c>
      <c r="S15" t="s">
        <v>179</v>
      </c>
    </row>
    <row r="16" spans="1:19" x14ac:dyDescent="0.45">
      <c r="H16" t="s">
        <v>181</v>
      </c>
      <c r="I16" t="s">
        <v>9</v>
      </c>
      <c r="P16">
        <v>2022</v>
      </c>
      <c r="Q16" t="s">
        <v>180</v>
      </c>
      <c r="R16">
        <v>0.15948333333333334</v>
      </c>
      <c r="S16" t="s">
        <v>179</v>
      </c>
    </row>
    <row r="17" spans="8:19" x14ac:dyDescent="0.45">
      <c r="H17" t="s">
        <v>181</v>
      </c>
      <c r="I17" t="s">
        <v>10</v>
      </c>
      <c r="P17">
        <v>2025</v>
      </c>
      <c r="Q17" t="s">
        <v>178</v>
      </c>
      <c r="R17">
        <v>0.28488333333333332</v>
      </c>
      <c r="S17" t="s">
        <v>179</v>
      </c>
    </row>
    <row r="18" spans="8:19" x14ac:dyDescent="0.45">
      <c r="H18" t="s">
        <v>181</v>
      </c>
      <c r="I18" t="s">
        <v>11</v>
      </c>
      <c r="P18">
        <v>2025</v>
      </c>
      <c r="Q18" t="s">
        <v>180</v>
      </c>
      <c r="R18">
        <v>0.21781666666666666</v>
      </c>
      <c r="S18" t="s">
        <v>179</v>
      </c>
    </row>
    <row r="19" spans="8:19" x14ac:dyDescent="0.45">
      <c r="P19">
        <v>2026</v>
      </c>
      <c r="Q19" t="s">
        <v>178</v>
      </c>
      <c r="R19">
        <v>0.2787</v>
      </c>
      <c r="S19" t="s">
        <v>179</v>
      </c>
    </row>
    <row r="20" spans="8:19" x14ac:dyDescent="0.45">
      <c r="P20">
        <v>2026</v>
      </c>
      <c r="Q20" t="s">
        <v>180</v>
      </c>
      <c r="R20">
        <v>0.21091666666666667</v>
      </c>
      <c r="S20" t="s">
        <v>179</v>
      </c>
    </row>
    <row r="21" spans="8:19" x14ac:dyDescent="0.45">
      <c r="P21">
        <v>2027</v>
      </c>
      <c r="Q21" t="s">
        <v>178</v>
      </c>
      <c r="R21">
        <v>0.31829999999999997</v>
      </c>
      <c r="S21" t="s">
        <v>179</v>
      </c>
    </row>
    <row r="22" spans="8:19" x14ac:dyDescent="0.45">
      <c r="P22">
        <v>2027</v>
      </c>
      <c r="Q22" t="s">
        <v>180</v>
      </c>
      <c r="R22">
        <v>0.21881666666666666</v>
      </c>
      <c r="S22" t="s">
        <v>179</v>
      </c>
    </row>
    <row r="23" spans="8:19" x14ac:dyDescent="0.45">
      <c r="P23">
        <v>2028</v>
      </c>
      <c r="Q23" t="s">
        <v>178</v>
      </c>
      <c r="R23">
        <v>0.35585</v>
      </c>
      <c r="S23" t="s">
        <v>179</v>
      </c>
    </row>
    <row r="24" spans="8:19" x14ac:dyDescent="0.45">
      <c r="P24">
        <v>2028</v>
      </c>
      <c r="Q24" t="s">
        <v>180</v>
      </c>
      <c r="R24">
        <v>0.22443333333333335</v>
      </c>
      <c r="S24" t="s">
        <v>179</v>
      </c>
    </row>
    <row r="25" spans="8:19" x14ac:dyDescent="0.45">
      <c r="P25">
        <v>2029</v>
      </c>
      <c r="Q25" t="s">
        <v>178</v>
      </c>
      <c r="R25">
        <v>0.33420000000000005</v>
      </c>
      <c r="S25" t="s">
        <v>179</v>
      </c>
    </row>
    <row r="26" spans="8:19" x14ac:dyDescent="0.45">
      <c r="P26">
        <v>2029</v>
      </c>
      <c r="Q26" t="s">
        <v>180</v>
      </c>
      <c r="R26">
        <v>0.20713333333333331</v>
      </c>
      <c r="S26" t="s">
        <v>179</v>
      </c>
    </row>
    <row r="27" spans="8:19" x14ac:dyDescent="0.45">
      <c r="P27">
        <v>2030</v>
      </c>
      <c r="Q27" t="s">
        <v>178</v>
      </c>
      <c r="R27">
        <v>0.34051666666666663</v>
      </c>
      <c r="S27" t="s">
        <v>179</v>
      </c>
    </row>
    <row r="28" spans="8:19" x14ac:dyDescent="0.45">
      <c r="P28">
        <v>2030</v>
      </c>
      <c r="Q28" t="s">
        <v>180</v>
      </c>
      <c r="R28">
        <v>0.22516666666666665</v>
      </c>
      <c r="S28" t="s">
        <v>179</v>
      </c>
    </row>
    <row r="29" spans="8:19" x14ac:dyDescent="0.45">
      <c r="P29">
        <v>2031</v>
      </c>
      <c r="Q29" t="s">
        <v>178</v>
      </c>
      <c r="R29">
        <v>0.34231666666666666</v>
      </c>
      <c r="S29" t="s">
        <v>179</v>
      </c>
    </row>
    <row r="30" spans="8:19" x14ac:dyDescent="0.45">
      <c r="P30">
        <v>2031</v>
      </c>
      <c r="Q30" t="s">
        <v>180</v>
      </c>
      <c r="R30">
        <v>0.23573333333333335</v>
      </c>
      <c r="S30" t="s">
        <v>179</v>
      </c>
    </row>
    <row r="31" spans="8:19" x14ac:dyDescent="0.45">
      <c r="P31">
        <v>2032</v>
      </c>
      <c r="Q31" t="s">
        <v>178</v>
      </c>
      <c r="R31">
        <v>0.26255000000000001</v>
      </c>
      <c r="S31" t="s">
        <v>179</v>
      </c>
    </row>
    <row r="32" spans="8:19" x14ac:dyDescent="0.45">
      <c r="P32">
        <v>2032</v>
      </c>
      <c r="Q32" t="s">
        <v>180</v>
      </c>
      <c r="R32">
        <v>0.20901666666666666</v>
      </c>
      <c r="S32" t="s">
        <v>179</v>
      </c>
    </row>
    <row r="33" spans="16:19" x14ac:dyDescent="0.45">
      <c r="P33">
        <v>2033</v>
      </c>
      <c r="Q33" t="s">
        <v>178</v>
      </c>
      <c r="R33">
        <v>0.3178833333333333</v>
      </c>
      <c r="S33" t="s">
        <v>179</v>
      </c>
    </row>
    <row r="34" spans="16:19" x14ac:dyDescent="0.45">
      <c r="P34">
        <v>2033</v>
      </c>
      <c r="Q34" t="s">
        <v>180</v>
      </c>
      <c r="R34">
        <v>0.21578333333333333</v>
      </c>
      <c r="S34" t="s">
        <v>179</v>
      </c>
    </row>
    <row r="35" spans="16:19" x14ac:dyDescent="0.45">
      <c r="P35">
        <v>2034</v>
      </c>
      <c r="Q35" t="s">
        <v>178</v>
      </c>
      <c r="R35">
        <v>0.27524999999999999</v>
      </c>
      <c r="S35" t="s">
        <v>179</v>
      </c>
    </row>
    <row r="36" spans="16:19" x14ac:dyDescent="0.45">
      <c r="P36">
        <v>2034</v>
      </c>
      <c r="Q36" t="s">
        <v>180</v>
      </c>
      <c r="R36">
        <v>0.19263333333333332</v>
      </c>
      <c r="S36" t="s">
        <v>179</v>
      </c>
    </row>
    <row r="37" spans="16:19" x14ac:dyDescent="0.45">
      <c r="P37">
        <v>2035</v>
      </c>
      <c r="Q37" t="s">
        <v>178</v>
      </c>
      <c r="R37">
        <v>0.30974999999999997</v>
      </c>
      <c r="S37" t="s">
        <v>179</v>
      </c>
    </row>
    <row r="38" spans="16:19" x14ac:dyDescent="0.45">
      <c r="P38">
        <v>2035</v>
      </c>
      <c r="Q38" t="s">
        <v>180</v>
      </c>
      <c r="R38">
        <v>0.21604999999999999</v>
      </c>
      <c r="S38" t="s">
        <v>179</v>
      </c>
    </row>
    <row r="39" spans="16:19" x14ac:dyDescent="0.45">
      <c r="P39">
        <v>2036</v>
      </c>
      <c r="Q39" t="s">
        <v>178</v>
      </c>
      <c r="R39">
        <v>0.29388333333333333</v>
      </c>
      <c r="S39" t="s">
        <v>179</v>
      </c>
    </row>
    <row r="40" spans="16:19" x14ac:dyDescent="0.45">
      <c r="P40">
        <v>2036</v>
      </c>
      <c r="Q40" t="s">
        <v>180</v>
      </c>
      <c r="R40">
        <v>0.21548333333333333</v>
      </c>
      <c r="S40" t="s">
        <v>179</v>
      </c>
    </row>
    <row r="41" spans="16:19" x14ac:dyDescent="0.45">
      <c r="P41">
        <v>2037</v>
      </c>
      <c r="Q41" t="s">
        <v>178</v>
      </c>
      <c r="R41">
        <v>0.27150000000000002</v>
      </c>
      <c r="S41" t="s">
        <v>179</v>
      </c>
    </row>
    <row r="42" spans="16:19" x14ac:dyDescent="0.45">
      <c r="P42">
        <v>2037</v>
      </c>
      <c r="Q42" t="s">
        <v>180</v>
      </c>
      <c r="R42">
        <v>0.18758333333333332</v>
      </c>
      <c r="S42" t="s">
        <v>179</v>
      </c>
    </row>
    <row r="43" spans="16:19" x14ac:dyDescent="0.45">
      <c r="P43">
        <v>2038</v>
      </c>
      <c r="Q43" t="s">
        <v>178</v>
      </c>
      <c r="R43">
        <v>0.30738333333333334</v>
      </c>
      <c r="S43" t="s">
        <v>179</v>
      </c>
    </row>
    <row r="44" spans="16:19" x14ac:dyDescent="0.45">
      <c r="P44">
        <v>2038</v>
      </c>
      <c r="Q44" t="s">
        <v>180</v>
      </c>
      <c r="R44">
        <v>0.20505000000000004</v>
      </c>
      <c r="S44" t="s">
        <v>179</v>
      </c>
    </row>
    <row r="45" spans="16:19" x14ac:dyDescent="0.45">
      <c r="P45">
        <v>2039</v>
      </c>
      <c r="Q45" t="s">
        <v>178</v>
      </c>
      <c r="R45">
        <v>0.32723333333333332</v>
      </c>
      <c r="S45" t="s">
        <v>179</v>
      </c>
    </row>
    <row r="46" spans="16:19" x14ac:dyDescent="0.45">
      <c r="P46">
        <v>2039</v>
      </c>
      <c r="Q46" t="s">
        <v>180</v>
      </c>
      <c r="R46">
        <v>0.23215</v>
      </c>
      <c r="S46" t="s">
        <v>179</v>
      </c>
    </row>
    <row r="47" spans="16:19" x14ac:dyDescent="0.45">
      <c r="P47">
        <v>2040</v>
      </c>
      <c r="Q47" t="s">
        <v>178</v>
      </c>
      <c r="R47">
        <v>0.37628333333333336</v>
      </c>
      <c r="S47" t="s">
        <v>179</v>
      </c>
    </row>
    <row r="48" spans="16:19" x14ac:dyDescent="0.45">
      <c r="P48">
        <v>2040</v>
      </c>
      <c r="Q48" t="s">
        <v>180</v>
      </c>
      <c r="R48">
        <v>0.26158333333333333</v>
      </c>
      <c r="S48" t="s">
        <v>179</v>
      </c>
    </row>
    <row r="49" spans="16:19" x14ac:dyDescent="0.45">
      <c r="P49">
        <v>2041</v>
      </c>
      <c r="Q49" t="s">
        <v>178</v>
      </c>
      <c r="R49">
        <v>0.35810000000000003</v>
      </c>
      <c r="S49" t="s">
        <v>179</v>
      </c>
    </row>
    <row r="50" spans="16:19" x14ac:dyDescent="0.45">
      <c r="P50">
        <v>2041</v>
      </c>
      <c r="Q50" t="s">
        <v>180</v>
      </c>
      <c r="R50">
        <v>0.28811666666666669</v>
      </c>
      <c r="S50" t="s">
        <v>179</v>
      </c>
    </row>
    <row r="51" spans="16:19" x14ac:dyDescent="0.45">
      <c r="P51">
        <v>2042</v>
      </c>
      <c r="Q51" t="s">
        <v>178</v>
      </c>
      <c r="R51">
        <v>0.40610000000000007</v>
      </c>
      <c r="S51" t="s">
        <v>179</v>
      </c>
    </row>
    <row r="52" spans="16:19" x14ac:dyDescent="0.45">
      <c r="P52">
        <v>2042</v>
      </c>
      <c r="Q52" t="s">
        <v>180</v>
      </c>
      <c r="R52">
        <v>0.28086666666666665</v>
      </c>
      <c r="S52" t="s">
        <v>179</v>
      </c>
    </row>
    <row r="53" spans="16:19" x14ac:dyDescent="0.45">
      <c r="P53">
        <v>2043</v>
      </c>
      <c r="Q53" t="s">
        <v>178</v>
      </c>
      <c r="R53">
        <v>0.35614999999999997</v>
      </c>
      <c r="S53" t="s">
        <v>179</v>
      </c>
    </row>
    <row r="54" spans="16:19" x14ac:dyDescent="0.45">
      <c r="P54">
        <v>2043</v>
      </c>
      <c r="Q54" t="s">
        <v>180</v>
      </c>
      <c r="R54">
        <v>0.26573333333333332</v>
      </c>
      <c r="S54" t="s">
        <v>179</v>
      </c>
    </row>
    <row r="55" spans="16:19" x14ac:dyDescent="0.45">
      <c r="P55">
        <v>2044</v>
      </c>
      <c r="Q55" t="s">
        <v>178</v>
      </c>
      <c r="R55">
        <v>0.34571666666666667</v>
      </c>
      <c r="S55" t="s">
        <v>179</v>
      </c>
    </row>
    <row r="56" spans="16:19" x14ac:dyDescent="0.45">
      <c r="P56">
        <v>2044</v>
      </c>
      <c r="Q56" t="s">
        <v>180</v>
      </c>
      <c r="R56">
        <v>0.24938333333333337</v>
      </c>
      <c r="S56" t="s">
        <v>179</v>
      </c>
    </row>
    <row r="57" spans="16:19" x14ac:dyDescent="0.45">
      <c r="P57">
        <v>2045</v>
      </c>
      <c r="Q57" t="s">
        <v>178</v>
      </c>
      <c r="R57">
        <v>0.36569999999999997</v>
      </c>
      <c r="S57" t="s">
        <v>179</v>
      </c>
    </row>
    <row r="58" spans="16:19" x14ac:dyDescent="0.45">
      <c r="P58">
        <v>2045</v>
      </c>
      <c r="Q58" t="s">
        <v>180</v>
      </c>
      <c r="R58">
        <v>0.25935000000000002</v>
      </c>
      <c r="S58" t="s">
        <v>179</v>
      </c>
    </row>
    <row r="59" spans="16:19" x14ac:dyDescent="0.45">
      <c r="P59">
        <v>2046</v>
      </c>
      <c r="Q59" t="s">
        <v>178</v>
      </c>
      <c r="R59">
        <v>0.39169999999999999</v>
      </c>
      <c r="S59" t="s">
        <v>179</v>
      </c>
    </row>
    <row r="60" spans="16:19" x14ac:dyDescent="0.45">
      <c r="P60">
        <v>2046</v>
      </c>
      <c r="Q60" t="s">
        <v>180</v>
      </c>
      <c r="R60">
        <v>0.28825000000000006</v>
      </c>
      <c r="S60" t="s">
        <v>179</v>
      </c>
    </row>
    <row r="61" spans="16:19" x14ac:dyDescent="0.45">
      <c r="P61">
        <v>2047</v>
      </c>
      <c r="Q61" t="s">
        <v>178</v>
      </c>
      <c r="R61">
        <v>0.32606666666666667</v>
      </c>
      <c r="S61" t="s">
        <v>179</v>
      </c>
    </row>
    <row r="62" spans="16:19" x14ac:dyDescent="0.45">
      <c r="P62">
        <v>2047</v>
      </c>
      <c r="Q62" t="s">
        <v>180</v>
      </c>
      <c r="R62">
        <v>0.23631666666666665</v>
      </c>
      <c r="S62" t="s">
        <v>179</v>
      </c>
    </row>
    <row r="63" spans="16:19" x14ac:dyDescent="0.45">
      <c r="P63">
        <v>2048</v>
      </c>
      <c r="Q63" t="s">
        <v>178</v>
      </c>
      <c r="R63">
        <v>0.29148333333333332</v>
      </c>
      <c r="S63" t="s">
        <v>179</v>
      </c>
    </row>
    <row r="64" spans="16:19" x14ac:dyDescent="0.45">
      <c r="P64">
        <v>2048</v>
      </c>
      <c r="Q64" t="s">
        <v>180</v>
      </c>
      <c r="R64">
        <v>0.21613333333333337</v>
      </c>
      <c r="S64" t="s">
        <v>179</v>
      </c>
    </row>
    <row r="65" spans="16:19" x14ac:dyDescent="0.45">
      <c r="P65">
        <v>2049</v>
      </c>
      <c r="Q65" t="s">
        <v>178</v>
      </c>
      <c r="R65">
        <v>0.29098333333333332</v>
      </c>
      <c r="S65" t="s">
        <v>179</v>
      </c>
    </row>
    <row r="66" spans="16:19" x14ac:dyDescent="0.45">
      <c r="P66">
        <v>2049</v>
      </c>
      <c r="Q66" t="s">
        <v>180</v>
      </c>
      <c r="R66">
        <v>0.23691666666666664</v>
      </c>
      <c r="S66" t="s">
        <v>179</v>
      </c>
    </row>
    <row r="67" spans="16:19" x14ac:dyDescent="0.45">
      <c r="P67">
        <v>2050</v>
      </c>
      <c r="Q67" t="s">
        <v>178</v>
      </c>
      <c r="R67">
        <v>0.3014</v>
      </c>
      <c r="S67" t="s">
        <v>179</v>
      </c>
    </row>
    <row r="68" spans="16:19" x14ac:dyDescent="0.45">
      <c r="P68">
        <v>2050</v>
      </c>
      <c r="Q68" t="s">
        <v>180</v>
      </c>
      <c r="R68">
        <v>0.25574999999999998</v>
      </c>
      <c r="S68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4B53-70D8-4F4A-A164-FB800CBC03DD}">
  <dimension ref="B9:O1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region=GBR")</f>
        <v>~TFM_DINS-AT: region=GBR</v>
      </c>
      <c r="G9" t="str">
        <f>IF(A11="x","DeActivated","~TFM_DINS-AT: region=GBR")</f>
        <v>~TFM_DINS-AT: region=GBR</v>
      </c>
      <c r="L9" t="str">
        <f>IF(A11="x","DeActivated","~TFM_DINS-AT: region=GBR")</f>
        <v>~TFM_DINS-AT: region=GBR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182</v>
      </c>
      <c r="C11" t="s">
        <v>5</v>
      </c>
      <c r="D11">
        <v>1.110188228115295E-2</v>
      </c>
      <c r="E11" t="s">
        <v>6</v>
      </c>
      <c r="G11" t="s">
        <v>183</v>
      </c>
      <c r="H11" t="s">
        <v>5</v>
      </c>
      <c r="I11">
        <v>0.28542294448415734</v>
      </c>
      <c r="J11" t="s">
        <v>6</v>
      </c>
      <c r="L11" t="s">
        <v>184</v>
      </c>
      <c r="M11" t="s">
        <v>5</v>
      </c>
      <c r="N11">
        <v>0.27653382096491025</v>
      </c>
      <c r="O11" t="s">
        <v>6</v>
      </c>
    </row>
    <row r="12" spans="2:15" x14ac:dyDescent="0.45">
      <c r="B12" t="s">
        <v>182</v>
      </c>
      <c r="C12" t="s">
        <v>9</v>
      </c>
      <c r="D12">
        <v>0.43879882324573288</v>
      </c>
      <c r="E12" t="s">
        <v>6</v>
      </c>
      <c r="G12" t="s">
        <v>183</v>
      </c>
      <c r="H12" t="s">
        <v>9</v>
      </c>
      <c r="I12">
        <v>0.28075648130458225</v>
      </c>
      <c r="J12" t="s">
        <v>6</v>
      </c>
      <c r="L12" t="s">
        <v>184</v>
      </c>
      <c r="M12" t="s">
        <v>9</v>
      </c>
      <c r="N12">
        <v>0.26962144758124623</v>
      </c>
      <c r="O12" t="s">
        <v>6</v>
      </c>
    </row>
    <row r="13" spans="2:15" x14ac:dyDescent="0.45">
      <c r="B13" t="s">
        <v>182</v>
      </c>
      <c r="C13" t="s">
        <v>10</v>
      </c>
      <c r="D13">
        <v>1.9524330075944167E-2</v>
      </c>
      <c r="E13" t="s">
        <v>6</v>
      </c>
      <c r="G13" t="s">
        <v>183</v>
      </c>
      <c r="H13" t="s">
        <v>10</v>
      </c>
      <c r="I13">
        <v>0.22170433583391216</v>
      </c>
      <c r="J13" t="s">
        <v>6</v>
      </c>
      <c r="L13" t="s">
        <v>184</v>
      </c>
      <c r="M13" t="s">
        <v>10</v>
      </c>
      <c r="N13">
        <v>0.23128383248470299</v>
      </c>
      <c r="O13" t="s">
        <v>6</v>
      </c>
    </row>
    <row r="14" spans="2:15" x14ac:dyDescent="0.45">
      <c r="B14" t="s">
        <v>182</v>
      </c>
      <c r="C14" t="s">
        <v>11</v>
      </c>
      <c r="D14">
        <v>0.53057496439716889</v>
      </c>
      <c r="E14" t="s">
        <v>6</v>
      </c>
      <c r="G14" t="s">
        <v>183</v>
      </c>
      <c r="H14" t="s">
        <v>11</v>
      </c>
      <c r="I14">
        <v>0.21211623837734847</v>
      </c>
      <c r="J14" t="s">
        <v>6</v>
      </c>
      <c r="L14" t="s">
        <v>184</v>
      </c>
      <c r="M14" t="s">
        <v>11</v>
      </c>
      <c r="N14">
        <v>0.22256089896914014</v>
      </c>
      <c r="O14" t="s">
        <v>6</v>
      </c>
    </row>
    <row r="15" spans="2:15" x14ac:dyDescent="0.45">
      <c r="B15" t="s">
        <v>185</v>
      </c>
      <c r="C15" t="s">
        <v>5</v>
      </c>
      <c r="D15">
        <v>9.6682772112790145E-3</v>
      </c>
      <c r="E15" t="s">
        <v>6</v>
      </c>
      <c r="G15" t="s">
        <v>186</v>
      </c>
      <c r="H15" t="s">
        <v>5</v>
      </c>
      <c r="I15">
        <v>0.28712673050038345</v>
      </c>
      <c r="J15" t="s">
        <v>6</v>
      </c>
      <c r="L15" t="s">
        <v>187</v>
      </c>
      <c r="M15" t="s">
        <v>5</v>
      </c>
      <c r="N15">
        <v>0.27210657630554025</v>
      </c>
      <c r="O15" t="s">
        <v>6</v>
      </c>
    </row>
    <row r="16" spans="2:15" x14ac:dyDescent="0.45">
      <c r="B16" t="s">
        <v>185</v>
      </c>
      <c r="C16" t="s">
        <v>9</v>
      </c>
      <c r="D16">
        <v>0.42885609003185721</v>
      </c>
      <c r="E16" t="s">
        <v>6</v>
      </c>
      <c r="G16" t="s">
        <v>186</v>
      </c>
      <c r="H16" t="s">
        <v>9</v>
      </c>
      <c r="I16">
        <v>0.29148937498159405</v>
      </c>
      <c r="J16" t="s">
        <v>6</v>
      </c>
      <c r="L16" t="s">
        <v>187</v>
      </c>
      <c r="M16" t="s">
        <v>9</v>
      </c>
      <c r="N16">
        <v>0.25659722980519017</v>
      </c>
      <c r="O16" t="s">
        <v>6</v>
      </c>
    </row>
    <row r="17" spans="2:15" x14ac:dyDescent="0.45">
      <c r="B17" t="s">
        <v>185</v>
      </c>
      <c r="C17" t="s">
        <v>10</v>
      </c>
      <c r="D17">
        <v>1.8318675517816501E-2</v>
      </c>
      <c r="E17" t="s">
        <v>6</v>
      </c>
      <c r="G17" t="s">
        <v>186</v>
      </c>
      <c r="H17" t="s">
        <v>10</v>
      </c>
      <c r="I17">
        <v>0.20911888202858511</v>
      </c>
      <c r="J17" t="s">
        <v>6</v>
      </c>
      <c r="L17" t="s">
        <v>187</v>
      </c>
      <c r="M17" t="s">
        <v>10</v>
      </c>
      <c r="N17">
        <v>0.24326675919844989</v>
      </c>
      <c r="O17" t="s">
        <v>6</v>
      </c>
    </row>
    <row r="18" spans="2:15" x14ac:dyDescent="0.45">
      <c r="B18" t="s">
        <v>185</v>
      </c>
      <c r="C18" t="s">
        <v>11</v>
      </c>
      <c r="D18">
        <v>0.54315695723904822</v>
      </c>
      <c r="E18" t="s">
        <v>6</v>
      </c>
      <c r="G18" t="s">
        <v>186</v>
      </c>
      <c r="H18" t="s">
        <v>11</v>
      </c>
      <c r="I18">
        <v>0.21226501248943841</v>
      </c>
      <c r="J18" t="s">
        <v>6</v>
      </c>
      <c r="L18" t="s">
        <v>187</v>
      </c>
      <c r="M18" t="s">
        <v>11</v>
      </c>
      <c r="N18">
        <v>0.22802943469081963</v>
      </c>
      <c r="O18" t="s">
        <v>6</v>
      </c>
    </row>
    <row r="19" spans="2:15" x14ac:dyDescent="0.45">
      <c r="B19" t="s">
        <v>188</v>
      </c>
      <c r="C19" t="s">
        <v>5</v>
      </c>
      <c r="D19">
        <v>1.0393808489782164E-2</v>
      </c>
      <c r="E19" t="s">
        <v>6</v>
      </c>
      <c r="G19" t="s">
        <v>189</v>
      </c>
      <c r="H19" t="s">
        <v>5</v>
      </c>
      <c r="I19">
        <v>0.28370155010790044</v>
      </c>
      <c r="J19" t="s">
        <v>6</v>
      </c>
      <c r="L19" t="s">
        <v>190</v>
      </c>
      <c r="M19" t="s">
        <v>5</v>
      </c>
      <c r="N19">
        <v>0.27608501448009876</v>
      </c>
      <c r="O19" t="s">
        <v>6</v>
      </c>
    </row>
    <row r="20" spans="2:15" x14ac:dyDescent="0.45">
      <c r="B20" t="s">
        <v>188</v>
      </c>
      <c r="C20" t="s">
        <v>9</v>
      </c>
      <c r="D20">
        <v>0.43833830984387434</v>
      </c>
      <c r="E20" t="s">
        <v>6</v>
      </c>
      <c r="G20" t="s">
        <v>189</v>
      </c>
      <c r="H20" t="s">
        <v>9</v>
      </c>
      <c r="I20">
        <v>0.28558021330639577</v>
      </c>
      <c r="J20" t="s">
        <v>6</v>
      </c>
      <c r="L20" t="s">
        <v>190</v>
      </c>
      <c r="M20" t="s">
        <v>9</v>
      </c>
      <c r="N20">
        <v>0.26996588265028404</v>
      </c>
      <c r="O20" t="s">
        <v>6</v>
      </c>
    </row>
    <row r="21" spans="2:15" x14ac:dyDescent="0.45">
      <c r="B21" t="s">
        <v>188</v>
      </c>
      <c r="C21" t="s">
        <v>10</v>
      </c>
      <c r="D21">
        <v>1.8804022962587992E-2</v>
      </c>
      <c r="E21" t="s">
        <v>6</v>
      </c>
      <c r="G21" t="s">
        <v>189</v>
      </c>
      <c r="H21" t="s">
        <v>10</v>
      </c>
      <c r="I21">
        <v>0.21784679167053728</v>
      </c>
      <c r="J21" t="s">
        <v>6</v>
      </c>
      <c r="L21" t="s">
        <v>190</v>
      </c>
      <c r="M21" t="s">
        <v>10</v>
      </c>
      <c r="N21">
        <v>0.23322250822060892</v>
      </c>
      <c r="O21" t="s">
        <v>6</v>
      </c>
    </row>
    <row r="22" spans="2:15" x14ac:dyDescent="0.45">
      <c r="B22" t="s">
        <v>188</v>
      </c>
      <c r="C22" t="s">
        <v>11</v>
      </c>
      <c r="D22">
        <v>0.53246385870375512</v>
      </c>
      <c r="E22" t="s">
        <v>6</v>
      </c>
      <c r="G22" t="s">
        <v>189</v>
      </c>
      <c r="H22" t="s">
        <v>11</v>
      </c>
      <c r="I22">
        <v>0.2128714449151656</v>
      </c>
      <c r="J22" t="s">
        <v>6</v>
      </c>
      <c r="L22" t="s">
        <v>190</v>
      </c>
      <c r="M22" t="s">
        <v>11</v>
      </c>
      <c r="N22">
        <v>0.22072659464900715</v>
      </c>
      <c r="O22" t="s">
        <v>6</v>
      </c>
    </row>
    <row r="23" spans="2:15" x14ac:dyDescent="0.45">
      <c r="B23" t="s">
        <v>191</v>
      </c>
      <c r="C23" t="s">
        <v>5</v>
      </c>
      <c r="D23">
        <v>8.2676279900198973E-3</v>
      </c>
      <c r="E23" t="s">
        <v>6</v>
      </c>
      <c r="G23" t="s">
        <v>192</v>
      </c>
      <c r="H23" t="s">
        <v>5</v>
      </c>
      <c r="I23">
        <v>0.28681073300575566</v>
      </c>
      <c r="J23" t="s">
        <v>6</v>
      </c>
      <c r="L23" t="s">
        <v>193</v>
      </c>
      <c r="M23" t="s">
        <v>5</v>
      </c>
      <c r="N23">
        <v>0.28448528501728276</v>
      </c>
      <c r="O23" t="s">
        <v>6</v>
      </c>
    </row>
    <row r="24" spans="2:15" x14ac:dyDescent="0.45">
      <c r="B24" t="s">
        <v>191</v>
      </c>
      <c r="C24" t="s">
        <v>9</v>
      </c>
      <c r="D24">
        <v>0.43634239176919243</v>
      </c>
      <c r="E24" t="s">
        <v>6</v>
      </c>
      <c r="G24" t="s">
        <v>192</v>
      </c>
      <c r="H24" t="s">
        <v>9</v>
      </c>
      <c r="I24">
        <v>0.28929087229217587</v>
      </c>
      <c r="J24" t="s">
        <v>6</v>
      </c>
      <c r="L24" t="s">
        <v>193</v>
      </c>
      <c r="M24" t="s">
        <v>9</v>
      </c>
      <c r="N24">
        <v>0.280483480924621</v>
      </c>
      <c r="O24" t="s">
        <v>6</v>
      </c>
    </row>
    <row r="25" spans="2:15" x14ac:dyDescent="0.45">
      <c r="B25" t="s">
        <v>191</v>
      </c>
      <c r="C25" t="s">
        <v>10</v>
      </c>
      <c r="D25">
        <v>1.6626567680043787E-2</v>
      </c>
      <c r="E25" t="s">
        <v>6</v>
      </c>
      <c r="G25" t="s">
        <v>192</v>
      </c>
      <c r="H25" t="s">
        <v>10</v>
      </c>
      <c r="I25">
        <v>0.21317777920942935</v>
      </c>
      <c r="J25" t="s">
        <v>6</v>
      </c>
      <c r="L25" t="s">
        <v>193</v>
      </c>
      <c r="M25" t="s">
        <v>10</v>
      </c>
      <c r="N25">
        <v>0.22128528785735399</v>
      </c>
      <c r="O25" t="s">
        <v>6</v>
      </c>
    </row>
    <row r="26" spans="2:15" x14ac:dyDescent="0.45">
      <c r="B26" t="s">
        <v>191</v>
      </c>
      <c r="C26" t="s">
        <v>11</v>
      </c>
      <c r="D26">
        <v>0.53876341256074323</v>
      </c>
      <c r="E26" t="s">
        <v>6</v>
      </c>
      <c r="G26" t="s">
        <v>192</v>
      </c>
      <c r="H26" t="s">
        <v>11</v>
      </c>
      <c r="I26">
        <v>0.21072061549263638</v>
      </c>
      <c r="J26" t="s">
        <v>6</v>
      </c>
      <c r="L26" t="s">
        <v>193</v>
      </c>
      <c r="M26" t="s">
        <v>11</v>
      </c>
      <c r="N26">
        <v>0.21374594620074222</v>
      </c>
      <c r="O26" t="s">
        <v>6</v>
      </c>
    </row>
    <row r="27" spans="2:15" x14ac:dyDescent="0.45">
      <c r="B27" t="s">
        <v>194</v>
      </c>
      <c r="C27" t="s">
        <v>5</v>
      </c>
      <c r="D27">
        <v>6.495763931512564E-3</v>
      </c>
      <c r="E27" t="s">
        <v>6</v>
      </c>
      <c r="G27" t="s">
        <v>195</v>
      </c>
      <c r="H27" t="s">
        <v>5</v>
      </c>
      <c r="I27">
        <v>0.28937001868210205</v>
      </c>
      <c r="J27" t="s">
        <v>6</v>
      </c>
      <c r="L27" t="s">
        <v>196</v>
      </c>
      <c r="M27" t="s">
        <v>5</v>
      </c>
      <c r="N27">
        <v>0.29063222880243145</v>
      </c>
      <c r="O27" t="s">
        <v>6</v>
      </c>
    </row>
    <row r="28" spans="2:15" x14ac:dyDescent="0.45">
      <c r="B28" t="s">
        <v>194</v>
      </c>
      <c r="C28" t="s">
        <v>9</v>
      </c>
      <c r="D28">
        <v>0.44068756069472476</v>
      </c>
      <c r="E28" t="s">
        <v>6</v>
      </c>
      <c r="G28" t="s">
        <v>195</v>
      </c>
      <c r="H28" t="s">
        <v>9</v>
      </c>
      <c r="I28">
        <v>0.30180581343421226</v>
      </c>
      <c r="J28" t="s">
        <v>6</v>
      </c>
      <c r="L28" t="s">
        <v>196</v>
      </c>
      <c r="M28" t="s">
        <v>9</v>
      </c>
      <c r="N28">
        <v>0.28734696084641609</v>
      </c>
      <c r="O28" t="s">
        <v>6</v>
      </c>
    </row>
    <row r="29" spans="2:15" x14ac:dyDescent="0.45">
      <c r="B29" t="s">
        <v>194</v>
      </c>
      <c r="C29" t="s">
        <v>10</v>
      </c>
      <c r="D29">
        <v>1.3395482625112596E-2</v>
      </c>
      <c r="E29" t="s">
        <v>6</v>
      </c>
      <c r="G29" t="s">
        <v>195</v>
      </c>
      <c r="H29" t="s">
        <v>10</v>
      </c>
      <c r="I29">
        <v>0.19858392161941438</v>
      </c>
      <c r="J29" t="s">
        <v>6</v>
      </c>
      <c r="L29" t="s">
        <v>196</v>
      </c>
      <c r="M29" t="s">
        <v>10</v>
      </c>
      <c r="N29">
        <v>0.21262878333880772</v>
      </c>
      <c r="O29" t="s">
        <v>6</v>
      </c>
    </row>
    <row r="30" spans="2:15" x14ac:dyDescent="0.45">
      <c r="B30" t="s">
        <v>194</v>
      </c>
      <c r="C30" t="s">
        <v>11</v>
      </c>
      <c r="D30">
        <v>0.53942119274864864</v>
      </c>
      <c r="E30" t="s">
        <v>6</v>
      </c>
      <c r="G30" t="s">
        <v>195</v>
      </c>
      <c r="H30" t="s">
        <v>11</v>
      </c>
      <c r="I30">
        <v>0.21024024626427387</v>
      </c>
      <c r="J30" t="s">
        <v>6</v>
      </c>
      <c r="L30" t="s">
        <v>196</v>
      </c>
      <c r="M30" t="s">
        <v>11</v>
      </c>
      <c r="N30">
        <v>0.20939202701234541</v>
      </c>
      <c r="O30" t="s">
        <v>6</v>
      </c>
    </row>
    <row r="31" spans="2:15" x14ac:dyDescent="0.45">
      <c r="B31" t="s">
        <v>197</v>
      </c>
      <c r="C31" t="s">
        <v>5</v>
      </c>
      <c r="D31">
        <v>6.7987722764290669E-3</v>
      </c>
      <c r="E31" t="s">
        <v>6</v>
      </c>
      <c r="G31" t="s">
        <v>198</v>
      </c>
      <c r="H31" t="s">
        <v>5</v>
      </c>
      <c r="I31">
        <v>0.28527292988832792</v>
      </c>
      <c r="J31" t="s">
        <v>6</v>
      </c>
      <c r="L31" t="s">
        <v>199</v>
      </c>
      <c r="M31" t="s">
        <v>5</v>
      </c>
      <c r="N31">
        <v>0.28390992347901389</v>
      </c>
      <c r="O31" t="s">
        <v>6</v>
      </c>
    </row>
    <row r="32" spans="2:15" x14ac:dyDescent="0.45">
      <c r="B32" t="s">
        <v>197</v>
      </c>
      <c r="C32" t="s">
        <v>9</v>
      </c>
      <c r="D32">
        <v>0.42569832247456141</v>
      </c>
      <c r="E32" t="s">
        <v>6</v>
      </c>
      <c r="G32" t="s">
        <v>198</v>
      </c>
      <c r="H32" t="s">
        <v>9</v>
      </c>
      <c r="I32">
        <v>0.28632535961229716</v>
      </c>
      <c r="J32" t="s">
        <v>6</v>
      </c>
      <c r="L32" t="s">
        <v>199</v>
      </c>
      <c r="M32" t="s">
        <v>9</v>
      </c>
      <c r="N32">
        <v>0.28334440588257948</v>
      </c>
      <c r="O32" t="s">
        <v>6</v>
      </c>
    </row>
    <row r="33" spans="2:15" x14ac:dyDescent="0.45">
      <c r="B33" t="s">
        <v>197</v>
      </c>
      <c r="C33" t="s">
        <v>10</v>
      </c>
      <c r="D33">
        <v>1.443190991283928E-2</v>
      </c>
      <c r="E33" t="s">
        <v>6</v>
      </c>
      <c r="G33" t="s">
        <v>198</v>
      </c>
      <c r="H33" t="s">
        <v>10</v>
      </c>
      <c r="I33">
        <v>0.21471410137126512</v>
      </c>
      <c r="J33" t="s">
        <v>6</v>
      </c>
      <c r="L33" t="s">
        <v>199</v>
      </c>
      <c r="M33" t="s">
        <v>10</v>
      </c>
      <c r="N33">
        <v>0.21974269225478363</v>
      </c>
      <c r="O33" t="s">
        <v>6</v>
      </c>
    </row>
    <row r="34" spans="2:15" x14ac:dyDescent="0.45">
      <c r="B34" t="s">
        <v>197</v>
      </c>
      <c r="C34" t="s">
        <v>11</v>
      </c>
      <c r="D34">
        <v>0.55307099533616855</v>
      </c>
      <c r="E34" t="s">
        <v>6</v>
      </c>
      <c r="G34" t="s">
        <v>198</v>
      </c>
      <c r="H34" t="s">
        <v>11</v>
      </c>
      <c r="I34">
        <v>0.21368760912810933</v>
      </c>
      <c r="J34" t="s">
        <v>6</v>
      </c>
      <c r="L34" t="s">
        <v>199</v>
      </c>
      <c r="M34" t="s">
        <v>11</v>
      </c>
      <c r="N34">
        <v>0.21300297838362256</v>
      </c>
      <c r="O34" t="s">
        <v>6</v>
      </c>
    </row>
    <row r="35" spans="2:15" x14ac:dyDescent="0.45">
      <c r="B35" t="s">
        <v>200</v>
      </c>
      <c r="C35" t="s">
        <v>5</v>
      </c>
      <c r="D35">
        <v>8.1454729026845477E-3</v>
      </c>
      <c r="E35" t="s">
        <v>6</v>
      </c>
      <c r="G35" t="s">
        <v>201</v>
      </c>
      <c r="H35" t="s">
        <v>5</v>
      </c>
      <c r="I35">
        <v>0.28569962982065167</v>
      </c>
      <c r="J35" t="s">
        <v>6</v>
      </c>
      <c r="L35" t="s">
        <v>202</v>
      </c>
      <c r="M35" t="s">
        <v>5</v>
      </c>
      <c r="N35">
        <v>0.28649785743580353</v>
      </c>
      <c r="O35" t="s">
        <v>6</v>
      </c>
    </row>
    <row r="36" spans="2:15" x14ac:dyDescent="0.45">
      <c r="B36" t="s">
        <v>200</v>
      </c>
      <c r="C36" t="s">
        <v>9</v>
      </c>
      <c r="D36">
        <v>0.42382975871491202</v>
      </c>
      <c r="E36" t="s">
        <v>6</v>
      </c>
      <c r="G36" t="s">
        <v>201</v>
      </c>
      <c r="H36" t="s">
        <v>9</v>
      </c>
      <c r="I36">
        <v>0.28074359786078829</v>
      </c>
      <c r="J36" t="s">
        <v>6</v>
      </c>
      <c r="L36" t="s">
        <v>202</v>
      </c>
      <c r="M36" t="s">
        <v>9</v>
      </c>
      <c r="N36">
        <v>0.28062609278412187</v>
      </c>
      <c r="O36" t="s">
        <v>6</v>
      </c>
    </row>
    <row r="37" spans="2:15" x14ac:dyDescent="0.45">
      <c r="B37" t="s">
        <v>200</v>
      </c>
      <c r="C37" t="s">
        <v>10</v>
      </c>
      <c r="D37">
        <v>1.679770447840525E-2</v>
      </c>
      <c r="E37" t="s">
        <v>6</v>
      </c>
      <c r="G37" t="s">
        <v>201</v>
      </c>
      <c r="H37" t="s">
        <v>10</v>
      </c>
      <c r="I37">
        <v>0.21914912450903995</v>
      </c>
      <c r="J37" t="s">
        <v>6</v>
      </c>
      <c r="L37" t="s">
        <v>202</v>
      </c>
      <c r="M37" t="s">
        <v>10</v>
      </c>
      <c r="N37">
        <v>0.21980130454636884</v>
      </c>
      <c r="O37" t="s">
        <v>6</v>
      </c>
    </row>
    <row r="38" spans="2:15" x14ac:dyDescent="0.45">
      <c r="B38" t="s">
        <v>200</v>
      </c>
      <c r="C38" t="s">
        <v>11</v>
      </c>
      <c r="D38">
        <v>0.55122706390399934</v>
      </c>
      <c r="E38" t="s">
        <v>6</v>
      </c>
      <c r="G38" t="s">
        <v>201</v>
      </c>
      <c r="H38" t="s">
        <v>11</v>
      </c>
      <c r="I38">
        <v>0.21440764780951588</v>
      </c>
      <c r="J38" t="s">
        <v>6</v>
      </c>
      <c r="L38" t="s">
        <v>202</v>
      </c>
      <c r="M38" t="s">
        <v>11</v>
      </c>
      <c r="N38">
        <v>0.21307474523370729</v>
      </c>
      <c r="O38" t="s">
        <v>6</v>
      </c>
    </row>
    <row r="39" spans="2:15" x14ac:dyDescent="0.45">
      <c r="B39" t="s">
        <v>203</v>
      </c>
      <c r="C39" t="s">
        <v>5</v>
      </c>
      <c r="D39">
        <v>9.2757433392276802E-3</v>
      </c>
      <c r="E39" t="s">
        <v>6</v>
      </c>
      <c r="G39" t="s">
        <v>204</v>
      </c>
      <c r="H39" t="s">
        <v>5</v>
      </c>
      <c r="I39">
        <v>0.27621675078193325</v>
      </c>
      <c r="J39" t="s">
        <v>6</v>
      </c>
      <c r="L39" t="s">
        <v>205</v>
      </c>
      <c r="M39" t="s">
        <v>5</v>
      </c>
      <c r="N39">
        <v>0.28351561899161415</v>
      </c>
      <c r="O39" t="s">
        <v>6</v>
      </c>
    </row>
    <row r="40" spans="2:15" x14ac:dyDescent="0.45">
      <c r="B40" t="s">
        <v>203</v>
      </c>
      <c r="C40" t="s">
        <v>9</v>
      </c>
      <c r="D40">
        <v>0.43779321995663512</v>
      </c>
      <c r="E40" t="s">
        <v>6</v>
      </c>
      <c r="G40" t="s">
        <v>204</v>
      </c>
      <c r="H40" t="s">
        <v>9</v>
      </c>
      <c r="I40">
        <v>0.26321499301266155</v>
      </c>
      <c r="J40" t="s">
        <v>6</v>
      </c>
      <c r="L40" t="s">
        <v>205</v>
      </c>
      <c r="M40" t="s">
        <v>9</v>
      </c>
      <c r="N40">
        <v>0.28177907191143825</v>
      </c>
      <c r="O40" t="s">
        <v>6</v>
      </c>
    </row>
    <row r="41" spans="2:15" x14ac:dyDescent="0.45">
      <c r="B41" t="s">
        <v>203</v>
      </c>
      <c r="C41" t="s">
        <v>10</v>
      </c>
      <c r="D41">
        <v>1.7851343903765023E-2</v>
      </c>
      <c r="E41" t="s">
        <v>6</v>
      </c>
      <c r="G41" t="s">
        <v>204</v>
      </c>
      <c r="H41" t="s">
        <v>10</v>
      </c>
      <c r="I41">
        <v>0.23739404643085563</v>
      </c>
      <c r="J41" t="s">
        <v>6</v>
      </c>
      <c r="L41" t="s">
        <v>205</v>
      </c>
      <c r="M41" t="s">
        <v>10</v>
      </c>
      <c r="N41">
        <v>0.21979618304263573</v>
      </c>
      <c r="O41" t="s">
        <v>6</v>
      </c>
    </row>
    <row r="42" spans="2:15" x14ac:dyDescent="0.45">
      <c r="B42" t="s">
        <v>203</v>
      </c>
      <c r="C42" t="s">
        <v>11</v>
      </c>
      <c r="D42">
        <v>0.53507969280037015</v>
      </c>
      <c r="E42" t="s">
        <v>6</v>
      </c>
      <c r="G42" t="s">
        <v>204</v>
      </c>
      <c r="H42" t="s">
        <v>11</v>
      </c>
      <c r="I42">
        <v>0.22317420977454766</v>
      </c>
      <c r="J42" t="s">
        <v>6</v>
      </c>
      <c r="L42" t="s">
        <v>205</v>
      </c>
      <c r="M42" t="s">
        <v>11</v>
      </c>
      <c r="N42">
        <v>0.21490912605430762</v>
      </c>
      <c r="O42" t="s">
        <v>6</v>
      </c>
    </row>
    <row r="43" spans="2:15" x14ac:dyDescent="0.45">
      <c r="B43" t="s">
        <v>206</v>
      </c>
      <c r="C43" t="s">
        <v>5</v>
      </c>
      <c r="D43">
        <v>7.810355235279464E-3</v>
      </c>
      <c r="E43" t="s">
        <v>6</v>
      </c>
      <c r="G43" t="s">
        <v>207</v>
      </c>
      <c r="H43" t="s">
        <v>5</v>
      </c>
      <c r="I43">
        <v>0.28512700951820663</v>
      </c>
      <c r="J43" t="s">
        <v>6</v>
      </c>
      <c r="L43" t="s">
        <v>208</v>
      </c>
      <c r="M43" t="s">
        <v>5</v>
      </c>
      <c r="N43">
        <v>0.28343176938507275</v>
      </c>
      <c r="O43" t="s">
        <v>6</v>
      </c>
    </row>
    <row r="44" spans="2:15" x14ac:dyDescent="0.45">
      <c r="B44" t="s">
        <v>206</v>
      </c>
      <c r="C44" t="s">
        <v>9</v>
      </c>
      <c r="D44">
        <v>0.43869239084886352</v>
      </c>
      <c r="E44" t="s">
        <v>6</v>
      </c>
      <c r="G44" t="s">
        <v>207</v>
      </c>
      <c r="H44" t="s">
        <v>9</v>
      </c>
      <c r="I44">
        <v>0.27535039000320805</v>
      </c>
      <c r="J44" t="s">
        <v>6</v>
      </c>
      <c r="L44" t="s">
        <v>208</v>
      </c>
      <c r="M44" t="s">
        <v>9</v>
      </c>
      <c r="N44">
        <v>0.2757355894461031</v>
      </c>
      <c r="O44" t="s">
        <v>6</v>
      </c>
    </row>
    <row r="45" spans="2:15" x14ac:dyDescent="0.45">
      <c r="B45" t="s">
        <v>206</v>
      </c>
      <c r="C45" t="s">
        <v>10</v>
      </c>
      <c r="D45">
        <v>1.569323703298749E-2</v>
      </c>
      <c r="E45" t="s">
        <v>6</v>
      </c>
      <c r="G45" t="s">
        <v>207</v>
      </c>
      <c r="H45" t="s">
        <v>10</v>
      </c>
      <c r="I45">
        <v>0.22819136770915643</v>
      </c>
      <c r="J45" t="s">
        <v>6</v>
      </c>
      <c r="L45" t="s">
        <v>208</v>
      </c>
      <c r="M45" t="s">
        <v>10</v>
      </c>
      <c r="N45">
        <v>0.21145763601376216</v>
      </c>
      <c r="O45" t="s">
        <v>6</v>
      </c>
    </row>
    <row r="46" spans="2:15" x14ac:dyDescent="0.45">
      <c r="B46" t="s">
        <v>206</v>
      </c>
      <c r="C46" t="s">
        <v>11</v>
      </c>
      <c r="D46">
        <v>0.53780401688287038</v>
      </c>
      <c r="E46" t="s">
        <v>6</v>
      </c>
      <c r="G46" t="s">
        <v>207</v>
      </c>
      <c r="H46" t="s">
        <v>11</v>
      </c>
      <c r="I46">
        <v>0.21133123276942808</v>
      </c>
      <c r="J46" t="s">
        <v>6</v>
      </c>
      <c r="L46" t="s">
        <v>208</v>
      </c>
      <c r="M46" t="s">
        <v>11</v>
      </c>
      <c r="N46">
        <v>0.22937500515506012</v>
      </c>
      <c r="O46" t="s">
        <v>6</v>
      </c>
    </row>
    <row r="47" spans="2:15" x14ac:dyDescent="0.45">
      <c r="B47" t="s">
        <v>209</v>
      </c>
      <c r="C47" t="s">
        <v>5</v>
      </c>
      <c r="D47">
        <v>1.5608340561648922E-2</v>
      </c>
      <c r="E47" t="s">
        <v>6</v>
      </c>
      <c r="G47" t="s">
        <v>210</v>
      </c>
      <c r="H47" t="s">
        <v>5</v>
      </c>
      <c r="I47">
        <v>0.30368551017830114</v>
      </c>
      <c r="J47" t="s">
        <v>6</v>
      </c>
      <c r="L47" t="s">
        <v>211</v>
      </c>
      <c r="M47" t="s">
        <v>5</v>
      </c>
      <c r="N47">
        <v>0.28302941902484868</v>
      </c>
      <c r="O47" t="s">
        <v>6</v>
      </c>
    </row>
    <row r="48" spans="2:15" x14ac:dyDescent="0.45">
      <c r="B48" t="s">
        <v>209</v>
      </c>
      <c r="C48" t="s">
        <v>9</v>
      </c>
      <c r="D48">
        <v>0.44350159813832785</v>
      </c>
      <c r="E48" t="s">
        <v>6</v>
      </c>
      <c r="G48" t="s">
        <v>210</v>
      </c>
      <c r="H48" t="s">
        <v>9</v>
      </c>
      <c r="I48">
        <v>0.31017894201446994</v>
      </c>
      <c r="J48" t="s">
        <v>6</v>
      </c>
      <c r="L48" t="s">
        <v>211</v>
      </c>
      <c r="M48" t="s">
        <v>9</v>
      </c>
      <c r="N48">
        <v>0.27737582998455068</v>
      </c>
      <c r="O48" t="s">
        <v>6</v>
      </c>
    </row>
    <row r="49" spans="2:15" x14ac:dyDescent="0.45">
      <c r="B49" t="s">
        <v>209</v>
      </c>
      <c r="C49" t="s">
        <v>10</v>
      </c>
      <c r="D49">
        <v>2.7221133743675005E-2</v>
      </c>
      <c r="E49" t="s">
        <v>6</v>
      </c>
      <c r="G49" t="s">
        <v>210</v>
      </c>
      <c r="H49" t="s">
        <v>10</v>
      </c>
      <c r="I49">
        <v>0.18319388444846182</v>
      </c>
      <c r="J49" t="s">
        <v>6</v>
      </c>
      <c r="L49" t="s">
        <v>211</v>
      </c>
      <c r="M49" t="s">
        <v>10</v>
      </c>
      <c r="N49">
        <v>0.21095006219831935</v>
      </c>
      <c r="O49" t="s">
        <v>6</v>
      </c>
    </row>
    <row r="50" spans="2:15" x14ac:dyDescent="0.45">
      <c r="B50" t="s">
        <v>209</v>
      </c>
      <c r="C50" t="s">
        <v>11</v>
      </c>
      <c r="D50">
        <v>0.51366892755635019</v>
      </c>
      <c r="E50" t="s">
        <v>6</v>
      </c>
      <c r="G50" t="s">
        <v>210</v>
      </c>
      <c r="H50" t="s">
        <v>11</v>
      </c>
      <c r="I50">
        <v>0.20294166335876801</v>
      </c>
      <c r="J50" t="s">
        <v>6</v>
      </c>
      <c r="L50" t="s">
        <v>211</v>
      </c>
      <c r="M50" t="s">
        <v>11</v>
      </c>
      <c r="N50">
        <v>0.22864468879227864</v>
      </c>
      <c r="O50" t="s">
        <v>6</v>
      </c>
    </row>
    <row r="51" spans="2:15" x14ac:dyDescent="0.45">
      <c r="B51" t="s">
        <v>212</v>
      </c>
      <c r="C51" t="s">
        <v>5</v>
      </c>
      <c r="D51">
        <v>1.5503414520613256E-2</v>
      </c>
      <c r="E51" t="s">
        <v>6</v>
      </c>
      <c r="G51" t="s">
        <v>213</v>
      </c>
      <c r="H51" t="s">
        <v>5</v>
      </c>
      <c r="I51">
        <v>0.29494291902013553</v>
      </c>
      <c r="J51" t="s">
        <v>6</v>
      </c>
      <c r="L51" t="s">
        <v>214</v>
      </c>
      <c r="M51" t="s">
        <v>5</v>
      </c>
      <c r="N51">
        <v>0.29528692540767021</v>
      </c>
      <c r="O51" t="s">
        <v>6</v>
      </c>
    </row>
    <row r="52" spans="2:15" x14ac:dyDescent="0.45">
      <c r="B52" t="s">
        <v>212</v>
      </c>
      <c r="C52" t="s">
        <v>9</v>
      </c>
      <c r="D52">
        <v>0.46636790016672897</v>
      </c>
      <c r="E52" t="s">
        <v>6</v>
      </c>
      <c r="G52" t="s">
        <v>213</v>
      </c>
      <c r="H52" t="s">
        <v>9</v>
      </c>
      <c r="I52">
        <v>0.29094565380866994</v>
      </c>
      <c r="J52" t="s">
        <v>6</v>
      </c>
      <c r="L52" t="s">
        <v>214</v>
      </c>
      <c r="M52" t="s">
        <v>9</v>
      </c>
      <c r="N52">
        <v>0.28725651717117506</v>
      </c>
      <c r="O52" t="s">
        <v>6</v>
      </c>
    </row>
    <row r="53" spans="2:15" x14ac:dyDescent="0.45">
      <c r="B53" t="s">
        <v>212</v>
      </c>
      <c r="C53" t="s">
        <v>10</v>
      </c>
      <c r="D53">
        <v>2.5641070346602186E-2</v>
      </c>
      <c r="E53" t="s">
        <v>6</v>
      </c>
      <c r="G53" t="s">
        <v>213</v>
      </c>
      <c r="H53" t="s">
        <v>10</v>
      </c>
      <c r="I53">
        <v>0.20556725906058346</v>
      </c>
      <c r="J53" t="s">
        <v>6</v>
      </c>
      <c r="L53" t="s">
        <v>214</v>
      </c>
      <c r="M53" t="s">
        <v>10</v>
      </c>
      <c r="N53">
        <v>0.21153536780164597</v>
      </c>
      <c r="O53" t="s">
        <v>6</v>
      </c>
    </row>
    <row r="54" spans="2:15" x14ac:dyDescent="0.45">
      <c r="B54" t="s">
        <v>212</v>
      </c>
      <c r="C54" t="s">
        <v>11</v>
      </c>
      <c r="D54">
        <v>0.49248761496605714</v>
      </c>
      <c r="E54" t="s">
        <v>6</v>
      </c>
      <c r="G54" t="s">
        <v>213</v>
      </c>
      <c r="H54" t="s">
        <v>11</v>
      </c>
      <c r="I54">
        <v>0.20854416811061188</v>
      </c>
      <c r="J54" t="s">
        <v>6</v>
      </c>
      <c r="L54" t="s">
        <v>214</v>
      </c>
      <c r="M54" t="s">
        <v>11</v>
      </c>
      <c r="N54">
        <v>0.20592118961950659</v>
      </c>
      <c r="O54" t="s">
        <v>6</v>
      </c>
    </row>
    <row r="55" spans="2:15" x14ac:dyDescent="0.45">
      <c r="B55" t="s">
        <v>215</v>
      </c>
      <c r="C55" t="s">
        <v>5</v>
      </c>
      <c r="D55">
        <v>1.1772804724739606E-2</v>
      </c>
      <c r="E55" t="s">
        <v>6</v>
      </c>
      <c r="G55" t="s">
        <v>216</v>
      </c>
      <c r="H55" t="s">
        <v>5</v>
      </c>
      <c r="I55">
        <v>0.28379533551260949</v>
      </c>
      <c r="J55" t="s">
        <v>6</v>
      </c>
      <c r="L55" t="s">
        <v>217</v>
      </c>
      <c r="M55" t="s">
        <v>5</v>
      </c>
      <c r="N55">
        <v>0.29483028654090054</v>
      </c>
      <c r="O55" t="s">
        <v>6</v>
      </c>
    </row>
    <row r="56" spans="2:15" x14ac:dyDescent="0.45">
      <c r="B56" t="s">
        <v>215</v>
      </c>
      <c r="C56" t="s">
        <v>9</v>
      </c>
      <c r="D56">
        <v>0.4692557170904163</v>
      </c>
      <c r="E56" t="s">
        <v>6</v>
      </c>
      <c r="G56" t="s">
        <v>216</v>
      </c>
      <c r="H56" t="s">
        <v>9</v>
      </c>
      <c r="I56">
        <v>0.29182898168864313</v>
      </c>
      <c r="J56" t="s">
        <v>6</v>
      </c>
      <c r="L56" t="s">
        <v>217</v>
      </c>
      <c r="M56" t="s">
        <v>9</v>
      </c>
      <c r="N56">
        <v>0.28796991545108569</v>
      </c>
      <c r="O56" t="s">
        <v>6</v>
      </c>
    </row>
    <row r="57" spans="2:15" x14ac:dyDescent="0.45">
      <c r="B57" t="s">
        <v>215</v>
      </c>
      <c r="C57" t="s">
        <v>10</v>
      </c>
      <c r="D57">
        <v>2.1922872453688815E-2</v>
      </c>
      <c r="E57" t="s">
        <v>6</v>
      </c>
      <c r="G57" t="s">
        <v>216</v>
      </c>
      <c r="H57" t="s">
        <v>10</v>
      </c>
      <c r="I57">
        <v>0.21219473676964129</v>
      </c>
      <c r="J57" t="s">
        <v>6</v>
      </c>
      <c r="L57" t="s">
        <v>217</v>
      </c>
      <c r="M57" t="s">
        <v>10</v>
      </c>
      <c r="N57">
        <v>0.20778765875708635</v>
      </c>
      <c r="O57" t="s">
        <v>6</v>
      </c>
    </row>
    <row r="58" spans="2:15" x14ac:dyDescent="0.45">
      <c r="B58" t="s">
        <v>215</v>
      </c>
      <c r="C58" t="s">
        <v>11</v>
      </c>
      <c r="D58">
        <v>0.49704860573115195</v>
      </c>
      <c r="E58" t="s">
        <v>6</v>
      </c>
      <c r="G58" t="s">
        <v>216</v>
      </c>
      <c r="H58" t="s">
        <v>11</v>
      </c>
      <c r="I58">
        <v>0.21218094602910248</v>
      </c>
      <c r="J58" t="s">
        <v>6</v>
      </c>
      <c r="L58" t="s">
        <v>217</v>
      </c>
      <c r="M58" t="s">
        <v>11</v>
      </c>
      <c r="N58">
        <v>0.20941213925092905</v>
      </c>
      <c r="O58" t="s">
        <v>6</v>
      </c>
    </row>
    <row r="59" spans="2:15" x14ac:dyDescent="0.45">
      <c r="B59" t="s">
        <v>218</v>
      </c>
      <c r="C59" t="s">
        <v>5</v>
      </c>
      <c r="D59">
        <v>1.2920842206968864E-2</v>
      </c>
      <c r="E59" t="s">
        <v>6</v>
      </c>
      <c r="G59" t="s">
        <v>219</v>
      </c>
      <c r="H59" t="s">
        <v>5</v>
      </c>
      <c r="I59">
        <v>0.29566745067145583</v>
      </c>
      <c r="J59" t="s">
        <v>6</v>
      </c>
      <c r="L59" t="s">
        <v>220</v>
      </c>
      <c r="M59" t="s">
        <v>5</v>
      </c>
      <c r="N59">
        <v>0.28147223630252305</v>
      </c>
      <c r="O59" t="s">
        <v>6</v>
      </c>
    </row>
    <row r="60" spans="2:15" x14ac:dyDescent="0.45">
      <c r="B60" t="s">
        <v>218</v>
      </c>
      <c r="C60" t="s">
        <v>9</v>
      </c>
      <c r="D60">
        <v>0.45005088660491399</v>
      </c>
      <c r="E60" t="s">
        <v>6</v>
      </c>
      <c r="G60" t="s">
        <v>219</v>
      </c>
      <c r="H60" t="s">
        <v>9</v>
      </c>
      <c r="I60">
        <v>0.29694251073658467</v>
      </c>
      <c r="J60" t="s">
        <v>6</v>
      </c>
      <c r="L60" t="s">
        <v>220</v>
      </c>
      <c r="M60" t="s">
        <v>9</v>
      </c>
      <c r="N60">
        <v>0.27833723417942136</v>
      </c>
      <c r="O60" t="s">
        <v>6</v>
      </c>
    </row>
    <row r="61" spans="2:15" x14ac:dyDescent="0.45">
      <c r="B61" t="s">
        <v>218</v>
      </c>
      <c r="C61" t="s">
        <v>10</v>
      </c>
      <c r="D61">
        <v>2.3436095242450342E-2</v>
      </c>
      <c r="E61" t="s">
        <v>6</v>
      </c>
      <c r="G61" t="s">
        <v>219</v>
      </c>
      <c r="H61" t="s">
        <v>10</v>
      </c>
      <c r="I61">
        <v>0.19841311934329103</v>
      </c>
      <c r="J61" t="s">
        <v>6</v>
      </c>
      <c r="L61" t="s">
        <v>220</v>
      </c>
      <c r="M61" t="s">
        <v>10</v>
      </c>
      <c r="N61">
        <v>0.21889205746215104</v>
      </c>
      <c r="O61" t="s">
        <v>6</v>
      </c>
    </row>
    <row r="62" spans="2:15" x14ac:dyDescent="0.45">
      <c r="B62" t="s">
        <v>218</v>
      </c>
      <c r="C62" t="s">
        <v>11</v>
      </c>
      <c r="D62">
        <v>0.51359217594566564</v>
      </c>
      <c r="E62" t="s">
        <v>6</v>
      </c>
      <c r="G62" t="s">
        <v>219</v>
      </c>
      <c r="H62" t="s">
        <v>11</v>
      </c>
      <c r="I62">
        <v>0.20897691924866713</v>
      </c>
      <c r="J62" t="s">
        <v>6</v>
      </c>
      <c r="L62" t="s">
        <v>220</v>
      </c>
      <c r="M62" t="s">
        <v>11</v>
      </c>
      <c r="N62">
        <v>0.22129847205590114</v>
      </c>
      <c r="O62" t="s">
        <v>6</v>
      </c>
    </row>
    <row r="63" spans="2:15" x14ac:dyDescent="0.45">
      <c r="B63" t="s">
        <v>221</v>
      </c>
      <c r="C63" t="s">
        <v>5</v>
      </c>
      <c r="D63">
        <v>1.247983678803434E-2</v>
      </c>
      <c r="E63" t="s">
        <v>6</v>
      </c>
      <c r="G63" t="s">
        <v>222</v>
      </c>
      <c r="H63" t="s">
        <v>5</v>
      </c>
      <c r="I63">
        <v>0.29112359313196767</v>
      </c>
      <c r="J63" t="s">
        <v>6</v>
      </c>
      <c r="L63" t="s">
        <v>223</v>
      </c>
      <c r="M63" t="s">
        <v>5</v>
      </c>
      <c r="N63">
        <v>0.26906644114355438</v>
      </c>
      <c r="O63" t="s">
        <v>6</v>
      </c>
    </row>
    <row r="64" spans="2:15" x14ac:dyDescent="0.45">
      <c r="B64" t="s">
        <v>221</v>
      </c>
      <c r="C64" t="s">
        <v>9</v>
      </c>
      <c r="D64">
        <v>0.45671401573181797</v>
      </c>
      <c r="E64" t="s">
        <v>6</v>
      </c>
      <c r="G64" t="s">
        <v>222</v>
      </c>
      <c r="H64" t="s">
        <v>9</v>
      </c>
      <c r="I64">
        <v>0.29768919751740908</v>
      </c>
      <c r="J64" t="s">
        <v>6</v>
      </c>
      <c r="L64" t="s">
        <v>223</v>
      </c>
      <c r="M64" t="s">
        <v>9</v>
      </c>
      <c r="N64">
        <v>0.27419909951444416</v>
      </c>
      <c r="O64" t="s">
        <v>6</v>
      </c>
    </row>
    <row r="65" spans="2:15" x14ac:dyDescent="0.45">
      <c r="B65" t="s">
        <v>221</v>
      </c>
      <c r="C65" t="s">
        <v>10</v>
      </c>
      <c r="D65">
        <v>2.259451128571233E-2</v>
      </c>
      <c r="E65" t="s">
        <v>6</v>
      </c>
      <c r="G65" t="s">
        <v>222</v>
      </c>
      <c r="H65" t="s">
        <v>10</v>
      </c>
      <c r="I65">
        <v>0.19956928664352896</v>
      </c>
      <c r="J65" t="s">
        <v>6</v>
      </c>
      <c r="L65" t="s">
        <v>223</v>
      </c>
      <c r="M65" t="s">
        <v>10</v>
      </c>
      <c r="N65">
        <v>0.22835705917291782</v>
      </c>
      <c r="O65" t="s">
        <v>6</v>
      </c>
    </row>
    <row r="66" spans="2:15" x14ac:dyDescent="0.45">
      <c r="B66" t="s">
        <v>221</v>
      </c>
      <c r="C66" t="s">
        <v>11</v>
      </c>
      <c r="D66">
        <v>0.50821163619443499</v>
      </c>
      <c r="E66" t="s">
        <v>6</v>
      </c>
      <c r="G66" t="s">
        <v>222</v>
      </c>
      <c r="H66" t="s">
        <v>11</v>
      </c>
      <c r="I66">
        <v>0.21161792270709395</v>
      </c>
      <c r="J66" t="s">
        <v>6</v>
      </c>
      <c r="L66" t="s">
        <v>223</v>
      </c>
      <c r="M66" t="s">
        <v>11</v>
      </c>
      <c r="N66">
        <v>0.2283774001690802</v>
      </c>
      <c r="O66" t="s">
        <v>6</v>
      </c>
    </row>
    <row r="67" spans="2:15" x14ac:dyDescent="0.45">
      <c r="B67" t="s">
        <v>224</v>
      </c>
      <c r="C67" t="s">
        <v>5</v>
      </c>
      <c r="D67">
        <v>1.1027310666516351E-2</v>
      </c>
      <c r="E67" t="s">
        <v>6</v>
      </c>
      <c r="G67" t="s">
        <v>225</v>
      </c>
      <c r="H67" t="s">
        <v>5</v>
      </c>
      <c r="I67">
        <v>0.28368466846823681</v>
      </c>
      <c r="J67" t="s">
        <v>6</v>
      </c>
      <c r="L67" t="s">
        <v>226</v>
      </c>
      <c r="M67" t="s">
        <v>5</v>
      </c>
      <c r="N67">
        <v>0.27303975286243815</v>
      </c>
      <c r="O67" t="s">
        <v>6</v>
      </c>
    </row>
    <row r="68" spans="2:15" x14ac:dyDescent="0.45">
      <c r="B68" t="s">
        <v>224</v>
      </c>
      <c r="C68" t="s">
        <v>9</v>
      </c>
      <c r="D68">
        <v>0.44398264553290784</v>
      </c>
      <c r="E68" t="s">
        <v>6</v>
      </c>
      <c r="G68" t="s">
        <v>225</v>
      </c>
      <c r="H68" t="s">
        <v>9</v>
      </c>
      <c r="I68">
        <v>0.30049407860576655</v>
      </c>
      <c r="J68" t="s">
        <v>6</v>
      </c>
      <c r="L68" t="s">
        <v>226</v>
      </c>
      <c r="M68" t="s">
        <v>9</v>
      </c>
      <c r="N68">
        <v>0.27421918878480389</v>
      </c>
      <c r="O68" t="s">
        <v>6</v>
      </c>
    </row>
    <row r="69" spans="2:15" x14ac:dyDescent="0.45">
      <c r="B69" t="s">
        <v>224</v>
      </c>
      <c r="C69" t="s">
        <v>10</v>
      </c>
      <c r="D69">
        <v>2.1507923395361429E-2</v>
      </c>
      <c r="E69" t="s">
        <v>6</v>
      </c>
      <c r="G69" t="s">
        <v>225</v>
      </c>
      <c r="H69" t="s">
        <v>10</v>
      </c>
      <c r="I69">
        <v>0.20130786680729282</v>
      </c>
      <c r="J69" t="s">
        <v>6</v>
      </c>
      <c r="L69" t="s">
        <v>226</v>
      </c>
      <c r="M69" t="s">
        <v>10</v>
      </c>
      <c r="N69">
        <v>0.22615663755205043</v>
      </c>
      <c r="O69" t="s">
        <v>6</v>
      </c>
    </row>
    <row r="70" spans="2:15" x14ac:dyDescent="0.45">
      <c r="B70" t="s">
        <v>224</v>
      </c>
      <c r="C70" t="s">
        <v>11</v>
      </c>
      <c r="D70">
        <v>0.52348212040521436</v>
      </c>
      <c r="E70" t="s">
        <v>6</v>
      </c>
      <c r="G70" t="s">
        <v>225</v>
      </c>
      <c r="H70" t="s">
        <v>11</v>
      </c>
      <c r="I70">
        <v>0.21451338611870371</v>
      </c>
      <c r="J70" t="s">
        <v>6</v>
      </c>
      <c r="L70" t="s">
        <v>226</v>
      </c>
      <c r="M70" t="s">
        <v>11</v>
      </c>
      <c r="N70">
        <v>0.2265844208007044</v>
      </c>
      <c r="O70" t="s">
        <v>6</v>
      </c>
    </row>
    <row r="71" spans="2:15" x14ac:dyDescent="0.45">
      <c r="B71" t="s">
        <v>227</v>
      </c>
      <c r="C71" t="s">
        <v>5</v>
      </c>
      <c r="D71">
        <v>1.2104759291363652E-2</v>
      </c>
      <c r="E71" t="s">
        <v>6</v>
      </c>
      <c r="G71" t="s">
        <v>228</v>
      </c>
      <c r="H71" t="s">
        <v>5</v>
      </c>
      <c r="I71">
        <v>0.29238778070025689</v>
      </c>
      <c r="J71" t="s">
        <v>6</v>
      </c>
      <c r="L71" t="s">
        <v>229</v>
      </c>
      <c r="M71" t="s">
        <v>5</v>
      </c>
      <c r="N71">
        <v>0.26792694621896329</v>
      </c>
      <c r="O71" t="s">
        <v>6</v>
      </c>
    </row>
    <row r="72" spans="2:15" x14ac:dyDescent="0.45">
      <c r="B72" t="s">
        <v>227</v>
      </c>
      <c r="C72" t="s">
        <v>9</v>
      </c>
      <c r="D72">
        <v>0.44397061085050565</v>
      </c>
      <c r="E72" t="s">
        <v>6</v>
      </c>
      <c r="G72" t="s">
        <v>228</v>
      </c>
      <c r="H72" t="s">
        <v>9</v>
      </c>
      <c r="I72">
        <v>0.30385004679532135</v>
      </c>
      <c r="J72" t="s">
        <v>6</v>
      </c>
      <c r="L72" t="s">
        <v>229</v>
      </c>
      <c r="M72" t="s">
        <v>9</v>
      </c>
      <c r="N72">
        <v>0.26921811231244025</v>
      </c>
      <c r="O72" t="s">
        <v>6</v>
      </c>
    </row>
    <row r="73" spans="2:15" x14ac:dyDescent="0.45">
      <c r="B73" t="s">
        <v>227</v>
      </c>
      <c r="C73" t="s">
        <v>10</v>
      </c>
      <c r="D73">
        <v>2.1358060289358775E-2</v>
      </c>
      <c r="E73" t="s">
        <v>6</v>
      </c>
      <c r="G73" t="s">
        <v>228</v>
      </c>
      <c r="H73" t="s">
        <v>10</v>
      </c>
      <c r="I73">
        <v>0.18422803331689816</v>
      </c>
      <c r="J73" t="s">
        <v>6</v>
      </c>
      <c r="L73" t="s">
        <v>229</v>
      </c>
      <c r="M73" t="s">
        <v>10</v>
      </c>
      <c r="N73">
        <v>0.23422412285650096</v>
      </c>
      <c r="O73" t="s">
        <v>6</v>
      </c>
    </row>
    <row r="74" spans="2:15" x14ac:dyDescent="0.45">
      <c r="B74" t="s">
        <v>227</v>
      </c>
      <c r="C74" t="s">
        <v>11</v>
      </c>
      <c r="D74">
        <v>0.52256656956877212</v>
      </c>
      <c r="E74" t="s">
        <v>6</v>
      </c>
      <c r="G74" t="s">
        <v>228</v>
      </c>
      <c r="H74" t="s">
        <v>11</v>
      </c>
      <c r="I74">
        <v>0.2195341391875236</v>
      </c>
      <c r="J74" t="s">
        <v>6</v>
      </c>
      <c r="L74" t="s">
        <v>229</v>
      </c>
      <c r="M74" t="s">
        <v>11</v>
      </c>
      <c r="N74">
        <v>0.22863081861209689</v>
      </c>
      <c r="O74" t="s">
        <v>6</v>
      </c>
    </row>
    <row r="75" spans="2:15" x14ac:dyDescent="0.45">
      <c r="B75" t="s">
        <v>230</v>
      </c>
      <c r="C75" t="s">
        <v>5</v>
      </c>
      <c r="D75">
        <v>1.0585568445727795E-2</v>
      </c>
      <c r="E75" t="s">
        <v>6</v>
      </c>
      <c r="G75" t="s">
        <v>231</v>
      </c>
      <c r="H75" t="s">
        <v>5</v>
      </c>
      <c r="I75">
        <v>0.28407198317657795</v>
      </c>
      <c r="J75" t="s">
        <v>6</v>
      </c>
      <c r="L75" t="s">
        <v>232</v>
      </c>
      <c r="M75" t="s">
        <v>5</v>
      </c>
      <c r="N75">
        <v>0.27151175292579349</v>
      </c>
      <c r="O75" t="s">
        <v>6</v>
      </c>
    </row>
    <row r="76" spans="2:15" x14ac:dyDescent="0.45">
      <c r="B76" t="s">
        <v>230</v>
      </c>
      <c r="C76" t="s">
        <v>9</v>
      </c>
      <c r="D76">
        <v>0.44252593725460743</v>
      </c>
      <c r="E76" t="s">
        <v>6</v>
      </c>
      <c r="G76" t="s">
        <v>231</v>
      </c>
      <c r="H76" t="s">
        <v>9</v>
      </c>
      <c r="I76">
        <v>0.28374094376339887</v>
      </c>
      <c r="J76" t="s">
        <v>6</v>
      </c>
      <c r="L76" t="s">
        <v>232</v>
      </c>
      <c r="M76" t="s">
        <v>9</v>
      </c>
      <c r="N76">
        <v>0.26928613456752143</v>
      </c>
      <c r="O76" t="s">
        <v>6</v>
      </c>
    </row>
    <row r="77" spans="2:15" x14ac:dyDescent="0.45">
      <c r="B77" t="s">
        <v>230</v>
      </c>
      <c r="C77" t="s">
        <v>10</v>
      </c>
      <c r="D77">
        <v>1.9211456671002238E-2</v>
      </c>
      <c r="E77" t="s">
        <v>6</v>
      </c>
      <c r="G77" t="s">
        <v>231</v>
      </c>
      <c r="H77" t="s">
        <v>10</v>
      </c>
      <c r="I77">
        <v>0.20131956713355559</v>
      </c>
      <c r="J77" t="s">
        <v>6</v>
      </c>
      <c r="L77" t="s">
        <v>232</v>
      </c>
      <c r="M77" t="s">
        <v>10</v>
      </c>
      <c r="N77">
        <v>0.23037092746957741</v>
      </c>
      <c r="O77" t="s">
        <v>6</v>
      </c>
    </row>
    <row r="78" spans="2:15" x14ac:dyDescent="0.45">
      <c r="B78" t="s">
        <v>230</v>
      </c>
      <c r="C78" t="s">
        <v>11</v>
      </c>
      <c r="D78">
        <v>0.52767703762866258</v>
      </c>
      <c r="E78" t="s">
        <v>6</v>
      </c>
      <c r="G78" t="s">
        <v>231</v>
      </c>
      <c r="H78" t="s">
        <v>11</v>
      </c>
      <c r="I78">
        <v>0.23086750592646557</v>
      </c>
      <c r="J78" t="s">
        <v>6</v>
      </c>
      <c r="L78" t="s">
        <v>232</v>
      </c>
      <c r="M78" t="s">
        <v>11</v>
      </c>
      <c r="N78">
        <v>0.22883118503710997</v>
      </c>
      <c r="O78" t="s">
        <v>6</v>
      </c>
    </row>
    <row r="79" spans="2:15" x14ac:dyDescent="0.45">
      <c r="B79" t="s">
        <v>233</v>
      </c>
      <c r="C79" t="s">
        <v>5</v>
      </c>
      <c r="D79">
        <v>1.0335335449194761E-2</v>
      </c>
      <c r="E79" t="s">
        <v>6</v>
      </c>
      <c r="G79" t="s">
        <v>234</v>
      </c>
      <c r="H79" t="s">
        <v>5</v>
      </c>
      <c r="I79">
        <v>0.27268064500787492</v>
      </c>
      <c r="J79" t="s">
        <v>6</v>
      </c>
      <c r="L79" t="s">
        <v>235</v>
      </c>
      <c r="M79" t="s">
        <v>5</v>
      </c>
      <c r="N79">
        <v>0.27441219029610381</v>
      </c>
      <c r="O79" t="s">
        <v>6</v>
      </c>
    </row>
    <row r="80" spans="2:15" x14ac:dyDescent="0.45">
      <c r="B80" t="s">
        <v>233</v>
      </c>
      <c r="C80" t="s">
        <v>9</v>
      </c>
      <c r="D80">
        <v>0.44375890205027185</v>
      </c>
      <c r="E80" t="s">
        <v>6</v>
      </c>
      <c r="G80" t="s">
        <v>234</v>
      </c>
      <c r="H80" t="s">
        <v>9</v>
      </c>
      <c r="I80">
        <v>0.26521164517528162</v>
      </c>
      <c r="J80" t="s">
        <v>6</v>
      </c>
      <c r="L80" t="s">
        <v>235</v>
      </c>
      <c r="M80" t="s">
        <v>9</v>
      </c>
      <c r="N80">
        <v>0.26879622345672971</v>
      </c>
      <c r="O80" t="s">
        <v>6</v>
      </c>
    </row>
    <row r="81" spans="2:15" x14ac:dyDescent="0.45">
      <c r="B81" t="s">
        <v>233</v>
      </c>
      <c r="C81" t="s">
        <v>10</v>
      </c>
      <c r="D81">
        <v>1.8701886970046731E-2</v>
      </c>
      <c r="E81" t="s">
        <v>6</v>
      </c>
      <c r="G81" t="s">
        <v>234</v>
      </c>
      <c r="H81" t="s">
        <v>10</v>
      </c>
      <c r="I81">
        <v>0.22848878930386307</v>
      </c>
      <c r="J81" t="s">
        <v>6</v>
      </c>
      <c r="L81" t="s">
        <v>235</v>
      </c>
      <c r="M81" t="s">
        <v>10</v>
      </c>
      <c r="N81">
        <v>0.22856291740299087</v>
      </c>
      <c r="O81" t="s">
        <v>6</v>
      </c>
    </row>
    <row r="82" spans="2:15" x14ac:dyDescent="0.45">
      <c r="B82" t="s">
        <v>233</v>
      </c>
      <c r="C82" t="s">
        <v>11</v>
      </c>
      <c r="D82">
        <v>0.52720387553048298</v>
      </c>
      <c r="E82" t="s">
        <v>6</v>
      </c>
      <c r="G82" t="s">
        <v>234</v>
      </c>
      <c r="H82" t="s">
        <v>11</v>
      </c>
      <c r="I82">
        <v>0.2336189205129803</v>
      </c>
      <c r="J82" t="s">
        <v>6</v>
      </c>
      <c r="L82" t="s">
        <v>235</v>
      </c>
      <c r="M82" t="s">
        <v>11</v>
      </c>
      <c r="N82">
        <v>0.228228668844177</v>
      </c>
      <c r="O82" t="s">
        <v>6</v>
      </c>
    </row>
    <row r="83" spans="2:15" x14ac:dyDescent="0.45">
      <c r="B83" t="s">
        <v>236</v>
      </c>
      <c r="C83" t="s">
        <v>5</v>
      </c>
      <c r="D83">
        <v>1.4890437446528475E-2</v>
      </c>
      <c r="E83" t="s">
        <v>6</v>
      </c>
      <c r="G83" t="s">
        <v>237</v>
      </c>
      <c r="H83" t="s">
        <v>5</v>
      </c>
      <c r="I83">
        <v>0.26748869377684892</v>
      </c>
      <c r="J83" t="s">
        <v>6</v>
      </c>
      <c r="L83" t="s">
        <v>238</v>
      </c>
      <c r="M83" t="s">
        <v>5</v>
      </c>
      <c r="N83">
        <v>0.26940641111108438</v>
      </c>
      <c r="O83" t="s">
        <v>6</v>
      </c>
    </row>
    <row r="84" spans="2:15" x14ac:dyDescent="0.45">
      <c r="B84" t="s">
        <v>236</v>
      </c>
      <c r="C84" t="s">
        <v>9</v>
      </c>
      <c r="D84">
        <v>0.43734443529122419</v>
      </c>
      <c r="E84" t="s">
        <v>6</v>
      </c>
      <c r="G84" t="s">
        <v>237</v>
      </c>
      <c r="H84" t="s">
        <v>9</v>
      </c>
      <c r="I84">
        <v>0.25743568702297132</v>
      </c>
      <c r="J84" t="s">
        <v>6</v>
      </c>
      <c r="L84" t="s">
        <v>238</v>
      </c>
      <c r="M84" t="s">
        <v>9</v>
      </c>
      <c r="N84">
        <v>0.25895534160172601</v>
      </c>
      <c r="O84" t="s">
        <v>6</v>
      </c>
    </row>
    <row r="85" spans="2:15" x14ac:dyDescent="0.45">
      <c r="B85" t="s">
        <v>236</v>
      </c>
      <c r="C85" t="s">
        <v>10</v>
      </c>
      <c r="D85">
        <v>2.4116006085346465E-2</v>
      </c>
      <c r="E85" t="s">
        <v>6</v>
      </c>
      <c r="G85" t="s">
        <v>237</v>
      </c>
      <c r="H85" t="s">
        <v>10</v>
      </c>
      <c r="I85">
        <v>0.23866589105369299</v>
      </c>
      <c r="J85" t="s">
        <v>6</v>
      </c>
      <c r="L85" t="s">
        <v>238</v>
      </c>
      <c r="M85" t="s">
        <v>10</v>
      </c>
      <c r="N85">
        <v>0.23789433330422993</v>
      </c>
      <c r="O85" t="s">
        <v>6</v>
      </c>
    </row>
    <row r="86" spans="2:15" x14ac:dyDescent="0.45">
      <c r="B86" t="s">
        <v>236</v>
      </c>
      <c r="C86" t="s">
        <v>11</v>
      </c>
      <c r="D86">
        <v>0.52364912117690332</v>
      </c>
      <c r="E86" t="s">
        <v>6</v>
      </c>
      <c r="G86" t="s">
        <v>237</v>
      </c>
      <c r="H86" t="s">
        <v>11</v>
      </c>
      <c r="I86">
        <v>0.23640972814649064</v>
      </c>
      <c r="J86" t="s">
        <v>6</v>
      </c>
      <c r="L86" t="s">
        <v>238</v>
      </c>
      <c r="M86" t="s">
        <v>11</v>
      </c>
      <c r="N86">
        <v>0.23374391398296243</v>
      </c>
      <c r="O86" t="s">
        <v>6</v>
      </c>
    </row>
    <row r="87" spans="2:15" x14ac:dyDescent="0.45">
      <c r="B87" t="s">
        <v>239</v>
      </c>
      <c r="C87" t="s">
        <v>5</v>
      </c>
      <c r="D87">
        <v>1.2848381996388578E-2</v>
      </c>
      <c r="E87" t="s">
        <v>6</v>
      </c>
      <c r="G87" t="s">
        <v>240</v>
      </c>
      <c r="H87" t="s">
        <v>5</v>
      </c>
      <c r="I87">
        <v>0.27614227724740642</v>
      </c>
      <c r="J87" t="s">
        <v>6</v>
      </c>
      <c r="L87" t="s">
        <v>241</v>
      </c>
      <c r="M87" t="s">
        <v>5</v>
      </c>
      <c r="N87">
        <v>0.2680930663607578</v>
      </c>
      <c r="O87" t="s">
        <v>6</v>
      </c>
    </row>
    <row r="88" spans="2:15" x14ac:dyDescent="0.45">
      <c r="B88" t="s">
        <v>239</v>
      </c>
      <c r="C88" t="s">
        <v>9</v>
      </c>
      <c r="D88">
        <v>0.44677872650374295</v>
      </c>
      <c r="E88" t="s">
        <v>6</v>
      </c>
      <c r="G88" t="s">
        <v>240</v>
      </c>
      <c r="H88" t="s">
        <v>9</v>
      </c>
      <c r="I88">
        <v>0.26789270803485904</v>
      </c>
      <c r="J88" t="s">
        <v>6</v>
      </c>
      <c r="L88" t="s">
        <v>241</v>
      </c>
      <c r="M88" t="s">
        <v>9</v>
      </c>
      <c r="N88">
        <v>0.26265018147816888</v>
      </c>
      <c r="O88" t="s">
        <v>6</v>
      </c>
    </row>
    <row r="89" spans="2:15" x14ac:dyDescent="0.45">
      <c r="B89" t="s">
        <v>239</v>
      </c>
      <c r="C89" t="s">
        <v>10</v>
      </c>
      <c r="D89">
        <v>2.3590254353017065E-2</v>
      </c>
      <c r="E89" t="s">
        <v>6</v>
      </c>
      <c r="G89" t="s">
        <v>240</v>
      </c>
      <c r="H89" t="s">
        <v>10</v>
      </c>
      <c r="I89">
        <v>0.22446793196199502</v>
      </c>
      <c r="J89" t="s">
        <v>6</v>
      </c>
      <c r="L89" t="s">
        <v>241</v>
      </c>
      <c r="M89" t="s">
        <v>10</v>
      </c>
      <c r="N89">
        <v>0.23756510664460309</v>
      </c>
      <c r="O89" t="s">
        <v>6</v>
      </c>
    </row>
    <row r="90" spans="2:15" x14ac:dyDescent="0.45">
      <c r="B90" t="s">
        <v>239</v>
      </c>
      <c r="C90" t="s">
        <v>11</v>
      </c>
      <c r="D90">
        <v>0.51678263714684758</v>
      </c>
      <c r="E90" t="s">
        <v>6</v>
      </c>
      <c r="G90" t="s">
        <v>240</v>
      </c>
      <c r="H90" t="s">
        <v>11</v>
      </c>
      <c r="I90">
        <v>0.23149708275573941</v>
      </c>
      <c r="J90" t="s">
        <v>6</v>
      </c>
      <c r="L90" t="s">
        <v>241</v>
      </c>
      <c r="M90" t="s">
        <v>11</v>
      </c>
      <c r="N90">
        <v>0.23169164551647187</v>
      </c>
      <c r="O90" t="s">
        <v>6</v>
      </c>
    </row>
    <row r="91" spans="2:15" x14ac:dyDescent="0.45">
      <c r="B91" t="s">
        <v>242</v>
      </c>
      <c r="C91" t="s">
        <v>5</v>
      </c>
      <c r="D91">
        <v>1.3858458612001552E-2</v>
      </c>
      <c r="E91" t="s">
        <v>6</v>
      </c>
      <c r="G91" t="s">
        <v>243</v>
      </c>
      <c r="H91" t="s">
        <v>5</v>
      </c>
      <c r="I91">
        <v>0.27843661119166407</v>
      </c>
      <c r="J91" t="s">
        <v>6</v>
      </c>
      <c r="L91" t="s">
        <v>244</v>
      </c>
      <c r="M91" t="s">
        <v>5</v>
      </c>
      <c r="N91">
        <v>0.27157859411949647</v>
      </c>
      <c r="O91" t="s">
        <v>6</v>
      </c>
    </row>
    <row r="92" spans="2:15" x14ac:dyDescent="0.45">
      <c r="B92" t="s">
        <v>242</v>
      </c>
      <c r="C92" t="s">
        <v>9</v>
      </c>
      <c r="D92">
        <v>0.43476673626859336</v>
      </c>
      <c r="E92" t="s">
        <v>6</v>
      </c>
      <c r="G92" t="s">
        <v>243</v>
      </c>
      <c r="H92" t="s">
        <v>9</v>
      </c>
      <c r="I92">
        <v>0.27200984701763081</v>
      </c>
      <c r="J92" t="s">
        <v>6</v>
      </c>
      <c r="L92" t="s">
        <v>244</v>
      </c>
      <c r="M92" t="s">
        <v>9</v>
      </c>
      <c r="N92">
        <v>0.26607709865669005</v>
      </c>
      <c r="O92" t="s">
        <v>6</v>
      </c>
    </row>
    <row r="93" spans="2:15" x14ac:dyDescent="0.45">
      <c r="B93" t="s">
        <v>242</v>
      </c>
      <c r="C93" t="s">
        <v>10</v>
      </c>
      <c r="D93">
        <v>2.3989620298752359E-2</v>
      </c>
      <c r="E93" t="s">
        <v>6</v>
      </c>
      <c r="G93" t="s">
        <v>243</v>
      </c>
      <c r="H93" t="s">
        <v>10</v>
      </c>
      <c r="I93">
        <v>0.2207166698590611</v>
      </c>
      <c r="J93" t="s">
        <v>6</v>
      </c>
      <c r="L93" t="s">
        <v>244</v>
      </c>
      <c r="M93" t="s">
        <v>10</v>
      </c>
      <c r="N93">
        <v>0.22845544072977181</v>
      </c>
      <c r="O93" t="s">
        <v>6</v>
      </c>
    </row>
    <row r="94" spans="2:15" x14ac:dyDescent="0.45">
      <c r="B94" t="s">
        <v>242</v>
      </c>
      <c r="C94" t="s">
        <v>11</v>
      </c>
      <c r="D94">
        <v>0.52738518482065444</v>
      </c>
      <c r="E94" t="s">
        <v>6</v>
      </c>
      <c r="G94" t="s">
        <v>243</v>
      </c>
      <c r="H94" t="s">
        <v>11</v>
      </c>
      <c r="I94">
        <v>0.22883687193164196</v>
      </c>
      <c r="J94" t="s">
        <v>6</v>
      </c>
      <c r="L94" t="s">
        <v>244</v>
      </c>
      <c r="M94" t="s">
        <v>11</v>
      </c>
      <c r="N94">
        <v>0.23388886649403889</v>
      </c>
      <c r="O94" t="s">
        <v>6</v>
      </c>
    </row>
    <row r="95" spans="2:15" x14ac:dyDescent="0.45">
      <c r="L95" t="s">
        <v>245</v>
      </c>
      <c r="M95" t="s">
        <v>5</v>
      </c>
      <c r="N95">
        <v>0.26997107534160292</v>
      </c>
      <c r="O95" t="s">
        <v>6</v>
      </c>
    </row>
    <row r="96" spans="2:15" x14ac:dyDescent="0.45">
      <c r="L96" t="s">
        <v>245</v>
      </c>
      <c r="M96" t="s">
        <v>9</v>
      </c>
      <c r="N96">
        <v>0.26284225399055494</v>
      </c>
      <c r="O96" t="s">
        <v>6</v>
      </c>
    </row>
    <row r="97" spans="12:15" x14ac:dyDescent="0.45">
      <c r="L97" t="s">
        <v>245</v>
      </c>
      <c r="M97" t="s">
        <v>10</v>
      </c>
      <c r="N97">
        <v>0.23323613852384439</v>
      </c>
      <c r="O97" t="s">
        <v>6</v>
      </c>
    </row>
    <row r="98" spans="12:15" x14ac:dyDescent="0.45">
      <c r="L98" t="s">
        <v>245</v>
      </c>
      <c r="M98" t="s">
        <v>11</v>
      </c>
      <c r="N98">
        <v>0.23395053214399578</v>
      </c>
      <c r="O98" t="s">
        <v>6</v>
      </c>
    </row>
    <row r="99" spans="12:15" x14ac:dyDescent="0.45">
      <c r="L99" t="s">
        <v>246</v>
      </c>
      <c r="M99" t="s">
        <v>5</v>
      </c>
      <c r="N99">
        <v>0.26411277706754799</v>
      </c>
      <c r="O99" t="s">
        <v>6</v>
      </c>
    </row>
    <row r="100" spans="12:15" x14ac:dyDescent="0.45">
      <c r="L100" t="s">
        <v>246</v>
      </c>
      <c r="M100" t="s">
        <v>9</v>
      </c>
      <c r="N100">
        <v>0.25407568568898881</v>
      </c>
      <c r="O100" t="s">
        <v>6</v>
      </c>
    </row>
    <row r="101" spans="12:15" x14ac:dyDescent="0.45">
      <c r="L101" t="s">
        <v>246</v>
      </c>
      <c r="M101" t="s">
        <v>10</v>
      </c>
      <c r="N101">
        <v>0.23843511444190552</v>
      </c>
      <c r="O101" t="s">
        <v>6</v>
      </c>
    </row>
    <row r="102" spans="12:15" x14ac:dyDescent="0.45">
      <c r="L102" t="s">
        <v>246</v>
      </c>
      <c r="M102" t="s">
        <v>11</v>
      </c>
      <c r="N102">
        <v>0.24337642280156219</v>
      </c>
      <c r="O102" t="s">
        <v>6</v>
      </c>
    </row>
    <row r="103" spans="12:15" x14ac:dyDescent="0.45">
      <c r="L103" t="s">
        <v>247</v>
      </c>
      <c r="M103" t="s">
        <v>5</v>
      </c>
      <c r="N103">
        <v>0.26066271590404344</v>
      </c>
      <c r="O103" t="s">
        <v>6</v>
      </c>
    </row>
    <row r="104" spans="12:15" x14ac:dyDescent="0.45">
      <c r="L104" t="s">
        <v>247</v>
      </c>
      <c r="M104" t="s">
        <v>9</v>
      </c>
      <c r="N104">
        <v>0.24888453964343907</v>
      </c>
      <c r="O104" t="s">
        <v>6</v>
      </c>
    </row>
    <row r="105" spans="12:15" x14ac:dyDescent="0.45">
      <c r="L105" t="s">
        <v>247</v>
      </c>
      <c r="M105" t="s">
        <v>10</v>
      </c>
      <c r="N105">
        <v>0.24240812765210157</v>
      </c>
      <c r="O105" t="s">
        <v>6</v>
      </c>
    </row>
    <row r="106" spans="12:15" x14ac:dyDescent="0.45">
      <c r="L106" t="s">
        <v>247</v>
      </c>
      <c r="M106" t="s">
        <v>11</v>
      </c>
      <c r="N106">
        <v>0.24804461680041495</v>
      </c>
      <c r="O106" t="s">
        <v>6</v>
      </c>
    </row>
    <row r="107" spans="12:15" x14ac:dyDescent="0.45">
      <c r="L107" t="s">
        <v>248</v>
      </c>
      <c r="M107" t="s">
        <v>5</v>
      </c>
      <c r="N107">
        <v>0.26745135653300317</v>
      </c>
      <c r="O107" t="s">
        <v>6</v>
      </c>
    </row>
    <row r="108" spans="12:15" x14ac:dyDescent="0.45">
      <c r="L108" t="s">
        <v>248</v>
      </c>
      <c r="M108" t="s">
        <v>9</v>
      </c>
      <c r="N108">
        <v>0.25760029006461288</v>
      </c>
      <c r="O108" t="s">
        <v>6</v>
      </c>
    </row>
    <row r="109" spans="12:15" x14ac:dyDescent="0.45">
      <c r="L109" t="s">
        <v>248</v>
      </c>
      <c r="M109" t="s">
        <v>10</v>
      </c>
      <c r="N109">
        <v>0.23528427431175217</v>
      </c>
      <c r="O109" t="s">
        <v>6</v>
      </c>
    </row>
    <row r="110" spans="12:15" x14ac:dyDescent="0.45">
      <c r="L110" t="s">
        <v>248</v>
      </c>
      <c r="M110" t="s">
        <v>11</v>
      </c>
      <c r="N110">
        <v>0.23966407909062881</v>
      </c>
      <c r="O110" t="s">
        <v>6</v>
      </c>
    </row>
    <row r="111" spans="12:15" x14ac:dyDescent="0.45">
      <c r="L111" t="s">
        <v>249</v>
      </c>
      <c r="M111" t="s">
        <v>5</v>
      </c>
      <c r="N111">
        <v>0.28064825721194392</v>
      </c>
      <c r="O111" t="s">
        <v>6</v>
      </c>
    </row>
    <row r="112" spans="12:15" x14ac:dyDescent="0.45">
      <c r="L112" t="s">
        <v>249</v>
      </c>
      <c r="M112" t="s">
        <v>9</v>
      </c>
      <c r="N112">
        <v>0.27551850100388259</v>
      </c>
      <c r="O112" t="s">
        <v>6</v>
      </c>
    </row>
    <row r="113" spans="12:15" x14ac:dyDescent="0.45">
      <c r="L113" t="s">
        <v>249</v>
      </c>
      <c r="M113" t="s">
        <v>10</v>
      </c>
      <c r="N113">
        <v>0.22642651314722817</v>
      </c>
      <c r="O113" t="s">
        <v>6</v>
      </c>
    </row>
    <row r="114" spans="12:15" x14ac:dyDescent="0.45">
      <c r="L114" t="s">
        <v>249</v>
      </c>
      <c r="M114" t="s">
        <v>11</v>
      </c>
      <c r="N114">
        <v>0.21740672863694505</v>
      </c>
      <c r="O114" t="s">
        <v>6</v>
      </c>
    </row>
    <row r="115" spans="12:15" x14ac:dyDescent="0.45">
      <c r="L115" t="s">
        <v>250</v>
      </c>
      <c r="M115" t="s">
        <v>5</v>
      </c>
      <c r="N115">
        <v>0.28772078534764783</v>
      </c>
      <c r="O115" t="s">
        <v>6</v>
      </c>
    </row>
    <row r="116" spans="12:15" x14ac:dyDescent="0.45">
      <c r="L116" t="s">
        <v>250</v>
      </c>
      <c r="M116" t="s">
        <v>9</v>
      </c>
      <c r="N116">
        <v>0.28434853097340484</v>
      </c>
      <c r="O116" t="s">
        <v>6</v>
      </c>
    </row>
    <row r="117" spans="12:15" x14ac:dyDescent="0.45">
      <c r="L117" t="s">
        <v>250</v>
      </c>
      <c r="M117" t="s">
        <v>10</v>
      </c>
      <c r="N117">
        <v>0.22188410085092083</v>
      </c>
      <c r="O117" t="s">
        <v>6</v>
      </c>
    </row>
    <row r="118" spans="12:15" x14ac:dyDescent="0.45">
      <c r="L118" t="s">
        <v>250</v>
      </c>
      <c r="M118" t="s">
        <v>11</v>
      </c>
      <c r="N118">
        <v>0.20604658282802396</v>
      </c>
      <c r="O118" t="s">
        <v>6</v>
      </c>
    </row>
    <row r="119" spans="12:15" x14ac:dyDescent="0.45">
      <c r="L119" t="s">
        <v>251</v>
      </c>
      <c r="M119" t="s">
        <v>5</v>
      </c>
      <c r="N119">
        <v>0.28121485724751799</v>
      </c>
      <c r="O119" t="s">
        <v>6</v>
      </c>
    </row>
    <row r="120" spans="12:15" x14ac:dyDescent="0.45">
      <c r="L120" t="s">
        <v>251</v>
      </c>
      <c r="M120" t="s">
        <v>9</v>
      </c>
      <c r="N120">
        <v>0.27835834612764571</v>
      </c>
      <c r="O120" t="s">
        <v>6</v>
      </c>
    </row>
    <row r="121" spans="12:15" x14ac:dyDescent="0.45">
      <c r="L121" t="s">
        <v>251</v>
      </c>
      <c r="M121" t="s">
        <v>10</v>
      </c>
      <c r="N121">
        <v>0.226967830424949</v>
      </c>
      <c r="O121" t="s">
        <v>6</v>
      </c>
    </row>
    <row r="122" spans="12:15" x14ac:dyDescent="0.45">
      <c r="L122" t="s">
        <v>251</v>
      </c>
      <c r="M122" t="s">
        <v>11</v>
      </c>
      <c r="N122">
        <v>0.21345896619989005</v>
      </c>
      <c r="O122" t="s">
        <v>6</v>
      </c>
    </row>
    <row r="123" spans="12:15" x14ac:dyDescent="0.45">
      <c r="L123" t="s">
        <v>252</v>
      </c>
      <c r="M123" t="s">
        <v>5</v>
      </c>
      <c r="N123">
        <v>0.27520592728785975</v>
      </c>
      <c r="O123" t="s">
        <v>6</v>
      </c>
    </row>
    <row r="124" spans="12:15" x14ac:dyDescent="0.45">
      <c r="L124" t="s">
        <v>252</v>
      </c>
      <c r="M124" t="s">
        <v>9</v>
      </c>
      <c r="N124">
        <v>0.27829762848805045</v>
      </c>
      <c r="O124" t="s">
        <v>6</v>
      </c>
    </row>
    <row r="125" spans="12:15" x14ac:dyDescent="0.45">
      <c r="L125" t="s">
        <v>252</v>
      </c>
      <c r="M125" t="s">
        <v>10</v>
      </c>
      <c r="N125">
        <v>0.22889339099453768</v>
      </c>
      <c r="O125" t="s">
        <v>6</v>
      </c>
    </row>
    <row r="126" spans="12:15" x14ac:dyDescent="0.45">
      <c r="L126" t="s">
        <v>252</v>
      </c>
      <c r="M126" t="s">
        <v>11</v>
      </c>
      <c r="N126">
        <v>0.21760305322955237</v>
      </c>
      <c r="O126" t="s">
        <v>6</v>
      </c>
    </row>
    <row r="127" spans="12:15" x14ac:dyDescent="0.45">
      <c r="L127" t="s">
        <v>253</v>
      </c>
      <c r="M127" t="s">
        <v>5</v>
      </c>
      <c r="N127">
        <v>0.27162397665390259</v>
      </c>
      <c r="O127" t="s">
        <v>6</v>
      </c>
    </row>
    <row r="128" spans="12:15" x14ac:dyDescent="0.45">
      <c r="L128" t="s">
        <v>253</v>
      </c>
      <c r="M128" t="s">
        <v>9</v>
      </c>
      <c r="N128">
        <v>0.26659556738305423</v>
      </c>
      <c r="O128" t="s">
        <v>6</v>
      </c>
    </row>
    <row r="129" spans="12:15" x14ac:dyDescent="0.45">
      <c r="L129" t="s">
        <v>253</v>
      </c>
      <c r="M129" t="s">
        <v>10</v>
      </c>
      <c r="N129">
        <v>0.23004321809130804</v>
      </c>
      <c r="O129" t="s">
        <v>6</v>
      </c>
    </row>
    <row r="130" spans="12:15" x14ac:dyDescent="0.45">
      <c r="L130" t="s">
        <v>253</v>
      </c>
      <c r="M130" t="s">
        <v>11</v>
      </c>
      <c r="N130">
        <v>0.23173723787173345</v>
      </c>
      <c r="O130" t="s">
        <v>6</v>
      </c>
    </row>
    <row r="131" spans="12:15" x14ac:dyDescent="0.45">
      <c r="L131" t="s">
        <v>254</v>
      </c>
      <c r="M131" t="s">
        <v>5</v>
      </c>
      <c r="N131">
        <v>0.28013364661880591</v>
      </c>
      <c r="O131" t="s">
        <v>6</v>
      </c>
    </row>
    <row r="132" spans="12:15" x14ac:dyDescent="0.45">
      <c r="L132" t="s">
        <v>254</v>
      </c>
      <c r="M132" t="s">
        <v>9</v>
      </c>
      <c r="N132">
        <v>0.27858568336021089</v>
      </c>
      <c r="O132" t="s">
        <v>6</v>
      </c>
    </row>
    <row r="133" spans="12:15" x14ac:dyDescent="0.45">
      <c r="L133" t="s">
        <v>254</v>
      </c>
      <c r="M133" t="s">
        <v>10</v>
      </c>
      <c r="N133">
        <v>0.23040236370278711</v>
      </c>
      <c r="O133" t="s">
        <v>6</v>
      </c>
    </row>
    <row r="134" spans="12:15" x14ac:dyDescent="0.45">
      <c r="L134" t="s">
        <v>254</v>
      </c>
      <c r="M134" t="s">
        <v>11</v>
      </c>
      <c r="N134">
        <v>0.21087830631819843</v>
      </c>
      <c r="O134" t="s">
        <v>6</v>
      </c>
    </row>
    <row r="135" spans="12:15" x14ac:dyDescent="0.45">
      <c r="L135" t="s">
        <v>255</v>
      </c>
      <c r="M135" t="s">
        <v>5</v>
      </c>
      <c r="N135">
        <v>0.27613458713849798</v>
      </c>
      <c r="O135" t="s">
        <v>6</v>
      </c>
    </row>
    <row r="136" spans="12:15" x14ac:dyDescent="0.45">
      <c r="L136" t="s">
        <v>255</v>
      </c>
      <c r="M136" t="s">
        <v>9</v>
      </c>
      <c r="N136">
        <v>0.26426916660962468</v>
      </c>
      <c r="O136" t="s">
        <v>6</v>
      </c>
    </row>
    <row r="137" spans="12:15" x14ac:dyDescent="0.45">
      <c r="L137" t="s">
        <v>255</v>
      </c>
      <c r="M137" t="s">
        <v>10</v>
      </c>
      <c r="N137">
        <v>0.23213616607694287</v>
      </c>
      <c r="O137" t="s">
        <v>6</v>
      </c>
    </row>
    <row r="138" spans="12:15" x14ac:dyDescent="0.45">
      <c r="L138" t="s">
        <v>255</v>
      </c>
      <c r="M138" t="s">
        <v>11</v>
      </c>
      <c r="N138">
        <v>0.22746008017493299</v>
      </c>
      <c r="O138" t="s">
        <v>6</v>
      </c>
    </row>
    <row r="139" spans="12:15" x14ac:dyDescent="0.45">
      <c r="L139" t="s">
        <v>256</v>
      </c>
      <c r="M139" t="s">
        <v>5</v>
      </c>
      <c r="N139">
        <v>0.27197061580275195</v>
      </c>
      <c r="O139" t="s">
        <v>6</v>
      </c>
    </row>
    <row r="140" spans="12:15" x14ac:dyDescent="0.45">
      <c r="L140" t="s">
        <v>256</v>
      </c>
      <c r="M140" t="s">
        <v>9</v>
      </c>
      <c r="N140">
        <v>0.26026701456460449</v>
      </c>
      <c r="O140" t="s">
        <v>6</v>
      </c>
    </row>
    <row r="141" spans="12:15" x14ac:dyDescent="0.45">
      <c r="L141" t="s">
        <v>256</v>
      </c>
      <c r="M141" t="s">
        <v>10</v>
      </c>
      <c r="N141">
        <v>0.23500388193238025</v>
      </c>
      <c r="O141" t="s">
        <v>6</v>
      </c>
    </row>
    <row r="142" spans="12:15" x14ac:dyDescent="0.45">
      <c r="L142" t="s">
        <v>256</v>
      </c>
      <c r="M142" t="s">
        <v>11</v>
      </c>
      <c r="N142">
        <v>0.23275848770026289</v>
      </c>
      <c r="O142" t="s">
        <v>6</v>
      </c>
    </row>
    <row r="143" spans="12:15" x14ac:dyDescent="0.45">
      <c r="L143" t="s">
        <v>257</v>
      </c>
      <c r="M143" t="s">
        <v>5</v>
      </c>
      <c r="N143">
        <v>0.27861324699308249</v>
      </c>
      <c r="O143" t="s">
        <v>6</v>
      </c>
    </row>
    <row r="144" spans="12:15" x14ac:dyDescent="0.45">
      <c r="L144" t="s">
        <v>257</v>
      </c>
      <c r="M144" t="s">
        <v>9</v>
      </c>
      <c r="N144">
        <v>0.27111880625800822</v>
      </c>
      <c r="O144" t="s">
        <v>6</v>
      </c>
    </row>
    <row r="145" spans="12:15" x14ac:dyDescent="0.45">
      <c r="L145" t="s">
        <v>257</v>
      </c>
      <c r="M145" t="s">
        <v>10</v>
      </c>
      <c r="N145">
        <v>0.22888234595911394</v>
      </c>
      <c r="O145" t="s">
        <v>6</v>
      </c>
    </row>
    <row r="146" spans="12:15" x14ac:dyDescent="0.45">
      <c r="L146" t="s">
        <v>257</v>
      </c>
      <c r="M146" t="s">
        <v>11</v>
      </c>
      <c r="N146">
        <v>0.2213856007897945</v>
      </c>
      <c r="O14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421D-FBB8-4D80-B170-5B22379C9D27}">
  <dimension ref="B9:AF86"/>
  <sheetViews>
    <sheetView workbookViewId="0"/>
  </sheetViews>
  <sheetFormatPr defaultRowHeight="14.25" x14ac:dyDescent="0.45"/>
  <sheetData>
    <row r="9" spans="2:32" x14ac:dyDescent="0.45">
      <c r="B9" t="str">
        <f>IF(A11="x","DeActivated","~TFM_DINS-TSL: attribute=FLO_EMIS; other_indexes=ACT; region=GBR")</f>
        <v>~TFM_DINS-TSL: attribute=FLO_EMIS; other_indexes=ACT; region=GBR</v>
      </c>
      <c r="I9" t="str">
        <f>IF(A11="x","DeActivated","~TFM_INS-TSL: attribute=FLO_SHAR; limtype=FX; region=GBR")</f>
        <v>~TFM_INS-TSL: attribute=FLO_SHAR; limtype=FX; region=GBR</v>
      </c>
      <c r="P9" t="str">
        <f>IF(A11="x","DeActivated","~TFM_INS-TSL: attribute=FLO_SHAR; limtype=FX; region=GBR")</f>
        <v>~TFM_INS-TSL: attribute=FLO_SHAR; limtype=FX; region=GBR</v>
      </c>
      <c r="W9" t="str">
        <f>IF(A11="x","DeActivated","~TFM_DINS-TSL: attribute=NCAP_PKCNT; region=GBR")</f>
        <v>~TFM_DINS-TSL: attribute=NCAP_PKCNT; region=GBR</v>
      </c>
      <c r="AC9" t="str">
        <f>IF(A11="x","DeActivated","~TFM_DINS-AT: region=GBR")</f>
        <v>~TFM_DINS-AT: region=GBR</v>
      </c>
    </row>
    <row r="10" spans="2:3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I10" t="s">
        <v>3</v>
      </c>
      <c r="J10" t="s">
        <v>0</v>
      </c>
      <c r="K10" t="s">
        <v>5</v>
      </c>
      <c r="L10" t="s">
        <v>9</v>
      </c>
      <c r="M10" t="s">
        <v>10</v>
      </c>
      <c r="N10" t="s">
        <v>11</v>
      </c>
      <c r="P10" t="s">
        <v>3</v>
      </c>
      <c r="Q10" t="s">
        <v>0</v>
      </c>
      <c r="R10" t="s">
        <v>5</v>
      </c>
      <c r="S10" t="s">
        <v>9</v>
      </c>
      <c r="T10" t="s">
        <v>10</v>
      </c>
      <c r="U10" t="s">
        <v>11</v>
      </c>
      <c r="W10" t="s">
        <v>3</v>
      </c>
      <c r="X10" t="s">
        <v>5</v>
      </c>
      <c r="Y10" t="s">
        <v>9</v>
      </c>
      <c r="Z10" t="s">
        <v>10</v>
      </c>
      <c r="AA10" t="s">
        <v>11</v>
      </c>
      <c r="AC10" t="s">
        <v>3</v>
      </c>
      <c r="AD10" t="s">
        <v>0</v>
      </c>
      <c r="AE10" t="s">
        <v>84</v>
      </c>
      <c r="AF10" t="s">
        <v>85</v>
      </c>
    </row>
    <row r="11" spans="2:32" x14ac:dyDescent="0.45">
      <c r="B11" t="s">
        <v>258</v>
      </c>
      <c r="C11" t="s">
        <v>87</v>
      </c>
      <c r="D11">
        <v>0.9140079514479077</v>
      </c>
      <c r="E11">
        <v>0.42598078823750035</v>
      </c>
      <c r="F11">
        <v>0.86387922135838802</v>
      </c>
      <c r="G11">
        <v>0.35168815073344922</v>
      </c>
      <c r="I11" t="s">
        <v>88</v>
      </c>
      <c r="J11" t="s">
        <v>89</v>
      </c>
      <c r="K11">
        <v>0.15677120069291633</v>
      </c>
      <c r="L11">
        <v>0.15306329561353862</v>
      </c>
      <c r="M11">
        <v>0.23298612565166193</v>
      </c>
      <c r="N11">
        <v>0.1177259807592328</v>
      </c>
      <c r="P11" t="s">
        <v>88</v>
      </c>
      <c r="Q11" t="s">
        <v>90</v>
      </c>
      <c r="R11">
        <v>0.31376411861717929</v>
      </c>
      <c r="S11">
        <v>8.9072420272288039E-2</v>
      </c>
      <c r="T11">
        <v>0.30868237327981829</v>
      </c>
      <c r="U11">
        <v>6.724290512154317E-2</v>
      </c>
      <c r="W11" t="s">
        <v>258</v>
      </c>
      <c r="X11">
        <v>5.3150184771526762E-3</v>
      </c>
      <c r="Y11">
        <v>0.21007463367389587</v>
      </c>
      <c r="Z11">
        <v>9.296181622886996E-3</v>
      </c>
      <c r="AA11">
        <v>0.25262435199607552</v>
      </c>
      <c r="AC11" t="s">
        <v>258</v>
      </c>
      <c r="AD11" t="s">
        <v>91</v>
      </c>
      <c r="AE11" t="s">
        <v>92</v>
      </c>
      <c r="AF11">
        <v>0.25262435199607552</v>
      </c>
    </row>
    <row r="12" spans="2:32" x14ac:dyDescent="0.45">
      <c r="B12" t="s">
        <v>259</v>
      </c>
      <c r="C12" t="s">
        <v>87</v>
      </c>
      <c r="D12">
        <v>0.91594638313446286</v>
      </c>
      <c r="E12">
        <v>0.40356987891668633</v>
      </c>
      <c r="F12">
        <v>0.86899623541455939</v>
      </c>
      <c r="G12">
        <v>0.34335392931418834</v>
      </c>
      <c r="I12" t="s">
        <v>94</v>
      </c>
      <c r="J12" t="s">
        <v>89</v>
      </c>
      <c r="K12">
        <v>2.1844096514834037E-3</v>
      </c>
      <c r="L12">
        <v>3.0688603376122676E-3</v>
      </c>
      <c r="M12">
        <v>4.3886102738842324E-3</v>
      </c>
      <c r="N12">
        <v>5.6365299865173846E-3</v>
      </c>
      <c r="P12" t="s">
        <v>94</v>
      </c>
      <c r="Q12" t="s">
        <v>90</v>
      </c>
      <c r="R12">
        <v>7.7698406572633914E-3</v>
      </c>
      <c r="S12">
        <v>9.3505581335741102E-3</v>
      </c>
      <c r="T12">
        <v>1.1614349856607588E-2</v>
      </c>
      <c r="U12">
        <v>2.5746726205672432E-2</v>
      </c>
      <c r="W12" t="s">
        <v>259</v>
      </c>
      <c r="X12">
        <v>4.9625880000653795E-3</v>
      </c>
      <c r="Y12">
        <v>0.22012567902627486</v>
      </c>
      <c r="Z12">
        <v>9.3513324125881932E-3</v>
      </c>
      <c r="AA12">
        <v>0.27727120633870544</v>
      </c>
      <c r="AC12" t="s">
        <v>259</v>
      </c>
      <c r="AD12" t="s">
        <v>91</v>
      </c>
      <c r="AE12" t="s">
        <v>92</v>
      </c>
      <c r="AF12">
        <v>0.27727120633870544</v>
      </c>
    </row>
    <row r="13" spans="2:32" x14ac:dyDescent="0.45">
      <c r="B13" t="s">
        <v>260</v>
      </c>
      <c r="C13" t="s">
        <v>87</v>
      </c>
      <c r="D13">
        <v>0.91356773453245665</v>
      </c>
      <c r="E13">
        <v>0.41089949609012355</v>
      </c>
      <c r="F13">
        <v>0.86627198642696601</v>
      </c>
      <c r="G13">
        <v>0.33992049051836221</v>
      </c>
      <c r="I13" t="s">
        <v>96</v>
      </c>
      <c r="J13" t="s">
        <v>89</v>
      </c>
      <c r="K13">
        <v>1.9719532654017876E-3</v>
      </c>
      <c r="L13">
        <v>1.4181041927514072E-3</v>
      </c>
      <c r="M13">
        <v>1.6676175802399053E-3</v>
      </c>
      <c r="N13">
        <v>9.1870492951502865E-4</v>
      </c>
      <c r="P13" t="s">
        <v>96</v>
      </c>
      <c r="Q13" t="s">
        <v>90</v>
      </c>
      <c r="R13">
        <v>5.5048854336382002E-3</v>
      </c>
      <c r="S13">
        <v>6.4975742171808635E-3</v>
      </c>
      <c r="T13">
        <v>5.8238385200406854E-3</v>
      </c>
      <c r="U13">
        <v>8.9597597987242962E-3</v>
      </c>
      <c r="W13" t="s">
        <v>260</v>
      </c>
      <c r="X13">
        <v>5.204447021726088E-3</v>
      </c>
      <c r="Y13">
        <v>0.21948725661224988</v>
      </c>
      <c r="Z13">
        <v>9.3642058621305063E-3</v>
      </c>
      <c r="AA13">
        <v>0.26516140705457297</v>
      </c>
      <c r="AC13" t="s">
        <v>260</v>
      </c>
      <c r="AD13" t="s">
        <v>91</v>
      </c>
      <c r="AE13" t="s">
        <v>92</v>
      </c>
      <c r="AF13">
        <v>0.26516140705457297</v>
      </c>
    </row>
    <row r="14" spans="2:32" x14ac:dyDescent="0.45">
      <c r="B14" t="s">
        <v>261</v>
      </c>
      <c r="C14" t="s">
        <v>87</v>
      </c>
      <c r="D14">
        <v>0.9168044294813148</v>
      </c>
      <c r="E14">
        <v>0.4114699874816502</v>
      </c>
      <c r="F14">
        <v>0.85712698205157944</v>
      </c>
      <c r="G14">
        <v>0.33763400792279497</v>
      </c>
      <c r="W14" t="s">
        <v>261</v>
      </c>
      <c r="X14">
        <v>3.7736418560074675E-3</v>
      </c>
      <c r="Y14">
        <v>0.19916231295340009</v>
      </c>
      <c r="Z14">
        <v>7.5474919101690165E-3</v>
      </c>
      <c r="AA14">
        <v>0.24456716359311473</v>
      </c>
      <c r="AC14" t="s">
        <v>261</v>
      </c>
      <c r="AD14" t="s">
        <v>91</v>
      </c>
      <c r="AE14" t="s">
        <v>92</v>
      </c>
      <c r="AF14">
        <v>0.24456716359311473</v>
      </c>
    </row>
    <row r="15" spans="2:32" x14ac:dyDescent="0.45">
      <c r="B15" t="s">
        <v>262</v>
      </c>
      <c r="C15" t="s">
        <v>87</v>
      </c>
      <c r="D15">
        <v>0.92002277291183454</v>
      </c>
      <c r="E15">
        <v>0.39747987638910792</v>
      </c>
      <c r="F15">
        <v>0.85768524433762028</v>
      </c>
      <c r="G15">
        <v>0.32628217376627666</v>
      </c>
      <c r="W15" t="s">
        <v>262</v>
      </c>
      <c r="X15">
        <v>3.2881765311225226E-3</v>
      </c>
      <c r="Y15">
        <v>0.22307745631030149</v>
      </c>
      <c r="Z15">
        <v>6.743782508070461E-3</v>
      </c>
      <c r="AA15">
        <v>0.27156462413091026</v>
      </c>
      <c r="AC15" t="s">
        <v>262</v>
      </c>
      <c r="AD15" t="s">
        <v>91</v>
      </c>
      <c r="AE15" t="s">
        <v>92</v>
      </c>
      <c r="AF15">
        <v>0.27156462413091026</v>
      </c>
    </row>
    <row r="16" spans="2:32" x14ac:dyDescent="0.45">
      <c r="B16" t="s">
        <v>263</v>
      </c>
      <c r="C16" t="s">
        <v>87</v>
      </c>
      <c r="D16">
        <v>0.92403715722007407</v>
      </c>
      <c r="E16">
        <v>0.40517575336729361</v>
      </c>
      <c r="F16">
        <v>0.86396747760589176</v>
      </c>
      <c r="G16">
        <v>0.3458120967419665</v>
      </c>
      <c r="W16" t="s">
        <v>263</v>
      </c>
      <c r="X16">
        <v>3.3187487410645464E-3</v>
      </c>
      <c r="Y16">
        <v>0.20780013130955757</v>
      </c>
      <c r="Z16">
        <v>7.0062880152230852E-3</v>
      </c>
      <c r="AA16">
        <v>0.26850047634678958</v>
      </c>
      <c r="AC16" t="s">
        <v>263</v>
      </c>
      <c r="AD16" t="s">
        <v>91</v>
      </c>
      <c r="AE16" t="s">
        <v>92</v>
      </c>
      <c r="AF16">
        <v>0.26850047634678958</v>
      </c>
    </row>
    <row r="17" spans="2:32" x14ac:dyDescent="0.45">
      <c r="B17" t="s">
        <v>264</v>
      </c>
      <c r="C17" t="s">
        <v>87</v>
      </c>
      <c r="D17">
        <v>0.91829834868478866</v>
      </c>
      <c r="E17">
        <v>0.40134055988237483</v>
      </c>
      <c r="F17">
        <v>0.86676505347619037</v>
      </c>
      <c r="G17">
        <v>0.33660184377189395</v>
      </c>
      <c r="W17" t="s">
        <v>264</v>
      </c>
      <c r="X17">
        <v>3.9207430649685704E-3</v>
      </c>
      <c r="Y17">
        <v>0.20400627527238219</v>
      </c>
      <c r="Z17">
        <v>8.0412268552758903E-3</v>
      </c>
      <c r="AA17">
        <v>0.26387783374318169</v>
      </c>
      <c r="AC17" t="s">
        <v>264</v>
      </c>
      <c r="AD17" t="s">
        <v>91</v>
      </c>
      <c r="AE17" t="s">
        <v>92</v>
      </c>
      <c r="AF17">
        <v>0.26387783374318169</v>
      </c>
    </row>
    <row r="18" spans="2:32" x14ac:dyDescent="0.45">
      <c r="B18" t="s">
        <v>265</v>
      </c>
      <c r="C18" t="s">
        <v>87</v>
      </c>
      <c r="D18">
        <v>0.91726307581546562</v>
      </c>
      <c r="E18">
        <v>0.41113167888295421</v>
      </c>
      <c r="F18">
        <v>0.86187097307022975</v>
      </c>
      <c r="G18">
        <v>0.34535750536980808</v>
      </c>
      <c r="W18" t="s">
        <v>265</v>
      </c>
      <c r="X18">
        <v>4.2068955898679631E-3</v>
      </c>
      <c r="Y18">
        <v>0.19855555495167593</v>
      </c>
      <c r="Z18">
        <v>8.0520085110597685E-3</v>
      </c>
      <c r="AA18">
        <v>0.24135248661111339</v>
      </c>
      <c r="AC18" t="s">
        <v>265</v>
      </c>
      <c r="AD18" t="s">
        <v>91</v>
      </c>
      <c r="AE18" t="s">
        <v>92</v>
      </c>
      <c r="AF18">
        <v>0.24135248661111339</v>
      </c>
    </row>
    <row r="19" spans="2:32" x14ac:dyDescent="0.45">
      <c r="B19" t="s">
        <v>266</v>
      </c>
      <c r="C19" t="s">
        <v>87</v>
      </c>
      <c r="D19">
        <v>0.92033256432531441</v>
      </c>
      <c r="E19">
        <v>0.40146753061662654</v>
      </c>
      <c r="F19">
        <v>0.86086582579984283</v>
      </c>
      <c r="G19">
        <v>0.33953461670898005</v>
      </c>
      <c r="W19" t="s">
        <v>266</v>
      </c>
      <c r="X19">
        <v>3.5834025930854617E-3</v>
      </c>
      <c r="Y19">
        <v>0.20127272109645983</v>
      </c>
      <c r="Z19">
        <v>7.1607357787525387E-3</v>
      </c>
      <c r="AA19">
        <v>0.24539694758672004</v>
      </c>
      <c r="AC19" t="s">
        <v>266</v>
      </c>
      <c r="AD19" t="s">
        <v>91</v>
      </c>
      <c r="AE19" t="s">
        <v>92</v>
      </c>
      <c r="AF19">
        <v>0.24539694758672004</v>
      </c>
    </row>
    <row r="20" spans="2:32" x14ac:dyDescent="0.45">
      <c r="B20" t="s">
        <v>267</v>
      </c>
      <c r="C20" t="s">
        <v>87</v>
      </c>
      <c r="D20">
        <v>0.90280659682658071</v>
      </c>
      <c r="E20">
        <v>0.47274017158242071</v>
      </c>
      <c r="F20">
        <v>0.84411946461729759</v>
      </c>
      <c r="G20">
        <v>0.37678782743748773</v>
      </c>
      <c r="W20" t="s">
        <v>267</v>
      </c>
      <c r="X20">
        <v>6.9490726808979072E-3</v>
      </c>
      <c r="Y20">
        <v>0.19745371568391962</v>
      </c>
      <c r="Z20">
        <v>1.2053040869496007E-2</v>
      </c>
      <c r="AA20">
        <v>0.22744359715235785</v>
      </c>
      <c r="AC20" t="s">
        <v>267</v>
      </c>
      <c r="AD20" t="s">
        <v>91</v>
      </c>
      <c r="AE20" t="s">
        <v>92</v>
      </c>
      <c r="AF20">
        <v>0.22744359715235785</v>
      </c>
    </row>
    <row r="21" spans="2:32" x14ac:dyDescent="0.45">
      <c r="B21" t="s">
        <v>268</v>
      </c>
      <c r="C21" t="s">
        <v>87</v>
      </c>
      <c r="D21">
        <v>0.90077723156544642</v>
      </c>
      <c r="E21">
        <v>0.46591860284157532</v>
      </c>
      <c r="F21">
        <v>0.83956914300891583</v>
      </c>
      <c r="G21">
        <v>0.37676768075218298</v>
      </c>
      <c r="W21" t="s">
        <v>268</v>
      </c>
      <c r="X21">
        <v>6.7257343270096335E-3</v>
      </c>
      <c r="Y21">
        <v>0.20232101715375517</v>
      </c>
      <c r="Z21">
        <v>1.1062895182644132E-2</v>
      </c>
      <c r="AA21">
        <v>0.21248484519063285</v>
      </c>
      <c r="AC21" t="s">
        <v>268</v>
      </c>
      <c r="AD21" t="s">
        <v>91</v>
      </c>
      <c r="AE21" t="s">
        <v>92</v>
      </c>
      <c r="AF21">
        <v>0.21248484519063285</v>
      </c>
    </row>
    <row r="22" spans="2:32" x14ac:dyDescent="0.45">
      <c r="B22" t="s">
        <v>269</v>
      </c>
      <c r="C22" t="s">
        <v>87</v>
      </c>
      <c r="D22">
        <v>0.90586775088511096</v>
      </c>
      <c r="E22">
        <v>0.44470309675537079</v>
      </c>
      <c r="F22">
        <v>0.83599535125511404</v>
      </c>
      <c r="G22">
        <v>0.36545563002677828</v>
      </c>
      <c r="W22" t="s">
        <v>269</v>
      </c>
      <c r="X22">
        <v>5.2407648463437973E-3</v>
      </c>
      <c r="Y22">
        <v>0.20889320120169563</v>
      </c>
      <c r="Z22">
        <v>9.7058257090906607E-3</v>
      </c>
      <c r="AA22">
        <v>0.22005634281566669</v>
      </c>
      <c r="AC22" t="s">
        <v>269</v>
      </c>
      <c r="AD22" t="s">
        <v>91</v>
      </c>
      <c r="AE22" t="s">
        <v>92</v>
      </c>
      <c r="AF22">
        <v>0.22005634281566669</v>
      </c>
    </row>
    <row r="23" spans="2:32" x14ac:dyDescent="0.45">
      <c r="B23" t="s">
        <v>270</v>
      </c>
      <c r="C23" t="s">
        <v>87</v>
      </c>
      <c r="D23">
        <v>0.90735783159092487</v>
      </c>
      <c r="E23">
        <v>0.45839878617933955</v>
      </c>
      <c r="F23">
        <v>0.84477145475111226</v>
      </c>
      <c r="G23">
        <v>0.37651081181910312</v>
      </c>
      <c r="W23" t="s">
        <v>270</v>
      </c>
      <c r="X23">
        <v>5.055607251016299E-3</v>
      </c>
      <c r="Y23">
        <v>0.17609382493804807</v>
      </c>
      <c r="Z23">
        <v>9.1198576130844082E-3</v>
      </c>
      <c r="AA23">
        <v>0.19985784608583732</v>
      </c>
      <c r="AC23" t="s">
        <v>270</v>
      </c>
      <c r="AD23" t="s">
        <v>91</v>
      </c>
      <c r="AE23" t="s">
        <v>92</v>
      </c>
      <c r="AF23">
        <v>0.19985784608583732</v>
      </c>
    </row>
    <row r="24" spans="2:32" x14ac:dyDescent="0.45">
      <c r="B24" t="s">
        <v>271</v>
      </c>
      <c r="C24" t="s">
        <v>87</v>
      </c>
      <c r="D24">
        <v>0.90506455870987934</v>
      </c>
      <c r="E24">
        <v>0.4378983546351447</v>
      </c>
      <c r="F24">
        <v>0.83680294232907371</v>
      </c>
      <c r="G24">
        <v>0.36106661517367705</v>
      </c>
      <c r="W24" t="s">
        <v>271</v>
      </c>
      <c r="X24">
        <v>5.4112984705537524E-3</v>
      </c>
      <c r="Y24">
        <v>0.19803270641965773</v>
      </c>
      <c r="Z24">
        <v>9.7435189380571906E-3</v>
      </c>
      <c r="AA24">
        <v>0.21915807955238964</v>
      </c>
      <c r="AC24" t="s">
        <v>271</v>
      </c>
      <c r="AD24" t="s">
        <v>91</v>
      </c>
      <c r="AE24" t="s">
        <v>92</v>
      </c>
      <c r="AF24">
        <v>0.21915807955238964</v>
      </c>
    </row>
    <row r="25" spans="2:32" x14ac:dyDescent="0.45">
      <c r="B25" t="s">
        <v>272</v>
      </c>
      <c r="C25" t="s">
        <v>87</v>
      </c>
      <c r="D25">
        <v>0.90707761353434702</v>
      </c>
      <c r="E25">
        <v>0.42365169095141686</v>
      </c>
      <c r="F25">
        <v>0.84376340606418976</v>
      </c>
      <c r="G25">
        <v>0.33618917960893713</v>
      </c>
      <c r="W25" t="s">
        <v>272</v>
      </c>
      <c r="X25">
        <v>4.8927985741266944E-3</v>
      </c>
      <c r="Y25">
        <v>0.19699432805466321</v>
      </c>
      <c r="Z25">
        <v>9.4908805284142968E-3</v>
      </c>
      <c r="AA25">
        <v>0.2309988822351107</v>
      </c>
      <c r="AC25" t="s">
        <v>272</v>
      </c>
      <c r="AD25" t="s">
        <v>91</v>
      </c>
      <c r="AE25" t="s">
        <v>92</v>
      </c>
      <c r="AF25">
        <v>0.2309988822351107</v>
      </c>
    </row>
    <row r="26" spans="2:32" x14ac:dyDescent="0.45">
      <c r="B26" t="s">
        <v>273</v>
      </c>
      <c r="C26" t="s">
        <v>87</v>
      </c>
      <c r="D26">
        <v>0.91023001888777577</v>
      </c>
      <c r="E26">
        <v>0.43466250482640739</v>
      </c>
      <c r="F26">
        <v>0.85428041150980816</v>
      </c>
      <c r="G26">
        <v>0.34645483319990533</v>
      </c>
      <c r="W26" t="s">
        <v>273</v>
      </c>
      <c r="X26">
        <v>5.3306963281355875E-3</v>
      </c>
      <c r="Y26">
        <v>0.19551586678385643</v>
      </c>
      <c r="Z26">
        <v>9.3542697935060162E-3</v>
      </c>
      <c r="AA26">
        <v>0.22887044097579812</v>
      </c>
      <c r="AC26" t="s">
        <v>273</v>
      </c>
      <c r="AD26" t="s">
        <v>91</v>
      </c>
      <c r="AE26" t="s">
        <v>92</v>
      </c>
      <c r="AF26">
        <v>0.22887044097579812</v>
      </c>
    </row>
    <row r="27" spans="2:32" x14ac:dyDescent="0.45">
      <c r="B27" t="s">
        <v>274</v>
      </c>
      <c r="C27" t="s">
        <v>87</v>
      </c>
      <c r="D27">
        <v>0.91147936546947261</v>
      </c>
      <c r="E27">
        <v>0.41873123304237092</v>
      </c>
      <c r="F27">
        <v>0.85256489727466789</v>
      </c>
      <c r="G27">
        <v>0.3439831841428993</v>
      </c>
      <c r="W27" t="s">
        <v>274</v>
      </c>
      <c r="X27">
        <v>4.7360533614410122E-3</v>
      </c>
      <c r="Y27">
        <v>0.19798903227585926</v>
      </c>
      <c r="Z27">
        <v>8.5483637942996571E-3</v>
      </c>
      <c r="AA27">
        <v>0.23479610946715559</v>
      </c>
      <c r="AC27" t="s">
        <v>274</v>
      </c>
      <c r="AD27" t="s">
        <v>91</v>
      </c>
      <c r="AE27" t="s">
        <v>92</v>
      </c>
      <c r="AF27">
        <v>0.23479610946715559</v>
      </c>
    </row>
    <row r="28" spans="2:32" x14ac:dyDescent="0.45">
      <c r="B28" t="s">
        <v>275</v>
      </c>
      <c r="C28" t="s">
        <v>87</v>
      </c>
      <c r="D28">
        <v>0.91418213534507031</v>
      </c>
      <c r="E28">
        <v>0.42016952551975617</v>
      </c>
      <c r="F28">
        <v>0.85640560771665208</v>
      </c>
      <c r="G28">
        <v>0.34031700679688187</v>
      </c>
      <c r="W28" t="s">
        <v>275</v>
      </c>
      <c r="X28">
        <v>4.5596882609281499E-3</v>
      </c>
      <c r="Y28">
        <v>0.19577518952407447</v>
      </c>
      <c r="Z28">
        <v>8.2057125786814226E-3</v>
      </c>
      <c r="AA28">
        <v>0.23131802047027722</v>
      </c>
      <c r="AC28" t="s">
        <v>275</v>
      </c>
      <c r="AD28" t="s">
        <v>91</v>
      </c>
      <c r="AE28" t="s">
        <v>92</v>
      </c>
      <c r="AF28">
        <v>0.23131802047027722</v>
      </c>
    </row>
    <row r="29" spans="2:32" x14ac:dyDescent="0.45">
      <c r="B29" t="s">
        <v>276</v>
      </c>
      <c r="C29" t="s">
        <v>87</v>
      </c>
      <c r="D29">
        <v>0.90573415011336456</v>
      </c>
      <c r="E29">
        <v>0.44041953337922835</v>
      </c>
      <c r="F29">
        <v>0.8563088828246076</v>
      </c>
      <c r="G29">
        <v>0.35375749760681202</v>
      </c>
      <c r="W29" t="s">
        <v>276</v>
      </c>
      <c r="X29">
        <v>6.4085372462589201E-3</v>
      </c>
      <c r="Y29">
        <v>0.18822402720353318</v>
      </c>
      <c r="Z29">
        <v>1.0322315742869024E-2</v>
      </c>
      <c r="AA29">
        <v>0.22413626651671256</v>
      </c>
      <c r="AC29" t="s">
        <v>276</v>
      </c>
      <c r="AD29" t="s">
        <v>91</v>
      </c>
      <c r="AE29" t="s">
        <v>92</v>
      </c>
      <c r="AF29">
        <v>0.22413626651671256</v>
      </c>
    </row>
    <row r="30" spans="2:32" x14ac:dyDescent="0.45">
      <c r="B30" t="s">
        <v>277</v>
      </c>
      <c r="C30" t="s">
        <v>87</v>
      </c>
      <c r="D30">
        <v>0.9083570219597833</v>
      </c>
      <c r="E30">
        <v>0.45127930983347025</v>
      </c>
      <c r="F30">
        <v>0.8516660629694135</v>
      </c>
      <c r="G30">
        <v>0.35996882489926896</v>
      </c>
      <c r="W30" t="s">
        <v>277</v>
      </c>
      <c r="X30">
        <v>5.2439151781653089E-3</v>
      </c>
      <c r="Y30">
        <v>0.18234745401038657</v>
      </c>
      <c r="Z30">
        <v>9.5754708792336694E-3</v>
      </c>
      <c r="AA30">
        <v>0.20976616101048276</v>
      </c>
      <c r="AC30" t="s">
        <v>277</v>
      </c>
      <c r="AD30" t="s">
        <v>91</v>
      </c>
      <c r="AE30" t="s">
        <v>92</v>
      </c>
      <c r="AF30">
        <v>0.20976616101048276</v>
      </c>
    </row>
    <row r="31" spans="2:32" x14ac:dyDescent="0.45">
      <c r="B31" t="s">
        <v>278</v>
      </c>
      <c r="C31" t="s">
        <v>87</v>
      </c>
      <c r="D31">
        <v>0.90694763780118026</v>
      </c>
      <c r="E31">
        <v>0.44457324170212897</v>
      </c>
      <c r="F31">
        <v>0.85239353381169269</v>
      </c>
      <c r="G31">
        <v>0.35275177317126249</v>
      </c>
      <c r="W31" t="s">
        <v>278</v>
      </c>
      <c r="X31">
        <v>6.3543240803340091E-3</v>
      </c>
      <c r="Y31">
        <v>0.19934747571474282</v>
      </c>
      <c r="Z31">
        <v>1.0939515903205393E-2</v>
      </c>
      <c r="AA31">
        <v>0.24049311929962119</v>
      </c>
      <c r="AC31" t="s">
        <v>278</v>
      </c>
      <c r="AD31" t="s">
        <v>91</v>
      </c>
      <c r="AE31" t="s">
        <v>92</v>
      </c>
      <c r="AF31">
        <v>0.24049311929962119</v>
      </c>
    </row>
    <row r="32" spans="2:32" x14ac:dyDescent="0.45">
      <c r="B32" t="s">
        <v>279</v>
      </c>
      <c r="C32" t="s">
        <v>87</v>
      </c>
      <c r="D32">
        <v>0.24373741216724262</v>
      </c>
      <c r="E32">
        <v>0.2492307781962731</v>
      </c>
      <c r="F32">
        <v>0.29012852945658923</v>
      </c>
      <c r="G32">
        <v>0.31051630011869003</v>
      </c>
      <c r="W32" t="s">
        <v>279</v>
      </c>
      <c r="X32">
        <v>0.60166470011627193</v>
      </c>
      <c r="Y32">
        <v>0.58662519773474708</v>
      </c>
      <c r="Z32">
        <v>0.50046285715990702</v>
      </c>
      <c r="AA32">
        <v>0.48158776250622765</v>
      </c>
      <c r="AC32" t="s">
        <v>280</v>
      </c>
      <c r="AD32" t="s">
        <v>91</v>
      </c>
      <c r="AE32" t="s">
        <v>92</v>
      </c>
      <c r="AF32">
        <v>0.62351425357274837</v>
      </c>
    </row>
    <row r="33" spans="2:32" x14ac:dyDescent="0.45">
      <c r="B33" t="s">
        <v>281</v>
      </c>
      <c r="C33" t="s">
        <v>87</v>
      </c>
      <c r="D33">
        <v>0.25452640020909817</v>
      </c>
      <c r="E33">
        <v>0.27846665545417509</v>
      </c>
      <c r="F33">
        <v>0.31188166125178823</v>
      </c>
      <c r="G33">
        <v>0.33957142158983528</v>
      </c>
      <c r="W33" t="s">
        <v>281</v>
      </c>
      <c r="X33">
        <v>0.59578696325785319</v>
      </c>
      <c r="Y33">
        <v>0.56182870109817007</v>
      </c>
      <c r="Z33">
        <v>0.52973055723718254</v>
      </c>
      <c r="AA33">
        <v>0.49655020646165343</v>
      </c>
      <c r="AC33" t="s">
        <v>282</v>
      </c>
      <c r="AD33" t="s">
        <v>91</v>
      </c>
      <c r="AE33" t="s">
        <v>92</v>
      </c>
      <c r="AF33">
        <v>0.52060487006401357</v>
      </c>
    </row>
    <row r="34" spans="2:32" x14ac:dyDescent="0.45">
      <c r="B34" t="s">
        <v>283</v>
      </c>
      <c r="C34" t="s">
        <v>87</v>
      </c>
      <c r="D34">
        <v>0.2517639176080812</v>
      </c>
      <c r="E34">
        <v>0.26303493917015996</v>
      </c>
      <c r="F34">
        <v>0.30002132295444323</v>
      </c>
      <c r="G34">
        <v>0.32431973358770499</v>
      </c>
      <c r="W34" t="s">
        <v>283</v>
      </c>
      <c r="X34">
        <v>0.55885566720784219</v>
      </c>
      <c r="Y34">
        <v>0.54646922345998583</v>
      </c>
      <c r="Z34">
        <v>0.46951296035777745</v>
      </c>
      <c r="AA34">
        <v>0.44435675473191238</v>
      </c>
      <c r="AC34" t="s">
        <v>284</v>
      </c>
      <c r="AD34" t="s">
        <v>91</v>
      </c>
      <c r="AE34" t="s">
        <v>92</v>
      </c>
      <c r="AF34">
        <v>0.49286382438774351</v>
      </c>
    </row>
    <row r="35" spans="2:32" x14ac:dyDescent="0.45">
      <c r="B35" t="s">
        <v>285</v>
      </c>
      <c r="C35" t="s">
        <v>87</v>
      </c>
      <c r="D35">
        <v>0.21251262159437856</v>
      </c>
      <c r="E35">
        <v>0.2194604849302422</v>
      </c>
      <c r="F35">
        <v>0.2925522270920709</v>
      </c>
      <c r="G35">
        <v>0.3165198619502127</v>
      </c>
      <c r="W35" t="s">
        <v>285</v>
      </c>
      <c r="X35">
        <v>0.65867174069103596</v>
      </c>
      <c r="Y35">
        <v>0.64940632203341397</v>
      </c>
      <c r="Z35">
        <v>0.50954443492417145</v>
      </c>
      <c r="AA35">
        <v>0.49218390625407327</v>
      </c>
      <c r="AC35" t="s">
        <v>286</v>
      </c>
      <c r="AD35" t="s">
        <v>91</v>
      </c>
      <c r="AE35" t="s">
        <v>92</v>
      </c>
      <c r="AF35">
        <v>0.47772389467586357</v>
      </c>
    </row>
    <row r="36" spans="2:32" x14ac:dyDescent="0.45">
      <c r="B36" t="s">
        <v>287</v>
      </c>
      <c r="C36" t="s">
        <v>87</v>
      </c>
      <c r="D36">
        <v>0.19772921290713866</v>
      </c>
      <c r="E36">
        <v>0.20504016714351239</v>
      </c>
      <c r="F36">
        <v>0.28814261086687587</v>
      </c>
      <c r="G36">
        <v>0.30364694288037652</v>
      </c>
      <c r="W36" t="s">
        <v>287</v>
      </c>
      <c r="X36">
        <v>0.68315914287140789</v>
      </c>
      <c r="Y36">
        <v>0.67543680302567788</v>
      </c>
      <c r="Z36">
        <v>0.49707333325861447</v>
      </c>
      <c r="AA36">
        <v>0.48950660014338587</v>
      </c>
      <c r="AC36" t="s">
        <v>288</v>
      </c>
      <c r="AD36" t="s">
        <v>91</v>
      </c>
      <c r="AE36" t="s">
        <v>92</v>
      </c>
      <c r="AF36">
        <v>0.42726140633497944</v>
      </c>
    </row>
    <row r="37" spans="2:32" x14ac:dyDescent="0.45">
      <c r="B37" t="s">
        <v>289</v>
      </c>
      <c r="C37" t="s">
        <v>87</v>
      </c>
      <c r="D37">
        <v>0.24201611282331734</v>
      </c>
      <c r="E37">
        <v>0.24619165277001609</v>
      </c>
      <c r="F37">
        <v>0.30721603187861202</v>
      </c>
      <c r="G37">
        <v>0.32458216778364901</v>
      </c>
      <c r="W37" t="s">
        <v>289</v>
      </c>
      <c r="X37">
        <v>0.60350753264547186</v>
      </c>
      <c r="Y37">
        <v>0.60230541147580818</v>
      </c>
      <c r="Z37">
        <v>0.46455470377988983</v>
      </c>
      <c r="AA37">
        <v>0.45030637657113692</v>
      </c>
      <c r="AC37" t="s">
        <v>290</v>
      </c>
      <c r="AD37" t="s">
        <v>91</v>
      </c>
      <c r="AE37" t="s">
        <v>92</v>
      </c>
      <c r="AF37">
        <v>0.5244084691971066</v>
      </c>
    </row>
    <row r="38" spans="2:32" x14ac:dyDescent="0.45">
      <c r="B38" t="s">
        <v>291</v>
      </c>
      <c r="C38" t="s">
        <v>87</v>
      </c>
      <c r="D38">
        <v>0.24559317580374945</v>
      </c>
      <c r="E38">
        <v>0.25224369528694035</v>
      </c>
      <c r="F38">
        <v>0.29506188285695345</v>
      </c>
      <c r="G38">
        <v>0.32440247801162736</v>
      </c>
      <c r="W38" t="s">
        <v>291</v>
      </c>
      <c r="X38">
        <v>0.61934233382102377</v>
      </c>
      <c r="Y38">
        <v>0.60664893200793979</v>
      </c>
      <c r="Z38">
        <v>0.47256325772855556</v>
      </c>
      <c r="AA38">
        <v>0.45810144737371694</v>
      </c>
      <c r="AC38" t="s">
        <v>292</v>
      </c>
      <c r="AD38" t="s">
        <v>91</v>
      </c>
      <c r="AE38" t="s">
        <v>92</v>
      </c>
      <c r="AF38">
        <v>0.46306768025954531</v>
      </c>
    </row>
    <row r="39" spans="2:32" x14ac:dyDescent="0.45">
      <c r="B39" t="s">
        <v>293</v>
      </c>
      <c r="C39" t="s">
        <v>87</v>
      </c>
      <c r="D39">
        <v>0.22558453047565785</v>
      </c>
      <c r="E39">
        <v>0.22669517897288807</v>
      </c>
      <c r="F39">
        <v>0.28501479674191638</v>
      </c>
      <c r="G39">
        <v>0.30026068319874233</v>
      </c>
      <c r="W39" t="s">
        <v>293</v>
      </c>
      <c r="X39">
        <v>0.64692423189082626</v>
      </c>
      <c r="Y39">
        <v>0.64296178922195069</v>
      </c>
      <c r="Z39">
        <v>0.49878900776056823</v>
      </c>
      <c r="AA39">
        <v>0.48769868638949737</v>
      </c>
      <c r="AC39" t="s">
        <v>294</v>
      </c>
      <c r="AD39" t="s">
        <v>91</v>
      </c>
      <c r="AE39" t="s">
        <v>92</v>
      </c>
      <c r="AF39">
        <v>0.52500171527888806</v>
      </c>
    </row>
    <row r="40" spans="2:32" x14ac:dyDescent="0.45">
      <c r="B40" t="s">
        <v>295</v>
      </c>
      <c r="C40" t="s">
        <v>87</v>
      </c>
      <c r="D40">
        <v>0.29605683664245863</v>
      </c>
      <c r="E40">
        <v>0.31029182239467262</v>
      </c>
      <c r="F40">
        <v>0.37147340151206981</v>
      </c>
      <c r="G40">
        <v>0.36416005934132178</v>
      </c>
      <c r="W40" t="s">
        <v>295</v>
      </c>
      <c r="X40">
        <v>0.51461868930723265</v>
      </c>
      <c r="Y40">
        <v>0.50064496278582671</v>
      </c>
      <c r="Z40">
        <v>0.38183936343517705</v>
      </c>
      <c r="AA40">
        <v>0.41419363049461316</v>
      </c>
      <c r="AC40" t="s">
        <v>296</v>
      </c>
      <c r="AD40" t="s">
        <v>91</v>
      </c>
      <c r="AE40" t="s">
        <v>92</v>
      </c>
      <c r="AF40">
        <v>0.44102586082424156</v>
      </c>
    </row>
    <row r="41" spans="2:32" x14ac:dyDescent="0.45">
      <c r="B41" t="s">
        <v>297</v>
      </c>
      <c r="C41" t="s">
        <v>87</v>
      </c>
      <c r="D41">
        <v>0.33951173431866427</v>
      </c>
      <c r="E41">
        <v>0.344114542051494</v>
      </c>
      <c r="F41">
        <v>0.36642145220996369</v>
      </c>
      <c r="G41">
        <v>0.36882585615039576</v>
      </c>
      <c r="W41" t="s">
        <v>297</v>
      </c>
      <c r="X41">
        <v>0.41478411995377162</v>
      </c>
      <c r="Y41">
        <v>0.40649869519920084</v>
      </c>
      <c r="Z41">
        <v>0.30746132693228528</v>
      </c>
      <c r="AA41">
        <v>0.33325138034803331</v>
      </c>
      <c r="AC41" t="s">
        <v>298</v>
      </c>
      <c r="AD41" t="s">
        <v>91</v>
      </c>
      <c r="AE41" t="s">
        <v>92</v>
      </c>
      <c r="AF41">
        <v>0.49380409264121239</v>
      </c>
    </row>
    <row r="42" spans="2:32" x14ac:dyDescent="0.45">
      <c r="B42" t="s">
        <v>299</v>
      </c>
      <c r="C42" t="s">
        <v>87</v>
      </c>
      <c r="D42">
        <v>0.22058938159156499</v>
      </c>
      <c r="E42">
        <v>0.22985997900294122</v>
      </c>
      <c r="F42">
        <v>0.29507258322921931</v>
      </c>
      <c r="G42">
        <v>0.32888040634961191</v>
      </c>
      <c r="W42" t="s">
        <v>299</v>
      </c>
      <c r="X42">
        <v>0.64225783669265513</v>
      </c>
      <c r="Y42">
        <v>0.62479146016883935</v>
      </c>
      <c r="Z42">
        <v>0.45758152615983966</v>
      </c>
      <c r="AA42">
        <v>0.44543724859805872</v>
      </c>
      <c r="AC42" t="s">
        <v>300</v>
      </c>
      <c r="AD42" t="s">
        <v>91</v>
      </c>
      <c r="AE42" t="s">
        <v>92</v>
      </c>
      <c r="AF42">
        <v>0.63574134923471037</v>
      </c>
    </row>
    <row r="43" spans="2:32" x14ac:dyDescent="0.45">
      <c r="B43" t="s">
        <v>301</v>
      </c>
      <c r="C43" t="s">
        <v>87</v>
      </c>
      <c r="D43">
        <v>0.2203903649517818</v>
      </c>
      <c r="E43">
        <v>0.23612141711996495</v>
      </c>
      <c r="F43">
        <v>0.32908985449169159</v>
      </c>
      <c r="G43">
        <v>0.33797356608379858</v>
      </c>
      <c r="W43" t="s">
        <v>301</v>
      </c>
      <c r="X43">
        <v>0.64147252657270326</v>
      </c>
      <c r="Y43">
        <v>0.62654617817124958</v>
      </c>
      <c r="Z43">
        <v>0.44962040686602772</v>
      </c>
      <c r="AA43">
        <v>0.45313553180153393</v>
      </c>
      <c r="AC43" t="s">
        <v>302</v>
      </c>
      <c r="AD43" t="s">
        <v>91</v>
      </c>
      <c r="AE43" t="s">
        <v>92</v>
      </c>
      <c r="AF43">
        <v>0.51904322716208706</v>
      </c>
    </row>
    <row r="44" spans="2:32" x14ac:dyDescent="0.45">
      <c r="B44" t="s">
        <v>303</v>
      </c>
      <c r="C44" t="s">
        <v>87</v>
      </c>
      <c r="D44">
        <v>0.2040179832169631</v>
      </c>
      <c r="E44">
        <v>0.21070893539400037</v>
      </c>
      <c r="F44">
        <v>0.29693686621118004</v>
      </c>
      <c r="G44">
        <v>0.29889001786163927</v>
      </c>
      <c r="W44" t="s">
        <v>303</v>
      </c>
      <c r="X44">
        <v>0.69305680841339579</v>
      </c>
      <c r="Y44">
        <v>0.68533762944801169</v>
      </c>
      <c r="Z44">
        <v>0.53602318175502639</v>
      </c>
      <c r="AA44">
        <v>0.5419160132360713</v>
      </c>
      <c r="AC44" t="s">
        <v>304</v>
      </c>
      <c r="AD44" t="s">
        <v>91</v>
      </c>
      <c r="AE44" t="s">
        <v>92</v>
      </c>
      <c r="AF44">
        <v>0.44164091813637341</v>
      </c>
    </row>
    <row r="45" spans="2:32" x14ac:dyDescent="0.45">
      <c r="B45" t="s">
        <v>305</v>
      </c>
      <c r="C45" t="s">
        <v>87</v>
      </c>
      <c r="D45">
        <v>0.19265276147004601</v>
      </c>
      <c r="E45">
        <v>0.1865078823828733</v>
      </c>
      <c r="F45">
        <v>0.25293133638866644</v>
      </c>
      <c r="G45">
        <v>0.25631623249682939</v>
      </c>
      <c r="W45" t="s">
        <v>305</v>
      </c>
      <c r="X45">
        <v>0.71097077632350059</v>
      </c>
      <c r="Y45">
        <v>0.72453311464798864</v>
      </c>
      <c r="Z45">
        <v>0.60010459904049274</v>
      </c>
      <c r="AA45">
        <v>0.60015805359709951</v>
      </c>
      <c r="AC45" t="s">
        <v>306</v>
      </c>
      <c r="AD45" t="s">
        <v>91</v>
      </c>
      <c r="AE45" t="s">
        <v>92</v>
      </c>
      <c r="AF45">
        <v>0.50007123523032737</v>
      </c>
    </row>
    <row r="46" spans="2:32" x14ac:dyDescent="0.45">
      <c r="B46" t="s">
        <v>307</v>
      </c>
      <c r="C46" t="s">
        <v>87</v>
      </c>
      <c r="D46">
        <v>0.20407202113351089</v>
      </c>
      <c r="E46">
        <v>0.20532995534669349</v>
      </c>
      <c r="F46">
        <v>0.26713480547077922</v>
      </c>
      <c r="G46">
        <v>0.27262737225429362</v>
      </c>
      <c r="W46" t="s">
        <v>307</v>
      </c>
      <c r="X46">
        <v>0.69780234631082627</v>
      </c>
      <c r="Y46">
        <v>0.70081660758714925</v>
      </c>
      <c r="Z46">
        <v>0.57482570417369561</v>
      </c>
      <c r="AA46">
        <v>0.57591300724736572</v>
      </c>
      <c r="AC46" t="s">
        <v>308</v>
      </c>
      <c r="AD46" t="s">
        <v>91</v>
      </c>
      <c r="AE46" t="s">
        <v>92</v>
      </c>
      <c r="AF46">
        <v>0.4720245441699315</v>
      </c>
    </row>
    <row r="47" spans="2:32" x14ac:dyDescent="0.45">
      <c r="B47" t="s">
        <v>309</v>
      </c>
      <c r="C47" t="s">
        <v>87</v>
      </c>
      <c r="D47">
        <v>0.24862062669908039</v>
      </c>
      <c r="E47">
        <v>0.24059812319776699</v>
      </c>
      <c r="F47">
        <v>0.28500357179407759</v>
      </c>
      <c r="G47">
        <v>0.28640471956379471</v>
      </c>
      <c r="W47" t="s">
        <v>309</v>
      </c>
      <c r="X47">
        <v>0.65556738813237925</v>
      </c>
      <c r="Y47">
        <v>0.65872663133464382</v>
      </c>
      <c r="Z47">
        <v>0.56997114039539609</v>
      </c>
      <c r="AA47">
        <v>0.55636015122877402</v>
      </c>
      <c r="AC47" t="s">
        <v>310</v>
      </c>
      <c r="AD47" t="s">
        <v>91</v>
      </c>
      <c r="AE47" t="s">
        <v>92</v>
      </c>
      <c r="AF47">
        <v>0.37116299963297938</v>
      </c>
    </row>
    <row r="48" spans="2:32" x14ac:dyDescent="0.45">
      <c r="B48" t="s">
        <v>311</v>
      </c>
      <c r="C48" t="s">
        <v>87</v>
      </c>
      <c r="D48">
        <v>0.22555845731967894</v>
      </c>
      <c r="E48">
        <v>0.22177420861619171</v>
      </c>
      <c r="F48">
        <v>0.27381840569689342</v>
      </c>
      <c r="G48">
        <v>0.27764728025635577</v>
      </c>
      <c r="W48" t="s">
        <v>311</v>
      </c>
      <c r="X48">
        <v>0.67555952812417752</v>
      </c>
      <c r="Y48">
        <v>0.67002187580637984</v>
      </c>
      <c r="Z48">
        <v>0.5700631379303791</v>
      </c>
      <c r="AA48">
        <v>0.56625297658624485</v>
      </c>
      <c r="AC48" t="s">
        <v>312</v>
      </c>
      <c r="AD48" t="s">
        <v>91</v>
      </c>
      <c r="AE48" t="s">
        <v>92</v>
      </c>
      <c r="AF48">
        <v>0.39565725507757687</v>
      </c>
    </row>
    <row r="49" spans="2:32" x14ac:dyDescent="0.45">
      <c r="B49" t="s">
        <v>313</v>
      </c>
      <c r="C49" t="s">
        <v>87</v>
      </c>
      <c r="D49">
        <v>0.22703267980369979</v>
      </c>
      <c r="E49">
        <v>0.23590958490585739</v>
      </c>
      <c r="F49">
        <v>0.27956206689088986</v>
      </c>
      <c r="G49">
        <v>0.28783970219075866</v>
      </c>
      <c r="W49" t="s">
        <v>313</v>
      </c>
      <c r="X49">
        <v>0.67060318606606362</v>
      </c>
      <c r="Y49">
        <v>0.65687899527387683</v>
      </c>
      <c r="Z49">
        <v>0.55550539516406394</v>
      </c>
      <c r="AA49">
        <v>0.55469302857434477</v>
      </c>
      <c r="AC49" t="s">
        <v>314</v>
      </c>
      <c r="AD49" t="s">
        <v>91</v>
      </c>
      <c r="AE49" t="s">
        <v>92</v>
      </c>
      <c r="AF49">
        <v>0.56230043123748041</v>
      </c>
    </row>
    <row r="50" spans="2:32" x14ac:dyDescent="0.45">
      <c r="B50" t="s">
        <v>315</v>
      </c>
      <c r="C50" t="s">
        <v>87</v>
      </c>
      <c r="D50">
        <v>0.24230892946204893</v>
      </c>
      <c r="E50">
        <v>0.2568512497808198</v>
      </c>
      <c r="F50">
        <v>0.27008766930038164</v>
      </c>
      <c r="G50">
        <v>0.27479026259570133</v>
      </c>
      <c r="W50" t="s">
        <v>315</v>
      </c>
      <c r="X50">
        <v>0.64332052989152044</v>
      </c>
      <c r="Y50">
        <v>0.61836422856608053</v>
      </c>
      <c r="Z50">
        <v>0.56496803904426585</v>
      </c>
      <c r="AA50">
        <v>0.55511133404175872</v>
      </c>
      <c r="AC50" t="s">
        <v>316</v>
      </c>
      <c r="AD50" t="s">
        <v>91</v>
      </c>
      <c r="AE50" t="s">
        <v>92</v>
      </c>
      <c r="AF50">
        <v>0.66269139465832194</v>
      </c>
    </row>
    <row r="51" spans="2:32" x14ac:dyDescent="0.45">
      <c r="B51" t="s">
        <v>317</v>
      </c>
      <c r="C51" t="s">
        <v>87</v>
      </c>
      <c r="D51">
        <v>0.24428538883058792</v>
      </c>
      <c r="E51">
        <v>0.24804073908052354</v>
      </c>
      <c r="F51">
        <v>0.28510942793040545</v>
      </c>
      <c r="G51">
        <v>0.27909824042307896</v>
      </c>
      <c r="W51" t="s">
        <v>317</v>
      </c>
      <c r="X51">
        <v>0.6461148632073227</v>
      </c>
      <c r="Y51">
        <v>0.63299729597925092</v>
      </c>
      <c r="Z51">
        <v>0.56941263545013765</v>
      </c>
      <c r="AA51">
        <v>0.5553347137072514</v>
      </c>
      <c r="AC51" t="s">
        <v>318</v>
      </c>
      <c r="AD51" t="s">
        <v>91</v>
      </c>
      <c r="AE51" t="s">
        <v>92</v>
      </c>
      <c r="AF51">
        <v>0.6064463271679138</v>
      </c>
    </row>
    <row r="52" spans="2:32" x14ac:dyDescent="0.45">
      <c r="B52" t="s">
        <v>319</v>
      </c>
      <c r="C52" t="s">
        <v>87</v>
      </c>
      <c r="D52">
        <v>0.26491245780564876</v>
      </c>
      <c r="E52">
        <v>0.26564351831341687</v>
      </c>
      <c r="F52">
        <v>0.32041527773450323</v>
      </c>
      <c r="G52">
        <v>0.31194377669881534</v>
      </c>
      <c r="W52" t="s">
        <v>319</v>
      </c>
      <c r="X52">
        <v>0.61764571576704053</v>
      </c>
      <c r="Y52">
        <v>0.6051337756639148</v>
      </c>
      <c r="Z52">
        <v>0.51673240923708263</v>
      </c>
      <c r="AA52">
        <v>0.52902201449494801</v>
      </c>
      <c r="AC52" t="s">
        <v>320</v>
      </c>
      <c r="AD52" t="s">
        <v>91</v>
      </c>
      <c r="AE52" t="s">
        <v>92</v>
      </c>
      <c r="AF52">
        <v>0.66814171652869814</v>
      </c>
    </row>
    <row r="53" spans="2:32" x14ac:dyDescent="0.45">
      <c r="B53" t="s">
        <v>321</v>
      </c>
      <c r="C53" t="s">
        <v>87</v>
      </c>
      <c r="D53">
        <v>0.25662770599661461</v>
      </c>
      <c r="E53">
        <v>0.26205465719397247</v>
      </c>
      <c r="F53">
        <v>0.30745785626614008</v>
      </c>
      <c r="G53">
        <v>0.30016928632082523</v>
      </c>
      <c r="W53" t="s">
        <v>321</v>
      </c>
      <c r="X53">
        <v>0.62824980723180401</v>
      </c>
      <c r="Y53">
        <v>0.61166032395505354</v>
      </c>
      <c r="Z53">
        <v>0.53979799667491757</v>
      </c>
      <c r="AA53">
        <v>0.54145137786805375</v>
      </c>
      <c r="AC53" t="s">
        <v>279</v>
      </c>
      <c r="AD53" t="s">
        <v>91</v>
      </c>
      <c r="AE53" t="s">
        <v>92</v>
      </c>
      <c r="AF53">
        <v>0.59702875916068832</v>
      </c>
    </row>
    <row r="54" spans="2:32" x14ac:dyDescent="0.45">
      <c r="B54" t="s">
        <v>322</v>
      </c>
      <c r="C54" t="s">
        <v>87</v>
      </c>
      <c r="D54">
        <v>0.28604760652842298</v>
      </c>
      <c r="E54">
        <v>0.29668971398556959</v>
      </c>
      <c r="F54">
        <v>0.30697600729903168</v>
      </c>
      <c r="G54">
        <v>0.30011748902448254</v>
      </c>
      <c r="W54" t="s">
        <v>322</v>
      </c>
      <c r="X54">
        <v>0.5856975913859781</v>
      </c>
      <c r="Y54">
        <v>0.56343929585702079</v>
      </c>
      <c r="Z54">
        <v>0.52586533015234582</v>
      </c>
      <c r="AA54">
        <v>0.53676331704499602</v>
      </c>
      <c r="AC54" t="s">
        <v>281</v>
      </c>
      <c r="AD54" t="s">
        <v>91</v>
      </c>
      <c r="AE54" t="s">
        <v>92</v>
      </c>
      <c r="AF54">
        <v>0.59027860523030862</v>
      </c>
    </row>
    <row r="55" spans="2:32" x14ac:dyDescent="0.45">
      <c r="B55" t="s">
        <v>323</v>
      </c>
      <c r="C55" t="s">
        <v>87</v>
      </c>
      <c r="D55">
        <v>0.29229985654728335</v>
      </c>
      <c r="E55">
        <v>0.30238337305594287</v>
      </c>
      <c r="F55">
        <v>0.29730158868660411</v>
      </c>
      <c r="G55">
        <v>0.283250508089816</v>
      </c>
      <c r="W55" t="s">
        <v>323</v>
      </c>
      <c r="X55">
        <v>0.57049327921126303</v>
      </c>
      <c r="Y55">
        <v>0.54471525271163113</v>
      </c>
      <c r="Z55">
        <v>0.52764167691155617</v>
      </c>
      <c r="AA55">
        <v>0.53991043462572874</v>
      </c>
      <c r="AC55" t="s">
        <v>283</v>
      </c>
      <c r="AD55" t="s">
        <v>91</v>
      </c>
      <c r="AE55" t="s">
        <v>92</v>
      </c>
      <c r="AF55">
        <v>0.54751929167761781</v>
      </c>
    </row>
    <row r="56" spans="2:32" x14ac:dyDescent="0.45">
      <c r="B56" t="s">
        <v>324</v>
      </c>
      <c r="C56" t="s">
        <v>87</v>
      </c>
      <c r="D56">
        <v>0.26589885132940255</v>
      </c>
      <c r="E56">
        <v>0.28141741485109195</v>
      </c>
      <c r="F56">
        <v>0.30187363945935092</v>
      </c>
      <c r="G56">
        <v>0.29348577649233881</v>
      </c>
      <c r="W56" t="s">
        <v>324</v>
      </c>
      <c r="X56">
        <v>0.60684111526752815</v>
      </c>
      <c r="Y56">
        <v>0.58448926691743464</v>
      </c>
      <c r="Z56">
        <v>0.53093748991596812</v>
      </c>
      <c r="AA56">
        <v>0.54082086424015918</v>
      </c>
      <c r="AC56" t="s">
        <v>285</v>
      </c>
      <c r="AD56" t="s">
        <v>91</v>
      </c>
      <c r="AE56" t="s">
        <v>92</v>
      </c>
      <c r="AF56">
        <v>0.65530707337001415</v>
      </c>
    </row>
    <row r="57" spans="2:32" x14ac:dyDescent="0.45">
      <c r="B57" t="s">
        <v>325</v>
      </c>
      <c r="C57" t="s">
        <v>87</v>
      </c>
      <c r="D57">
        <v>0.24158451116809057</v>
      </c>
      <c r="E57">
        <v>0.25236738765723948</v>
      </c>
      <c r="F57">
        <v>0.30792637314815668</v>
      </c>
      <c r="G57">
        <v>0.31502369691711435</v>
      </c>
      <c r="W57" t="s">
        <v>325</v>
      </c>
      <c r="X57">
        <v>0.62201741142128253</v>
      </c>
      <c r="Y57">
        <v>0.61064802787527717</v>
      </c>
      <c r="Z57">
        <v>0.49910022869646486</v>
      </c>
      <c r="AA57">
        <v>0.47921838513802978</v>
      </c>
      <c r="AC57" t="s">
        <v>287</v>
      </c>
      <c r="AD57" t="s">
        <v>91</v>
      </c>
      <c r="AE57" t="s">
        <v>92</v>
      </c>
      <c r="AF57">
        <v>0.67958680403463434</v>
      </c>
    </row>
    <row r="58" spans="2:32" x14ac:dyDescent="0.45">
      <c r="B58" t="s">
        <v>326</v>
      </c>
      <c r="C58" t="s">
        <v>87</v>
      </c>
      <c r="D58">
        <v>0.24337867515005554</v>
      </c>
      <c r="E58">
        <v>0.24868930833447378</v>
      </c>
      <c r="F58">
        <v>0.31031228134252736</v>
      </c>
      <c r="G58">
        <v>0.34206643308405255</v>
      </c>
      <c r="W58" t="s">
        <v>326</v>
      </c>
      <c r="X58">
        <v>0.6093339069370759</v>
      </c>
      <c r="Y58">
        <v>0.60219216036301337</v>
      </c>
      <c r="Z58">
        <v>0.46733745652823183</v>
      </c>
      <c r="AA58">
        <v>0.43398010752415178</v>
      </c>
      <c r="AC58" t="s">
        <v>289</v>
      </c>
      <c r="AD58" t="s">
        <v>91</v>
      </c>
      <c r="AE58" t="s">
        <v>92</v>
      </c>
      <c r="AF58">
        <v>0.59905245554024089</v>
      </c>
    </row>
    <row r="59" spans="2:32" x14ac:dyDescent="0.45">
      <c r="B59" t="s">
        <v>327</v>
      </c>
      <c r="C59" t="s">
        <v>87</v>
      </c>
      <c r="D59">
        <v>0.22427196938313984</v>
      </c>
      <c r="E59">
        <v>0.23486487790728539</v>
      </c>
      <c r="F59">
        <v>0.29736149602025364</v>
      </c>
      <c r="G59">
        <v>0.32000953219795675</v>
      </c>
      <c r="W59" t="s">
        <v>327</v>
      </c>
      <c r="X59">
        <v>0.65113870932254359</v>
      </c>
      <c r="Y59">
        <v>0.64452460300552905</v>
      </c>
      <c r="Z59">
        <v>0.52266071363577049</v>
      </c>
      <c r="AA59">
        <v>0.49155254908637747</v>
      </c>
      <c r="AC59" t="s">
        <v>291</v>
      </c>
      <c r="AD59" t="s">
        <v>91</v>
      </c>
      <c r="AE59" t="s">
        <v>92</v>
      </c>
      <c r="AF59">
        <v>0.61108111791168707</v>
      </c>
    </row>
    <row r="60" spans="2:32" x14ac:dyDescent="0.45">
      <c r="B60" t="s">
        <v>328</v>
      </c>
      <c r="C60" t="s">
        <v>87</v>
      </c>
      <c r="D60">
        <v>0.24988093585492158</v>
      </c>
      <c r="E60">
        <v>0.24495126286278351</v>
      </c>
      <c r="F60">
        <v>0.28362814294150135</v>
      </c>
      <c r="G60">
        <v>0.30277412515301444</v>
      </c>
      <c r="W60" t="s">
        <v>328</v>
      </c>
      <c r="X60">
        <v>0.63182497567084872</v>
      </c>
      <c r="Y60">
        <v>0.63892298425969996</v>
      </c>
      <c r="Z60">
        <v>0.52262786024665775</v>
      </c>
      <c r="AA60">
        <v>0.49684885001862933</v>
      </c>
      <c r="AC60" t="s">
        <v>293</v>
      </c>
      <c r="AD60" t="s">
        <v>91</v>
      </c>
      <c r="AE60" t="s">
        <v>92</v>
      </c>
      <c r="AF60">
        <v>0.63723001061685358</v>
      </c>
    </row>
    <row r="61" spans="2:32" x14ac:dyDescent="0.45">
      <c r="B61" t="s">
        <v>329</v>
      </c>
      <c r="C61" t="s">
        <v>87</v>
      </c>
      <c r="D61">
        <v>0.26032500192650421</v>
      </c>
      <c r="E61">
        <v>0.26987924105501127</v>
      </c>
      <c r="F61">
        <v>0.29489480079066843</v>
      </c>
      <c r="G61">
        <v>0.28510033150872854</v>
      </c>
      <c r="W61" t="s">
        <v>329</v>
      </c>
      <c r="X61">
        <v>0.6217892936508107</v>
      </c>
      <c r="Y61">
        <v>0.61027848710411237</v>
      </c>
      <c r="Z61">
        <v>0.52372688590450123</v>
      </c>
      <c r="AA61">
        <v>0.52758356862535705</v>
      </c>
      <c r="AC61" t="s">
        <v>295</v>
      </c>
      <c r="AD61" t="s">
        <v>91</v>
      </c>
      <c r="AE61" t="s">
        <v>92</v>
      </c>
      <c r="AF61">
        <v>0.51252502188378024</v>
      </c>
    </row>
    <row r="62" spans="2:32" x14ac:dyDescent="0.45">
      <c r="B62" t="s">
        <v>330</v>
      </c>
      <c r="C62" t="s">
        <v>87</v>
      </c>
      <c r="D62">
        <v>0.24536584447975754</v>
      </c>
      <c r="E62">
        <v>0.24369549601017162</v>
      </c>
      <c r="F62">
        <v>0.28135528248759939</v>
      </c>
      <c r="G62">
        <v>0.32087483373150627</v>
      </c>
      <c r="W62" t="s">
        <v>330</v>
      </c>
      <c r="X62">
        <v>0.62420833030874445</v>
      </c>
      <c r="Y62">
        <v>0.62075907823678</v>
      </c>
      <c r="Z62">
        <v>0.51058907021414068</v>
      </c>
      <c r="AA62">
        <v>0.46732228185920827</v>
      </c>
      <c r="AC62" t="s">
        <v>297</v>
      </c>
      <c r="AD62" t="s">
        <v>91</v>
      </c>
      <c r="AE62" t="s">
        <v>92</v>
      </c>
      <c r="AF62">
        <v>0.41151259277750801</v>
      </c>
    </row>
    <row r="63" spans="2:32" x14ac:dyDescent="0.45">
      <c r="B63" t="s">
        <v>331</v>
      </c>
      <c r="C63" t="s">
        <v>87</v>
      </c>
      <c r="D63">
        <v>0.2618576367354859</v>
      </c>
      <c r="E63">
        <v>0.27799932802679872</v>
      </c>
      <c r="F63">
        <v>0.29004892000974336</v>
      </c>
      <c r="G63">
        <v>0.29456437980719424</v>
      </c>
      <c r="W63" t="s">
        <v>331</v>
      </c>
      <c r="X63">
        <v>0.59904030604066694</v>
      </c>
      <c r="Y63">
        <v>0.57329972345529012</v>
      </c>
      <c r="Z63">
        <v>0.5008392342097131</v>
      </c>
      <c r="AA63">
        <v>0.49075046897403152</v>
      </c>
      <c r="AC63" t="s">
        <v>299</v>
      </c>
      <c r="AD63" t="s">
        <v>91</v>
      </c>
      <c r="AE63" t="s">
        <v>92</v>
      </c>
      <c r="AF63">
        <v>0.63527578651861705</v>
      </c>
    </row>
    <row r="64" spans="2:32" x14ac:dyDescent="0.45">
      <c r="B64" t="s">
        <v>332</v>
      </c>
      <c r="C64" t="s">
        <v>87</v>
      </c>
      <c r="D64">
        <v>0.25668840956776512</v>
      </c>
      <c r="E64">
        <v>0.27265762892864576</v>
      </c>
      <c r="F64">
        <v>0.30344323594685046</v>
      </c>
      <c r="G64">
        <v>0.2947530015934427</v>
      </c>
      <c r="W64" t="s">
        <v>332</v>
      </c>
      <c r="X64">
        <v>0.63996401802180658</v>
      </c>
      <c r="Y64">
        <v>0.61242470591052356</v>
      </c>
      <c r="Z64">
        <v>0.54995721798166897</v>
      </c>
      <c r="AA64">
        <v>0.54470253556956016</v>
      </c>
      <c r="AC64" t="s">
        <v>301</v>
      </c>
      <c r="AD64" t="s">
        <v>91</v>
      </c>
      <c r="AE64" t="s">
        <v>92</v>
      </c>
      <c r="AF64">
        <v>0.63850680939138349</v>
      </c>
    </row>
    <row r="65" spans="2:32" x14ac:dyDescent="0.45">
      <c r="B65" t="s">
        <v>333</v>
      </c>
      <c r="C65" t="s">
        <v>87</v>
      </c>
      <c r="D65">
        <v>0.25133020002283701</v>
      </c>
      <c r="E65">
        <v>0.26028547038334837</v>
      </c>
      <c r="F65">
        <v>0.29317750401181808</v>
      </c>
      <c r="G65">
        <v>0.30513518096244796</v>
      </c>
      <c r="W65" t="s">
        <v>333</v>
      </c>
      <c r="X65">
        <v>0.62752442996167923</v>
      </c>
      <c r="Y65">
        <v>0.6106445985074489</v>
      </c>
      <c r="Z65">
        <v>0.51269781984013185</v>
      </c>
      <c r="AA65">
        <v>0.49590506595559369</v>
      </c>
      <c r="AC65" t="s">
        <v>303</v>
      </c>
      <c r="AD65" t="s">
        <v>91</v>
      </c>
      <c r="AE65" t="s">
        <v>92</v>
      </c>
      <c r="AF65">
        <v>0.6894205791787299</v>
      </c>
    </row>
    <row r="66" spans="2:32" x14ac:dyDescent="0.45">
      <c r="B66" t="s">
        <v>280</v>
      </c>
      <c r="C66" t="s">
        <v>87</v>
      </c>
      <c r="D66">
        <v>0.23252854683593335</v>
      </c>
      <c r="E66">
        <v>0.2421194426965993</v>
      </c>
      <c r="F66">
        <v>0.30207184297391199</v>
      </c>
      <c r="G66">
        <v>0.3250261086645897</v>
      </c>
      <c r="W66" t="s">
        <v>280</v>
      </c>
      <c r="X66">
        <v>0.62935834519006173</v>
      </c>
      <c r="Y66">
        <v>0.61906878157458034</v>
      </c>
      <c r="Z66">
        <v>0.4861872863867947</v>
      </c>
      <c r="AA66">
        <v>0.46516103506660844</v>
      </c>
      <c r="AC66" t="s">
        <v>305</v>
      </c>
      <c r="AD66" t="s">
        <v>91</v>
      </c>
      <c r="AE66" t="s">
        <v>92</v>
      </c>
      <c r="AF66">
        <v>0.72453048466328795</v>
      </c>
    </row>
    <row r="67" spans="2:32" x14ac:dyDescent="0.45">
      <c r="B67" t="s">
        <v>282</v>
      </c>
      <c r="C67" t="s">
        <v>87</v>
      </c>
      <c r="D67">
        <v>0.26994964318710662</v>
      </c>
      <c r="E67">
        <v>0.27772026003559969</v>
      </c>
      <c r="F67">
        <v>0.32919949651623887</v>
      </c>
      <c r="G67">
        <v>0.34590345134954015</v>
      </c>
      <c r="W67" t="s">
        <v>282</v>
      </c>
      <c r="X67">
        <v>0.51608112215477697</v>
      </c>
      <c r="Y67">
        <v>0.52392253230666974</v>
      </c>
      <c r="Z67">
        <v>0.37381600706369078</v>
      </c>
      <c r="AA67">
        <v>0.37943995605944364</v>
      </c>
      <c r="AC67" t="s">
        <v>307</v>
      </c>
      <c r="AD67" t="s">
        <v>91</v>
      </c>
      <c r="AE67" t="s">
        <v>92</v>
      </c>
      <c r="AF67">
        <v>0.69814877523784402</v>
      </c>
    </row>
    <row r="68" spans="2:32" x14ac:dyDescent="0.45">
      <c r="B68" t="s">
        <v>284</v>
      </c>
      <c r="C68" t="s">
        <v>87</v>
      </c>
      <c r="D68">
        <v>0.27156455085264258</v>
      </c>
      <c r="E68">
        <v>0.28862491891502218</v>
      </c>
      <c r="F68">
        <v>0.32017438335733145</v>
      </c>
      <c r="G68">
        <v>0.33753152992553104</v>
      </c>
      <c r="W68" t="s">
        <v>284</v>
      </c>
      <c r="X68">
        <v>0.49377912573810417</v>
      </c>
      <c r="Y68">
        <v>0.49704891637321547</v>
      </c>
      <c r="Z68">
        <v>0.37708780206787534</v>
      </c>
      <c r="AA68">
        <v>0.36847559089817383</v>
      </c>
      <c r="AC68" t="s">
        <v>309</v>
      </c>
      <c r="AD68" t="s">
        <v>91</v>
      </c>
      <c r="AE68" t="s">
        <v>92</v>
      </c>
      <c r="AF68">
        <v>0.65842179814925106</v>
      </c>
    </row>
    <row r="69" spans="2:32" x14ac:dyDescent="0.45">
      <c r="B69" t="s">
        <v>286</v>
      </c>
      <c r="C69" t="s">
        <v>87</v>
      </c>
      <c r="D69">
        <v>0.28841650639783523</v>
      </c>
      <c r="E69">
        <v>0.30455641984960385</v>
      </c>
      <c r="F69">
        <v>0.3348069830881914</v>
      </c>
      <c r="G69">
        <v>0.35323402703580492</v>
      </c>
      <c r="W69" t="s">
        <v>286</v>
      </c>
      <c r="X69">
        <v>0.47659794719649384</v>
      </c>
      <c r="Y69">
        <v>0.48071923401265199</v>
      </c>
      <c r="Z69">
        <v>0.35230515657778483</v>
      </c>
      <c r="AA69">
        <v>0.34824436069562326</v>
      </c>
      <c r="AC69" t="s">
        <v>311</v>
      </c>
      <c r="AD69" t="s">
        <v>91</v>
      </c>
      <c r="AE69" t="s">
        <v>92</v>
      </c>
      <c r="AF69">
        <v>0.67520586612314792</v>
      </c>
    </row>
    <row r="70" spans="2:32" x14ac:dyDescent="0.45">
      <c r="B70" t="s">
        <v>288</v>
      </c>
      <c r="C70" t="s">
        <v>87</v>
      </c>
      <c r="D70">
        <v>0.31595137909949073</v>
      </c>
      <c r="E70">
        <v>0.32553404830185417</v>
      </c>
      <c r="F70">
        <v>0.35282460299212176</v>
      </c>
      <c r="G70">
        <v>0.3642078387148926</v>
      </c>
      <c r="W70" t="s">
        <v>288</v>
      </c>
      <c r="X70">
        <v>0.41203381536396572</v>
      </c>
      <c r="Y70">
        <v>0.4297411368830768</v>
      </c>
      <c r="Z70">
        <v>0.28121838418933282</v>
      </c>
      <c r="AA70">
        <v>0.29772512227508741</v>
      </c>
      <c r="AC70" t="s">
        <v>313</v>
      </c>
      <c r="AD70" t="s">
        <v>91</v>
      </c>
      <c r="AE70" t="s">
        <v>92</v>
      </c>
      <c r="AF70">
        <v>0.66885444342799727</v>
      </c>
    </row>
    <row r="71" spans="2:32" x14ac:dyDescent="0.45">
      <c r="B71" t="s">
        <v>290</v>
      </c>
      <c r="C71" t="s">
        <v>87</v>
      </c>
      <c r="D71">
        <v>0.26559290788163326</v>
      </c>
      <c r="E71">
        <v>0.27238505048261979</v>
      </c>
      <c r="F71">
        <v>0.3225961908088506</v>
      </c>
      <c r="G71">
        <v>0.33947506921809911</v>
      </c>
      <c r="W71" t="s">
        <v>290</v>
      </c>
      <c r="X71">
        <v>0.52658503469887874</v>
      </c>
      <c r="Y71">
        <v>0.52852771374287855</v>
      </c>
      <c r="Z71">
        <v>0.39417476367029897</v>
      </c>
      <c r="AA71">
        <v>0.39229031670211545</v>
      </c>
      <c r="AC71" t="s">
        <v>315</v>
      </c>
      <c r="AD71" t="s">
        <v>91</v>
      </c>
      <c r="AE71" t="s">
        <v>92</v>
      </c>
      <c r="AF71">
        <v>0.63791137874004444</v>
      </c>
    </row>
    <row r="72" spans="2:32" x14ac:dyDescent="0.45">
      <c r="B72" t="s">
        <v>292</v>
      </c>
      <c r="C72" t="s">
        <v>87</v>
      </c>
      <c r="D72">
        <v>0.27784264280253768</v>
      </c>
      <c r="E72">
        <v>0.29871846132655766</v>
      </c>
      <c r="F72">
        <v>0.31242125141141236</v>
      </c>
      <c r="G72">
        <v>0.34133178866481861</v>
      </c>
      <c r="W72" t="s">
        <v>292</v>
      </c>
      <c r="X72">
        <v>0.4685122062842621</v>
      </c>
      <c r="Y72">
        <v>0.46038492425247046</v>
      </c>
      <c r="Z72">
        <v>0.35741376202048958</v>
      </c>
      <c r="AA72">
        <v>0.34968081292244524</v>
      </c>
      <c r="AC72" t="s">
        <v>317</v>
      </c>
      <c r="AD72" t="s">
        <v>91</v>
      </c>
      <c r="AE72" t="s">
        <v>92</v>
      </c>
      <c r="AF72">
        <v>0.63717808733651293</v>
      </c>
    </row>
    <row r="73" spans="2:32" x14ac:dyDescent="0.45">
      <c r="B73" t="s">
        <v>294</v>
      </c>
      <c r="C73" t="s">
        <v>87</v>
      </c>
      <c r="D73">
        <v>0.2536062569556643</v>
      </c>
      <c r="E73">
        <v>0.2819735345807371</v>
      </c>
      <c r="F73">
        <v>0.29719677079526502</v>
      </c>
      <c r="G73">
        <v>0.3291451767350746</v>
      </c>
      <c r="W73" t="s">
        <v>294</v>
      </c>
      <c r="X73">
        <v>0.53432279430279939</v>
      </c>
      <c r="Y73">
        <v>0.50917176518360585</v>
      </c>
      <c r="Z73">
        <v>0.45671345974357741</v>
      </c>
      <c r="AA73">
        <v>0.4293564518744582</v>
      </c>
      <c r="AC73" t="s">
        <v>319</v>
      </c>
      <c r="AD73" t="s">
        <v>91</v>
      </c>
      <c r="AE73" t="s">
        <v>92</v>
      </c>
      <c r="AF73">
        <v>0.61597260539660759</v>
      </c>
    </row>
    <row r="74" spans="2:32" x14ac:dyDescent="0.45">
      <c r="B74" t="s">
        <v>296</v>
      </c>
      <c r="C74" t="s">
        <v>87</v>
      </c>
      <c r="D74">
        <v>0.28031008715860023</v>
      </c>
      <c r="E74">
        <v>0.30774968051510787</v>
      </c>
      <c r="F74">
        <v>0.30697184231811731</v>
      </c>
      <c r="G74">
        <v>0.35416061418606315</v>
      </c>
      <c r="W74" t="s">
        <v>296</v>
      </c>
      <c r="X74">
        <v>0.45098804735926901</v>
      </c>
      <c r="Y74">
        <v>0.4355242771878845</v>
      </c>
      <c r="Z74">
        <v>0.35896010400154099</v>
      </c>
      <c r="AA74">
        <v>0.33243799734955459</v>
      </c>
      <c r="AC74" t="s">
        <v>321</v>
      </c>
      <c r="AD74" t="s">
        <v>91</v>
      </c>
      <c r="AE74" t="s">
        <v>92</v>
      </c>
      <c r="AF74">
        <v>0.62590227173896162</v>
      </c>
    </row>
    <row r="75" spans="2:32" x14ac:dyDescent="0.45">
      <c r="B75" t="s">
        <v>298</v>
      </c>
      <c r="C75" t="s">
        <v>87</v>
      </c>
      <c r="D75">
        <v>0.2782402867976741</v>
      </c>
      <c r="E75">
        <v>0.27474136639805136</v>
      </c>
      <c r="F75">
        <v>0.34956138441207957</v>
      </c>
      <c r="G75">
        <v>0.3603194613446179</v>
      </c>
      <c r="W75" t="s">
        <v>298</v>
      </c>
      <c r="X75">
        <v>0.48626698055421841</v>
      </c>
      <c r="Y75">
        <v>0.49666438637893007</v>
      </c>
      <c r="Z75">
        <v>0.29173059598754519</v>
      </c>
      <c r="AA75">
        <v>0.32317832323170792</v>
      </c>
      <c r="AC75" t="s">
        <v>322</v>
      </c>
      <c r="AD75" t="s">
        <v>91</v>
      </c>
      <c r="AE75" t="s">
        <v>92</v>
      </c>
      <c r="AF75">
        <v>0.58173306678203718</v>
      </c>
    </row>
    <row r="76" spans="2:32" x14ac:dyDescent="0.45">
      <c r="B76" t="s">
        <v>300</v>
      </c>
      <c r="C76" t="s">
        <v>87</v>
      </c>
      <c r="D76">
        <v>0.20414267862568222</v>
      </c>
      <c r="E76">
        <v>0.2147744137549977</v>
      </c>
      <c r="F76">
        <v>0.29890099589921487</v>
      </c>
      <c r="G76">
        <v>0.31141271752979299</v>
      </c>
      <c r="W76" t="s">
        <v>300</v>
      </c>
      <c r="X76">
        <v>0.64542256425263878</v>
      </c>
      <c r="Y76">
        <v>0.63667536268783065</v>
      </c>
      <c r="Z76">
        <v>0.44738396464695829</v>
      </c>
      <c r="AA76">
        <v>0.45386272677708245</v>
      </c>
      <c r="AC76" t="s">
        <v>323</v>
      </c>
      <c r="AD76" t="s">
        <v>91</v>
      </c>
      <c r="AE76" t="s">
        <v>92</v>
      </c>
      <c r="AF76">
        <v>0.56871817375279976</v>
      </c>
    </row>
    <row r="77" spans="2:32" x14ac:dyDescent="0.45">
      <c r="B77" t="s">
        <v>302</v>
      </c>
      <c r="C77" t="s">
        <v>87</v>
      </c>
      <c r="D77">
        <v>0.29433018582947051</v>
      </c>
      <c r="E77">
        <v>0.28671792772881416</v>
      </c>
      <c r="F77">
        <v>0.32155127262800487</v>
      </c>
      <c r="G77">
        <v>0.35413869412700044</v>
      </c>
      <c r="W77" t="s">
        <v>302</v>
      </c>
      <c r="X77">
        <v>0.50859323773896326</v>
      </c>
      <c r="Y77">
        <v>0.52299043743971951</v>
      </c>
      <c r="Z77">
        <v>0.37819887637897359</v>
      </c>
      <c r="AA77">
        <v>0.3781742968693419</v>
      </c>
      <c r="AC77" t="s">
        <v>324</v>
      </c>
      <c r="AD77" t="s">
        <v>91</v>
      </c>
      <c r="AE77" t="s">
        <v>92</v>
      </c>
      <c r="AF77">
        <v>0.60431821630883087</v>
      </c>
    </row>
    <row r="78" spans="2:32" x14ac:dyDescent="0.45">
      <c r="B78" t="s">
        <v>304</v>
      </c>
      <c r="C78" t="s">
        <v>87</v>
      </c>
      <c r="D78">
        <v>0.33631570503733704</v>
      </c>
      <c r="E78">
        <v>0.31824578134046605</v>
      </c>
      <c r="F78">
        <v>0.37885108591851147</v>
      </c>
      <c r="G78">
        <v>0.3855302866046767</v>
      </c>
      <c r="W78" t="s">
        <v>304</v>
      </c>
      <c r="X78">
        <v>0.44370309169411998</v>
      </c>
      <c r="Y78">
        <v>0.44561655254924143</v>
      </c>
      <c r="Z78">
        <v>0.29612810079976432</v>
      </c>
      <c r="AA78">
        <v>0.31189438688791016</v>
      </c>
      <c r="AC78" t="s">
        <v>325</v>
      </c>
      <c r="AD78" t="s">
        <v>91</v>
      </c>
      <c r="AE78" t="s">
        <v>92</v>
      </c>
      <c r="AF78">
        <v>0.61834426222942962</v>
      </c>
    </row>
    <row r="79" spans="2:32" x14ac:dyDescent="0.45">
      <c r="B79" t="s">
        <v>306</v>
      </c>
      <c r="C79" t="s">
        <v>87</v>
      </c>
      <c r="D79">
        <v>0.2843095670587657</v>
      </c>
      <c r="E79">
        <v>0.28949790156104627</v>
      </c>
      <c r="F79">
        <v>0.34156328769804906</v>
      </c>
      <c r="G79">
        <v>0.35384278191608287</v>
      </c>
      <c r="W79" t="s">
        <v>306</v>
      </c>
      <c r="X79">
        <v>0.49425001641822597</v>
      </c>
      <c r="Y79">
        <v>0.50539665706108516</v>
      </c>
      <c r="Z79">
        <v>0.33696383543344322</v>
      </c>
      <c r="AA79">
        <v>0.35730741979957104</v>
      </c>
      <c r="AC79" t="s">
        <v>326</v>
      </c>
      <c r="AD79" t="s">
        <v>91</v>
      </c>
      <c r="AE79" t="s">
        <v>92</v>
      </c>
      <c r="AF79">
        <v>0.60388853314278668</v>
      </c>
    </row>
    <row r="80" spans="2:32" x14ac:dyDescent="0.45">
      <c r="B80" t="s">
        <v>308</v>
      </c>
      <c r="C80" t="s">
        <v>87</v>
      </c>
      <c r="D80">
        <v>0.30945363846416357</v>
      </c>
      <c r="E80">
        <v>0.31016841021066988</v>
      </c>
      <c r="F80">
        <v>0.3554580830809565</v>
      </c>
      <c r="G80">
        <v>0.36372085593388243</v>
      </c>
      <c r="W80" t="s">
        <v>308</v>
      </c>
      <c r="X80">
        <v>0.44938858964156231</v>
      </c>
      <c r="Y80">
        <v>0.47601659585423095</v>
      </c>
      <c r="Z80">
        <v>0.31715182941380576</v>
      </c>
      <c r="AA80">
        <v>0.33795655341389924</v>
      </c>
      <c r="AC80" t="s">
        <v>327</v>
      </c>
      <c r="AD80" t="s">
        <v>91</v>
      </c>
      <c r="AE80" t="s">
        <v>92</v>
      </c>
      <c r="AF80">
        <v>0.64738495745242453</v>
      </c>
    </row>
    <row r="81" spans="2:32" x14ac:dyDescent="0.45">
      <c r="B81" t="s">
        <v>310</v>
      </c>
      <c r="C81" t="s">
        <v>87</v>
      </c>
      <c r="D81">
        <v>0.36560934630114633</v>
      </c>
      <c r="E81">
        <v>0.34439862807635341</v>
      </c>
      <c r="F81">
        <v>0.40297536209788315</v>
      </c>
      <c r="G81">
        <v>0.39461455564831016</v>
      </c>
      <c r="W81" t="s">
        <v>310</v>
      </c>
      <c r="X81">
        <v>0.36107877171128294</v>
      </c>
      <c r="Y81">
        <v>0.37523388090470255</v>
      </c>
      <c r="Z81">
        <v>0.22626571470354168</v>
      </c>
      <c r="AA81">
        <v>0.26962806914215481</v>
      </c>
      <c r="AC81" t="s">
        <v>328</v>
      </c>
      <c r="AD81" t="s">
        <v>91</v>
      </c>
      <c r="AE81" t="s">
        <v>92</v>
      </c>
      <c r="AF81">
        <v>0.63713219956930334</v>
      </c>
    </row>
    <row r="82" spans="2:32" x14ac:dyDescent="0.45">
      <c r="B82" t="s">
        <v>312</v>
      </c>
      <c r="C82" t="s">
        <v>87</v>
      </c>
      <c r="D82">
        <v>0.3482786590903772</v>
      </c>
      <c r="E82">
        <v>0.34219150328002113</v>
      </c>
      <c r="F82">
        <v>0.38639613297295045</v>
      </c>
      <c r="G82">
        <v>0.37865347488850065</v>
      </c>
      <c r="W82" t="s">
        <v>312</v>
      </c>
      <c r="X82">
        <v>0.39891757965530661</v>
      </c>
      <c r="Y82">
        <v>0.39845270649182463</v>
      </c>
      <c r="Z82">
        <v>0.28116487086637404</v>
      </c>
      <c r="AA82">
        <v>0.32243181035648638</v>
      </c>
      <c r="AC82" t="s">
        <v>329</v>
      </c>
      <c r="AD82" t="s">
        <v>91</v>
      </c>
      <c r="AE82" t="s">
        <v>92</v>
      </c>
      <c r="AF82">
        <v>0.62038679488825366</v>
      </c>
    </row>
    <row r="83" spans="2:32" x14ac:dyDescent="0.45">
      <c r="B83" t="s">
        <v>314</v>
      </c>
      <c r="C83" t="s">
        <v>87</v>
      </c>
      <c r="D83">
        <v>0.27881909317087994</v>
      </c>
      <c r="E83">
        <v>0.29032780600031527</v>
      </c>
      <c r="F83">
        <v>0.30933823302736935</v>
      </c>
      <c r="G83">
        <v>0.3027940002652858</v>
      </c>
      <c r="W83" t="s">
        <v>314</v>
      </c>
      <c r="X83">
        <v>0.56847808007262635</v>
      </c>
      <c r="Y83">
        <v>0.55290688804771104</v>
      </c>
      <c r="Z83">
        <v>0.47374496305920216</v>
      </c>
      <c r="AA83">
        <v>0.48438169419842658</v>
      </c>
      <c r="AC83" t="s">
        <v>330</v>
      </c>
      <c r="AD83" t="s">
        <v>91</v>
      </c>
      <c r="AE83" t="s">
        <v>92</v>
      </c>
      <c r="AF83">
        <v>0.62137098656830936</v>
      </c>
    </row>
    <row r="84" spans="2:32" x14ac:dyDescent="0.45">
      <c r="B84" t="s">
        <v>316</v>
      </c>
      <c r="C84" t="s">
        <v>87</v>
      </c>
      <c r="D84">
        <v>0.23595825485294686</v>
      </c>
      <c r="E84">
        <v>0.25024682145873978</v>
      </c>
      <c r="F84">
        <v>0.26575785059545604</v>
      </c>
      <c r="G84">
        <v>0.26040896769237448</v>
      </c>
      <c r="W84" t="s">
        <v>316</v>
      </c>
      <c r="X84">
        <v>0.66911508874205816</v>
      </c>
      <c r="Y84">
        <v>0.64396778845333291</v>
      </c>
      <c r="Z84">
        <v>0.59375331583455371</v>
      </c>
      <c r="AA84">
        <v>0.58814043080393597</v>
      </c>
      <c r="AC84" t="s">
        <v>331</v>
      </c>
      <c r="AD84" t="s">
        <v>91</v>
      </c>
      <c r="AE84" t="s">
        <v>92</v>
      </c>
      <c r="AF84">
        <v>0.59079702762468933</v>
      </c>
    </row>
    <row r="85" spans="2:32" x14ac:dyDescent="0.45">
      <c r="B85" t="s">
        <v>318</v>
      </c>
      <c r="C85" t="s">
        <v>87</v>
      </c>
      <c r="D85">
        <v>0.25435232510498562</v>
      </c>
      <c r="E85">
        <v>0.26966170596540584</v>
      </c>
      <c r="F85">
        <v>0.3136342393213466</v>
      </c>
      <c r="G85">
        <v>0.32078725590962565</v>
      </c>
      <c r="W85" t="s">
        <v>318</v>
      </c>
      <c r="X85">
        <v>0.60983960431163708</v>
      </c>
      <c r="Y85">
        <v>0.59162104656499426</v>
      </c>
      <c r="Z85">
        <v>0.49301181429735919</v>
      </c>
      <c r="AA85">
        <v>0.5084503419993045</v>
      </c>
      <c r="AC85" t="s">
        <v>332</v>
      </c>
      <c r="AD85" t="s">
        <v>91</v>
      </c>
      <c r="AE85" t="s">
        <v>92</v>
      </c>
      <c r="AF85">
        <v>0.63765386709300509</v>
      </c>
    </row>
    <row r="86" spans="2:32" x14ac:dyDescent="0.45">
      <c r="B86" t="s">
        <v>320</v>
      </c>
      <c r="C86" t="s">
        <v>87</v>
      </c>
      <c r="D86">
        <v>0.21782398419342566</v>
      </c>
      <c r="E86">
        <v>0.2272865343881397</v>
      </c>
      <c r="F86">
        <v>0.30041222620099706</v>
      </c>
      <c r="G86">
        <v>0.29427557557995604</v>
      </c>
      <c r="W86" t="s">
        <v>320</v>
      </c>
      <c r="X86">
        <v>0.66887045109538878</v>
      </c>
      <c r="Y86">
        <v>0.65343184683364419</v>
      </c>
      <c r="Z86">
        <v>0.5273161884193549</v>
      </c>
      <c r="AA86">
        <v>0.54671623649385004</v>
      </c>
      <c r="AC86" t="s">
        <v>333</v>
      </c>
      <c r="AD86" t="s">
        <v>91</v>
      </c>
      <c r="AE86" t="s">
        <v>92</v>
      </c>
      <c r="AF86">
        <v>0.62429352407675787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AAB4-A881-4A2A-81DD-64794209A883}">
  <dimension ref="A9:S68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region=GBR")</f>
        <v>~TFM_DINS-AT: region=GBR</v>
      </c>
      <c r="H9" t="str">
        <f>IF(A11="x","DeActivated","~TFM_DINS-AT: region=GBR")</f>
        <v>~TFM_DINS-AT: region=GBR</v>
      </c>
      <c r="L9" t="str">
        <f>IF(A11="x","DeActivated","~TFM_DINS-AT: region=GBR")</f>
        <v>~TFM_DINS-AT: region=GBR</v>
      </c>
      <c r="P9" t="str">
        <f>IF(A11="x","DeActivated","~TFM_INS-AT: region=GBR")</f>
        <v>~TFM_INS-AT: region=GBR</v>
      </c>
    </row>
    <row r="10" spans="1:19" x14ac:dyDescent="0.45">
      <c r="A10" t="s">
        <v>169</v>
      </c>
      <c r="C10" t="s">
        <v>170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171</v>
      </c>
      <c r="P10" t="s">
        <v>172</v>
      </c>
      <c r="Q10" t="s">
        <v>1</v>
      </c>
      <c r="R10" t="s">
        <v>173</v>
      </c>
      <c r="S10" t="s">
        <v>174</v>
      </c>
    </row>
    <row r="11" spans="1:19" x14ac:dyDescent="0.45">
      <c r="C11">
        <v>0.24931506849315069</v>
      </c>
      <c r="D11">
        <v>0.13646719538572463</v>
      </c>
      <c r="E11" t="s">
        <v>5</v>
      </c>
      <c r="F11" t="s">
        <v>175</v>
      </c>
      <c r="H11" t="s">
        <v>176</v>
      </c>
      <c r="I11" t="s">
        <v>5</v>
      </c>
      <c r="L11" t="s">
        <v>177</v>
      </c>
      <c r="M11" t="s">
        <v>5</v>
      </c>
      <c r="N11">
        <v>0.32265599486136698</v>
      </c>
      <c r="P11">
        <v>2020</v>
      </c>
      <c r="Q11" t="s">
        <v>178</v>
      </c>
      <c r="R11">
        <v>0.26029999999999998</v>
      </c>
      <c r="S11" t="s">
        <v>179</v>
      </c>
    </row>
    <row r="12" spans="1:19" x14ac:dyDescent="0.45">
      <c r="C12">
        <v>0.24931506849315069</v>
      </c>
      <c r="D12">
        <v>0.36216294160057688</v>
      </c>
      <c r="E12" t="s">
        <v>9</v>
      </c>
      <c r="F12" t="s">
        <v>175</v>
      </c>
      <c r="H12" t="s">
        <v>176</v>
      </c>
      <c r="I12" t="s">
        <v>9</v>
      </c>
      <c r="L12" t="s">
        <v>177</v>
      </c>
      <c r="M12" t="s">
        <v>9</v>
      </c>
      <c r="N12">
        <v>0.13293724129743256</v>
      </c>
      <c r="P12">
        <v>2020</v>
      </c>
      <c r="Q12" t="s">
        <v>180</v>
      </c>
      <c r="R12">
        <v>0.18731666666666669</v>
      </c>
      <c r="S12" t="s">
        <v>179</v>
      </c>
    </row>
    <row r="13" spans="1:19" x14ac:dyDescent="0.45">
      <c r="C13">
        <v>0.25068493150684934</v>
      </c>
      <c r="D13">
        <v>0.13721701514059123</v>
      </c>
      <c r="E13" t="s">
        <v>10</v>
      </c>
      <c r="F13" t="s">
        <v>175</v>
      </c>
      <c r="H13" t="s">
        <v>176</v>
      </c>
      <c r="I13" t="s">
        <v>10</v>
      </c>
      <c r="L13" t="s">
        <v>177</v>
      </c>
      <c r="M13" t="s">
        <v>10</v>
      </c>
      <c r="N13">
        <v>0.43213177884282428</v>
      </c>
      <c r="P13">
        <v>2021</v>
      </c>
      <c r="Q13" t="s">
        <v>178</v>
      </c>
      <c r="R13">
        <v>0.19953333333333334</v>
      </c>
      <c r="S13" t="s">
        <v>179</v>
      </c>
    </row>
    <row r="14" spans="1:19" x14ac:dyDescent="0.45">
      <c r="C14">
        <v>0.25068493150684934</v>
      </c>
      <c r="D14">
        <v>0.36415284787310753</v>
      </c>
      <c r="E14" t="s">
        <v>11</v>
      </c>
      <c r="F14" t="s">
        <v>175</v>
      </c>
      <c r="H14" t="s">
        <v>176</v>
      </c>
      <c r="I14" t="s">
        <v>11</v>
      </c>
      <c r="L14" t="s">
        <v>177</v>
      </c>
      <c r="M14" t="s">
        <v>11</v>
      </c>
      <c r="N14">
        <v>0.24641040498690781</v>
      </c>
      <c r="P14">
        <v>2021</v>
      </c>
      <c r="Q14" t="s">
        <v>180</v>
      </c>
      <c r="R14">
        <v>0.13638333333333333</v>
      </c>
      <c r="S14" t="s">
        <v>179</v>
      </c>
    </row>
    <row r="15" spans="1:19" x14ac:dyDescent="0.45">
      <c r="H15" t="s">
        <v>181</v>
      </c>
      <c r="I15" t="s">
        <v>5</v>
      </c>
      <c r="P15">
        <v>2022</v>
      </c>
      <c r="Q15" t="s">
        <v>178</v>
      </c>
      <c r="R15">
        <v>0.19791666666666666</v>
      </c>
      <c r="S15" t="s">
        <v>179</v>
      </c>
    </row>
    <row r="16" spans="1:19" x14ac:dyDescent="0.45">
      <c r="H16" t="s">
        <v>181</v>
      </c>
      <c r="I16" t="s">
        <v>9</v>
      </c>
      <c r="P16">
        <v>2022</v>
      </c>
      <c r="Q16" t="s">
        <v>180</v>
      </c>
      <c r="R16">
        <v>0.15190000000000001</v>
      </c>
      <c r="S16" t="s">
        <v>179</v>
      </c>
    </row>
    <row r="17" spans="8:19" x14ac:dyDescent="0.45">
      <c r="H17" t="s">
        <v>181</v>
      </c>
      <c r="I17" t="s">
        <v>10</v>
      </c>
      <c r="P17">
        <v>2025</v>
      </c>
      <c r="Q17" t="s">
        <v>178</v>
      </c>
      <c r="R17">
        <v>0.39788333333333337</v>
      </c>
      <c r="S17" t="s">
        <v>179</v>
      </c>
    </row>
    <row r="18" spans="8:19" x14ac:dyDescent="0.45">
      <c r="H18" t="s">
        <v>181</v>
      </c>
      <c r="I18" t="s">
        <v>11</v>
      </c>
      <c r="P18">
        <v>2025</v>
      </c>
      <c r="Q18" t="s">
        <v>180</v>
      </c>
      <c r="R18">
        <v>0.27078333333333332</v>
      </c>
      <c r="S18" t="s">
        <v>179</v>
      </c>
    </row>
    <row r="19" spans="8:19" x14ac:dyDescent="0.45">
      <c r="P19">
        <v>2026</v>
      </c>
      <c r="Q19" t="s">
        <v>178</v>
      </c>
      <c r="R19">
        <v>0.40216666666666673</v>
      </c>
      <c r="S19" t="s">
        <v>179</v>
      </c>
    </row>
    <row r="20" spans="8:19" x14ac:dyDescent="0.45">
      <c r="P20">
        <v>2026</v>
      </c>
      <c r="Q20" t="s">
        <v>180</v>
      </c>
      <c r="R20">
        <v>0.25441666666666668</v>
      </c>
      <c r="S20" t="s">
        <v>179</v>
      </c>
    </row>
    <row r="21" spans="8:19" x14ac:dyDescent="0.45">
      <c r="P21">
        <v>2027</v>
      </c>
      <c r="Q21" t="s">
        <v>178</v>
      </c>
      <c r="R21">
        <v>0.36263333333333336</v>
      </c>
      <c r="S21" t="s">
        <v>179</v>
      </c>
    </row>
    <row r="22" spans="8:19" x14ac:dyDescent="0.45">
      <c r="P22">
        <v>2027</v>
      </c>
      <c r="Q22" t="s">
        <v>180</v>
      </c>
      <c r="R22">
        <v>0.31090000000000001</v>
      </c>
      <c r="S22" t="s">
        <v>179</v>
      </c>
    </row>
    <row r="23" spans="8:19" x14ac:dyDescent="0.45">
      <c r="P23">
        <v>2028</v>
      </c>
      <c r="Q23" t="s">
        <v>178</v>
      </c>
      <c r="R23">
        <v>0.39008333333333334</v>
      </c>
      <c r="S23" t="s">
        <v>179</v>
      </c>
    </row>
    <row r="24" spans="8:19" x14ac:dyDescent="0.45">
      <c r="P24">
        <v>2028</v>
      </c>
      <c r="Q24" t="s">
        <v>180</v>
      </c>
      <c r="R24">
        <v>0.27268333333333333</v>
      </c>
      <c r="S24" t="s">
        <v>179</v>
      </c>
    </row>
    <row r="25" spans="8:19" x14ac:dyDescent="0.45">
      <c r="P25">
        <v>2029</v>
      </c>
      <c r="Q25" t="s">
        <v>178</v>
      </c>
      <c r="R25">
        <v>0.40273333333333333</v>
      </c>
      <c r="S25" t="s">
        <v>179</v>
      </c>
    </row>
    <row r="26" spans="8:19" x14ac:dyDescent="0.45">
      <c r="P26">
        <v>2029</v>
      </c>
      <c r="Q26" t="s">
        <v>180</v>
      </c>
      <c r="R26">
        <v>0.26569999999999999</v>
      </c>
      <c r="S26" t="s">
        <v>179</v>
      </c>
    </row>
    <row r="27" spans="8:19" x14ac:dyDescent="0.45">
      <c r="P27">
        <v>2030</v>
      </c>
      <c r="Q27" t="s">
        <v>178</v>
      </c>
      <c r="R27">
        <v>0.42108333333333331</v>
      </c>
      <c r="S27" t="s">
        <v>179</v>
      </c>
    </row>
    <row r="28" spans="8:19" x14ac:dyDescent="0.45">
      <c r="P28">
        <v>2030</v>
      </c>
      <c r="Q28" t="s">
        <v>180</v>
      </c>
      <c r="R28">
        <v>0.30013333333333336</v>
      </c>
      <c r="S28" t="s">
        <v>179</v>
      </c>
    </row>
    <row r="29" spans="8:19" x14ac:dyDescent="0.45">
      <c r="P29">
        <v>2031</v>
      </c>
      <c r="Q29" t="s">
        <v>178</v>
      </c>
      <c r="R29">
        <v>0.34718333333333334</v>
      </c>
      <c r="S29" t="s">
        <v>179</v>
      </c>
    </row>
    <row r="30" spans="8:19" x14ac:dyDescent="0.45">
      <c r="P30">
        <v>2031</v>
      </c>
      <c r="Q30" t="s">
        <v>180</v>
      </c>
      <c r="R30">
        <v>0.25558333333333333</v>
      </c>
      <c r="S30" t="s">
        <v>179</v>
      </c>
    </row>
    <row r="31" spans="8:19" x14ac:dyDescent="0.45">
      <c r="P31">
        <v>2032</v>
      </c>
      <c r="Q31" t="s">
        <v>178</v>
      </c>
      <c r="R31">
        <v>0.31438333333333329</v>
      </c>
      <c r="S31" t="s">
        <v>179</v>
      </c>
    </row>
    <row r="32" spans="8:19" x14ac:dyDescent="0.45">
      <c r="P32">
        <v>2032</v>
      </c>
      <c r="Q32" t="s">
        <v>180</v>
      </c>
      <c r="R32">
        <v>0.25203333333333333</v>
      </c>
      <c r="S32" t="s">
        <v>179</v>
      </c>
    </row>
    <row r="33" spans="16:19" x14ac:dyDescent="0.45">
      <c r="P33">
        <v>2033</v>
      </c>
      <c r="Q33" t="s">
        <v>178</v>
      </c>
      <c r="R33">
        <v>0.26589999999999997</v>
      </c>
      <c r="S33" t="s">
        <v>179</v>
      </c>
    </row>
    <row r="34" spans="16:19" x14ac:dyDescent="0.45">
      <c r="P34">
        <v>2033</v>
      </c>
      <c r="Q34" t="s">
        <v>180</v>
      </c>
      <c r="R34">
        <v>0.21738333333333335</v>
      </c>
      <c r="S34" t="s">
        <v>179</v>
      </c>
    </row>
    <row r="35" spans="16:19" x14ac:dyDescent="0.45">
      <c r="P35">
        <v>2034</v>
      </c>
      <c r="Q35" t="s">
        <v>178</v>
      </c>
      <c r="R35">
        <v>0.3271</v>
      </c>
      <c r="S35" t="s">
        <v>179</v>
      </c>
    </row>
    <row r="36" spans="16:19" x14ac:dyDescent="0.45">
      <c r="P36">
        <v>2034</v>
      </c>
      <c r="Q36" t="s">
        <v>180</v>
      </c>
      <c r="R36">
        <v>0.20408333333333331</v>
      </c>
      <c r="S36" t="s">
        <v>179</v>
      </c>
    </row>
    <row r="37" spans="16:19" x14ac:dyDescent="0.45">
      <c r="P37">
        <v>2035</v>
      </c>
      <c r="Q37" t="s">
        <v>178</v>
      </c>
      <c r="R37">
        <v>0.30563333333333337</v>
      </c>
      <c r="S37" t="s">
        <v>179</v>
      </c>
    </row>
    <row r="38" spans="16:19" x14ac:dyDescent="0.45">
      <c r="P38">
        <v>2035</v>
      </c>
      <c r="Q38" t="s">
        <v>180</v>
      </c>
      <c r="R38">
        <v>0.22799999999999998</v>
      </c>
      <c r="S38" t="s">
        <v>179</v>
      </c>
    </row>
    <row r="39" spans="16:19" x14ac:dyDescent="0.45">
      <c r="P39">
        <v>2036</v>
      </c>
      <c r="Q39" t="s">
        <v>178</v>
      </c>
      <c r="R39">
        <v>0.28273333333333334</v>
      </c>
      <c r="S39" t="s">
        <v>179</v>
      </c>
    </row>
    <row r="40" spans="16:19" x14ac:dyDescent="0.45">
      <c r="P40">
        <v>2036</v>
      </c>
      <c r="Q40" t="s">
        <v>180</v>
      </c>
      <c r="R40">
        <v>0.27556666666666668</v>
      </c>
      <c r="S40" t="s">
        <v>179</v>
      </c>
    </row>
    <row r="41" spans="16:19" x14ac:dyDescent="0.45">
      <c r="P41">
        <v>2037</v>
      </c>
      <c r="Q41" t="s">
        <v>178</v>
      </c>
      <c r="R41">
        <v>0.27825</v>
      </c>
      <c r="S41" t="s">
        <v>179</v>
      </c>
    </row>
    <row r="42" spans="16:19" x14ac:dyDescent="0.45">
      <c r="P42">
        <v>2037</v>
      </c>
      <c r="Q42" t="s">
        <v>180</v>
      </c>
      <c r="R42">
        <v>0.19189999999999999</v>
      </c>
      <c r="S42" t="s">
        <v>179</v>
      </c>
    </row>
    <row r="43" spans="16:19" x14ac:dyDescent="0.45">
      <c r="P43">
        <v>2038</v>
      </c>
      <c r="Q43" t="s">
        <v>178</v>
      </c>
      <c r="R43">
        <v>0.34781666666666666</v>
      </c>
      <c r="S43" t="s">
        <v>179</v>
      </c>
    </row>
    <row r="44" spans="16:19" x14ac:dyDescent="0.45">
      <c r="P44">
        <v>2038</v>
      </c>
      <c r="Q44" t="s">
        <v>180</v>
      </c>
      <c r="R44">
        <v>0.20585000000000001</v>
      </c>
      <c r="S44" t="s">
        <v>179</v>
      </c>
    </row>
    <row r="45" spans="16:19" x14ac:dyDescent="0.45">
      <c r="P45">
        <v>2039</v>
      </c>
      <c r="Q45" t="s">
        <v>178</v>
      </c>
      <c r="R45">
        <v>0.27131666666666671</v>
      </c>
      <c r="S45" t="s">
        <v>179</v>
      </c>
    </row>
    <row r="46" spans="16:19" x14ac:dyDescent="0.45">
      <c r="P46">
        <v>2039</v>
      </c>
      <c r="Q46" t="s">
        <v>180</v>
      </c>
      <c r="R46">
        <v>0.22265000000000001</v>
      </c>
      <c r="S46" t="s">
        <v>179</v>
      </c>
    </row>
    <row r="47" spans="16:19" x14ac:dyDescent="0.45">
      <c r="P47">
        <v>2040</v>
      </c>
      <c r="Q47" t="s">
        <v>178</v>
      </c>
      <c r="R47">
        <v>0.26915</v>
      </c>
      <c r="S47" t="s">
        <v>179</v>
      </c>
    </row>
    <row r="48" spans="16:19" x14ac:dyDescent="0.45">
      <c r="P48">
        <v>2040</v>
      </c>
      <c r="Q48" t="s">
        <v>180</v>
      </c>
      <c r="R48">
        <v>0.22594999999999998</v>
      </c>
      <c r="S48" t="s">
        <v>179</v>
      </c>
    </row>
    <row r="49" spans="16:19" x14ac:dyDescent="0.45">
      <c r="P49">
        <v>2041</v>
      </c>
      <c r="Q49" t="s">
        <v>178</v>
      </c>
      <c r="R49">
        <v>0.33895000000000003</v>
      </c>
      <c r="S49" t="s">
        <v>179</v>
      </c>
    </row>
    <row r="50" spans="16:19" x14ac:dyDescent="0.45">
      <c r="P50">
        <v>2041</v>
      </c>
      <c r="Q50" t="s">
        <v>180</v>
      </c>
      <c r="R50">
        <v>0.27011666666666667</v>
      </c>
      <c r="S50" t="s">
        <v>179</v>
      </c>
    </row>
    <row r="51" spans="16:19" x14ac:dyDescent="0.45">
      <c r="P51">
        <v>2042</v>
      </c>
      <c r="Q51" t="s">
        <v>178</v>
      </c>
      <c r="R51">
        <v>0.36093333333333333</v>
      </c>
      <c r="S51" t="s">
        <v>179</v>
      </c>
    </row>
    <row r="52" spans="16:19" x14ac:dyDescent="0.45">
      <c r="P52">
        <v>2042</v>
      </c>
      <c r="Q52" t="s">
        <v>180</v>
      </c>
      <c r="R52">
        <v>0.25594999999999996</v>
      </c>
      <c r="S52" t="s">
        <v>179</v>
      </c>
    </row>
    <row r="53" spans="16:19" x14ac:dyDescent="0.45">
      <c r="P53">
        <v>2043</v>
      </c>
      <c r="Q53" t="s">
        <v>178</v>
      </c>
      <c r="R53">
        <v>0.35736666666666667</v>
      </c>
      <c r="S53" t="s">
        <v>179</v>
      </c>
    </row>
    <row r="54" spans="16:19" x14ac:dyDescent="0.45">
      <c r="P54">
        <v>2043</v>
      </c>
      <c r="Q54" t="s">
        <v>180</v>
      </c>
      <c r="R54">
        <v>0.26411666666666672</v>
      </c>
      <c r="S54" t="s">
        <v>179</v>
      </c>
    </row>
    <row r="55" spans="16:19" x14ac:dyDescent="0.45">
      <c r="P55">
        <v>2044</v>
      </c>
      <c r="Q55" t="s">
        <v>178</v>
      </c>
      <c r="R55">
        <v>0.40038333333333337</v>
      </c>
      <c r="S55" t="s">
        <v>179</v>
      </c>
    </row>
    <row r="56" spans="16:19" x14ac:dyDescent="0.45">
      <c r="P56">
        <v>2044</v>
      </c>
      <c r="Q56" t="s">
        <v>180</v>
      </c>
      <c r="R56">
        <v>0.26086666666666669</v>
      </c>
      <c r="S56" t="s">
        <v>179</v>
      </c>
    </row>
    <row r="57" spans="16:19" x14ac:dyDescent="0.45">
      <c r="P57">
        <v>2045</v>
      </c>
      <c r="Q57" t="s">
        <v>178</v>
      </c>
      <c r="R57">
        <v>0.41688333333333327</v>
      </c>
      <c r="S57" t="s">
        <v>179</v>
      </c>
    </row>
    <row r="58" spans="16:19" x14ac:dyDescent="0.45">
      <c r="P58">
        <v>2045</v>
      </c>
      <c r="Q58" t="s">
        <v>180</v>
      </c>
      <c r="R58">
        <v>0.27140000000000003</v>
      </c>
      <c r="S58" t="s">
        <v>179</v>
      </c>
    </row>
    <row r="59" spans="16:19" x14ac:dyDescent="0.45">
      <c r="P59">
        <v>2046</v>
      </c>
      <c r="Q59" t="s">
        <v>178</v>
      </c>
      <c r="R59">
        <v>0.28734999999999999</v>
      </c>
      <c r="S59" t="s">
        <v>179</v>
      </c>
    </row>
    <row r="60" spans="16:19" x14ac:dyDescent="0.45">
      <c r="P60">
        <v>2046</v>
      </c>
      <c r="Q60" t="s">
        <v>180</v>
      </c>
      <c r="R60">
        <v>0.1958333333333333</v>
      </c>
      <c r="S60" t="s">
        <v>179</v>
      </c>
    </row>
    <row r="61" spans="16:19" x14ac:dyDescent="0.45">
      <c r="P61">
        <v>2047</v>
      </c>
      <c r="Q61" t="s">
        <v>178</v>
      </c>
      <c r="R61">
        <v>0.36291666666666661</v>
      </c>
      <c r="S61" t="s">
        <v>179</v>
      </c>
    </row>
    <row r="62" spans="16:19" x14ac:dyDescent="0.45">
      <c r="P62">
        <v>2047</v>
      </c>
      <c r="Q62" t="s">
        <v>180</v>
      </c>
      <c r="R62">
        <v>0.25183333333333335</v>
      </c>
      <c r="S62" t="s">
        <v>179</v>
      </c>
    </row>
    <row r="63" spans="16:19" x14ac:dyDescent="0.45">
      <c r="P63">
        <v>2048</v>
      </c>
      <c r="Q63" t="s">
        <v>178</v>
      </c>
      <c r="R63">
        <v>0.34966666666666663</v>
      </c>
      <c r="S63" t="s">
        <v>179</v>
      </c>
    </row>
    <row r="64" spans="16:19" x14ac:dyDescent="0.45">
      <c r="P64">
        <v>2048</v>
      </c>
      <c r="Q64" t="s">
        <v>180</v>
      </c>
      <c r="R64">
        <v>0.2447</v>
      </c>
      <c r="S64" t="s">
        <v>179</v>
      </c>
    </row>
    <row r="65" spans="16:19" x14ac:dyDescent="0.45">
      <c r="P65">
        <v>2049</v>
      </c>
      <c r="Q65" t="s">
        <v>178</v>
      </c>
      <c r="R65">
        <v>0.36701666666666671</v>
      </c>
      <c r="S65" t="s">
        <v>179</v>
      </c>
    </row>
    <row r="66" spans="16:19" x14ac:dyDescent="0.45">
      <c r="P66">
        <v>2049</v>
      </c>
      <c r="Q66" t="s">
        <v>180</v>
      </c>
      <c r="R66">
        <v>0.19381666666666666</v>
      </c>
      <c r="S66" t="s">
        <v>179</v>
      </c>
    </row>
    <row r="67" spans="16:19" x14ac:dyDescent="0.45">
      <c r="P67">
        <v>2050</v>
      </c>
      <c r="Q67" t="s">
        <v>178</v>
      </c>
      <c r="R67">
        <v>0.34106666666666668</v>
      </c>
      <c r="S67" t="s">
        <v>179</v>
      </c>
    </row>
    <row r="68" spans="16:19" x14ac:dyDescent="0.45">
      <c r="P68">
        <v>2050</v>
      </c>
      <c r="Q68" t="s">
        <v>180</v>
      </c>
      <c r="R68">
        <v>0.22241666666666668</v>
      </c>
      <c r="S68" t="s">
        <v>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C4E0-EAC5-45A7-B718-984EA39D894E}">
  <dimension ref="B9:J5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region=BEL")</f>
        <v>~TFM_DINS-AT: region=BEL</v>
      </c>
      <c r="G9" t="str">
        <f>IF(A11="x","DeActivated","~TFM_DINS-AT: region=BEL")</f>
        <v>~TFM_DINS-AT: region=BEL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334</v>
      </c>
      <c r="C11" t="s">
        <v>5</v>
      </c>
      <c r="D11">
        <v>1.5238437768915519E-2</v>
      </c>
      <c r="E11" t="s">
        <v>6</v>
      </c>
      <c r="G11" t="s">
        <v>335</v>
      </c>
      <c r="H11" t="s">
        <v>5</v>
      </c>
      <c r="I11">
        <v>0.28684607143747698</v>
      </c>
      <c r="J11" t="s">
        <v>6</v>
      </c>
    </row>
    <row r="12" spans="2:10" x14ac:dyDescent="0.45">
      <c r="B12" t="s">
        <v>334</v>
      </c>
      <c r="C12" t="s">
        <v>9</v>
      </c>
      <c r="D12">
        <v>0.41365547100009087</v>
      </c>
      <c r="E12" t="s">
        <v>6</v>
      </c>
      <c r="G12" t="s">
        <v>335</v>
      </c>
      <c r="H12" t="s">
        <v>9</v>
      </c>
      <c r="I12">
        <v>0.27389727585210499</v>
      </c>
      <c r="J12" t="s">
        <v>6</v>
      </c>
    </row>
    <row r="13" spans="2:10" x14ac:dyDescent="0.45">
      <c r="B13" t="s">
        <v>334</v>
      </c>
      <c r="C13" t="s">
        <v>10</v>
      </c>
      <c r="D13">
        <v>2.9045409374187311E-2</v>
      </c>
      <c r="E13" t="s">
        <v>6</v>
      </c>
      <c r="G13" t="s">
        <v>335</v>
      </c>
      <c r="H13" t="s">
        <v>10</v>
      </c>
      <c r="I13">
        <v>0.2339027843957753</v>
      </c>
      <c r="J13" t="s">
        <v>6</v>
      </c>
    </row>
    <row r="14" spans="2:10" x14ac:dyDescent="0.45">
      <c r="B14" t="s">
        <v>334</v>
      </c>
      <c r="C14" t="s">
        <v>11</v>
      </c>
      <c r="D14">
        <v>0.54206068185680523</v>
      </c>
      <c r="E14" t="s">
        <v>6</v>
      </c>
      <c r="G14" t="s">
        <v>335</v>
      </c>
      <c r="H14" t="s">
        <v>11</v>
      </c>
      <c r="I14">
        <v>0.20535386831464436</v>
      </c>
      <c r="J14" t="s">
        <v>6</v>
      </c>
    </row>
    <row r="15" spans="2:10" x14ac:dyDescent="0.45">
      <c r="B15" t="s">
        <v>336</v>
      </c>
      <c r="C15" t="s">
        <v>5</v>
      </c>
      <c r="D15">
        <v>1.648579975117874E-2</v>
      </c>
      <c r="E15" t="s">
        <v>6</v>
      </c>
      <c r="G15" t="s">
        <v>337</v>
      </c>
      <c r="H15" t="s">
        <v>5</v>
      </c>
      <c r="I15">
        <v>0.28730998599709323</v>
      </c>
      <c r="J15" t="s">
        <v>6</v>
      </c>
    </row>
    <row r="16" spans="2:10" x14ac:dyDescent="0.45">
      <c r="B16" t="s">
        <v>336</v>
      </c>
      <c r="C16" t="s">
        <v>9</v>
      </c>
      <c r="D16">
        <v>0.41374874341071477</v>
      </c>
      <c r="E16" t="s">
        <v>6</v>
      </c>
      <c r="G16" t="s">
        <v>337</v>
      </c>
      <c r="H16" t="s">
        <v>9</v>
      </c>
      <c r="I16">
        <v>0.27135979893857509</v>
      </c>
      <c r="J16" t="s">
        <v>6</v>
      </c>
    </row>
    <row r="17" spans="2:10" x14ac:dyDescent="0.45">
      <c r="B17" t="s">
        <v>336</v>
      </c>
      <c r="C17" t="s">
        <v>10</v>
      </c>
      <c r="D17">
        <v>3.0715944488704496E-2</v>
      </c>
      <c r="E17" t="s">
        <v>6</v>
      </c>
      <c r="G17" t="s">
        <v>337</v>
      </c>
      <c r="H17" t="s">
        <v>10</v>
      </c>
      <c r="I17">
        <v>0.23665749319444718</v>
      </c>
      <c r="J17" t="s">
        <v>6</v>
      </c>
    </row>
    <row r="18" spans="2:10" x14ac:dyDescent="0.45">
      <c r="B18" t="s">
        <v>336</v>
      </c>
      <c r="C18" t="s">
        <v>11</v>
      </c>
      <c r="D18">
        <v>0.53904951234940213</v>
      </c>
      <c r="E18" t="s">
        <v>6</v>
      </c>
      <c r="G18" t="s">
        <v>337</v>
      </c>
      <c r="H18" t="s">
        <v>11</v>
      </c>
      <c r="I18">
        <v>0.20467272186988306</v>
      </c>
      <c r="J18" t="s">
        <v>6</v>
      </c>
    </row>
    <row r="19" spans="2:10" x14ac:dyDescent="0.45">
      <c r="B19" t="s">
        <v>338</v>
      </c>
      <c r="C19" t="s">
        <v>5</v>
      </c>
      <c r="D19">
        <v>1.5410017113984544E-2</v>
      </c>
      <c r="E19" t="s">
        <v>6</v>
      </c>
      <c r="G19" t="s">
        <v>339</v>
      </c>
      <c r="H19" t="s">
        <v>5</v>
      </c>
      <c r="I19">
        <v>0.28655996453771826</v>
      </c>
      <c r="J19" t="s">
        <v>6</v>
      </c>
    </row>
    <row r="20" spans="2:10" x14ac:dyDescent="0.45">
      <c r="B20" t="s">
        <v>338</v>
      </c>
      <c r="C20" t="s">
        <v>9</v>
      </c>
      <c r="D20">
        <v>0.42050380112467073</v>
      </c>
      <c r="E20" t="s">
        <v>6</v>
      </c>
      <c r="G20" t="s">
        <v>339</v>
      </c>
      <c r="H20" t="s">
        <v>9</v>
      </c>
      <c r="I20">
        <v>0.26074821502837436</v>
      </c>
      <c r="J20" t="s">
        <v>6</v>
      </c>
    </row>
    <row r="21" spans="2:10" x14ac:dyDescent="0.45">
      <c r="B21" t="s">
        <v>338</v>
      </c>
      <c r="C21" t="s">
        <v>10</v>
      </c>
      <c r="D21">
        <v>2.9171420444659875E-2</v>
      </c>
      <c r="E21" t="s">
        <v>6</v>
      </c>
      <c r="G21" t="s">
        <v>339</v>
      </c>
      <c r="H21" t="s">
        <v>10</v>
      </c>
      <c r="I21">
        <v>0.2443933220158605</v>
      </c>
      <c r="J21" t="s">
        <v>6</v>
      </c>
    </row>
    <row r="22" spans="2:10" x14ac:dyDescent="0.45">
      <c r="B22" t="s">
        <v>338</v>
      </c>
      <c r="C22" t="s">
        <v>11</v>
      </c>
      <c r="D22">
        <v>0.53491476131668647</v>
      </c>
      <c r="E22" t="s">
        <v>6</v>
      </c>
      <c r="G22" t="s">
        <v>339</v>
      </c>
      <c r="H22" t="s">
        <v>11</v>
      </c>
      <c r="I22">
        <v>0.20829849841805204</v>
      </c>
      <c r="J22" t="s">
        <v>6</v>
      </c>
    </row>
    <row r="23" spans="2:10" x14ac:dyDescent="0.45">
      <c r="B23" t="s">
        <v>340</v>
      </c>
      <c r="C23" t="s">
        <v>5</v>
      </c>
      <c r="D23">
        <v>1.7402447585652653E-2</v>
      </c>
      <c r="E23" t="s">
        <v>6</v>
      </c>
      <c r="G23" t="s">
        <v>341</v>
      </c>
      <c r="H23" t="s">
        <v>5</v>
      </c>
      <c r="I23">
        <v>0.28632983765549413</v>
      </c>
      <c r="J23" t="s">
        <v>6</v>
      </c>
    </row>
    <row r="24" spans="2:10" x14ac:dyDescent="0.45">
      <c r="B24" t="s">
        <v>340</v>
      </c>
      <c r="C24" t="s">
        <v>9</v>
      </c>
      <c r="D24">
        <v>0.41799852783290253</v>
      </c>
      <c r="E24" t="s">
        <v>6</v>
      </c>
      <c r="G24" t="s">
        <v>341</v>
      </c>
      <c r="H24" t="s">
        <v>9</v>
      </c>
      <c r="I24">
        <v>0.26294430881466108</v>
      </c>
      <c r="J24" t="s">
        <v>6</v>
      </c>
    </row>
    <row r="25" spans="2:10" x14ac:dyDescent="0.45">
      <c r="B25" t="s">
        <v>340</v>
      </c>
      <c r="C25" t="s">
        <v>10</v>
      </c>
      <c r="D25">
        <v>3.1496118351201918E-2</v>
      </c>
      <c r="E25" t="s">
        <v>6</v>
      </c>
      <c r="G25" t="s">
        <v>341</v>
      </c>
      <c r="H25" t="s">
        <v>10</v>
      </c>
      <c r="I25">
        <v>0.24262205393425559</v>
      </c>
      <c r="J25" t="s">
        <v>6</v>
      </c>
    </row>
    <row r="26" spans="2:10" x14ac:dyDescent="0.45">
      <c r="B26" t="s">
        <v>340</v>
      </c>
      <c r="C26" t="s">
        <v>11</v>
      </c>
      <c r="D26">
        <v>0.53310290623024159</v>
      </c>
      <c r="E26" t="s">
        <v>6</v>
      </c>
      <c r="G26" t="s">
        <v>341</v>
      </c>
      <c r="H26" t="s">
        <v>11</v>
      </c>
      <c r="I26">
        <v>0.20810379959558917</v>
      </c>
      <c r="J26" t="s">
        <v>6</v>
      </c>
    </row>
    <row r="27" spans="2:10" x14ac:dyDescent="0.45">
      <c r="B27" t="s">
        <v>342</v>
      </c>
      <c r="C27" t="s">
        <v>5</v>
      </c>
      <c r="D27">
        <v>1.6285741749345099E-2</v>
      </c>
      <c r="E27" t="s">
        <v>6</v>
      </c>
      <c r="G27" t="s">
        <v>343</v>
      </c>
      <c r="H27" t="s">
        <v>5</v>
      </c>
      <c r="I27">
        <v>0.29375001392128447</v>
      </c>
      <c r="J27" t="s">
        <v>6</v>
      </c>
    </row>
    <row r="28" spans="2:10" x14ac:dyDescent="0.45">
      <c r="B28" t="s">
        <v>342</v>
      </c>
      <c r="C28" t="s">
        <v>9</v>
      </c>
      <c r="D28">
        <v>0.41942940007458823</v>
      </c>
      <c r="E28" t="s">
        <v>6</v>
      </c>
      <c r="G28" t="s">
        <v>343</v>
      </c>
      <c r="H28" t="s">
        <v>9</v>
      </c>
      <c r="I28">
        <v>0.27592093916771948</v>
      </c>
      <c r="J28" t="s">
        <v>6</v>
      </c>
    </row>
    <row r="29" spans="2:10" x14ac:dyDescent="0.45">
      <c r="B29" t="s">
        <v>342</v>
      </c>
      <c r="C29" t="s">
        <v>10</v>
      </c>
      <c r="D29">
        <v>3.0470897514936313E-2</v>
      </c>
      <c r="E29" t="s">
        <v>6</v>
      </c>
      <c r="G29" t="s">
        <v>343</v>
      </c>
      <c r="H29" t="s">
        <v>10</v>
      </c>
      <c r="I29">
        <v>0.23338556491187515</v>
      </c>
      <c r="J29" t="s">
        <v>6</v>
      </c>
    </row>
    <row r="30" spans="2:10" x14ac:dyDescent="0.45">
      <c r="B30" t="s">
        <v>342</v>
      </c>
      <c r="C30" t="s">
        <v>11</v>
      </c>
      <c r="D30">
        <v>0.53381396066112963</v>
      </c>
      <c r="E30" t="s">
        <v>6</v>
      </c>
      <c r="G30" t="s">
        <v>343</v>
      </c>
      <c r="H30" t="s">
        <v>11</v>
      </c>
      <c r="I30">
        <v>0.19694348199912001</v>
      </c>
      <c r="J30" t="s">
        <v>6</v>
      </c>
    </row>
    <row r="31" spans="2:10" x14ac:dyDescent="0.45">
      <c r="B31" t="s">
        <v>344</v>
      </c>
      <c r="C31" t="s">
        <v>5</v>
      </c>
      <c r="D31">
        <v>1.4199652218632744E-2</v>
      </c>
      <c r="E31" t="s">
        <v>6</v>
      </c>
      <c r="G31" t="s">
        <v>345</v>
      </c>
      <c r="H31" t="s">
        <v>5</v>
      </c>
      <c r="I31">
        <v>0.29528343019769399</v>
      </c>
      <c r="J31" t="s">
        <v>6</v>
      </c>
    </row>
    <row r="32" spans="2:10" x14ac:dyDescent="0.45">
      <c r="B32" t="s">
        <v>344</v>
      </c>
      <c r="C32" t="s">
        <v>9</v>
      </c>
      <c r="D32">
        <v>0.42078292885518914</v>
      </c>
      <c r="E32" t="s">
        <v>6</v>
      </c>
      <c r="G32" t="s">
        <v>345</v>
      </c>
      <c r="H32" t="s">
        <v>9</v>
      </c>
      <c r="I32">
        <v>0.27380455646995527</v>
      </c>
      <c r="J32" t="s">
        <v>6</v>
      </c>
    </row>
    <row r="33" spans="2:10" x14ac:dyDescent="0.45">
      <c r="B33" t="s">
        <v>344</v>
      </c>
      <c r="C33" t="s">
        <v>10</v>
      </c>
      <c r="D33">
        <v>2.6281781558578451E-2</v>
      </c>
      <c r="E33" t="s">
        <v>6</v>
      </c>
      <c r="G33" t="s">
        <v>345</v>
      </c>
      <c r="H33" t="s">
        <v>10</v>
      </c>
      <c r="I33">
        <v>0.23269717197485684</v>
      </c>
      <c r="J33" t="s">
        <v>6</v>
      </c>
    </row>
    <row r="34" spans="2:10" x14ac:dyDescent="0.45">
      <c r="B34" t="s">
        <v>344</v>
      </c>
      <c r="C34" t="s">
        <v>11</v>
      </c>
      <c r="D34">
        <v>0.53873563736759877</v>
      </c>
      <c r="E34" t="s">
        <v>6</v>
      </c>
      <c r="G34" t="s">
        <v>345</v>
      </c>
      <c r="H34" t="s">
        <v>11</v>
      </c>
      <c r="I34">
        <v>0.19821484135749387</v>
      </c>
      <c r="J34" t="s">
        <v>6</v>
      </c>
    </row>
    <row r="35" spans="2:10" x14ac:dyDescent="0.45">
      <c r="B35" t="s">
        <v>346</v>
      </c>
      <c r="C35" t="s">
        <v>5</v>
      </c>
      <c r="D35">
        <v>1.4601342769449657E-2</v>
      </c>
      <c r="E35" t="s">
        <v>6</v>
      </c>
      <c r="G35" t="s">
        <v>347</v>
      </c>
      <c r="H35" t="s">
        <v>5</v>
      </c>
      <c r="I35">
        <v>0.2882608776121825</v>
      </c>
      <c r="J35" t="s">
        <v>6</v>
      </c>
    </row>
    <row r="36" spans="2:10" x14ac:dyDescent="0.45">
      <c r="B36" t="s">
        <v>346</v>
      </c>
      <c r="C36" t="s">
        <v>9</v>
      </c>
      <c r="D36">
        <v>0.41668785375570794</v>
      </c>
      <c r="E36" t="s">
        <v>6</v>
      </c>
      <c r="G36" t="s">
        <v>347</v>
      </c>
      <c r="H36" t="s">
        <v>9</v>
      </c>
      <c r="I36">
        <v>0.26655146532699237</v>
      </c>
      <c r="J36" t="s">
        <v>6</v>
      </c>
    </row>
    <row r="37" spans="2:10" x14ac:dyDescent="0.45">
      <c r="B37" t="s">
        <v>346</v>
      </c>
      <c r="C37" t="s">
        <v>10</v>
      </c>
      <c r="D37">
        <v>2.7656629776286558E-2</v>
      </c>
      <c r="E37" t="s">
        <v>6</v>
      </c>
      <c r="G37" t="s">
        <v>347</v>
      </c>
      <c r="H37" t="s">
        <v>10</v>
      </c>
      <c r="I37">
        <v>0.23722219340365319</v>
      </c>
      <c r="J37" t="s">
        <v>6</v>
      </c>
    </row>
    <row r="38" spans="2:10" x14ac:dyDescent="0.45">
      <c r="B38" t="s">
        <v>346</v>
      </c>
      <c r="C38" t="s">
        <v>11</v>
      </c>
      <c r="D38">
        <v>0.54105417369855346</v>
      </c>
      <c r="E38" t="s">
        <v>6</v>
      </c>
      <c r="G38" t="s">
        <v>347</v>
      </c>
      <c r="H38" t="s">
        <v>11</v>
      </c>
      <c r="I38">
        <v>0.20796546365717358</v>
      </c>
      <c r="J38" t="s">
        <v>6</v>
      </c>
    </row>
    <row r="39" spans="2:10" x14ac:dyDescent="0.45">
      <c r="B39" t="s">
        <v>348</v>
      </c>
      <c r="C39" t="s">
        <v>5</v>
      </c>
      <c r="D39">
        <v>1.4420288731445999E-2</v>
      </c>
      <c r="E39" t="s">
        <v>6</v>
      </c>
      <c r="G39" t="s">
        <v>349</v>
      </c>
      <c r="H39" t="s">
        <v>5</v>
      </c>
      <c r="I39">
        <v>0.29169393843227054</v>
      </c>
      <c r="J39" t="s">
        <v>6</v>
      </c>
    </row>
    <row r="40" spans="2:10" x14ac:dyDescent="0.45">
      <c r="B40" t="s">
        <v>348</v>
      </c>
      <c r="C40" t="s">
        <v>9</v>
      </c>
      <c r="D40">
        <v>0.42118168352543561</v>
      </c>
      <c r="E40" t="s">
        <v>6</v>
      </c>
      <c r="G40" t="s">
        <v>349</v>
      </c>
      <c r="H40" t="s">
        <v>9</v>
      </c>
      <c r="I40">
        <v>0.27018459861614486</v>
      </c>
      <c r="J40" t="s">
        <v>6</v>
      </c>
    </row>
    <row r="41" spans="2:10" x14ac:dyDescent="0.45">
      <c r="B41" t="s">
        <v>348</v>
      </c>
      <c r="C41" t="s">
        <v>10</v>
      </c>
      <c r="D41">
        <v>2.698739059151899E-2</v>
      </c>
      <c r="E41" t="s">
        <v>6</v>
      </c>
      <c r="G41" t="s">
        <v>349</v>
      </c>
      <c r="H41" t="s">
        <v>10</v>
      </c>
      <c r="I41">
        <v>0.23372042446447133</v>
      </c>
      <c r="J41" t="s">
        <v>6</v>
      </c>
    </row>
    <row r="42" spans="2:10" x14ac:dyDescent="0.45">
      <c r="B42" t="s">
        <v>348</v>
      </c>
      <c r="C42" t="s">
        <v>11</v>
      </c>
      <c r="D42">
        <v>0.53741063715159809</v>
      </c>
      <c r="E42" t="s">
        <v>6</v>
      </c>
      <c r="G42" t="s">
        <v>349</v>
      </c>
      <c r="H42" t="s">
        <v>11</v>
      </c>
      <c r="I42">
        <v>0.20440103848711327</v>
      </c>
      <c r="J42" t="s">
        <v>6</v>
      </c>
    </row>
    <row r="43" spans="2:10" x14ac:dyDescent="0.45">
      <c r="B43" t="s">
        <v>350</v>
      </c>
      <c r="C43" t="s">
        <v>5</v>
      </c>
      <c r="D43">
        <v>1.4635062029461578E-2</v>
      </c>
      <c r="E43" t="s">
        <v>6</v>
      </c>
      <c r="G43" t="s">
        <v>351</v>
      </c>
      <c r="H43" t="s">
        <v>5</v>
      </c>
      <c r="I43">
        <v>0.29168365445881139</v>
      </c>
      <c r="J43" t="s">
        <v>6</v>
      </c>
    </row>
    <row r="44" spans="2:10" x14ac:dyDescent="0.45">
      <c r="B44" t="s">
        <v>350</v>
      </c>
      <c r="C44" t="s">
        <v>9</v>
      </c>
      <c r="D44">
        <v>0.42277353354360164</v>
      </c>
      <c r="E44" t="s">
        <v>6</v>
      </c>
      <c r="G44" t="s">
        <v>351</v>
      </c>
      <c r="H44" t="s">
        <v>9</v>
      </c>
      <c r="I44">
        <v>0.27152791716360064</v>
      </c>
      <c r="J44" t="s">
        <v>6</v>
      </c>
    </row>
    <row r="45" spans="2:10" x14ac:dyDescent="0.45">
      <c r="B45" t="s">
        <v>350</v>
      </c>
      <c r="C45" t="s">
        <v>10</v>
      </c>
      <c r="D45">
        <v>2.7685097565489335E-2</v>
      </c>
      <c r="E45" t="s">
        <v>6</v>
      </c>
      <c r="G45" t="s">
        <v>351</v>
      </c>
      <c r="H45" t="s">
        <v>10</v>
      </c>
      <c r="I45">
        <v>0.23534545049876648</v>
      </c>
      <c r="J45" t="s">
        <v>6</v>
      </c>
    </row>
    <row r="46" spans="2:10" x14ac:dyDescent="0.45">
      <c r="B46" t="s">
        <v>350</v>
      </c>
      <c r="C46" t="s">
        <v>11</v>
      </c>
      <c r="D46">
        <v>0.53490630686144747</v>
      </c>
      <c r="E46" t="s">
        <v>6</v>
      </c>
      <c r="G46" t="s">
        <v>351</v>
      </c>
      <c r="H46" t="s">
        <v>11</v>
      </c>
      <c r="I46">
        <v>0.20144297787882032</v>
      </c>
      <c r="J46" t="s">
        <v>6</v>
      </c>
    </row>
    <row r="47" spans="2:10" x14ac:dyDescent="0.45">
      <c r="B47" t="s">
        <v>352</v>
      </c>
      <c r="C47" t="s">
        <v>5</v>
      </c>
      <c r="D47">
        <v>1.3904027080452715E-2</v>
      </c>
      <c r="E47" t="s">
        <v>6</v>
      </c>
      <c r="G47" t="s">
        <v>353</v>
      </c>
      <c r="H47" t="s">
        <v>5</v>
      </c>
      <c r="I47">
        <v>0.28720149152208602</v>
      </c>
      <c r="J47" t="s">
        <v>6</v>
      </c>
    </row>
    <row r="48" spans="2:10" x14ac:dyDescent="0.45">
      <c r="B48" t="s">
        <v>352</v>
      </c>
      <c r="C48" t="s">
        <v>9</v>
      </c>
      <c r="D48">
        <v>0.42317091046083027</v>
      </c>
      <c r="E48" t="s">
        <v>6</v>
      </c>
      <c r="G48" t="s">
        <v>353</v>
      </c>
      <c r="H48" t="s">
        <v>9</v>
      </c>
      <c r="I48">
        <v>0.26640553954357865</v>
      </c>
      <c r="J48" t="s">
        <v>6</v>
      </c>
    </row>
    <row r="49" spans="2:10" x14ac:dyDescent="0.45">
      <c r="B49" t="s">
        <v>352</v>
      </c>
      <c r="C49" t="s">
        <v>10</v>
      </c>
      <c r="D49">
        <v>2.6526966739692244E-2</v>
      </c>
      <c r="E49" t="s">
        <v>6</v>
      </c>
      <c r="G49" t="s">
        <v>353</v>
      </c>
      <c r="H49" t="s">
        <v>10</v>
      </c>
      <c r="I49">
        <v>0.23999780479489899</v>
      </c>
      <c r="J49" t="s">
        <v>6</v>
      </c>
    </row>
    <row r="50" spans="2:10" x14ac:dyDescent="0.45">
      <c r="B50" t="s">
        <v>352</v>
      </c>
      <c r="C50" t="s">
        <v>11</v>
      </c>
      <c r="D50">
        <v>0.53639809571902475</v>
      </c>
      <c r="E50" t="s">
        <v>6</v>
      </c>
      <c r="G50" t="s">
        <v>353</v>
      </c>
      <c r="H50" t="s">
        <v>11</v>
      </c>
      <c r="I50">
        <v>0.20639516413943873</v>
      </c>
      <c r="J50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F6F5-9D0B-4F1F-88ED-ED47F971A4C7}">
  <dimension ref="B9:AF30"/>
  <sheetViews>
    <sheetView workbookViewId="0"/>
  </sheetViews>
  <sheetFormatPr defaultRowHeight="14.25" x14ac:dyDescent="0.45"/>
  <sheetData>
    <row r="9" spans="2:32" x14ac:dyDescent="0.45">
      <c r="B9" t="str">
        <f>IF(A11="x","DeActivated","~TFM_DINS-TSL: attribute=FLO_EMIS; other_indexes=ACT; region=BEL")</f>
        <v>~TFM_DINS-TSL: attribute=FLO_EMIS; other_indexes=ACT; region=BEL</v>
      </c>
      <c r="I9" t="str">
        <f>IF(A11="x","DeActivated","~TFM_INS-TSL: attribute=FLO_SHAR; limtype=FX; region=BEL")</f>
        <v>~TFM_INS-TSL: attribute=FLO_SHAR; limtype=FX; region=BEL</v>
      </c>
      <c r="P9" t="str">
        <f>IF(A11="x","DeActivated","~TFM_INS-TSL: attribute=FLO_SHAR; limtype=FX; region=BEL")</f>
        <v>~TFM_INS-TSL: attribute=FLO_SHAR; limtype=FX; region=BEL</v>
      </c>
      <c r="W9" t="str">
        <f>IF(A11="x","DeActivated","~TFM_DINS-TSL: attribute=NCAP_PKCNT; region=BEL")</f>
        <v>~TFM_DINS-TSL: attribute=NCAP_PKCNT; region=BEL</v>
      </c>
      <c r="AC9" t="str">
        <f>IF(A11="x","DeActivated","~TFM_DINS-AT: region=BEL")</f>
        <v>~TFM_DINS-AT: region=BEL</v>
      </c>
    </row>
    <row r="10" spans="2:3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I10" t="s">
        <v>3</v>
      </c>
      <c r="J10" t="s">
        <v>0</v>
      </c>
      <c r="K10" t="s">
        <v>5</v>
      </c>
      <c r="L10" t="s">
        <v>9</v>
      </c>
      <c r="M10" t="s">
        <v>10</v>
      </c>
      <c r="N10" t="s">
        <v>11</v>
      </c>
      <c r="P10" t="s">
        <v>3</v>
      </c>
      <c r="Q10" t="s">
        <v>0</v>
      </c>
      <c r="R10" t="s">
        <v>5</v>
      </c>
      <c r="S10" t="s">
        <v>9</v>
      </c>
      <c r="T10" t="s">
        <v>10</v>
      </c>
      <c r="U10" t="s">
        <v>11</v>
      </c>
      <c r="W10" t="s">
        <v>3</v>
      </c>
      <c r="X10" t="s">
        <v>5</v>
      </c>
      <c r="Y10" t="s">
        <v>9</v>
      </c>
      <c r="Z10" t="s">
        <v>10</v>
      </c>
      <c r="AA10" t="s">
        <v>11</v>
      </c>
      <c r="AC10" t="s">
        <v>3</v>
      </c>
      <c r="AD10" t="s">
        <v>0</v>
      </c>
      <c r="AE10" t="s">
        <v>84</v>
      </c>
      <c r="AF10" t="s">
        <v>85</v>
      </c>
    </row>
    <row r="11" spans="2:32" x14ac:dyDescent="0.45">
      <c r="B11" t="s">
        <v>354</v>
      </c>
      <c r="C11" t="s">
        <v>87</v>
      </c>
      <c r="D11">
        <v>0.89654344176723022</v>
      </c>
      <c r="E11">
        <v>0.42996341411292871</v>
      </c>
      <c r="F11">
        <v>0.85547770717819827</v>
      </c>
      <c r="G11">
        <v>0.37174156512317136</v>
      </c>
      <c r="I11" t="s">
        <v>88</v>
      </c>
      <c r="J11" t="s">
        <v>89</v>
      </c>
      <c r="K11">
        <v>0.18161768580789084</v>
      </c>
      <c r="L11">
        <v>0.1822386409575435</v>
      </c>
      <c r="M11">
        <v>0.13279360978726204</v>
      </c>
      <c r="N11">
        <v>0.14197921181416284</v>
      </c>
      <c r="P11" t="s">
        <v>88</v>
      </c>
      <c r="Q11" t="s">
        <v>90</v>
      </c>
      <c r="R11">
        <v>0.48818294404637497</v>
      </c>
      <c r="S11">
        <v>7.8392547637968199E-2</v>
      </c>
      <c r="T11">
        <v>0.51249122021271432</v>
      </c>
      <c r="U11">
        <v>6.7650107232841261E-2</v>
      </c>
      <c r="W11" t="s">
        <v>354</v>
      </c>
      <c r="X11">
        <v>7.072994885358252E-3</v>
      </c>
      <c r="Y11">
        <v>0.19200019549591413</v>
      </c>
      <c r="Z11">
        <v>1.3407898030538972E-2</v>
      </c>
      <c r="AA11">
        <v>0.2502252337045543</v>
      </c>
      <c r="AC11" t="s">
        <v>354</v>
      </c>
      <c r="AD11" t="s">
        <v>91</v>
      </c>
      <c r="AE11" t="s">
        <v>92</v>
      </c>
      <c r="AF11">
        <v>0.2502252337045543</v>
      </c>
    </row>
    <row r="12" spans="2:32" x14ac:dyDescent="0.45">
      <c r="B12" t="s">
        <v>355</v>
      </c>
      <c r="C12" t="s">
        <v>87</v>
      </c>
      <c r="D12">
        <v>0.89292146754931767</v>
      </c>
      <c r="E12">
        <v>0.4210474267785192</v>
      </c>
      <c r="F12">
        <v>0.85166177412716215</v>
      </c>
      <c r="G12">
        <v>0.36927252194471188</v>
      </c>
      <c r="I12" t="s">
        <v>94</v>
      </c>
      <c r="J12" t="s">
        <v>89</v>
      </c>
      <c r="K12">
        <v>1.3151309486465815E-2</v>
      </c>
      <c r="L12">
        <v>7.3944868630957446E-3</v>
      </c>
      <c r="M12">
        <v>1.2714685999212199E-2</v>
      </c>
      <c r="N12">
        <v>1.1521284003818652E-2</v>
      </c>
      <c r="P12" t="s">
        <v>94</v>
      </c>
      <c r="Q12" t="s">
        <v>90</v>
      </c>
      <c r="R12">
        <v>2.7584078843432551E-2</v>
      </c>
      <c r="S12">
        <v>2.0565767539895193E-2</v>
      </c>
      <c r="T12">
        <v>2.8914759214454654E-2</v>
      </c>
      <c r="U12">
        <v>2.2793652504677742E-2</v>
      </c>
      <c r="W12" t="s">
        <v>355</v>
      </c>
      <c r="X12">
        <v>7.7405472922160226E-3</v>
      </c>
      <c r="Y12">
        <v>0.19426668792556456</v>
      </c>
      <c r="Z12">
        <v>1.4343192278066744E-2</v>
      </c>
      <c r="AA12">
        <v>0.25171587368471926</v>
      </c>
      <c r="AC12" t="s">
        <v>355</v>
      </c>
      <c r="AD12" t="s">
        <v>91</v>
      </c>
      <c r="AE12" t="s">
        <v>92</v>
      </c>
      <c r="AF12">
        <v>0.25171587368471926</v>
      </c>
    </row>
    <row r="13" spans="2:32" x14ac:dyDescent="0.45">
      <c r="B13" t="s">
        <v>356</v>
      </c>
      <c r="C13" t="s">
        <v>87</v>
      </c>
      <c r="D13">
        <v>0.89598776780080003</v>
      </c>
      <c r="E13">
        <v>0.42445175446749811</v>
      </c>
      <c r="F13">
        <v>0.85549011192749802</v>
      </c>
      <c r="G13">
        <v>0.36533880352658904</v>
      </c>
      <c r="W13" t="s">
        <v>356</v>
      </c>
      <c r="X13">
        <v>7.0310608478796255E-3</v>
      </c>
      <c r="Y13">
        <v>0.19186142303431566</v>
      </c>
      <c r="Z13">
        <v>1.3237184142410326E-2</v>
      </c>
      <c r="AA13">
        <v>0.24272953075682854</v>
      </c>
      <c r="AC13" t="s">
        <v>356</v>
      </c>
      <c r="AD13" t="s">
        <v>91</v>
      </c>
      <c r="AE13" t="s">
        <v>92</v>
      </c>
      <c r="AF13">
        <v>0.24272953075682854</v>
      </c>
    </row>
    <row r="14" spans="2:32" x14ac:dyDescent="0.45">
      <c r="B14" t="s">
        <v>357</v>
      </c>
      <c r="C14" t="s">
        <v>87</v>
      </c>
      <c r="D14">
        <v>0.89274283505069063</v>
      </c>
      <c r="E14">
        <v>0.42447371730891098</v>
      </c>
      <c r="F14">
        <v>0.85100353251984817</v>
      </c>
      <c r="G14">
        <v>0.3689344553491628</v>
      </c>
      <c r="W14" t="s">
        <v>357</v>
      </c>
      <c r="X14">
        <v>8.3525557735405504E-3</v>
      </c>
      <c r="Y14">
        <v>0.2006244236506472</v>
      </c>
      <c r="Z14">
        <v>1.5034409731631471E-2</v>
      </c>
      <c r="AA14">
        <v>0.25447223153081366</v>
      </c>
      <c r="AC14" t="s">
        <v>357</v>
      </c>
      <c r="AD14" t="s">
        <v>91</v>
      </c>
      <c r="AE14" t="s">
        <v>92</v>
      </c>
      <c r="AF14">
        <v>0.25447223153081366</v>
      </c>
    </row>
    <row r="15" spans="2:32" x14ac:dyDescent="0.45">
      <c r="B15" t="s">
        <v>358</v>
      </c>
      <c r="C15" t="s">
        <v>87</v>
      </c>
      <c r="D15">
        <v>0.89352385898302322</v>
      </c>
      <c r="E15">
        <v>0.421624037834407</v>
      </c>
      <c r="F15">
        <v>0.85329520243145318</v>
      </c>
      <c r="G15">
        <v>0.36631357136980197</v>
      </c>
      <c r="W15" t="s">
        <v>358</v>
      </c>
      <c r="X15">
        <v>7.6082813340738673E-3</v>
      </c>
      <c r="Y15">
        <v>0.19594667069294622</v>
      </c>
      <c r="Z15">
        <v>1.4157434607508894E-2</v>
      </c>
      <c r="AA15">
        <v>0.24802145184370566</v>
      </c>
      <c r="AC15" t="s">
        <v>358</v>
      </c>
      <c r="AD15" t="s">
        <v>91</v>
      </c>
      <c r="AE15" t="s">
        <v>92</v>
      </c>
      <c r="AF15">
        <v>0.24802145184370566</v>
      </c>
    </row>
    <row r="16" spans="2:32" x14ac:dyDescent="0.45">
      <c r="B16" t="s">
        <v>359</v>
      </c>
      <c r="C16" t="s">
        <v>87</v>
      </c>
      <c r="D16">
        <v>0.90091081119727867</v>
      </c>
      <c r="E16">
        <v>0.43167532612269288</v>
      </c>
      <c r="F16">
        <v>0.86038871741404666</v>
      </c>
      <c r="G16">
        <v>0.36957906409271196</v>
      </c>
      <c r="W16" t="s">
        <v>359</v>
      </c>
      <c r="X16">
        <v>6.5003050662334472E-3</v>
      </c>
      <c r="Y16">
        <v>0.19262566167872686</v>
      </c>
      <c r="Z16">
        <v>1.1965507709905931E-2</v>
      </c>
      <c r="AA16">
        <v>0.24527429421613983</v>
      </c>
      <c r="AC16" t="s">
        <v>359</v>
      </c>
      <c r="AD16" t="s">
        <v>91</v>
      </c>
      <c r="AE16" t="s">
        <v>92</v>
      </c>
      <c r="AF16">
        <v>0.24527429421613983</v>
      </c>
    </row>
    <row r="17" spans="2:32" x14ac:dyDescent="0.45">
      <c r="B17" t="s">
        <v>360</v>
      </c>
      <c r="C17" t="s">
        <v>87</v>
      </c>
      <c r="D17">
        <v>0.89898704167881571</v>
      </c>
      <c r="E17">
        <v>0.43512389409387975</v>
      </c>
      <c r="F17">
        <v>0.85808209365811305</v>
      </c>
      <c r="G17">
        <v>0.37293930422833932</v>
      </c>
      <c r="W17" t="s">
        <v>360</v>
      </c>
      <c r="X17">
        <v>6.6632716698410204E-3</v>
      </c>
      <c r="Y17">
        <v>0.1901540437025106</v>
      </c>
      <c r="Z17">
        <v>1.2552038956415355E-2</v>
      </c>
      <c r="AA17">
        <v>0.24555895352145948</v>
      </c>
      <c r="AC17" t="s">
        <v>360</v>
      </c>
      <c r="AD17" t="s">
        <v>91</v>
      </c>
      <c r="AE17" t="s">
        <v>92</v>
      </c>
      <c r="AF17">
        <v>0.24555895352145948</v>
      </c>
    </row>
    <row r="18" spans="2:32" x14ac:dyDescent="0.45">
      <c r="B18" t="s">
        <v>361</v>
      </c>
      <c r="C18" t="s">
        <v>87</v>
      </c>
      <c r="D18">
        <v>0.90011714393500153</v>
      </c>
      <c r="E18">
        <v>0.42842848399999356</v>
      </c>
      <c r="F18">
        <v>0.85884868814475013</v>
      </c>
      <c r="G18">
        <v>0.36680152851411973</v>
      </c>
      <c r="W18" t="s">
        <v>361</v>
      </c>
      <c r="X18">
        <v>6.5264824386138676E-3</v>
      </c>
      <c r="Y18">
        <v>0.19062273385693426</v>
      </c>
      <c r="Z18">
        <v>1.2147486092909852E-2</v>
      </c>
      <c r="AA18">
        <v>0.2418977195606454</v>
      </c>
      <c r="AC18" t="s">
        <v>361</v>
      </c>
      <c r="AD18" t="s">
        <v>91</v>
      </c>
      <c r="AE18" t="s">
        <v>92</v>
      </c>
      <c r="AF18">
        <v>0.2418977195606454</v>
      </c>
    </row>
    <row r="19" spans="2:32" x14ac:dyDescent="0.45">
      <c r="B19" t="s">
        <v>362</v>
      </c>
      <c r="C19" t="s">
        <v>87</v>
      </c>
      <c r="D19">
        <v>0.90009959633810444</v>
      </c>
      <c r="E19">
        <v>0.43314469843902142</v>
      </c>
      <c r="F19">
        <v>0.85722026645062988</v>
      </c>
      <c r="G19">
        <v>0.36697504562027267</v>
      </c>
      <c r="W19" t="s">
        <v>362</v>
      </c>
      <c r="X19">
        <v>6.5950954626789477E-3</v>
      </c>
      <c r="Y19">
        <v>0.19051725282757356</v>
      </c>
      <c r="Z19">
        <v>1.2407745455757471E-2</v>
      </c>
      <c r="AA19">
        <v>0.23973118687829434</v>
      </c>
      <c r="AC19" t="s">
        <v>362</v>
      </c>
      <c r="AD19" t="s">
        <v>91</v>
      </c>
      <c r="AE19" t="s">
        <v>92</v>
      </c>
      <c r="AF19">
        <v>0.23973118687829434</v>
      </c>
    </row>
    <row r="20" spans="2:32" x14ac:dyDescent="0.45">
      <c r="B20" t="s">
        <v>363</v>
      </c>
      <c r="C20" t="s">
        <v>87</v>
      </c>
      <c r="D20">
        <v>0.90158342943321435</v>
      </c>
      <c r="E20">
        <v>0.43495089012185606</v>
      </c>
      <c r="F20">
        <v>0.85965930754801456</v>
      </c>
      <c r="G20">
        <v>0.36377901891470943</v>
      </c>
      <c r="W20" t="s">
        <v>363</v>
      </c>
      <c r="X20">
        <v>6.2771017359902655E-3</v>
      </c>
      <c r="Y20">
        <v>0.19104442484930564</v>
      </c>
      <c r="Z20">
        <v>1.1910402922262713E-2</v>
      </c>
      <c r="AA20">
        <v>0.24083859679247091</v>
      </c>
      <c r="AC20" t="s">
        <v>363</v>
      </c>
      <c r="AD20" t="s">
        <v>91</v>
      </c>
      <c r="AE20" t="s">
        <v>92</v>
      </c>
      <c r="AF20">
        <v>0.24083859679247091</v>
      </c>
    </row>
    <row r="21" spans="2:32" x14ac:dyDescent="0.45">
      <c r="B21" t="s">
        <v>364</v>
      </c>
      <c r="C21" t="s">
        <v>87</v>
      </c>
      <c r="D21">
        <v>0.2891398657296661</v>
      </c>
      <c r="E21">
        <v>0.31097232388288903</v>
      </c>
      <c r="F21">
        <v>0.3280474205023185</v>
      </c>
      <c r="G21">
        <v>0.35991794770548891</v>
      </c>
      <c r="W21" t="s">
        <v>364</v>
      </c>
      <c r="X21">
        <v>0.44219269093618041</v>
      </c>
      <c r="Y21">
        <v>0.422231243545306</v>
      </c>
      <c r="Z21">
        <v>0.35860665381140588</v>
      </c>
      <c r="AA21">
        <v>0.31483705400846346</v>
      </c>
      <c r="AC21" t="s">
        <v>364</v>
      </c>
      <c r="AD21" t="s">
        <v>91</v>
      </c>
      <c r="AE21" t="s">
        <v>92</v>
      </c>
      <c r="AF21">
        <v>0.4399829211787209</v>
      </c>
    </row>
    <row r="22" spans="2:32" x14ac:dyDescent="0.45">
      <c r="B22" t="s">
        <v>365</v>
      </c>
      <c r="C22" t="s">
        <v>87</v>
      </c>
      <c r="D22">
        <v>0.31059848944401708</v>
      </c>
      <c r="E22">
        <v>0.33738004188484433</v>
      </c>
      <c r="F22">
        <v>0.33146810015302358</v>
      </c>
      <c r="G22">
        <v>0.38513858450032085</v>
      </c>
      <c r="W22" t="s">
        <v>365</v>
      </c>
      <c r="X22">
        <v>0.38411233487389712</v>
      </c>
      <c r="Y22">
        <v>0.36278810706656706</v>
      </c>
      <c r="Z22">
        <v>0.31466474761518159</v>
      </c>
      <c r="AA22">
        <v>0.27213712738004336</v>
      </c>
      <c r="AC22" t="s">
        <v>365</v>
      </c>
      <c r="AD22" t="s">
        <v>91</v>
      </c>
      <c r="AE22" t="s">
        <v>92</v>
      </c>
      <c r="AF22">
        <v>0.38161960916696874</v>
      </c>
    </row>
    <row r="23" spans="2:32" x14ac:dyDescent="0.45">
      <c r="B23" t="s">
        <v>366</v>
      </c>
      <c r="C23" t="s">
        <v>87</v>
      </c>
      <c r="D23">
        <v>0.32185121312292686</v>
      </c>
      <c r="E23">
        <v>0.35411993747688081</v>
      </c>
      <c r="F23">
        <v>0.34774416847961359</v>
      </c>
      <c r="G23">
        <v>0.40110066003795075</v>
      </c>
      <c r="W23" t="s">
        <v>366</v>
      </c>
      <c r="X23">
        <v>0.35520535991035818</v>
      </c>
      <c r="Y23">
        <v>0.32321040978125271</v>
      </c>
      <c r="Z23">
        <v>0.30128230737310785</v>
      </c>
      <c r="AA23">
        <v>0.25678546249995987</v>
      </c>
      <c r="AC23" t="s">
        <v>366</v>
      </c>
      <c r="AD23" t="s">
        <v>91</v>
      </c>
      <c r="AE23" t="s">
        <v>92</v>
      </c>
      <c r="AF23">
        <v>0.35217249549307339</v>
      </c>
    </row>
    <row r="24" spans="2:32" x14ac:dyDescent="0.45">
      <c r="B24" t="s">
        <v>367</v>
      </c>
      <c r="C24" t="s">
        <v>87</v>
      </c>
      <c r="D24">
        <v>0.33200189865511281</v>
      </c>
      <c r="E24">
        <v>0.36463158234132931</v>
      </c>
      <c r="F24">
        <v>0.3543954766822236</v>
      </c>
      <c r="G24">
        <v>0.40978904688733725</v>
      </c>
      <c r="W24" t="s">
        <v>367</v>
      </c>
      <c r="X24">
        <v>0.33108558590462495</v>
      </c>
      <c r="Y24">
        <v>0.30404470332894151</v>
      </c>
      <c r="Z24">
        <v>0.27901287229251598</v>
      </c>
      <c r="AA24">
        <v>0.23931723402145968</v>
      </c>
      <c r="AC24" t="s">
        <v>367</v>
      </c>
      <c r="AD24" t="s">
        <v>91</v>
      </c>
      <c r="AE24" t="s">
        <v>92</v>
      </c>
      <c r="AF24">
        <v>0.32805382684743095</v>
      </c>
    </row>
    <row r="25" spans="2:32" x14ac:dyDescent="0.45">
      <c r="B25" t="s">
        <v>368</v>
      </c>
      <c r="C25" t="s">
        <v>87</v>
      </c>
      <c r="D25">
        <v>0.31610130956119425</v>
      </c>
      <c r="E25">
        <v>0.35828378733140226</v>
      </c>
      <c r="F25">
        <v>0.34726880757867623</v>
      </c>
      <c r="G25">
        <v>0.40259835442824027</v>
      </c>
      <c r="W25" t="s">
        <v>368</v>
      </c>
      <c r="X25">
        <v>0.36939887993445625</v>
      </c>
      <c r="Y25">
        <v>0.34697831846343802</v>
      </c>
      <c r="Z25">
        <v>0.29188512810649153</v>
      </c>
      <c r="AA25">
        <v>0.24630860736720181</v>
      </c>
      <c r="AC25" t="s">
        <v>368</v>
      </c>
      <c r="AD25" t="s">
        <v>91</v>
      </c>
      <c r="AE25" t="s">
        <v>92</v>
      </c>
      <c r="AF25">
        <v>0.36664155208698807</v>
      </c>
    </row>
    <row r="26" spans="2:32" x14ac:dyDescent="0.45">
      <c r="B26" t="s">
        <v>369</v>
      </c>
      <c r="C26" t="s">
        <v>87</v>
      </c>
      <c r="D26">
        <v>0.327619200284954</v>
      </c>
      <c r="E26">
        <v>0.37267195317644286</v>
      </c>
      <c r="F26">
        <v>0.35785481080390785</v>
      </c>
      <c r="G26">
        <v>0.4161904473785038</v>
      </c>
      <c r="W26" t="s">
        <v>369</v>
      </c>
      <c r="X26">
        <v>0.34291992927969678</v>
      </c>
      <c r="Y26">
        <v>0.31797598354324813</v>
      </c>
      <c r="Z26">
        <v>0.26876025948438537</v>
      </c>
      <c r="AA26">
        <v>0.22893390471738287</v>
      </c>
      <c r="AC26" t="s">
        <v>369</v>
      </c>
      <c r="AD26" t="s">
        <v>91</v>
      </c>
      <c r="AE26" t="s">
        <v>92</v>
      </c>
      <c r="AF26">
        <v>0.33971163011224254</v>
      </c>
    </row>
    <row r="27" spans="2:32" x14ac:dyDescent="0.45">
      <c r="B27" t="s">
        <v>370</v>
      </c>
      <c r="C27" t="s">
        <v>87</v>
      </c>
      <c r="D27">
        <v>0.32512882715978308</v>
      </c>
      <c r="E27">
        <v>0.35310928962755134</v>
      </c>
      <c r="F27">
        <v>0.36179205294390943</v>
      </c>
      <c r="G27">
        <v>0.40382647666684784</v>
      </c>
      <c r="W27" t="s">
        <v>370</v>
      </c>
      <c r="X27">
        <v>0.36782721607898688</v>
      </c>
      <c r="Y27">
        <v>0.34012552880973618</v>
      </c>
      <c r="Z27">
        <v>0.30104663078356625</v>
      </c>
      <c r="AA27">
        <v>0.26391840179473763</v>
      </c>
      <c r="AC27" t="s">
        <v>370</v>
      </c>
      <c r="AD27" t="s">
        <v>91</v>
      </c>
      <c r="AE27" t="s">
        <v>92</v>
      </c>
      <c r="AF27">
        <v>0.36562861757305254</v>
      </c>
    </row>
    <row r="28" spans="2:32" x14ac:dyDescent="0.45">
      <c r="B28" t="s">
        <v>371</v>
      </c>
      <c r="C28" t="s">
        <v>87</v>
      </c>
      <c r="D28">
        <v>0.32899608857540669</v>
      </c>
      <c r="E28">
        <v>0.36089557766611974</v>
      </c>
      <c r="F28">
        <v>0.37111440574839072</v>
      </c>
      <c r="G28">
        <v>0.41107389244572617</v>
      </c>
      <c r="W28" t="s">
        <v>371</v>
      </c>
      <c r="X28">
        <v>0.36383845673367848</v>
      </c>
      <c r="Y28">
        <v>0.33700922248177589</v>
      </c>
      <c r="Z28">
        <v>0.2899333417355397</v>
      </c>
      <c r="AA28">
        <v>0.25356224762372936</v>
      </c>
      <c r="AC28" t="s">
        <v>371</v>
      </c>
      <c r="AD28" t="s">
        <v>91</v>
      </c>
      <c r="AE28" t="s">
        <v>92</v>
      </c>
      <c r="AF28">
        <v>0.36204793762840798</v>
      </c>
    </row>
    <row r="29" spans="2:32" x14ac:dyDescent="0.45">
      <c r="B29" t="s">
        <v>372</v>
      </c>
      <c r="C29" t="s">
        <v>87</v>
      </c>
      <c r="D29">
        <v>0.31829512992574405</v>
      </c>
      <c r="E29">
        <v>0.35221383743566603</v>
      </c>
      <c r="F29">
        <v>0.35338670838387148</v>
      </c>
      <c r="G29">
        <v>0.4008362855532967</v>
      </c>
      <c r="W29" t="s">
        <v>372</v>
      </c>
      <c r="X29">
        <v>0.37521238367246623</v>
      </c>
      <c r="Y29">
        <v>0.34928469756594166</v>
      </c>
      <c r="Z29">
        <v>0.30108642607893832</v>
      </c>
      <c r="AA29">
        <v>0.25771369762913909</v>
      </c>
      <c r="AC29" t="s">
        <v>372</v>
      </c>
      <c r="AD29" t="s">
        <v>91</v>
      </c>
      <c r="AE29" t="s">
        <v>92</v>
      </c>
      <c r="AF29">
        <v>0.37195235657048376</v>
      </c>
    </row>
    <row r="30" spans="2:32" x14ac:dyDescent="0.45">
      <c r="B30" t="s">
        <v>373</v>
      </c>
      <c r="C30" t="s">
        <v>87</v>
      </c>
      <c r="D30">
        <v>0.31719156036967566</v>
      </c>
      <c r="E30">
        <v>0.3418715318989109</v>
      </c>
      <c r="F30">
        <v>0.34127112614912575</v>
      </c>
      <c r="G30">
        <v>0.3927790092585316</v>
      </c>
      <c r="W30" t="s">
        <v>373</v>
      </c>
      <c r="X30">
        <v>0.38046363054816906</v>
      </c>
      <c r="Y30">
        <v>0.35291466710610475</v>
      </c>
      <c r="Z30">
        <v>0.31619429106267238</v>
      </c>
      <c r="AA30">
        <v>0.2719232063793478</v>
      </c>
      <c r="AC30" t="s">
        <v>373</v>
      </c>
      <c r="AD30" t="s">
        <v>91</v>
      </c>
      <c r="AE30" t="s">
        <v>92</v>
      </c>
      <c r="AF30">
        <v>0.37759071446242104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0529-FEB7-4378-95AC-0610B77FC375}">
  <dimension ref="A9:S68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region=BEL")</f>
        <v>~TFM_DINS-AT: region=BEL</v>
      </c>
      <c r="H9" t="str">
        <f>IF(A11="x","DeActivated","~TFM_DINS-AT: region=BEL")</f>
        <v>~TFM_DINS-AT: region=BEL</v>
      </c>
      <c r="L9" t="str">
        <f>IF(A11="x","DeActivated","~TFM_DINS-AT: region=BEL")</f>
        <v>~TFM_DINS-AT: region=BEL</v>
      </c>
      <c r="P9" t="str">
        <f>IF(A11="x","DeActivated","~TFM_INS-AT: region=BEL")</f>
        <v>~TFM_INS-AT: region=BEL</v>
      </c>
    </row>
    <row r="10" spans="1:19" x14ac:dyDescent="0.45">
      <c r="A10" t="s">
        <v>169</v>
      </c>
      <c r="C10" t="s">
        <v>170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171</v>
      </c>
      <c r="P10" t="s">
        <v>172</v>
      </c>
      <c r="Q10" t="s">
        <v>1</v>
      </c>
      <c r="R10" t="s">
        <v>173</v>
      </c>
      <c r="S10" t="s">
        <v>174</v>
      </c>
    </row>
    <row r="11" spans="1:19" x14ac:dyDescent="0.45">
      <c r="C11">
        <v>0.24931506849315069</v>
      </c>
      <c r="D11">
        <v>0.13646719538572463</v>
      </c>
      <c r="E11" t="s">
        <v>5</v>
      </c>
      <c r="F11" t="s">
        <v>175</v>
      </c>
      <c r="H11" t="s">
        <v>176</v>
      </c>
      <c r="I11" t="s">
        <v>5</v>
      </c>
      <c r="L11" t="s">
        <v>177</v>
      </c>
      <c r="M11" t="s">
        <v>5</v>
      </c>
      <c r="N11">
        <v>0.32495501947194882</v>
      </c>
      <c r="P11">
        <v>2020</v>
      </c>
      <c r="Q11" t="s">
        <v>178</v>
      </c>
      <c r="R11">
        <v>0.24855000000000002</v>
      </c>
      <c r="S11" t="s">
        <v>179</v>
      </c>
    </row>
    <row r="12" spans="1:19" x14ac:dyDescent="0.45">
      <c r="C12">
        <v>0.24931506849315069</v>
      </c>
      <c r="D12">
        <v>0.36216294160057688</v>
      </c>
      <c r="E12" t="s">
        <v>9</v>
      </c>
      <c r="F12" t="s">
        <v>175</v>
      </c>
      <c r="H12" t="s">
        <v>176</v>
      </c>
      <c r="I12" t="s">
        <v>9</v>
      </c>
      <c r="L12" t="s">
        <v>177</v>
      </c>
      <c r="M12" t="s">
        <v>9</v>
      </c>
      <c r="N12">
        <v>0.15685537067552402</v>
      </c>
      <c r="P12">
        <v>2020</v>
      </c>
      <c r="Q12" t="s">
        <v>180</v>
      </c>
      <c r="R12">
        <v>6.246666666666667E-2</v>
      </c>
      <c r="S12" t="s">
        <v>179</v>
      </c>
    </row>
    <row r="13" spans="1:19" x14ac:dyDescent="0.45">
      <c r="C13">
        <v>0.25068493150684934</v>
      </c>
      <c r="D13">
        <v>0.13721701514059123</v>
      </c>
      <c r="E13" t="s">
        <v>10</v>
      </c>
      <c r="F13" t="s">
        <v>175</v>
      </c>
      <c r="H13" t="s">
        <v>176</v>
      </c>
      <c r="I13" t="s">
        <v>10</v>
      </c>
      <c r="L13" t="s">
        <v>177</v>
      </c>
      <c r="M13" t="s">
        <v>10</v>
      </c>
      <c r="N13">
        <v>0.42770852011976701</v>
      </c>
      <c r="P13">
        <v>2021</v>
      </c>
      <c r="Q13" t="s">
        <v>178</v>
      </c>
      <c r="R13">
        <v>0.27265</v>
      </c>
      <c r="S13" t="s">
        <v>179</v>
      </c>
    </row>
    <row r="14" spans="1:19" x14ac:dyDescent="0.45">
      <c r="C14">
        <v>0.25068493150684934</v>
      </c>
      <c r="D14">
        <v>0.36415284787310753</v>
      </c>
      <c r="E14" t="s">
        <v>11</v>
      </c>
      <c r="F14" t="s">
        <v>175</v>
      </c>
      <c r="H14" t="s">
        <v>176</v>
      </c>
      <c r="I14" t="s">
        <v>11</v>
      </c>
      <c r="L14" t="s">
        <v>177</v>
      </c>
      <c r="M14" t="s">
        <v>11</v>
      </c>
      <c r="N14">
        <v>0.24480709730585537</v>
      </c>
      <c r="P14">
        <v>2021</v>
      </c>
      <c r="Q14" t="s">
        <v>180</v>
      </c>
      <c r="R14">
        <v>0.20638333333333334</v>
      </c>
      <c r="S14" t="s">
        <v>179</v>
      </c>
    </row>
    <row r="15" spans="1:19" x14ac:dyDescent="0.45">
      <c r="H15" t="s">
        <v>181</v>
      </c>
      <c r="I15" t="s">
        <v>5</v>
      </c>
      <c r="P15">
        <v>2022</v>
      </c>
      <c r="Q15" t="s">
        <v>178</v>
      </c>
      <c r="R15">
        <v>0.11325</v>
      </c>
      <c r="S15" t="s">
        <v>179</v>
      </c>
    </row>
    <row r="16" spans="1:19" x14ac:dyDescent="0.45">
      <c r="H16" t="s">
        <v>181</v>
      </c>
      <c r="I16" t="s">
        <v>9</v>
      </c>
      <c r="P16">
        <v>2022</v>
      </c>
      <c r="Q16" t="s">
        <v>180</v>
      </c>
      <c r="R16">
        <v>3.8566666666666666E-2</v>
      </c>
      <c r="S16" t="s">
        <v>179</v>
      </c>
    </row>
    <row r="17" spans="8:19" x14ac:dyDescent="0.45">
      <c r="H17" t="s">
        <v>181</v>
      </c>
      <c r="I17" t="s">
        <v>10</v>
      </c>
      <c r="P17">
        <v>2025</v>
      </c>
      <c r="Q17" t="s">
        <v>178</v>
      </c>
      <c r="R17">
        <v>0.46511666666666662</v>
      </c>
      <c r="S17" t="s">
        <v>179</v>
      </c>
    </row>
    <row r="18" spans="8:19" x14ac:dyDescent="0.45">
      <c r="H18" t="s">
        <v>181</v>
      </c>
      <c r="I18" t="s">
        <v>11</v>
      </c>
      <c r="P18">
        <v>2025</v>
      </c>
      <c r="Q18" t="s">
        <v>180</v>
      </c>
      <c r="R18">
        <v>0.18793333333333331</v>
      </c>
      <c r="S18" t="s">
        <v>179</v>
      </c>
    </row>
    <row r="19" spans="8:19" x14ac:dyDescent="0.45">
      <c r="P19">
        <v>2026</v>
      </c>
      <c r="Q19" t="s">
        <v>178</v>
      </c>
      <c r="R19">
        <v>0.4446666666666666</v>
      </c>
      <c r="S19" t="s">
        <v>179</v>
      </c>
    </row>
    <row r="20" spans="8:19" x14ac:dyDescent="0.45">
      <c r="P20">
        <v>2026</v>
      </c>
      <c r="Q20" t="s">
        <v>180</v>
      </c>
      <c r="R20">
        <v>0.13700000000000001</v>
      </c>
      <c r="S20" t="s">
        <v>179</v>
      </c>
    </row>
    <row r="21" spans="8:19" x14ac:dyDescent="0.45">
      <c r="P21">
        <v>2027</v>
      </c>
      <c r="Q21" t="s">
        <v>178</v>
      </c>
      <c r="R21">
        <v>0.4649833333333333</v>
      </c>
      <c r="S21" t="s">
        <v>179</v>
      </c>
    </row>
    <row r="22" spans="8:19" x14ac:dyDescent="0.45">
      <c r="P22">
        <v>2027</v>
      </c>
      <c r="Q22" t="s">
        <v>180</v>
      </c>
      <c r="R22">
        <v>0.15886666666666666</v>
      </c>
      <c r="S22" t="s">
        <v>179</v>
      </c>
    </row>
    <row r="23" spans="8:19" x14ac:dyDescent="0.45">
      <c r="P23">
        <v>2028</v>
      </c>
      <c r="Q23" t="s">
        <v>178</v>
      </c>
      <c r="R23">
        <v>0.5351499999999999</v>
      </c>
      <c r="S23" t="s">
        <v>179</v>
      </c>
    </row>
    <row r="24" spans="8:19" x14ac:dyDescent="0.45">
      <c r="P24">
        <v>2028</v>
      </c>
      <c r="Q24" t="s">
        <v>180</v>
      </c>
      <c r="R24">
        <v>0.16741666666666666</v>
      </c>
      <c r="S24" t="s">
        <v>179</v>
      </c>
    </row>
    <row r="25" spans="8:19" x14ac:dyDescent="0.45">
      <c r="P25">
        <v>2029</v>
      </c>
      <c r="Q25" t="s">
        <v>178</v>
      </c>
      <c r="R25">
        <v>0.4894</v>
      </c>
      <c r="S25" t="s">
        <v>179</v>
      </c>
    </row>
    <row r="26" spans="8:19" x14ac:dyDescent="0.45">
      <c r="P26">
        <v>2029</v>
      </c>
      <c r="Q26" t="s">
        <v>180</v>
      </c>
      <c r="R26">
        <v>0.18118333333333336</v>
      </c>
      <c r="S26" t="s">
        <v>179</v>
      </c>
    </row>
    <row r="27" spans="8:19" x14ac:dyDescent="0.45">
      <c r="P27">
        <v>2030</v>
      </c>
      <c r="Q27" t="s">
        <v>178</v>
      </c>
      <c r="R27">
        <v>0.48256666666666664</v>
      </c>
      <c r="S27" t="s">
        <v>179</v>
      </c>
    </row>
    <row r="28" spans="8:19" x14ac:dyDescent="0.45">
      <c r="P28">
        <v>2030</v>
      </c>
      <c r="Q28" t="s">
        <v>180</v>
      </c>
      <c r="R28">
        <v>0.18886666666666665</v>
      </c>
      <c r="S28" t="s">
        <v>179</v>
      </c>
    </row>
    <row r="29" spans="8:19" x14ac:dyDescent="0.45">
      <c r="P29">
        <v>2031</v>
      </c>
      <c r="Q29" t="s">
        <v>178</v>
      </c>
      <c r="R29">
        <v>0.49641666666666673</v>
      </c>
      <c r="S29" t="s">
        <v>179</v>
      </c>
    </row>
    <row r="30" spans="8:19" x14ac:dyDescent="0.45">
      <c r="P30">
        <v>2031</v>
      </c>
      <c r="Q30" t="s">
        <v>180</v>
      </c>
      <c r="R30">
        <v>0.16863333333333333</v>
      </c>
      <c r="S30" t="s">
        <v>179</v>
      </c>
    </row>
    <row r="31" spans="8:19" x14ac:dyDescent="0.45">
      <c r="P31">
        <v>2032</v>
      </c>
      <c r="Q31" t="s">
        <v>178</v>
      </c>
      <c r="R31">
        <v>0.50546666666666662</v>
      </c>
      <c r="S31" t="s">
        <v>179</v>
      </c>
    </row>
    <row r="32" spans="8:19" x14ac:dyDescent="0.45">
      <c r="P32">
        <v>2032</v>
      </c>
      <c r="Q32" t="s">
        <v>180</v>
      </c>
      <c r="R32">
        <v>0.20483333333333328</v>
      </c>
      <c r="S32" t="s">
        <v>179</v>
      </c>
    </row>
    <row r="33" spans="16:19" x14ac:dyDescent="0.45">
      <c r="P33">
        <v>2033</v>
      </c>
      <c r="Q33" t="s">
        <v>178</v>
      </c>
      <c r="R33">
        <v>0.60051666666666659</v>
      </c>
      <c r="S33" t="s">
        <v>179</v>
      </c>
    </row>
    <row r="34" spans="16:19" x14ac:dyDescent="0.45">
      <c r="P34">
        <v>2033</v>
      </c>
      <c r="Q34" t="s">
        <v>180</v>
      </c>
      <c r="R34">
        <v>0.23810000000000001</v>
      </c>
      <c r="S34" t="s">
        <v>179</v>
      </c>
    </row>
    <row r="35" spans="16:19" x14ac:dyDescent="0.45">
      <c r="P35">
        <v>2034</v>
      </c>
      <c r="Q35" t="s">
        <v>178</v>
      </c>
      <c r="R35">
        <v>0.5567833333333333</v>
      </c>
      <c r="S35" t="s">
        <v>179</v>
      </c>
    </row>
    <row r="36" spans="16:19" x14ac:dyDescent="0.45">
      <c r="P36">
        <v>2034</v>
      </c>
      <c r="Q36" t="s">
        <v>180</v>
      </c>
      <c r="R36">
        <v>0.17365</v>
      </c>
      <c r="S36" t="s">
        <v>179</v>
      </c>
    </row>
    <row r="37" spans="16:19" x14ac:dyDescent="0.45">
      <c r="P37">
        <v>2035</v>
      </c>
      <c r="Q37" t="s">
        <v>178</v>
      </c>
      <c r="R37">
        <v>0.63443333333333329</v>
      </c>
      <c r="S37" t="s">
        <v>179</v>
      </c>
    </row>
    <row r="38" spans="16:19" x14ac:dyDescent="0.45">
      <c r="P38">
        <v>2035</v>
      </c>
      <c r="Q38" t="s">
        <v>180</v>
      </c>
      <c r="R38">
        <v>0.2203333333333333</v>
      </c>
      <c r="S38" t="s">
        <v>179</v>
      </c>
    </row>
    <row r="39" spans="16:19" x14ac:dyDescent="0.45">
      <c r="P39">
        <v>2036</v>
      </c>
      <c r="Q39" t="s">
        <v>178</v>
      </c>
      <c r="R39">
        <v>0.60206666666666664</v>
      </c>
      <c r="S39" t="s">
        <v>179</v>
      </c>
    </row>
    <row r="40" spans="16:19" x14ac:dyDescent="0.45">
      <c r="P40">
        <v>2036</v>
      </c>
      <c r="Q40" t="s">
        <v>180</v>
      </c>
      <c r="R40">
        <v>0.15074999999999997</v>
      </c>
      <c r="S40" t="s">
        <v>179</v>
      </c>
    </row>
    <row r="41" spans="16:19" x14ac:dyDescent="0.45">
      <c r="P41">
        <v>2037</v>
      </c>
      <c r="Q41" t="s">
        <v>178</v>
      </c>
      <c r="R41">
        <v>0.52295000000000003</v>
      </c>
      <c r="S41" t="s">
        <v>179</v>
      </c>
    </row>
    <row r="42" spans="16:19" x14ac:dyDescent="0.45">
      <c r="P42">
        <v>2037</v>
      </c>
      <c r="Q42" t="s">
        <v>180</v>
      </c>
      <c r="R42">
        <v>0.22556666666666669</v>
      </c>
      <c r="S42" t="s">
        <v>179</v>
      </c>
    </row>
    <row r="43" spans="16:19" x14ac:dyDescent="0.45">
      <c r="P43">
        <v>2038</v>
      </c>
      <c r="Q43" t="s">
        <v>178</v>
      </c>
      <c r="R43">
        <v>0.53681666666666661</v>
      </c>
      <c r="S43" t="s">
        <v>179</v>
      </c>
    </row>
    <row r="44" spans="16:19" x14ac:dyDescent="0.45">
      <c r="P44">
        <v>2038</v>
      </c>
      <c r="Q44" t="s">
        <v>180</v>
      </c>
      <c r="R44">
        <v>0.26734999999999998</v>
      </c>
      <c r="S44" t="s">
        <v>179</v>
      </c>
    </row>
    <row r="45" spans="16:19" x14ac:dyDescent="0.45">
      <c r="P45">
        <v>2039</v>
      </c>
      <c r="Q45" t="s">
        <v>178</v>
      </c>
      <c r="R45">
        <v>0.55199999999999994</v>
      </c>
      <c r="S45" t="s">
        <v>179</v>
      </c>
    </row>
    <row r="46" spans="16:19" x14ac:dyDescent="0.45">
      <c r="P46">
        <v>2039</v>
      </c>
      <c r="Q46" t="s">
        <v>180</v>
      </c>
      <c r="R46">
        <v>0.25499999999999995</v>
      </c>
      <c r="S46" t="s">
        <v>179</v>
      </c>
    </row>
    <row r="47" spans="16:19" x14ac:dyDescent="0.45">
      <c r="P47">
        <v>2040</v>
      </c>
      <c r="Q47" t="s">
        <v>178</v>
      </c>
      <c r="R47">
        <v>0.45591666666666669</v>
      </c>
      <c r="S47" t="s">
        <v>179</v>
      </c>
    </row>
    <row r="48" spans="16:19" x14ac:dyDescent="0.45">
      <c r="P48">
        <v>2040</v>
      </c>
      <c r="Q48" t="s">
        <v>180</v>
      </c>
      <c r="R48">
        <v>0.19079999999999997</v>
      </c>
      <c r="S48" t="s">
        <v>179</v>
      </c>
    </row>
    <row r="49" spans="16:19" x14ac:dyDescent="0.45">
      <c r="P49">
        <v>2041</v>
      </c>
      <c r="Q49" t="s">
        <v>178</v>
      </c>
      <c r="R49">
        <v>0.48236666666666667</v>
      </c>
      <c r="S49" t="s">
        <v>179</v>
      </c>
    </row>
    <row r="50" spans="16:19" x14ac:dyDescent="0.45">
      <c r="P50">
        <v>2041</v>
      </c>
      <c r="Q50" t="s">
        <v>180</v>
      </c>
      <c r="R50">
        <v>0.11791666666666667</v>
      </c>
      <c r="S50" t="s">
        <v>179</v>
      </c>
    </row>
    <row r="51" spans="16:19" x14ac:dyDescent="0.45">
      <c r="P51">
        <v>2042</v>
      </c>
      <c r="Q51" t="s">
        <v>178</v>
      </c>
      <c r="R51">
        <v>0.45573333333333332</v>
      </c>
      <c r="S51" t="s">
        <v>179</v>
      </c>
    </row>
    <row r="52" spans="16:19" x14ac:dyDescent="0.45">
      <c r="P52">
        <v>2042</v>
      </c>
      <c r="Q52" t="s">
        <v>180</v>
      </c>
      <c r="R52">
        <v>0.16879999999999998</v>
      </c>
      <c r="S52" t="s">
        <v>179</v>
      </c>
    </row>
    <row r="53" spans="16:19" x14ac:dyDescent="0.45">
      <c r="P53">
        <v>2043</v>
      </c>
      <c r="Q53" t="s">
        <v>178</v>
      </c>
      <c r="R53">
        <v>0.62534999999999996</v>
      </c>
      <c r="S53" t="s">
        <v>179</v>
      </c>
    </row>
    <row r="54" spans="16:19" x14ac:dyDescent="0.45">
      <c r="P54">
        <v>2043</v>
      </c>
      <c r="Q54" t="s">
        <v>180</v>
      </c>
      <c r="R54">
        <v>0.21409999999999998</v>
      </c>
      <c r="S54" t="s">
        <v>179</v>
      </c>
    </row>
    <row r="55" spans="16:19" x14ac:dyDescent="0.45">
      <c r="P55">
        <v>2044</v>
      </c>
      <c r="Q55" t="s">
        <v>178</v>
      </c>
      <c r="R55">
        <v>0.47353333333333336</v>
      </c>
      <c r="S55" t="s">
        <v>179</v>
      </c>
    </row>
    <row r="56" spans="16:19" x14ac:dyDescent="0.45">
      <c r="P56">
        <v>2044</v>
      </c>
      <c r="Q56" t="s">
        <v>180</v>
      </c>
      <c r="R56">
        <v>0.19996666666666665</v>
      </c>
      <c r="S56" t="s">
        <v>179</v>
      </c>
    </row>
    <row r="57" spans="16:19" x14ac:dyDescent="0.45">
      <c r="P57">
        <v>2045</v>
      </c>
      <c r="Q57" t="s">
        <v>178</v>
      </c>
      <c r="R57">
        <v>0.47434999999999999</v>
      </c>
      <c r="S57" t="s">
        <v>179</v>
      </c>
    </row>
    <row r="58" spans="16:19" x14ac:dyDescent="0.45">
      <c r="P58">
        <v>2045</v>
      </c>
      <c r="Q58" t="s">
        <v>180</v>
      </c>
      <c r="R58">
        <v>0.18715000000000001</v>
      </c>
      <c r="S58" t="s">
        <v>179</v>
      </c>
    </row>
    <row r="59" spans="16:19" x14ac:dyDescent="0.45">
      <c r="P59">
        <v>2046</v>
      </c>
      <c r="Q59" t="s">
        <v>178</v>
      </c>
      <c r="R59">
        <v>0.50700000000000001</v>
      </c>
      <c r="S59" t="s">
        <v>179</v>
      </c>
    </row>
    <row r="60" spans="16:19" x14ac:dyDescent="0.45">
      <c r="P60">
        <v>2046</v>
      </c>
      <c r="Q60" t="s">
        <v>180</v>
      </c>
      <c r="R60">
        <v>0.16086666666666666</v>
      </c>
      <c r="S60" t="s">
        <v>179</v>
      </c>
    </row>
    <row r="61" spans="16:19" x14ac:dyDescent="0.45">
      <c r="P61">
        <v>2047</v>
      </c>
      <c r="Q61" t="s">
        <v>178</v>
      </c>
      <c r="R61">
        <v>0.56501666666666661</v>
      </c>
      <c r="S61" t="s">
        <v>179</v>
      </c>
    </row>
    <row r="62" spans="16:19" x14ac:dyDescent="0.45">
      <c r="P62">
        <v>2047</v>
      </c>
      <c r="Q62" t="s">
        <v>180</v>
      </c>
      <c r="R62">
        <v>0.20025000000000001</v>
      </c>
      <c r="S62" t="s">
        <v>179</v>
      </c>
    </row>
    <row r="63" spans="16:19" x14ac:dyDescent="0.45">
      <c r="P63">
        <v>2048</v>
      </c>
      <c r="Q63" t="s">
        <v>178</v>
      </c>
      <c r="R63">
        <v>0.50231666666666663</v>
      </c>
      <c r="S63" t="s">
        <v>179</v>
      </c>
    </row>
    <row r="64" spans="16:19" x14ac:dyDescent="0.45">
      <c r="P64">
        <v>2048</v>
      </c>
      <c r="Q64" t="s">
        <v>180</v>
      </c>
      <c r="R64">
        <v>0.18306666666666663</v>
      </c>
      <c r="S64" t="s">
        <v>179</v>
      </c>
    </row>
    <row r="65" spans="16:19" x14ac:dyDescent="0.45">
      <c r="P65">
        <v>2049</v>
      </c>
      <c r="Q65" t="s">
        <v>178</v>
      </c>
      <c r="R65">
        <v>0.42516666666666669</v>
      </c>
      <c r="S65" t="s">
        <v>179</v>
      </c>
    </row>
    <row r="66" spans="16:19" x14ac:dyDescent="0.45">
      <c r="P66">
        <v>2049</v>
      </c>
      <c r="Q66" t="s">
        <v>180</v>
      </c>
      <c r="R66">
        <v>0.13915</v>
      </c>
      <c r="S66" t="s">
        <v>179</v>
      </c>
    </row>
    <row r="67" spans="16:19" x14ac:dyDescent="0.45">
      <c r="P67">
        <v>2050</v>
      </c>
      <c r="Q67" t="s">
        <v>178</v>
      </c>
      <c r="R67">
        <v>0.45910000000000001</v>
      </c>
      <c r="S67" t="s">
        <v>179</v>
      </c>
    </row>
    <row r="68" spans="16:19" x14ac:dyDescent="0.45">
      <c r="P68">
        <v>2050</v>
      </c>
      <c r="Q68" t="s">
        <v>180</v>
      </c>
      <c r="R68">
        <v>0.13378333333333334</v>
      </c>
      <c r="S68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6BB8-0015-4CD0-B360-442303CE1953}">
  <dimension ref="B9:O102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region=DEU")</f>
        <v>~TFM_DINS-AT: region=DEU</v>
      </c>
      <c r="G9" t="str">
        <f>IF(A11="x","DeActivated","~TFM_DINS-AT: region=DEU")</f>
        <v>~TFM_DINS-AT: region=DEU</v>
      </c>
      <c r="L9" t="str">
        <f>IF(A11="x","DeActivated","~TFM_DINS-AT: region=DEU")</f>
        <v>~TFM_DINS-AT: region=DEU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374</v>
      </c>
      <c r="C11" t="s">
        <v>5</v>
      </c>
      <c r="D11">
        <v>9.3456618579343016E-3</v>
      </c>
      <c r="E11" t="s">
        <v>6</v>
      </c>
      <c r="G11" t="s">
        <v>375</v>
      </c>
      <c r="H11" t="s">
        <v>5</v>
      </c>
      <c r="I11">
        <v>0.31420851804297495</v>
      </c>
      <c r="J11" t="s">
        <v>6</v>
      </c>
      <c r="L11" t="s">
        <v>376</v>
      </c>
      <c r="M11" t="s">
        <v>5</v>
      </c>
      <c r="N11">
        <v>0.27059084952159768</v>
      </c>
      <c r="O11" t="s">
        <v>6</v>
      </c>
    </row>
    <row r="12" spans="2:15" x14ac:dyDescent="0.45">
      <c r="B12" t="s">
        <v>374</v>
      </c>
      <c r="C12" t="s">
        <v>9</v>
      </c>
      <c r="D12">
        <v>0.40392057481442378</v>
      </c>
      <c r="E12" t="s">
        <v>6</v>
      </c>
      <c r="G12" t="s">
        <v>375</v>
      </c>
      <c r="H12" t="s">
        <v>9</v>
      </c>
      <c r="I12">
        <v>0.27686964007449238</v>
      </c>
      <c r="J12" t="s">
        <v>6</v>
      </c>
      <c r="L12" t="s">
        <v>376</v>
      </c>
      <c r="M12" t="s">
        <v>9</v>
      </c>
      <c r="N12">
        <v>0.26456322979731589</v>
      </c>
      <c r="O12" t="s">
        <v>6</v>
      </c>
    </row>
    <row r="13" spans="2:15" x14ac:dyDescent="0.45">
      <c r="B13" t="s">
        <v>374</v>
      </c>
      <c r="C13" t="s">
        <v>10</v>
      </c>
      <c r="D13">
        <v>1.9770343208134662E-2</v>
      </c>
      <c r="E13" t="s">
        <v>6</v>
      </c>
      <c r="G13" t="s">
        <v>375</v>
      </c>
      <c r="H13" t="s">
        <v>10</v>
      </c>
      <c r="I13">
        <v>0.22494879274870522</v>
      </c>
      <c r="J13" t="s">
        <v>6</v>
      </c>
      <c r="L13" t="s">
        <v>376</v>
      </c>
      <c r="M13" t="s">
        <v>10</v>
      </c>
      <c r="N13">
        <v>0.23195740134680792</v>
      </c>
      <c r="O13" t="s">
        <v>6</v>
      </c>
    </row>
    <row r="14" spans="2:15" x14ac:dyDescent="0.45">
      <c r="B14" t="s">
        <v>374</v>
      </c>
      <c r="C14" t="s">
        <v>11</v>
      </c>
      <c r="D14">
        <v>0.56696342011950807</v>
      </c>
      <c r="E14" t="s">
        <v>6</v>
      </c>
      <c r="G14" t="s">
        <v>375</v>
      </c>
      <c r="H14" t="s">
        <v>11</v>
      </c>
      <c r="I14">
        <v>0.1839730491338267</v>
      </c>
      <c r="J14" t="s">
        <v>6</v>
      </c>
      <c r="L14" t="s">
        <v>376</v>
      </c>
      <c r="M14" t="s">
        <v>11</v>
      </c>
      <c r="N14">
        <v>0.23288851933427657</v>
      </c>
      <c r="O14" t="s">
        <v>6</v>
      </c>
    </row>
    <row r="15" spans="2:15" x14ac:dyDescent="0.45">
      <c r="B15" t="s">
        <v>377</v>
      </c>
      <c r="C15" t="s">
        <v>5</v>
      </c>
      <c r="D15">
        <v>8.2776140712399523E-3</v>
      </c>
      <c r="E15" t="s">
        <v>6</v>
      </c>
      <c r="G15" t="s">
        <v>378</v>
      </c>
      <c r="H15" t="s">
        <v>5</v>
      </c>
      <c r="I15">
        <v>0.29827604692595955</v>
      </c>
      <c r="J15" t="s">
        <v>6</v>
      </c>
      <c r="L15" t="s">
        <v>379</v>
      </c>
      <c r="M15" t="s">
        <v>5</v>
      </c>
      <c r="N15">
        <v>0.26866554166466294</v>
      </c>
      <c r="O15" t="s">
        <v>6</v>
      </c>
    </row>
    <row r="16" spans="2:15" x14ac:dyDescent="0.45">
      <c r="B16" t="s">
        <v>377</v>
      </c>
      <c r="C16" t="s">
        <v>9</v>
      </c>
      <c r="D16">
        <v>0.41141228779688183</v>
      </c>
      <c r="E16" t="s">
        <v>6</v>
      </c>
      <c r="G16" t="s">
        <v>378</v>
      </c>
      <c r="H16" t="s">
        <v>9</v>
      </c>
      <c r="I16">
        <v>0.27584497717435869</v>
      </c>
      <c r="J16" t="s">
        <v>6</v>
      </c>
      <c r="L16" t="s">
        <v>379</v>
      </c>
      <c r="M16" t="s">
        <v>9</v>
      </c>
      <c r="N16">
        <v>0.26116571434705405</v>
      </c>
      <c r="O16" t="s">
        <v>6</v>
      </c>
    </row>
    <row r="17" spans="2:15" x14ac:dyDescent="0.45">
      <c r="B17" t="s">
        <v>377</v>
      </c>
      <c r="C17" t="s">
        <v>10</v>
      </c>
      <c r="D17">
        <v>1.7378596008211501E-2</v>
      </c>
      <c r="E17" t="s">
        <v>6</v>
      </c>
      <c r="G17" t="s">
        <v>378</v>
      </c>
      <c r="H17" t="s">
        <v>10</v>
      </c>
      <c r="I17">
        <v>0.2264752256471918</v>
      </c>
      <c r="J17" t="s">
        <v>6</v>
      </c>
      <c r="L17" t="s">
        <v>379</v>
      </c>
      <c r="M17" t="s">
        <v>10</v>
      </c>
      <c r="N17">
        <v>0.23608090583061936</v>
      </c>
      <c r="O17" t="s">
        <v>6</v>
      </c>
    </row>
    <row r="18" spans="2:15" x14ac:dyDescent="0.45">
      <c r="B18" t="s">
        <v>377</v>
      </c>
      <c r="C18" t="s">
        <v>11</v>
      </c>
      <c r="D18">
        <v>0.56293150212366561</v>
      </c>
      <c r="E18" t="s">
        <v>6</v>
      </c>
      <c r="G18" t="s">
        <v>378</v>
      </c>
      <c r="H18" t="s">
        <v>11</v>
      </c>
      <c r="I18">
        <v>0.19940375025248408</v>
      </c>
      <c r="J18" t="s">
        <v>6</v>
      </c>
      <c r="L18" t="s">
        <v>379</v>
      </c>
      <c r="M18" t="s">
        <v>11</v>
      </c>
      <c r="N18">
        <v>0.23408783815766049</v>
      </c>
      <c r="O18" t="s">
        <v>6</v>
      </c>
    </row>
    <row r="19" spans="2:15" x14ac:dyDescent="0.45">
      <c r="B19" t="s">
        <v>380</v>
      </c>
      <c r="C19" t="s">
        <v>5</v>
      </c>
      <c r="D19">
        <v>6.7044589951321789E-3</v>
      </c>
      <c r="E19" t="s">
        <v>6</v>
      </c>
      <c r="G19" t="s">
        <v>381</v>
      </c>
      <c r="H19" t="s">
        <v>5</v>
      </c>
      <c r="I19">
        <v>0.31506679606706489</v>
      </c>
      <c r="J19" t="s">
        <v>6</v>
      </c>
      <c r="L19" t="s">
        <v>382</v>
      </c>
      <c r="M19" t="s">
        <v>5</v>
      </c>
      <c r="N19">
        <v>0.26914066714862678</v>
      </c>
      <c r="O19" t="s">
        <v>6</v>
      </c>
    </row>
    <row r="20" spans="2:15" x14ac:dyDescent="0.45">
      <c r="B20" t="s">
        <v>380</v>
      </c>
      <c r="C20" t="s">
        <v>9</v>
      </c>
      <c r="D20">
        <v>0.4145503901113734</v>
      </c>
      <c r="E20" t="s">
        <v>6</v>
      </c>
      <c r="G20" t="s">
        <v>381</v>
      </c>
      <c r="H20" t="s">
        <v>9</v>
      </c>
      <c r="I20">
        <v>0.25785510953531932</v>
      </c>
      <c r="J20" t="s">
        <v>6</v>
      </c>
      <c r="L20" t="s">
        <v>382</v>
      </c>
      <c r="M20" t="s">
        <v>9</v>
      </c>
      <c r="N20">
        <v>0.26162530847440346</v>
      </c>
      <c r="O20" t="s">
        <v>6</v>
      </c>
    </row>
    <row r="21" spans="2:15" x14ac:dyDescent="0.45">
      <c r="B21" t="s">
        <v>380</v>
      </c>
      <c r="C21" t="s">
        <v>10</v>
      </c>
      <c r="D21">
        <v>1.4891562315556659E-2</v>
      </c>
      <c r="E21" t="s">
        <v>6</v>
      </c>
      <c r="G21" t="s">
        <v>381</v>
      </c>
      <c r="H21" t="s">
        <v>10</v>
      </c>
      <c r="I21">
        <v>0.24659800403682228</v>
      </c>
      <c r="J21" t="s">
        <v>6</v>
      </c>
      <c r="L21" t="s">
        <v>382</v>
      </c>
      <c r="M21" t="s">
        <v>10</v>
      </c>
      <c r="N21">
        <v>0.23728461040315374</v>
      </c>
      <c r="O21" t="s">
        <v>6</v>
      </c>
    </row>
    <row r="22" spans="2:15" x14ac:dyDescent="0.45">
      <c r="B22" t="s">
        <v>380</v>
      </c>
      <c r="C22" t="s">
        <v>11</v>
      </c>
      <c r="D22">
        <v>0.56385358857793555</v>
      </c>
      <c r="E22" t="s">
        <v>6</v>
      </c>
      <c r="G22" t="s">
        <v>381</v>
      </c>
      <c r="H22" t="s">
        <v>11</v>
      </c>
      <c r="I22">
        <v>0.18048009036079632</v>
      </c>
      <c r="J22" t="s">
        <v>6</v>
      </c>
      <c r="L22" t="s">
        <v>382</v>
      </c>
      <c r="M22" t="s">
        <v>11</v>
      </c>
      <c r="N22">
        <v>0.23194941397381277</v>
      </c>
      <c r="O22" t="s">
        <v>6</v>
      </c>
    </row>
    <row r="23" spans="2:15" x14ac:dyDescent="0.45">
      <c r="B23" t="s">
        <v>383</v>
      </c>
      <c r="C23" t="s">
        <v>5</v>
      </c>
      <c r="D23">
        <v>8.2375266297715251E-3</v>
      </c>
      <c r="E23" t="s">
        <v>6</v>
      </c>
      <c r="G23" t="s">
        <v>384</v>
      </c>
      <c r="H23" t="s">
        <v>5</v>
      </c>
      <c r="I23">
        <v>0.29940679946983972</v>
      </c>
      <c r="J23" t="s">
        <v>6</v>
      </c>
      <c r="L23" t="s">
        <v>385</v>
      </c>
      <c r="M23" t="s">
        <v>5</v>
      </c>
      <c r="N23">
        <v>0.27184306689405835</v>
      </c>
      <c r="O23" t="s">
        <v>6</v>
      </c>
    </row>
    <row r="24" spans="2:15" x14ac:dyDescent="0.45">
      <c r="B24" t="s">
        <v>383</v>
      </c>
      <c r="C24" t="s">
        <v>9</v>
      </c>
      <c r="D24">
        <v>0.40733716845441525</v>
      </c>
      <c r="E24" t="s">
        <v>6</v>
      </c>
      <c r="G24" t="s">
        <v>384</v>
      </c>
      <c r="H24" t="s">
        <v>9</v>
      </c>
      <c r="I24">
        <v>0.26956513107846058</v>
      </c>
      <c r="J24" t="s">
        <v>6</v>
      </c>
      <c r="L24" t="s">
        <v>385</v>
      </c>
      <c r="M24" t="s">
        <v>9</v>
      </c>
      <c r="N24">
        <v>0.26278909590071647</v>
      </c>
      <c r="O24" t="s">
        <v>6</v>
      </c>
    </row>
    <row r="25" spans="2:15" x14ac:dyDescent="0.45">
      <c r="B25" t="s">
        <v>383</v>
      </c>
      <c r="C25" t="s">
        <v>10</v>
      </c>
      <c r="D25">
        <v>1.7963114426254801E-2</v>
      </c>
      <c r="E25" t="s">
        <v>6</v>
      </c>
      <c r="G25" t="s">
        <v>384</v>
      </c>
      <c r="H25" t="s">
        <v>10</v>
      </c>
      <c r="I25">
        <v>0.23346962120477138</v>
      </c>
      <c r="J25" t="s">
        <v>6</v>
      </c>
      <c r="L25" t="s">
        <v>385</v>
      </c>
      <c r="M25" t="s">
        <v>10</v>
      </c>
      <c r="N25">
        <v>0.23431705632630689</v>
      </c>
      <c r="O25" t="s">
        <v>6</v>
      </c>
    </row>
    <row r="26" spans="2:15" x14ac:dyDescent="0.45">
      <c r="B26" t="s">
        <v>383</v>
      </c>
      <c r="C26" t="s">
        <v>11</v>
      </c>
      <c r="D26">
        <v>0.56646219048956004</v>
      </c>
      <c r="E26" t="s">
        <v>6</v>
      </c>
      <c r="G26" t="s">
        <v>384</v>
      </c>
      <c r="H26" t="s">
        <v>11</v>
      </c>
      <c r="I26">
        <v>0.19755844824692581</v>
      </c>
      <c r="J26" t="s">
        <v>6</v>
      </c>
      <c r="L26" t="s">
        <v>385</v>
      </c>
      <c r="M26" t="s">
        <v>11</v>
      </c>
      <c r="N26">
        <v>0.23105078087891878</v>
      </c>
      <c r="O26" t="s">
        <v>6</v>
      </c>
    </row>
    <row r="27" spans="2:15" x14ac:dyDescent="0.45">
      <c r="B27" t="s">
        <v>386</v>
      </c>
      <c r="C27" t="s">
        <v>5</v>
      </c>
      <c r="D27">
        <v>7.2846293496550592E-3</v>
      </c>
      <c r="E27" t="s">
        <v>6</v>
      </c>
      <c r="G27" t="s">
        <v>387</v>
      </c>
      <c r="H27" t="s">
        <v>5</v>
      </c>
      <c r="I27">
        <v>0.29118208578043631</v>
      </c>
      <c r="J27" t="s">
        <v>6</v>
      </c>
      <c r="L27" t="s">
        <v>388</v>
      </c>
      <c r="M27" t="s">
        <v>5</v>
      </c>
      <c r="N27">
        <v>0.27603253281787138</v>
      </c>
      <c r="O27" t="s">
        <v>6</v>
      </c>
    </row>
    <row r="28" spans="2:15" x14ac:dyDescent="0.45">
      <c r="B28" t="s">
        <v>386</v>
      </c>
      <c r="C28" t="s">
        <v>9</v>
      </c>
      <c r="D28">
        <v>0.4107224045057995</v>
      </c>
      <c r="E28" t="s">
        <v>6</v>
      </c>
      <c r="G28" t="s">
        <v>387</v>
      </c>
      <c r="H28" t="s">
        <v>9</v>
      </c>
      <c r="I28">
        <v>0.26499538486766949</v>
      </c>
      <c r="J28" t="s">
        <v>6</v>
      </c>
      <c r="L28" t="s">
        <v>388</v>
      </c>
      <c r="M28" t="s">
        <v>9</v>
      </c>
      <c r="N28">
        <v>0.26832471908778355</v>
      </c>
      <c r="O28" t="s">
        <v>6</v>
      </c>
    </row>
    <row r="29" spans="2:15" x14ac:dyDescent="0.45">
      <c r="B29" t="s">
        <v>386</v>
      </c>
      <c r="C29" t="s">
        <v>10</v>
      </c>
      <c r="D29">
        <v>1.6065324512973572E-2</v>
      </c>
      <c r="E29" t="s">
        <v>6</v>
      </c>
      <c r="G29" t="s">
        <v>387</v>
      </c>
      <c r="H29" t="s">
        <v>10</v>
      </c>
      <c r="I29">
        <v>0.23919405865645382</v>
      </c>
      <c r="J29" t="s">
        <v>6</v>
      </c>
      <c r="L29" t="s">
        <v>388</v>
      </c>
      <c r="M29" t="s">
        <v>10</v>
      </c>
      <c r="N29">
        <v>0.2299358952970553</v>
      </c>
      <c r="O29" t="s">
        <v>6</v>
      </c>
    </row>
    <row r="30" spans="2:15" x14ac:dyDescent="0.45">
      <c r="B30" t="s">
        <v>386</v>
      </c>
      <c r="C30" t="s">
        <v>11</v>
      </c>
      <c r="D30">
        <v>0.56592764163157316</v>
      </c>
      <c r="E30" t="s">
        <v>6</v>
      </c>
      <c r="G30" t="s">
        <v>387</v>
      </c>
      <c r="H30" t="s">
        <v>11</v>
      </c>
      <c r="I30">
        <v>0.20462847069543855</v>
      </c>
      <c r="J30" t="s">
        <v>6</v>
      </c>
      <c r="L30" t="s">
        <v>388</v>
      </c>
      <c r="M30" t="s">
        <v>11</v>
      </c>
      <c r="N30">
        <v>0.22570685279729225</v>
      </c>
      <c r="O30" t="s">
        <v>6</v>
      </c>
    </row>
    <row r="31" spans="2:15" x14ac:dyDescent="0.45">
      <c r="B31" t="s">
        <v>389</v>
      </c>
      <c r="C31" t="s">
        <v>5</v>
      </c>
      <c r="D31">
        <v>7.4397915760884498E-3</v>
      </c>
      <c r="E31" t="s">
        <v>6</v>
      </c>
      <c r="G31" t="s">
        <v>390</v>
      </c>
      <c r="H31" t="s">
        <v>5</v>
      </c>
      <c r="I31">
        <v>0.29074209369533049</v>
      </c>
      <c r="J31" t="s">
        <v>6</v>
      </c>
      <c r="L31" t="s">
        <v>391</v>
      </c>
      <c r="M31" t="s">
        <v>5</v>
      </c>
      <c r="N31">
        <v>0.28266019122223263</v>
      </c>
      <c r="O31" t="s">
        <v>6</v>
      </c>
    </row>
    <row r="32" spans="2:15" x14ac:dyDescent="0.45">
      <c r="B32" t="s">
        <v>389</v>
      </c>
      <c r="C32" t="s">
        <v>9</v>
      </c>
      <c r="D32">
        <v>0.42961223695756745</v>
      </c>
      <c r="E32" t="s">
        <v>6</v>
      </c>
      <c r="G32" t="s">
        <v>390</v>
      </c>
      <c r="H32" t="s">
        <v>9</v>
      </c>
      <c r="I32">
        <v>0.25755108159699319</v>
      </c>
      <c r="J32" t="s">
        <v>6</v>
      </c>
      <c r="L32" t="s">
        <v>391</v>
      </c>
      <c r="M32" t="s">
        <v>9</v>
      </c>
      <c r="N32">
        <v>0.27245338570268141</v>
      </c>
      <c r="O32" t="s">
        <v>6</v>
      </c>
    </row>
    <row r="33" spans="2:15" x14ac:dyDescent="0.45">
      <c r="B33" t="s">
        <v>389</v>
      </c>
      <c r="C33" t="s">
        <v>10</v>
      </c>
      <c r="D33">
        <v>1.554870195503604E-2</v>
      </c>
      <c r="E33" t="s">
        <v>6</v>
      </c>
      <c r="G33" t="s">
        <v>390</v>
      </c>
      <c r="H33" t="s">
        <v>10</v>
      </c>
      <c r="I33">
        <v>0.23484414765075076</v>
      </c>
      <c r="J33" t="s">
        <v>6</v>
      </c>
      <c r="L33" t="s">
        <v>391</v>
      </c>
      <c r="M33" t="s">
        <v>10</v>
      </c>
      <c r="N33">
        <v>0.22990506961670518</v>
      </c>
      <c r="O33" t="s">
        <v>6</v>
      </c>
    </row>
    <row r="34" spans="2:15" x14ac:dyDescent="0.45">
      <c r="B34" t="s">
        <v>389</v>
      </c>
      <c r="C34" t="s">
        <v>11</v>
      </c>
      <c r="D34">
        <v>0.54739926951130802</v>
      </c>
      <c r="E34" t="s">
        <v>6</v>
      </c>
      <c r="G34" t="s">
        <v>390</v>
      </c>
      <c r="H34" t="s">
        <v>11</v>
      </c>
      <c r="I34">
        <v>0.2168626770569268</v>
      </c>
      <c r="J34" t="s">
        <v>6</v>
      </c>
      <c r="L34" t="s">
        <v>391</v>
      </c>
      <c r="M34" t="s">
        <v>11</v>
      </c>
      <c r="N34">
        <v>0.21498135345838151</v>
      </c>
      <c r="O34" t="s">
        <v>6</v>
      </c>
    </row>
    <row r="35" spans="2:15" x14ac:dyDescent="0.45">
      <c r="B35" t="s">
        <v>392</v>
      </c>
      <c r="C35" t="s">
        <v>5</v>
      </c>
      <c r="D35">
        <v>9.0491924138264828E-3</v>
      </c>
      <c r="E35" t="s">
        <v>6</v>
      </c>
      <c r="G35" t="s">
        <v>393</v>
      </c>
      <c r="H35" t="s">
        <v>5</v>
      </c>
      <c r="I35">
        <v>0.30621375015978747</v>
      </c>
      <c r="J35" t="s">
        <v>6</v>
      </c>
      <c r="L35" t="s">
        <v>394</v>
      </c>
      <c r="M35" t="s">
        <v>5</v>
      </c>
      <c r="N35">
        <v>0.28627978735406207</v>
      </c>
      <c r="O35" t="s">
        <v>6</v>
      </c>
    </row>
    <row r="36" spans="2:15" x14ac:dyDescent="0.45">
      <c r="B36" t="s">
        <v>392</v>
      </c>
      <c r="C36" t="s">
        <v>9</v>
      </c>
      <c r="D36">
        <v>0.42229438243930317</v>
      </c>
      <c r="E36" t="s">
        <v>6</v>
      </c>
      <c r="G36" t="s">
        <v>393</v>
      </c>
      <c r="H36" t="s">
        <v>9</v>
      </c>
      <c r="I36">
        <v>0.25764449613388923</v>
      </c>
      <c r="J36" t="s">
        <v>6</v>
      </c>
      <c r="L36" t="s">
        <v>394</v>
      </c>
      <c r="M36" t="s">
        <v>9</v>
      </c>
      <c r="N36">
        <v>0.26206352945736372</v>
      </c>
      <c r="O36" t="s">
        <v>6</v>
      </c>
    </row>
    <row r="37" spans="2:15" x14ac:dyDescent="0.45">
      <c r="B37" t="s">
        <v>392</v>
      </c>
      <c r="C37" t="s">
        <v>10</v>
      </c>
      <c r="D37">
        <v>1.8095688070292007E-2</v>
      </c>
      <c r="E37" t="s">
        <v>6</v>
      </c>
      <c r="G37" t="s">
        <v>393</v>
      </c>
      <c r="H37" t="s">
        <v>10</v>
      </c>
      <c r="I37">
        <v>0.24429826314446509</v>
      </c>
      <c r="J37" t="s">
        <v>6</v>
      </c>
      <c r="L37" t="s">
        <v>394</v>
      </c>
      <c r="M37" t="s">
        <v>10</v>
      </c>
      <c r="N37">
        <v>0.23047252445565378</v>
      </c>
      <c r="O37" t="s">
        <v>6</v>
      </c>
    </row>
    <row r="38" spans="2:15" x14ac:dyDescent="0.45">
      <c r="B38" t="s">
        <v>392</v>
      </c>
      <c r="C38" t="s">
        <v>11</v>
      </c>
      <c r="D38">
        <v>0.55056073707657649</v>
      </c>
      <c r="E38" t="s">
        <v>6</v>
      </c>
      <c r="G38" t="s">
        <v>393</v>
      </c>
      <c r="H38" t="s">
        <v>11</v>
      </c>
      <c r="I38">
        <v>0.1918434905618564</v>
      </c>
      <c r="J38" t="s">
        <v>6</v>
      </c>
      <c r="L38" t="s">
        <v>394</v>
      </c>
      <c r="M38" t="s">
        <v>11</v>
      </c>
      <c r="N38">
        <v>0.22118415873292047</v>
      </c>
      <c r="O38" t="s">
        <v>6</v>
      </c>
    </row>
    <row r="39" spans="2:15" x14ac:dyDescent="0.45">
      <c r="B39" t="s">
        <v>395</v>
      </c>
      <c r="C39" t="s">
        <v>5</v>
      </c>
      <c r="D39">
        <v>9.1625957499252373E-3</v>
      </c>
      <c r="E39" t="s">
        <v>6</v>
      </c>
      <c r="G39" t="s">
        <v>396</v>
      </c>
      <c r="H39" t="s">
        <v>5</v>
      </c>
      <c r="I39">
        <v>0.29311046421950132</v>
      </c>
      <c r="J39" t="s">
        <v>6</v>
      </c>
      <c r="L39" t="s">
        <v>397</v>
      </c>
      <c r="M39" t="s">
        <v>5</v>
      </c>
      <c r="N39">
        <v>0.28398629412834914</v>
      </c>
      <c r="O39" t="s">
        <v>6</v>
      </c>
    </row>
    <row r="40" spans="2:15" x14ac:dyDescent="0.45">
      <c r="B40" t="s">
        <v>395</v>
      </c>
      <c r="C40" t="s">
        <v>9</v>
      </c>
      <c r="D40">
        <v>0.42544930143434567</v>
      </c>
      <c r="E40" t="s">
        <v>6</v>
      </c>
      <c r="G40" t="s">
        <v>396</v>
      </c>
      <c r="H40" t="s">
        <v>9</v>
      </c>
      <c r="I40">
        <v>0.26774422701655848</v>
      </c>
      <c r="J40" t="s">
        <v>6</v>
      </c>
      <c r="L40" t="s">
        <v>397</v>
      </c>
      <c r="M40" t="s">
        <v>9</v>
      </c>
      <c r="N40">
        <v>0.27645346961427503</v>
      </c>
      <c r="O40" t="s">
        <v>6</v>
      </c>
    </row>
    <row r="41" spans="2:15" x14ac:dyDescent="0.45">
      <c r="B41" t="s">
        <v>395</v>
      </c>
      <c r="C41" t="s">
        <v>10</v>
      </c>
      <c r="D41">
        <v>1.8194302191158414E-2</v>
      </c>
      <c r="E41" t="s">
        <v>6</v>
      </c>
      <c r="G41" t="s">
        <v>396</v>
      </c>
      <c r="H41" t="s">
        <v>10</v>
      </c>
      <c r="I41">
        <v>0.23996577284633464</v>
      </c>
      <c r="J41" t="s">
        <v>6</v>
      </c>
      <c r="L41" t="s">
        <v>397</v>
      </c>
      <c r="M41" t="s">
        <v>10</v>
      </c>
      <c r="N41">
        <v>0.22135648163633151</v>
      </c>
      <c r="O41" t="s">
        <v>6</v>
      </c>
    </row>
    <row r="42" spans="2:15" x14ac:dyDescent="0.45">
      <c r="B42" t="s">
        <v>395</v>
      </c>
      <c r="C42" t="s">
        <v>11</v>
      </c>
      <c r="D42">
        <v>0.54719380062456913</v>
      </c>
      <c r="E42" t="s">
        <v>6</v>
      </c>
      <c r="G42" t="s">
        <v>396</v>
      </c>
      <c r="H42" t="s">
        <v>11</v>
      </c>
      <c r="I42">
        <v>0.19917953591760393</v>
      </c>
      <c r="J42" t="s">
        <v>6</v>
      </c>
      <c r="L42" t="s">
        <v>397</v>
      </c>
      <c r="M42" t="s">
        <v>11</v>
      </c>
      <c r="N42">
        <v>0.21820375462104288</v>
      </c>
      <c r="O42" t="s">
        <v>6</v>
      </c>
    </row>
    <row r="43" spans="2:15" x14ac:dyDescent="0.45">
      <c r="B43" t="s">
        <v>398</v>
      </c>
      <c r="C43" t="s">
        <v>5</v>
      </c>
      <c r="D43">
        <v>1.0803140124342558E-2</v>
      </c>
      <c r="E43" t="s">
        <v>6</v>
      </c>
      <c r="G43" t="s">
        <v>399</v>
      </c>
      <c r="H43" t="s">
        <v>5</v>
      </c>
      <c r="I43">
        <v>0.29742028994669256</v>
      </c>
      <c r="J43" t="s">
        <v>6</v>
      </c>
      <c r="L43" t="s">
        <v>400</v>
      </c>
      <c r="M43" t="s">
        <v>5</v>
      </c>
      <c r="N43">
        <v>0.28187003772766184</v>
      </c>
      <c r="O43" t="s">
        <v>6</v>
      </c>
    </row>
    <row r="44" spans="2:15" x14ac:dyDescent="0.45">
      <c r="B44" t="s">
        <v>398</v>
      </c>
      <c r="C44" t="s">
        <v>9</v>
      </c>
      <c r="D44">
        <v>0.41030526730043426</v>
      </c>
      <c r="E44" t="s">
        <v>6</v>
      </c>
      <c r="G44" t="s">
        <v>399</v>
      </c>
      <c r="H44" t="s">
        <v>9</v>
      </c>
      <c r="I44">
        <v>0.27142051875355727</v>
      </c>
      <c r="J44" t="s">
        <v>6</v>
      </c>
      <c r="L44" t="s">
        <v>400</v>
      </c>
      <c r="M44" t="s">
        <v>9</v>
      </c>
      <c r="N44">
        <v>0.27557929620765947</v>
      </c>
      <c r="O44" t="s">
        <v>6</v>
      </c>
    </row>
    <row r="45" spans="2:15" x14ac:dyDescent="0.45">
      <c r="B45" t="s">
        <v>398</v>
      </c>
      <c r="C45" t="s">
        <v>10</v>
      </c>
      <c r="D45">
        <v>2.167040319380583E-2</v>
      </c>
      <c r="E45" t="s">
        <v>6</v>
      </c>
      <c r="G45" t="s">
        <v>399</v>
      </c>
      <c r="H45" t="s">
        <v>10</v>
      </c>
      <c r="I45">
        <v>0.23575513860998443</v>
      </c>
      <c r="J45" t="s">
        <v>6</v>
      </c>
      <c r="L45" t="s">
        <v>400</v>
      </c>
      <c r="M45" t="s">
        <v>10</v>
      </c>
      <c r="N45">
        <v>0.22755210215504632</v>
      </c>
      <c r="O45" t="s">
        <v>6</v>
      </c>
    </row>
    <row r="46" spans="2:15" x14ac:dyDescent="0.45">
      <c r="B46" t="s">
        <v>398</v>
      </c>
      <c r="C46" t="s">
        <v>11</v>
      </c>
      <c r="D46">
        <v>0.55722118938141718</v>
      </c>
      <c r="E46" t="s">
        <v>6</v>
      </c>
      <c r="G46" t="s">
        <v>399</v>
      </c>
      <c r="H46" t="s">
        <v>11</v>
      </c>
      <c r="I46">
        <v>0.19540405268976466</v>
      </c>
      <c r="J46" t="s">
        <v>6</v>
      </c>
      <c r="L46" t="s">
        <v>400</v>
      </c>
      <c r="M46" t="s">
        <v>11</v>
      </c>
      <c r="N46">
        <v>0.21499856390963154</v>
      </c>
      <c r="O46" t="s">
        <v>6</v>
      </c>
    </row>
    <row r="47" spans="2:15" x14ac:dyDescent="0.45">
      <c r="B47" t="s">
        <v>401</v>
      </c>
      <c r="C47" t="s">
        <v>5</v>
      </c>
      <c r="D47">
        <v>1.059491959892549E-2</v>
      </c>
      <c r="E47" t="s">
        <v>6</v>
      </c>
      <c r="G47" t="s">
        <v>402</v>
      </c>
      <c r="H47" t="s">
        <v>5</v>
      </c>
      <c r="I47">
        <v>0.30767254193033877</v>
      </c>
      <c r="J47" t="s">
        <v>6</v>
      </c>
      <c r="L47" t="s">
        <v>403</v>
      </c>
      <c r="M47" t="s">
        <v>5</v>
      </c>
      <c r="N47">
        <v>0.27987329345155432</v>
      </c>
      <c r="O47" t="s">
        <v>6</v>
      </c>
    </row>
    <row r="48" spans="2:15" x14ac:dyDescent="0.45">
      <c r="B48" t="s">
        <v>401</v>
      </c>
      <c r="C48" t="s">
        <v>9</v>
      </c>
      <c r="D48">
        <v>0.40493493861417451</v>
      </c>
      <c r="E48" t="s">
        <v>6</v>
      </c>
      <c r="G48" t="s">
        <v>402</v>
      </c>
      <c r="H48" t="s">
        <v>9</v>
      </c>
      <c r="I48">
        <v>0.2630624088610854</v>
      </c>
      <c r="J48" t="s">
        <v>6</v>
      </c>
      <c r="L48" t="s">
        <v>403</v>
      </c>
      <c r="M48" t="s">
        <v>9</v>
      </c>
      <c r="N48">
        <v>0.27218187136392791</v>
      </c>
      <c r="O48" t="s">
        <v>6</v>
      </c>
    </row>
    <row r="49" spans="2:15" x14ac:dyDescent="0.45">
      <c r="B49" t="s">
        <v>401</v>
      </c>
      <c r="C49" t="s">
        <v>10</v>
      </c>
      <c r="D49">
        <v>2.1810005472616915E-2</v>
      </c>
      <c r="E49" t="s">
        <v>6</v>
      </c>
      <c r="G49" t="s">
        <v>402</v>
      </c>
      <c r="H49" t="s">
        <v>10</v>
      </c>
      <c r="I49">
        <v>0.24050252442517026</v>
      </c>
      <c r="J49" t="s">
        <v>6</v>
      </c>
      <c r="L49" t="s">
        <v>403</v>
      </c>
      <c r="M49" t="s">
        <v>10</v>
      </c>
      <c r="N49">
        <v>0.22864758205503188</v>
      </c>
      <c r="O49" t="s">
        <v>6</v>
      </c>
    </row>
    <row r="50" spans="2:15" x14ac:dyDescent="0.45">
      <c r="B50" t="s">
        <v>401</v>
      </c>
      <c r="C50" t="s">
        <v>11</v>
      </c>
      <c r="D50">
        <v>0.56266013631428291</v>
      </c>
      <c r="E50" t="s">
        <v>6</v>
      </c>
      <c r="G50" t="s">
        <v>402</v>
      </c>
      <c r="H50" t="s">
        <v>11</v>
      </c>
      <c r="I50">
        <v>0.18876252478340702</v>
      </c>
      <c r="J50" t="s">
        <v>6</v>
      </c>
      <c r="L50" t="s">
        <v>403</v>
      </c>
      <c r="M50" t="s">
        <v>11</v>
      </c>
      <c r="N50">
        <v>0.21929725312948509</v>
      </c>
      <c r="O50" t="s">
        <v>6</v>
      </c>
    </row>
    <row r="51" spans="2:15" x14ac:dyDescent="0.45">
      <c r="B51" t="s">
        <v>404</v>
      </c>
      <c r="C51" t="s">
        <v>5</v>
      </c>
      <c r="D51">
        <v>1.2065154174977938E-2</v>
      </c>
      <c r="E51" t="s">
        <v>6</v>
      </c>
      <c r="G51" t="s">
        <v>405</v>
      </c>
      <c r="H51" t="s">
        <v>5</v>
      </c>
      <c r="I51">
        <v>0.28358142972655104</v>
      </c>
      <c r="J51" t="s">
        <v>6</v>
      </c>
    </row>
    <row r="52" spans="2:15" x14ac:dyDescent="0.45">
      <c r="B52" t="s">
        <v>404</v>
      </c>
      <c r="C52" t="s">
        <v>9</v>
      </c>
      <c r="D52">
        <v>0.42039555550403229</v>
      </c>
      <c r="E52" t="s">
        <v>6</v>
      </c>
      <c r="G52" t="s">
        <v>405</v>
      </c>
      <c r="H52" t="s">
        <v>9</v>
      </c>
      <c r="I52">
        <v>0.27313037649200306</v>
      </c>
      <c r="J52" t="s">
        <v>6</v>
      </c>
    </row>
    <row r="53" spans="2:15" x14ac:dyDescent="0.45">
      <c r="B53" t="s">
        <v>404</v>
      </c>
      <c r="C53" t="s">
        <v>10</v>
      </c>
      <c r="D53">
        <v>2.31445486091497E-2</v>
      </c>
      <c r="E53" t="s">
        <v>6</v>
      </c>
      <c r="G53" t="s">
        <v>405</v>
      </c>
      <c r="H53" t="s">
        <v>10</v>
      </c>
      <c r="I53">
        <v>0.22900229733920124</v>
      </c>
      <c r="J53" t="s">
        <v>6</v>
      </c>
    </row>
    <row r="54" spans="2:15" x14ac:dyDescent="0.45">
      <c r="B54" t="s">
        <v>404</v>
      </c>
      <c r="C54" t="s">
        <v>11</v>
      </c>
      <c r="D54">
        <v>0.54439474171183755</v>
      </c>
      <c r="E54" t="s">
        <v>6</v>
      </c>
      <c r="G54" t="s">
        <v>405</v>
      </c>
      <c r="H54" t="s">
        <v>11</v>
      </c>
      <c r="I54">
        <v>0.21428589644224449</v>
      </c>
      <c r="J54" t="s">
        <v>6</v>
      </c>
    </row>
    <row r="55" spans="2:15" x14ac:dyDescent="0.45">
      <c r="B55" t="s">
        <v>406</v>
      </c>
      <c r="C55" t="s">
        <v>5</v>
      </c>
      <c r="D55">
        <v>1.2753279447409236E-2</v>
      </c>
      <c r="E55" t="s">
        <v>6</v>
      </c>
      <c r="G55" t="s">
        <v>407</v>
      </c>
      <c r="H55" t="s">
        <v>5</v>
      </c>
      <c r="I55">
        <v>0.28934278335696673</v>
      </c>
      <c r="J55" t="s">
        <v>6</v>
      </c>
    </row>
    <row r="56" spans="2:15" x14ac:dyDescent="0.45">
      <c r="B56" t="s">
        <v>406</v>
      </c>
      <c r="C56" t="s">
        <v>9</v>
      </c>
      <c r="D56">
        <v>0.41763157652686594</v>
      </c>
      <c r="E56" t="s">
        <v>6</v>
      </c>
      <c r="G56" t="s">
        <v>407</v>
      </c>
      <c r="H56" t="s">
        <v>9</v>
      </c>
      <c r="I56">
        <v>0.27761409737145526</v>
      </c>
      <c r="J56" t="s">
        <v>6</v>
      </c>
    </row>
    <row r="57" spans="2:15" x14ac:dyDescent="0.45">
      <c r="B57" t="s">
        <v>406</v>
      </c>
      <c r="C57" t="s">
        <v>10</v>
      </c>
      <c r="D57">
        <v>2.4762165593392428E-2</v>
      </c>
      <c r="E57" t="s">
        <v>6</v>
      </c>
      <c r="G57" t="s">
        <v>407</v>
      </c>
      <c r="H57" t="s">
        <v>10</v>
      </c>
      <c r="I57">
        <v>0.22621139367654533</v>
      </c>
      <c r="J57" t="s">
        <v>6</v>
      </c>
    </row>
    <row r="58" spans="2:15" x14ac:dyDescent="0.45">
      <c r="B58" t="s">
        <v>406</v>
      </c>
      <c r="C58" t="s">
        <v>11</v>
      </c>
      <c r="D58">
        <v>0.54485297843233205</v>
      </c>
      <c r="E58" t="s">
        <v>6</v>
      </c>
      <c r="G58" t="s">
        <v>407</v>
      </c>
      <c r="H58" t="s">
        <v>11</v>
      </c>
      <c r="I58">
        <v>0.20683172559503232</v>
      </c>
      <c r="J58" t="s">
        <v>6</v>
      </c>
    </row>
    <row r="59" spans="2:15" x14ac:dyDescent="0.45">
      <c r="B59" t="s">
        <v>408</v>
      </c>
      <c r="C59" t="s">
        <v>5</v>
      </c>
      <c r="D59">
        <v>9.373418599145502E-3</v>
      </c>
      <c r="E59" t="s">
        <v>6</v>
      </c>
      <c r="G59" t="s">
        <v>409</v>
      </c>
      <c r="H59" t="s">
        <v>5</v>
      </c>
      <c r="I59">
        <v>0.28497436147313709</v>
      </c>
      <c r="J59" t="s">
        <v>6</v>
      </c>
    </row>
    <row r="60" spans="2:15" x14ac:dyDescent="0.45">
      <c r="B60" t="s">
        <v>408</v>
      </c>
      <c r="C60" t="s">
        <v>9</v>
      </c>
      <c r="D60">
        <v>0.44561044368683017</v>
      </c>
      <c r="E60" t="s">
        <v>6</v>
      </c>
      <c r="G60" t="s">
        <v>409</v>
      </c>
      <c r="H60" t="s">
        <v>9</v>
      </c>
      <c r="I60">
        <v>0.28022772129244866</v>
      </c>
      <c r="J60" t="s">
        <v>6</v>
      </c>
    </row>
    <row r="61" spans="2:15" x14ac:dyDescent="0.45">
      <c r="B61" t="s">
        <v>408</v>
      </c>
      <c r="C61" t="s">
        <v>10</v>
      </c>
      <c r="D61">
        <v>1.8581777949500319E-2</v>
      </c>
      <c r="E61" t="s">
        <v>6</v>
      </c>
      <c r="G61" t="s">
        <v>409</v>
      </c>
      <c r="H61" t="s">
        <v>10</v>
      </c>
      <c r="I61">
        <v>0.22559734544554605</v>
      </c>
      <c r="J61" t="s">
        <v>6</v>
      </c>
    </row>
    <row r="62" spans="2:15" x14ac:dyDescent="0.45">
      <c r="B62" t="s">
        <v>408</v>
      </c>
      <c r="C62" t="s">
        <v>11</v>
      </c>
      <c r="D62">
        <v>0.5264343597645248</v>
      </c>
      <c r="E62" t="s">
        <v>6</v>
      </c>
      <c r="G62" t="s">
        <v>409</v>
      </c>
      <c r="H62" t="s">
        <v>11</v>
      </c>
      <c r="I62">
        <v>0.20920057178887019</v>
      </c>
      <c r="J62" t="s">
        <v>6</v>
      </c>
    </row>
    <row r="63" spans="2:15" x14ac:dyDescent="0.45">
      <c r="B63" t="s">
        <v>410</v>
      </c>
      <c r="C63" t="s">
        <v>5</v>
      </c>
      <c r="D63">
        <v>9.0871331504207443E-3</v>
      </c>
      <c r="E63" t="s">
        <v>6</v>
      </c>
      <c r="G63" t="s">
        <v>411</v>
      </c>
      <c r="H63" t="s">
        <v>5</v>
      </c>
      <c r="I63">
        <v>0.29420519473106616</v>
      </c>
      <c r="J63" t="s">
        <v>6</v>
      </c>
    </row>
    <row r="64" spans="2:15" x14ac:dyDescent="0.45">
      <c r="B64" t="s">
        <v>410</v>
      </c>
      <c r="C64" t="s">
        <v>9</v>
      </c>
      <c r="D64">
        <v>0.42846600268998525</v>
      </c>
      <c r="E64" t="s">
        <v>6</v>
      </c>
      <c r="G64" t="s">
        <v>411</v>
      </c>
      <c r="H64" t="s">
        <v>9</v>
      </c>
      <c r="I64">
        <v>0.27053826945007214</v>
      </c>
      <c r="J64" t="s">
        <v>6</v>
      </c>
    </row>
    <row r="65" spans="2:10" x14ac:dyDescent="0.45">
      <c r="B65" t="s">
        <v>410</v>
      </c>
      <c r="C65" t="s">
        <v>10</v>
      </c>
      <c r="D65">
        <v>1.9190815318807956E-2</v>
      </c>
      <c r="E65" t="s">
        <v>6</v>
      </c>
      <c r="G65" t="s">
        <v>411</v>
      </c>
      <c r="H65" t="s">
        <v>10</v>
      </c>
      <c r="I65">
        <v>0.2312143617730785</v>
      </c>
      <c r="J65" t="s">
        <v>6</v>
      </c>
    </row>
    <row r="66" spans="2:10" x14ac:dyDescent="0.45">
      <c r="B66" t="s">
        <v>410</v>
      </c>
      <c r="C66" t="s">
        <v>11</v>
      </c>
      <c r="D66">
        <v>0.54325604884078671</v>
      </c>
      <c r="E66" t="s">
        <v>6</v>
      </c>
      <c r="G66" t="s">
        <v>411</v>
      </c>
      <c r="H66" t="s">
        <v>11</v>
      </c>
      <c r="I66">
        <v>0.20404217404578218</v>
      </c>
      <c r="J66" t="s">
        <v>6</v>
      </c>
    </row>
    <row r="67" spans="2:10" x14ac:dyDescent="0.45">
      <c r="B67" t="s">
        <v>412</v>
      </c>
      <c r="C67" t="s">
        <v>5</v>
      </c>
      <c r="D67">
        <v>7.1128580057118708E-3</v>
      </c>
      <c r="E67" t="s">
        <v>6</v>
      </c>
      <c r="G67" t="s">
        <v>413</v>
      </c>
      <c r="H67" t="s">
        <v>5</v>
      </c>
      <c r="I67">
        <v>0.29016504153512346</v>
      </c>
      <c r="J67" t="s">
        <v>6</v>
      </c>
    </row>
    <row r="68" spans="2:10" x14ac:dyDescent="0.45">
      <c r="B68" t="s">
        <v>412</v>
      </c>
      <c r="C68" t="s">
        <v>9</v>
      </c>
      <c r="D68">
        <v>0.42699202871219338</v>
      </c>
      <c r="E68" t="s">
        <v>6</v>
      </c>
      <c r="G68" t="s">
        <v>413</v>
      </c>
      <c r="H68" t="s">
        <v>9</v>
      </c>
      <c r="I68">
        <v>0.27484709436363181</v>
      </c>
      <c r="J68" t="s">
        <v>6</v>
      </c>
    </row>
    <row r="69" spans="2:10" x14ac:dyDescent="0.45">
      <c r="B69" t="s">
        <v>412</v>
      </c>
      <c r="C69" t="s">
        <v>10</v>
      </c>
      <c r="D69">
        <v>1.4574002541749476E-2</v>
      </c>
      <c r="E69" t="s">
        <v>6</v>
      </c>
      <c r="G69" t="s">
        <v>413</v>
      </c>
      <c r="H69" t="s">
        <v>10</v>
      </c>
      <c r="I69">
        <v>0.22656321865075346</v>
      </c>
      <c r="J69" t="s">
        <v>6</v>
      </c>
    </row>
    <row r="70" spans="2:10" x14ac:dyDescent="0.45">
      <c r="B70" t="s">
        <v>412</v>
      </c>
      <c r="C70" t="s">
        <v>11</v>
      </c>
      <c r="D70">
        <v>0.55132111074034618</v>
      </c>
      <c r="E70" t="s">
        <v>6</v>
      </c>
      <c r="G70" t="s">
        <v>413</v>
      </c>
      <c r="H70" t="s">
        <v>11</v>
      </c>
      <c r="I70">
        <v>0.2084246454504857</v>
      </c>
      <c r="J70" t="s">
        <v>6</v>
      </c>
    </row>
    <row r="71" spans="2:10" x14ac:dyDescent="0.45">
      <c r="B71" t="s">
        <v>414</v>
      </c>
      <c r="C71" t="s">
        <v>5</v>
      </c>
      <c r="D71">
        <v>7.6322263482661639E-3</v>
      </c>
      <c r="E71" t="s">
        <v>6</v>
      </c>
      <c r="G71" t="s">
        <v>415</v>
      </c>
      <c r="H71" t="s">
        <v>5</v>
      </c>
      <c r="I71">
        <v>0.28323669870692914</v>
      </c>
      <c r="J71" t="s">
        <v>6</v>
      </c>
    </row>
    <row r="72" spans="2:10" x14ac:dyDescent="0.45">
      <c r="B72" t="s">
        <v>414</v>
      </c>
      <c r="C72" t="s">
        <v>9</v>
      </c>
      <c r="D72">
        <v>0.45058025340019009</v>
      </c>
      <c r="E72" t="s">
        <v>6</v>
      </c>
      <c r="G72" t="s">
        <v>415</v>
      </c>
      <c r="H72" t="s">
        <v>9</v>
      </c>
      <c r="I72">
        <v>0.27366285950520425</v>
      </c>
      <c r="J72" t="s">
        <v>6</v>
      </c>
    </row>
    <row r="73" spans="2:10" x14ac:dyDescent="0.45">
      <c r="B73" t="s">
        <v>414</v>
      </c>
      <c r="C73" t="s">
        <v>10</v>
      </c>
      <c r="D73">
        <v>1.4868534342072179E-2</v>
      </c>
      <c r="E73" t="s">
        <v>6</v>
      </c>
      <c r="G73" t="s">
        <v>415</v>
      </c>
      <c r="H73" t="s">
        <v>10</v>
      </c>
      <c r="I73">
        <v>0.22681083004303168</v>
      </c>
      <c r="J73" t="s">
        <v>6</v>
      </c>
    </row>
    <row r="74" spans="2:10" x14ac:dyDescent="0.45">
      <c r="B74" t="s">
        <v>414</v>
      </c>
      <c r="C74" t="s">
        <v>11</v>
      </c>
      <c r="D74">
        <v>0.5269189859094715</v>
      </c>
      <c r="E74" t="s">
        <v>6</v>
      </c>
      <c r="G74" t="s">
        <v>415</v>
      </c>
      <c r="H74" t="s">
        <v>11</v>
      </c>
      <c r="I74">
        <v>0.21628961174483533</v>
      </c>
      <c r="J74" t="s">
        <v>6</v>
      </c>
    </row>
    <row r="75" spans="2:10" x14ac:dyDescent="0.45">
      <c r="B75" t="s">
        <v>416</v>
      </c>
      <c r="C75" t="s">
        <v>5</v>
      </c>
      <c r="D75">
        <v>1.271254145464464E-2</v>
      </c>
      <c r="E75" t="s">
        <v>6</v>
      </c>
      <c r="G75" t="s">
        <v>417</v>
      </c>
      <c r="H75" t="s">
        <v>5</v>
      </c>
      <c r="I75">
        <v>0.28177930694138437</v>
      </c>
      <c r="J75" t="s">
        <v>6</v>
      </c>
    </row>
    <row r="76" spans="2:10" x14ac:dyDescent="0.45">
      <c r="B76" t="s">
        <v>416</v>
      </c>
      <c r="C76" t="s">
        <v>9</v>
      </c>
      <c r="D76">
        <v>0.42402381135709072</v>
      </c>
      <c r="E76" t="s">
        <v>6</v>
      </c>
      <c r="G76" t="s">
        <v>417</v>
      </c>
      <c r="H76" t="s">
        <v>9</v>
      </c>
      <c r="I76">
        <v>0.27094347551169634</v>
      </c>
      <c r="J76" t="s">
        <v>6</v>
      </c>
    </row>
    <row r="77" spans="2:10" x14ac:dyDescent="0.45">
      <c r="B77" t="s">
        <v>416</v>
      </c>
      <c r="C77" t="s">
        <v>10</v>
      </c>
      <c r="D77">
        <v>2.411361924893133E-2</v>
      </c>
      <c r="E77" t="s">
        <v>6</v>
      </c>
      <c r="G77" t="s">
        <v>417</v>
      </c>
      <c r="H77" t="s">
        <v>10</v>
      </c>
      <c r="I77">
        <v>0.22882712146113487</v>
      </c>
      <c r="J77" t="s">
        <v>6</v>
      </c>
    </row>
    <row r="78" spans="2:10" x14ac:dyDescent="0.45">
      <c r="B78" t="s">
        <v>416</v>
      </c>
      <c r="C78" t="s">
        <v>11</v>
      </c>
      <c r="D78">
        <v>0.53915002793933242</v>
      </c>
      <c r="E78" t="s">
        <v>6</v>
      </c>
      <c r="G78" t="s">
        <v>417</v>
      </c>
      <c r="H78" t="s">
        <v>11</v>
      </c>
      <c r="I78">
        <v>0.21845009608578861</v>
      </c>
      <c r="J78" t="s">
        <v>6</v>
      </c>
    </row>
    <row r="79" spans="2:10" x14ac:dyDescent="0.45">
      <c r="B79" t="s">
        <v>418</v>
      </c>
      <c r="C79" t="s">
        <v>5</v>
      </c>
      <c r="D79">
        <v>1.3080476073054698E-2</v>
      </c>
      <c r="E79" t="s">
        <v>6</v>
      </c>
      <c r="G79" t="s">
        <v>419</v>
      </c>
      <c r="H79" t="s">
        <v>5</v>
      </c>
      <c r="I79">
        <v>0.27515965127558334</v>
      </c>
      <c r="J79" t="s">
        <v>6</v>
      </c>
    </row>
    <row r="80" spans="2:10" x14ac:dyDescent="0.45">
      <c r="B80" t="s">
        <v>418</v>
      </c>
      <c r="C80" t="s">
        <v>9</v>
      </c>
      <c r="D80">
        <v>0.42216771606390058</v>
      </c>
      <c r="E80" t="s">
        <v>6</v>
      </c>
      <c r="G80" t="s">
        <v>419</v>
      </c>
      <c r="H80" t="s">
        <v>9</v>
      </c>
      <c r="I80">
        <v>0.26614650620914848</v>
      </c>
      <c r="J80" t="s">
        <v>6</v>
      </c>
    </row>
    <row r="81" spans="2:10" x14ac:dyDescent="0.45">
      <c r="B81" t="s">
        <v>418</v>
      </c>
      <c r="C81" t="s">
        <v>10</v>
      </c>
      <c r="D81">
        <v>2.5573795680671627E-2</v>
      </c>
      <c r="E81" t="s">
        <v>6</v>
      </c>
      <c r="G81" t="s">
        <v>419</v>
      </c>
      <c r="H81" t="s">
        <v>10</v>
      </c>
      <c r="I81">
        <v>0.23243924945792743</v>
      </c>
      <c r="J81" t="s">
        <v>6</v>
      </c>
    </row>
    <row r="82" spans="2:10" x14ac:dyDescent="0.45">
      <c r="B82" t="s">
        <v>418</v>
      </c>
      <c r="C82" t="s">
        <v>11</v>
      </c>
      <c r="D82">
        <v>0.53917801218237615</v>
      </c>
      <c r="E82" t="s">
        <v>6</v>
      </c>
      <c r="G82" t="s">
        <v>419</v>
      </c>
      <c r="H82" t="s">
        <v>11</v>
      </c>
      <c r="I82">
        <v>0.22625459305733847</v>
      </c>
      <c r="J82" t="s">
        <v>6</v>
      </c>
    </row>
    <row r="83" spans="2:10" x14ac:dyDescent="0.45">
      <c r="B83" t="s">
        <v>420</v>
      </c>
      <c r="C83" t="s">
        <v>5</v>
      </c>
      <c r="D83">
        <v>1.1467039080211027E-2</v>
      </c>
      <c r="E83" t="s">
        <v>6</v>
      </c>
      <c r="G83" t="s">
        <v>421</v>
      </c>
      <c r="H83" t="s">
        <v>5</v>
      </c>
      <c r="I83">
        <v>0.28039517762970195</v>
      </c>
      <c r="J83" t="s">
        <v>6</v>
      </c>
    </row>
    <row r="84" spans="2:10" x14ac:dyDescent="0.45">
      <c r="B84" t="s">
        <v>420</v>
      </c>
      <c r="C84" t="s">
        <v>9</v>
      </c>
      <c r="D84">
        <v>0.41819583015797224</v>
      </c>
      <c r="E84" t="s">
        <v>6</v>
      </c>
      <c r="G84" t="s">
        <v>421</v>
      </c>
      <c r="H84" t="s">
        <v>9</v>
      </c>
      <c r="I84">
        <v>0.2745568804378587</v>
      </c>
      <c r="J84" t="s">
        <v>6</v>
      </c>
    </row>
    <row r="85" spans="2:10" x14ac:dyDescent="0.45">
      <c r="B85" t="s">
        <v>420</v>
      </c>
      <c r="C85" t="s">
        <v>10</v>
      </c>
      <c r="D85">
        <v>2.2557524166970846E-2</v>
      </c>
      <c r="E85" t="s">
        <v>6</v>
      </c>
      <c r="G85" t="s">
        <v>421</v>
      </c>
      <c r="H85" t="s">
        <v>10</v>
      </c>
      <c r="I85">
        <v>0.22597700234660748</v>
      </c>
      <c r="J85" t="s">
        <v>6</v>
      </c>
    </row>
    <row r="86" spans="2:10" x14ac:dyDescent="0.45">
      <c r="B86" t="s">
        <v>420</v>
      </c>
      <c r="C86" t="s">
        <v>11</v>
      </c>
      <c r="D86">
        <v>0.54777960659484648</v>
      </c>
      <c r="E86" t="s">
        <v>6</v>
      </c>
      <c r="G86" t="s">
        <v>421</v>
      </c>
      <c r="H86" t="s">
        <v>11</v>
      </c>
      <c r="I86">
        <v>0.21907093958583007</v>
      </c>
      <c r="J86" t="s">
        <v>6</v>
      </c>
    </row>
    <row r="87" spans="2:10" x14ac:dyDescent="0.45">
      <c r="B87" t="s">
        <v>422</v>
      </c>
      <c r="C87" t="s">
        <v>5</v>
      </c>
      <c r="D87">
        <v>9.8766458970486314E-3</v>
      </c>
      <c r="E87" t="s">
        <v>6</v>
      </c>
      <c r="G87" t="s">
        <v>423</v>
      </c>
      <c r="H87" t="s">
        <v>5</v>
      </c>
      <c r="I87">
        <v>0.28606941473612513</v>
      </c>
      <c r="J87" t="s">
        <v>6</v>
      </c>
    </row>
    <row r="88" spans="2:10" x14ac:dyDescent="0.45">
      <c r="B88" t="s">
        <v>422</v>
      </c>
      <c r="C88" t="s">
        <v>9</v>
      </c>
      <c r="D88">
        <v>0.41067492159723262</v>
      </c>
      <c r="E88" t="s">
        <v>6</v>
      </c>
      <c r="G88" t="s">
        <v>423</v>
      </c>
      <c r="H88" t="s">
        <v>9</v>
      </c>
      <c r="I88">
        <v>0.27223299474425805</v>
      </c>
      <c r="J88" t="s">
        <v>6</v>
      </c>
    </row>
    <row r="89" spans="2:10" x14ac:dyDescent="0.45">
      <c r="B89" t="s">
        <v>422</v>
      </c>
      <c r="C89" t="s">
        <v>10</v>
      </c>
      <c r="D89">
        <v>2.0514444062314865E-2</v>
      </c>
      <c r="E89" t="s">
        <v>6</v>
      </c>
      <c r="G89" t="s">
        <v>423</v>
      </c>
      <c r="H89" t="s">
        <v>10</v>
      </c>
      <c r="I89">
        <v>0.23118953906853604</v>
      </c>
      <c r="J89" t="s">
        <v>6</v>
      </c>
    </row>
    <row r="90" spans="2:10" x14ac:dyDescent="0.45">
      <c r="B90" t="s">
        <v>422</v>
      </c>
      <c r="C90" t="s">
        <v>11</v>
      </c>
      <c r="D90">
        <v>0.5589339884434017</v>
      </c>
      <c r="E90" t="s">
        <v>6</v>
      </c>
      <c r="G90" t="s">
        <v>423</v>
      </c>
      <c r="H90" t="s">
        <v>11</v>
      </c>
      <c r="I90">
        <v>0.2105080514510799</v>
      </c>
      <c r="J90" t="s">
        <v>6</v>
      </c>
    </row>
    <row r="91" spans="2:10" x14ac:dyDescent="0.45">
      <c r="B91" t="s">
        <v>424</v>
      </c>
      <c r="C91" t="s">
        <v>5</v>
      </c>
      <c r="D91">
        <v>9.0078447566988504E-3</v>
      </c>
      <c r="E91" t="s">
        <v>6</v>
      </c>
      <c r="G91" t="s">
        <v>425</v>
      </c>
      <c r="H91" t="s">
        <v>5</v>
      </c>
      <c r="I91">
        <v>0.28753335100242455</v>
      </c>
      <c r="J91" t="s">
        <v>6</v>
      </c>
    </row>
    <row r="92" spans="2:10" x14ac:dyDescent="0.45">
      <c r="B92" t="s">
        <v>424</v>
      </c>
      <c r="C92" t="s">
        <v>9</v>
      </c>
      <c r="D92">
        <v>0.41449704889257644</v>
      </c>
      <c r="E92" t="s">
        <v>6</v>
      </c>
      <c r="G92" t="s">
        <v>425</v>
      </c>
      <c r="H92" t="s">
        <v>9</v>
      </c>
      <c r="I92">
        <v>0.2608664996128946</v>
      </c>
      <c r="J92" t="s">
        <v>6</v>
      </c>
    </row>
    <row r="93" spans="2:10" x14ac:dyDescent="0.45">
      <c r="B93" t="s">
        <v>424</v>
      </c>
      <c r="C93" t="s">
        <v>10</v>
      </c>
      <c r="D93">
        <v>1.9011795361768266E-2</v>
      </c>
      <c r="E93" t="s">
        <v>6</v>
      </c>
      <c r="G93" t="s">
        <v>425</v>
      </c>
      <c r="H93" t="s">
        <v>10</v>
      </c>
      <c r="I93">
        <v>0.23461236289945972</v>
      </c>
      <c r="J93" t="s">
        <v>6</v>
      </c>
    </row>
    <row r="94" spans="2:10" x14ac:dyDescent="0.45">
      <c r="B94" t="s">
        <v>424</v>
      </c>
      <c r="C94" t="s">
        <v>11</v>
      </c>
      <c r="D94">
        <v>0.55748331098895698</v>
      </c>
      <c r="E94" t="s">
        <v>6</v>
      </c>
      <c r="G94" t="s">
        <v>425</v>
      </c>
      <c r="H94" t="s">
        <v>11</v>
      </c>
      <c r="I94">
        <v>0.21698778648521758</v>
      </c>
      <c r="J94" t="s">
        <v>6</v>
      </c>
    </row>
    <row r="95" spans="2:10" x14ac:dyDescent="0.45">
      <c r="B95" t="s">
        <v>426</v>
      </c>
      <c r="C95" t="s">
        <v>5</v>
      </c>
      <c r="D95">
        <v>1.0759317690850175E-2</v>
      </c>
      <c r="E95" t="s">
        <v>6</v>
      </c>
      <c r="G95" t="s">
        <v>427</v>
      </c>
      <c r="H95" t="s">
        <v>5</v>
      </c>
      <c r="I95">
        <v>0.2827131943016889</v>
      </c>
      <c r="J95" t="s">
        <v>6</v>
      </c>
    </row>
    <row r="96" spans="2:10" x14ac:dyDescent="0.45">
      <c r="B96" t="s">
        <v>426</v>
      </c>
      <c r="C96" t="s">
        <v>9</v>
      </c>
      <c r="D96">
        <v>0.41945666787548463</v>
      </c>
      <c r="E96" t="s">
        <v>6</v>
      </c>
      <c r="G96" t="s">
        <v>427</v>
      </c>
      <c r="H96" t="s">
        <v>9</v>
      </c>
      <c r="I96">
        <v>0.26823542406182438</v>
      </c>
      <c r="J96" t="s">
        <v>6</v>
      </c>
    </row>
    <row r="97" spans="2:10" x14ac:dyDescent="0.45">
      <c r="B97" t="s">
        <v>426</v>
      </c>
      <c r="C97" t="s">
        <v>10</v>
      </c>
      <c r="D97">
        <v>2.2731776579513387E-2</v>
      </c>
      <c r="E97" t="s">
        <v>6</v>
      </c>
      <c r="G97" t="s">
        <v>427</v>
      </c>
      <c r="H97" t="s">
        <v>10</v>
      </c>
      <c r="I97">
        <v>0.22979579324707489</v>
      </c>
      <c r="J97" t="s">
        <v>6</v>
      </c>
    </row>
    <row r="98" spans="2:10" x14ac:dyDescent="0.45">
      <c r="B98" t="s">
        <v>426</v>
      </c>
      <c r="C98" t="s">
        <v>11</v>
      </c>
      <c r="D98">
        <v>0.54705223785415014</v>
      </c>
      <c r="E98" t="s">
        <v>6</v>
      </c>
      <c r="G98" t="s">
        <v>427</v>
      </c>
      <c r="H98" t="s">
        <v>11</v>
      </c>
      <c r="I98">
        <v>0.21925558838940992</v>
      </c>
      <c r="J98" t="s">
        <v>6</v>
      </c>
    </row>
    <row r="99" spans="2:10" x14ac:dyDescent="0.45">
      <c r="B99" t="s">
        <v>428</v>
      </c>
      <c r="C99" t="s">
        <v>5</v>
      </c>
      <c r="D99">
        <v>1.20240151130208E-2</v>
      </c>
      <c r="E99" t="s">
        <v>6</v>
      </c>
    </row>
    <row r="100" spans="2:10" x14ac:dyDescent="0.45">
      <c r="B100" t="s">
        <v>428</v>
      </c>
      <c r="C100" t="s">
        <v>9</v>
      </c>
      <c r="D100">
        <v>0.41333111902662084</v>
      </c>
      <c r="E100" t="s">
        <v>6</v>
      </c>
    </row>
    <row r="101" spans="2:10" x14ac:dyDescent="0.45">
      <c r="B101" t="s">
        <v>428</v>
      </c>
      <c r="C101" t="s">
        <v>10</v>
      </c>
      <c r="D101">
        <v>2.3882458090292435E-2</v>
      </c>
      <c r="E101" t="s">
        <v>6</v>
      </c>
    </row>
    <row r="102" spans="2:10" x14ac:dyDescent="0.45">
      <c r="B102" t="s">
        <v>428</v>
      </c>
      <c r="C102" t="s">
        <v>11</v>
      </c>
      <c r="D102">
        <v>0.55076240777006447</v>
      </c>
      <c r="E102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563B-D7CB-450E-9A5A-B96B3A606E5C}">
  <dimension ref="B9:AF65"/>
  <sheetViews>
    <sheetView workbookViewId="0"/>
  </sheetViews>
  <sheetFormatPr defaultRowHeight="14.25" x14ac:dyDescent="0.45"/>
  <sheetData>
    <row r="9" spans="2:32" x14ac:dyDescent="0.45">
      <c r="B9" t="str">
        <f>IF(A11="x","DeActivated","~TFM_DINS-TSL: attribute=FLO_EMIS; other_indexes=ACT; region=DEU")</f>
        <v>~TFM_DINS-TSL: attribute=FLO_EMIS; other_indexes=ACT; region=DEU</v>
      </c>
      <c r="I9" t="str">
        <f>IF(A11="x","DeActivated","~TFM_INS-TSL: attribute=FLO_SHAR; limtype=FX; region=DEU")</f>
        <v>~TFM_INS-TSL: attribute=FLO_SHAR; limtype=FX; region=DEU</v>
      </c>
      <c r="P9" t="str">
        <f>IF(A11="x","DeActivated","~TFM_INS-TSL: attribute=FLO_SHAR; limtype=FX; region=DEU")</f>
        <v>~TFM_INS-TSL: attribute=FLO_SHAR; limtype=FX; region=DEU</v>
      </c>
      <c r="W9" t="str">
        <f>IF(A11="x","DeActivated","~TFM_DINS-TSL: attribute=NCAP_PKCNT; region=DEU")</f>
        <v>~TFM_DINS-TSL: attribute=NCAP_PKCNT; region=DEU</v>
      </c>
      <c r="AC9" t="str">
        <f>IF(A11="x","DeActivated","~TFM_DINS-AT: region=DEU")</f>
        <v>~TFM_DINS-AT: region=DEU</v>
      </c>
    </row>
    <row r="10" spans="2:3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I10" t="s">
        <v>3</v>
      </c>
      <c r="J10" t="s">
        <v>0</v>
      </c>
      <c r="K10" t="s">
        <v>5</v>
      </c>
      <c r="L10" t="s">
        <v>9</v>
      </c>
      <c r="M10" t="s">
        <v>10</v>
      </c>
      <c r="N10" t="s">
        <v>11</v>
      </c>
      <c r="P10" t="s">
        <v>3</v>
      </c>
      <c r="Q10" t="s">
        <v>0</v>
      </c>
      <c r="R10" t="s">
        <v>5</v>
      </c>
      <c r="S10" t="s">
        <v>9</v>
      </c>
      <c r="T10" t="s">
        <v>10</v>
      </c>
      <c r="U10" t="s">
        <v>11</v>
      </c>
      <c r="W10" t="s">
        <v>3</v>
      </c>
      <c r="X10" t="s">
        <v>5</v>
      </c>
      <c r="Y10" t="s">
        <v>9</v>
      </c>
      <c r="Z10" t="s">
        <v>10</v>
      </c>
      <c r="AA10" t="s">
        <v>11</v>
      </c>
      <c r="AC10" t="s">
        <v>3</v>
      </c>
      <c r="AD10" t="s">
        <v>0</v>
      </c>
      <c r="AE10" t="s">
        <v>84</v>
      </c>
      <c r="AF10" t="s">
        <v>85</v>
      </c>
    </row>
    <row r="11" spans="2:32" x14ac:dyDescent="0.45">
      <c r="B11" t="s">
        <v>429</v>
      </c>
      <c r="C11" t="s">
        <v>87</v>
      </c>
      <c r="D11">
        <v>0.91527631433558787</v>
      </c>
      <c r="E11">
        <v>0.44012708524989974</v>
      </c>
      <c r="F11">
        <v>0.86454545682891992</v>
      </c>
      <c r="G11">
        <v>0.35544200769545642</v>
      </c>
      <c r="I11" t="s">
        <v>88</v>
      </c>
      <c r="J11" t="s">
        <v>89</v>
      </c>
      <c r="K11">
        <v>0.39669304676371608</v>
      </c>
      <c r="L11">
        <v>0.1631960001264337</v>
      </c>
      <c r="M11">
        <v>0.34860755179988123</v>
      </c>
      <c r="N11">
        <v>0.12982675403320942</v>
      </c>
      <c r="P11" t="s">
        <v>88</v>
      </c>
      <c r="Q11" t="s">
        <v>90</v>
      </c>
      <c r="R11">
        <v>0.26136047394417034</v>
      </c>
      <c r="S11">
        <v>7.068209717667992E-2</v>
      </c>
      <c r="T11">
        <v>0.27393897900254177</v>
      </c>
      <c r="U11">
        <v>5.8096024610375406E-2</v>
      </c>
      <c r="W11" t="s">
        <v>429</v>
      </c>
      <c r="X11">
        <v>4.1585941052148618E-3</v>
      </c>
      <c r="Y11">
        <v>0.1797349130465479</v>
      </c>
      <c r="Z11">
        <v>8.7492530391563642E-3</v>
      </c>
      <c r="AA11">
        <v>0.25090643972887905</v>
      </c>
      <c r="AC11" t="s">
        <v>429</v>
      </c>
      <c r="AD11" t="s">
        <v>91</v>
      </c>
      <c r="AE11" t="s">
        <v>92</v>
      </c>
      <c r="AF11">
        <v>0.25090643972887905</v>
      </c>
    </row>
    <row r="12" spans="2:32" x14ac:dyDescent="0.45">
      <c r="B12" t="s">
        <v>430</v>
      </c>
      <c r="C12" t="s">
        <v>87</v>
      </c>
      <c r="D12">
        <v>0.91628745581038695</v>
      </c>
      <c r="E12">
        <v>0.42941920658656918</v>
      </c>
      <c r="F12">
        <v>0.85908127521912658</v>
      </c>
      <c r="G12">
        <v>0.3573641992898004</v>
      </c>
      <c r="I12" t="s">
        <v>94</v>
      </c>
      <c r="J12" t="s">
        <v>89</v>
      </c>
      <c r="K12">
        <v>5.0319665156080126E-3</v>
      </c>
      <c r="L12">
        <v>2.0246355013521906E-3</v>
      </c>
      <c r="M12">
        <v>5.5771853304383444E-3</v>
      </c>
      <c r="N12">
        <v>2.6101946755314603E-3</v>
      </c>
      <c r="P12" t="s">
        <v>94</v>
      </c>
      <c r="Q12" t="s">
        <v>90</v>
      </c>
      <c r="R12">
        <v>1.1985450602047028E-2</v>
      </c>
      <c r="S12">
        <v>1.3965901406971334E-2</v>
      </c>
      <c r="T12">
        <v>1.4512023664526365E-2</v>
      </c>
      <c r="U12">
        <v>1.2872139845136576E-2</v>
      </c>
      <c r="W12" t="s">
        <v>430</v>
      </c>
      <c r="X12">
        <v>3.6994859806850715E-3</v>
      </c>
      <c r="Y12">
        <v>0.18387109834877158</v>
      </c>
      <c r="Z12">
        <v>7.7245145810781249E-3</v>
      </c>
      <c r="AA12">
        <v>0.25021426323782608</v>
      </c>
      <c r="AC12" t="s">
        <v>430</v>
      </c>
      <c r="AD12" t="s">
        <v>91</v>
      </c>
      <c r="AE12" t="s">
        <v>92</v>
      </c>
      <c r="AF12">
        <v>0.25021426323782608</v>
      </c>
    </row>
    <row r="13" spans="2:32" x14ac:dyDescent="0.45">
      <c r="B13" t="s">
        <v>431</v>
      </c>
      <c r="C13" t="s">
        <v>87</v>
      </c>
      <c r="D13">
        <v>0.91949478916451499</v>
      </c>
      <c r="E13">
        <v>0.41739932222577436</v>
      </c>
      <c r="F13">
        <v>0.86301323862800783</v>
      </c>
      <c r="G13">
        <v>0.35621437831142921</v>
      </c>
      <c r="I13" t="s">
        <v>96</v>
      </c>
      <c r="J13" t="s">
        <v>89</v>
      </c>
      <c r="K13">
        <v>2.9604419380754071E-3</v>
      </c>
      <c r="L13">
        <v>2.5259331454040735E-3</v>
      </c>
      <c r="M13">
        <v>4.4436786729780591E-3</v>
      </c>
      <c r="N13">
        <v>6.0424171124495926E-3</v>
      </c>
      <c r="P13" t="s">
        <v>96</v>
      </c>
      <c r="Q13" t="s">
        <v>90</v>
      </c>
      <c r="R13">
        <v>7.2357442919498355E-3</v>
      </c>
      <c r="S13">
        <v>1.002422045816558E-2</v>
      </c>
      <c r="T13">
        <v>1.1038040515262085E-2</v>
      </c>
      <c r="U13">
        <v>1.6377393350668328E-2</v>
      </c>
      <c r="W13" t="s">
        <v>431</v>
      </c>
      <c r="X13">
        <v>2.9632640554781787E-3</v>
      </c>
      <c r="Y13">
        <v>0.18322466750760863</v>
      </c>
      <c r="Z13">
        <v>6.5458669780786771E-3</v>
      </c>
      <c r="AA13">
        <v>0.24785247563230567</v>
      </c>
      <c r="AC13" t="s">
        <v>431</v>
      </c>
      <c r="AD13" t="s">
        <v>91</v>
      </c>
      <c r="AE13" t="s">
        <v>92</v>
      </c>
      <c r="AF13">
        <v>0.24785247563230567</v>
      </c>
    </row>
    <row r="14" spans="2:32" x14ac:dyDescent="0.45">
      <c r="B14" t="s">
        <v>432</v>
      </c>
      <c r="C14" t="s">
        <v>87</v>
      </c>
      <c r="D14">
        <v>0.91772209093239765</v>
      </c>
      <c r="E14">
        <v>0.42361925975410775</v>
      </c>
      <c r="F14">
        <v>0.86504416594313704</v>
      </c>
      <c r="G14">
        <v>0.35293104890229426</v>
      </c>
      <c r="W14" t="s">
        <v>432</v>
      </c>
      <c r="X14">
        <v>3.6912166468367302E-3</v>
      </c>
      <c r="Y14">
        <v>0.18252684387570567</v>
      </c>
      <c r="Z14">
        <v>8.0052452000047951E-3</v>
      </c>
      <c r="AA14">
        <v>0.25244334717218647</v>
      </c>
      <c r="AC14" t="s">
        <v>432</v>
      </c>
      <c r="AD14" t="s">
        <v>91</v>
      </c>
      <c r="AE14" t="s">
        <v>92</v>
      </c>
      <c r="AF14">
        <v>0.25244334717218647</v>
      </c>
    </row>
    <row r="15" spans="2:32" x14ac:dyDescent="0.45">
      <c r="B15" t="s">
        <v>433</v>
      </c>
      <c r="C15" t="s">
        <v>87</v>
      </c>
      <c r="D15">
        <v>0.92078808248835553</v>
      </c>
      <c r="E15">
        <v>0.40495722641057991</v>
      </c>
      <c r="F15">
        <v>0.86522538782334224</v>
      </c>
      <c r="G15">
        <v>0.35101159699646339</v>
      </c>
      <c r="W15" t="s">
        <v>433</v>
      </c>
      <c r="X15">
        <v>3.3088234630993668E-3</v>
      </c>
      <c r="Y15">
        <v>0.18655828095272001</v>
      </c>
      <c r="Z15">
        <v>7.2573144054558884E-3</v>
      </c>
      <c r="AA15">
        <v>0.25565090968077164</v>
      </c>
      <c r="AC15" t="s">
        <v>433</v>
      </c>
      <c r="AD15" t="s">
        <v>91</v>
      </c>
      <c r="AE15" t="s">
        <v>92</v>
      </c>
      <c r="AF15">
        <v>0.25565090968077164</v>
      </c>
    </row>
    <row r="16" spans="2:32" x14ac:dyDescent="0.45">
      <c r="B16" t="s">
        <v>434</v>
      </c>
      <c r="C16" t="s">
        <v>87</v>
      </c>
      <c r="D16">
        <v>0.9164022245021588</v>
      </c>
      <c r="E16">
        <v>0.42633864373817137</v>
      </c>
      <c r="F16">
        <v>0.85951321902928779</v>
      </c>
      <c r="G16">
        <v>0.35297815570579749</v>
      </c>
      <c r="W16" t="s">
        <v>434</v>
      </c>
      <c r="X16">
        <v>3.41388691745796E-3</v>
      </c>
      <c r="Y16">
        <v>0.19713557568509116</v>
      </c>
      <c r="Z16">
        <v>7.0958234179868485E-3</v>
      </c>
      <c r="AA16">
        <v>0.24981175707269712</v>
      </c>
      <c r="AC16" t="s">
        <v>434</v>
      </c>
      <c r="AD16" t="s">
        <v>91</v>
      </c>
      <c r="AE16" t="s">
        <v>92</v>
      </c>
      <c r="AF16">
        <v>0.24981175707269712</v>
      </c>
    </row>
    <row r="17" spans="2:32" x14ac:dyDescent="0.45">
      <c r="B17" t="s">
        <v>435</v>
      </c>
      <c r="C17" t="s">
        <v>87</v>
      </c>
      <c r="D17">
        <v>0.91406667004035236</v>
      </c>
      <c r="E17">
        <v>0.43621658601771318</v>
      </c>
      <c r="F17">
        <v>0.85562237521987372</v>
      </c>
      <c r="G17">
        <v>0.34645531373856492</v>
      </c>
      <c r="W17" t="s">
        <v>435</v>
      </c>
      <c r="X17">
        <v>4.2203663619591429E-3</v>
      </c>
      <c r="Y17">
        <v>0.19694984093475804</v>
      </c>
      <c r="Z17">
        <v>8.3933576592509426E-3</v>
      </c>
      <c r="AA17">
        <v>0.25536764125653716</v>
      </c>
      <c r="AC17" t="s">
        <v>435</v>
      </c>
      <c r="AD17" t="s">
        <v>91</v>
      </c>
      <c r="AE17" t="s">
        <v>92</v>
      </c>
      <c r="AF17">
        <v>0.25536764125653716</v>
      </c>
    </row>
    <row r="18" spans="2:32" x14ac:dyDescent="0.45">
      <c r="B18" t="s">
        <v>436</v>
      </c>
      <c r="C18" t="s">
        <v>87</v>
      </c>
      <c r="D18">
        <v>0.91235751224724748</v>
      </c>
      <c r="E18">
        <v>0.4363512719502905</v>
      </c>
      <c r="F18">
        <v>0.85257178384823784</v>
      </c>
      <c r="G18">
        <v>0.33504842800185347</v>
      </c>
      <c r="W18" t="s">
        <v>436</v>
      </c>
      <c r="X18">
        <v>4.6064754218457403E-3</v>
      </c>
      <c r="Y18">
        <v>0.21389372660195605</v>
      </c>
      <c r="Z18">
        <v>9.0971621163807338E-3</v>
      </c>
      <c r="AA18">
        <v>0.27359723176298878</v>
      </c>
      <c r="AC18" t="s">
        <v>436</v>
      </c>
      <c r="AD18" t="s">
        <v>91</v>
      </c>
      <c r="AE18" t="s">
        <v>92</v>
      </c>
      <c r="AF18">
        <v>0.27359723176298878</v>
      </c>
    </row>
    <row r="19" spans="2:32" x14ac:dyDescent="0.45">
      <c r="B19" t="s">
        <v>437</v>
      </c>
      <c r="C19" t="s">
        <v>87</v>
      </c>
      <c r="D19">
        <v>0.91227248276938344</v>
      </c>
      <c r="E19">
        <v>0.44969923210191814</v>
      </c>
      <c r="F19">
        <v>0.85897324845844292</v>
      </c>
      <c r="G19">
        <v>0.35052401319172583</v>
      </c>
      <c r="W19" t="s">
        <v>437</v>
      </c>
      <c r="X19">
        <v>4.9108908728201272E-3</v>
      </c>
      <c r="Y19">
        <v>0.1865165469542911</v>
      </c>
      <c r="Z19">
        <v>9.7971005279988838E-3</v>
      </c>
      <c r="AA19">
        <v>0.25191741749693275</v>
      </c>
      <c r="AC19" t="s">
        <v>437</v>
      </c>
      <c r="AD19" t="s">
        <v>91</v>
      </c>
      <c r="AE19" t="s">
        <v>92</v>
      </c>
      <c r="AF19">
        <v>0.25191741749693275</v>
      </c>
    </row>
    <row r="20" spans="2:32" x14ac:dyDescent="0.45">
      <c r="B20" t="s">
        <v>438</v>
      </c>
      <c r="C20" t="s">
        <v>87</v>
      </c>
      <c r="D20">
        <v>0.9119247095752091</v>
      </c>
      <c r="E20">
        <v>0.45118206495990615</v>
      </c>
      <c r="F20">
        <v>0.86252360983041987</v>
      </c>
      <c r="G20">
        <v>0.35660112783944331</v>
      </c>
      <c r="W20" t="s">
        <v>438</v>
      </c>
      <c r="X20">
        <v>4.67475196969672E-3</v>
      </c>
      <c r="Y20">
        <v>0.17866774582013942</v>
      </c>
      <c r="Z20">
        <v>9.5705518558388391E-3</v>
      </c>
      <c r="AA20">
        <v>0.24690356077948614</v>
      </c>
      <c r="AC20" t="s">
        <v>438</v>
      </c>
      <c r="AD20" t="s">
        <v>91</v>
      </c>
      <c r="AE20" t="s">
        <v>92</v>
      </c>
      <c r="AF20">
        <v>0.24690356077948614</v>
      </c>
    </row>
    <row r="21" spans="2:32" x14ac:dyDescent="0.45">
      <c r="B21" t="s">
        <v>439</v>
      </c>
      <c r="C21" t="s">
        <v>87</v>
      </c>
      <c r="D21">
        <v>0.90891843989052079</v>
      </c>
      <c r="E21">
        <v>0.44031956452756044</v>
      </c>
      <c r="F21">
        <v>0.85545268877634895</v>
      </c>
      <c r="G21">
        <v>0.35030345256104467</v>
      </c>
      <c r="W21" t="s">
        <v>439</v>
      </c>
      <c r="X21">
        <v>5.6938816169279519E-3</v>
      </c>
      <c r="Y21">
        <v>0.19839634791297647</v>
      </c>
      <c r="Z21">
        <v>1.0862869714761589E-2</v>
      </c>
      <c r="AA21">
        <v>0.25551110339128091</v>
      </c>
      <c r="AC21" t="s">
        <v>439</v>
      </c>
      <c r="AD21" t="s">
        <v>91</v>
      </c>
      <c r="AE21" t="s">
        <v>92</v>
      </c>
      <c r="AF21">
        <v>0.25551110339128091</v>
      </c>
    </row>
    <row r="22" spans="2:32" x14ac:dyDescent="0.45">
      <c r="B22" t="s">
        <v>440</v>
      </c>
      <c r="C22" t="s">
        <v>87</v>
      </c>
      <c r="D22">
        <v>0.90643069723824654</v>
      </c>
      <c r="E22">
        <v>0.44320526010007466</v>
      </c>
      <c r="F22">
        <v>0.85790610811734502</v>
      </c>
      <c r="G22">
        <v>0.35393990910308787</v>
      </c>
      <c r="W22" t="s">
        <v>440</v>
      </c>
      <c r="X22">
        <v>5.9020564449244074E-3</v>
      </c>
      <c r="Y22">
        <v>0.19327461207203916</v>
      </c>
      <c r="Z22">
        <v>1.1396996225477915E-2</v>
      </c>
      <c r="AA22">
        <v>0.25077319329011716</v>
      </c>
      <c r="AC22" t="s">
        <v>440</v>
      </c>
      <c r="AD22" t="s">
        <v>91</v>
      </c>
      <c r="AE22" t="s">
        <v>92</v>
      </c>
      <c r="AF22">
        <v>0.25077319329011716</v>
      </c>
    </row>
    <row r="23" spans="2:32" x14ac:dyDescent="0.45">
      <c r="B23" t="s">
        <v>441</v>
      </c>
      <c r="C23" t="s">
        <v>87</v>
      </c>
      <c r="D23">
        <v>0.91216200773465184</v>
      </c>
      <c r="E23">
        <v>0.38260648348587301</v>
      </c>
      <c r="F23">
        <v>0.86828655244994146</v>
      </c>
      <c r="G23">
        <v>0.34465068928575554</v>
      </c>
      <c r="W23" t="s">
        <v>441</v>
      </c>
      <c r="X23">
        <v>4.9262143517190046E-3</v>
      </c>
      <c r="Y23">
        <v>0.23419124407460598</v>
      </c>
      <c r="Z23">
        <v>9.7123171849250144E-3</v>
      </c>
      <c r="AA23">
        <v>0.275156526623626</v>
      </c>
      <c r="AC23" t="s">
        <v>441</v>
      </c>
      <c r="AD23" t="s">
        <v>91</v>
      </c>
      <c r="AE23" t="s">
        <v>92</v>
      </c>
      <c r="AF23">
        <v>0.275156526623626</v>
      </c>
    </row>
    <row r="24" spans="2:32" x14ac:dyDescent="0.45">
      <c r="B24" t="s">
        <v>442</v>
      </c>
      <c r="C24" t="s">
        <v>87</v>
      </c>
      <c r="D24">
        <v>0.91433325964101242</v>
      </c>
      <c r="E24">
        <v>0.39770004570875817</v>
      </c>
      <c r="F24">
        <v>0.86991753711593123</v>
      </c>
      <c r="G24">
        <v>0.35722632186148739</v>
      </c>
      <c r="W24" t="s">
        <v>442</v>
      </c>
      <c r="X24">
        <v>4.3645210225837731E-3</v>
      </c>
      <c r="Y24">
        <v>0.20579085232357261</v>
      </c>
      <c r="Z24">
        <v>9.1669196009358245E-3</v>
      </c>
      <c r="AA24">
        <v>0.25949832978513027</v>
      </c>
      <c r="AC24" t="s">
        <v>442</v>
      </c>
      <c r="AD24" t="s">
        <v>91</v>
      </c>
      <c r="AE24" t="s">
        <v>92</v>
      </c>
      <c r="AF24">
        <v>0.25949832978513027</v>
      </c>
    </row>
    <row r="25" spans="2:32" x14ac:dyDescent="0.45">
      <c r="B25" t="s">
        <v>443</v>
      </c>
      <c r="C25" t="s">
        <v>87</v>
      </c>
      <c r="D25">
        <v>0.92277398828977519</v>
      </c>
      <c r="E25">
        <v>0.39170946649085236</v>
      </c>
      <c r="F25">
        <v>0.87358389435559725</v>
      </c>
      <c r="G25">
        <v>0.33955564079459927</v>
      </c>
      <c r="W25" t="s">
        <v>443</v>
      </c>
      <c r="X25">
        <v>3.5205585808094726E-3</v>
      </c>
      <c r="Y25">
        <v>0.2113426767992268</v>
      </c>
      <c r="Z25">
        <v>7.1740859494744342E-3</v>
      </c>
      <c r="AA25">
        <v>0.27138907262302203</v>
      </c>
      <c r="AC25" t="s">
        <v>443</v>
      </c>
      <c r="AD25" t="s">
        <v>91</v>
      </c>
      <c r="AE25" t="s">
        <v>92</v>
      </c>
      <c r="AF25">
        <v>0.27138907262302203</v>
      </c>
    </row>
    <row r="26" spans="2:32" x14ac:dyDescent="0.45">
      <c r="B26" t="s">
        <v>444</v>
      </c>
      <c r="C26" t="s">
        <v>87</v>
      </c>
      <c r="D26">
        <v>0.92059633743169578</v>
      </c>
      <c r="E26">
        <v>0.37849910167700784</v>
      </c>
      <c r="F26">
        <v>0.87591427106509478</v>
      </c>
      <c r="G26">
        <v>0.34185439680496116</v>
      </c>
      <c r="W26" t="s">
        <v>444</v>
      </c>
      <c r="X26">
        <v>3.935434692625508E-3</v>
      </c>
      <c r="Y26">
        <v>0.23233445656992741</v>
      </c>
      <c r="Z26">
        <v>7.6248258098996196E-3</v>
      </c>
      <c r="AA26">
        <v>0.27021261080994646</v>
      </c>
      <c r="AC26" t="s">
        <v>444</v>
      </c>
      <c r="AD26" t="s">
        <v>91</v>
      </c>
      <c r="AE26" t="s">
        <v>92</v>
      </c>
      <c r="AF26">
        <v>0.27021261080994646</v>
      </c>
    </row>
    <row r="27" spans="2:32" x14ac:dyDescent="0.45">
      <c r="B27" t="s">
        <v>445</v>
      </c>
      <c r="C27" t="s">
        <v>87</v>
      </c>
      <c r="D27">
        <v>0.90336455351467149</v>
      </c>
      <c r="E27">
        <v>0.42839255667880122</v>
      </c>
      <c r="F27">
        <v>0.86206131453709167</v>
      </c>
      <c r="G27">
        <v>0.35326027248495678</v>
      </c>
      <c r="W27" t="s">
        <v>445</v>
      </c>
      <c r="X27">
        <v>5.7160178901639247E-3</v>
      </c>
      <c r="Y27">
        <v>0.19065642383310324</v>
      </c>
      <c r="Z27">
        <v>1.0783106502882018E-2</v>
      </c>
      <c r="AA27">
        <v>0.24109662312758337</v>
      </c>
      <c r="AC27" t="s">
        <v>445</v>
      </c>
      <c r="AD27" t="s">
        <v>91</v>
      </c>
      <c r="AE27" t="s">
        <v>92</v>
      </c>
      <c r="AF27">
        <v>0.24109662312758337</v>
      </c>
    </row>
    <row r="28" spans="2:32" x14ac:dyDescent="0.45">
      <c r="B28" t="s">
        <v>446</v>
      </c>
      <c r="C28" t="s">
        <v>87</v>
      </c>
      <c r="D28">
        <v>0.9042422657678717</v>
      </c>
      <c r="E28">
        <v>0.43551806677519711</v>
      </c>
      <c r="F28">
        <v>0.85963176495693128</v>
      </c>
      <c r="G28">
        <v>0.35735830630819143</v>
      </c>
      <c r="W28" t="s">
        <v>446</v>
      </c>
      <c r="X28">
        <v>5.8321411305655444E-3</v>
      </c>
      <c r="Y28">
        <v>0.18823028207093415</v>
      </c>
      <c r="Z28">
        <v>1.1340180401803459E-2</v>
      </c>
      <c r="AA28">
        <v>0.2390875411370828</v>
      </c>
      <c r="AC28" t="s">
        <v>446</v>
      </c>
      <c r="AD28" t="s">
        <v>91</v>
      </c>
      <c r="AE28" t="s">
        <v>92</v>
      </c>
      <c r="AF28">
        <v>0.2390875411370828</v>
      </c>
    </row>
    <row r="29" spans="2:32" x14ac:dyDescent="0.45">
      <c r="B29" t="s">
        <v>447</v>
      </c>
      <c r="C29" t="s">
        <v>87</v>
      </c>
      <c r="D29">
        <v>0.90863322370508182</v>
      </c>
      <c r="E29">
        <v>0.43843882192180011</v>
      </c>
      <c r="F29">
        <v>0.86259118911127786</v>
      </c>
      <c r="G29">
        <v>0.3550462780930147</v>
      </c>
      <c r="W29" t="s">
        <v>447</v>
      </c>
      <c r="X29">
        <v>5.0563253829081882E-3</v>
      </c>
      <c r="Y29">
        <v>0.18440106258146657</v>
      </c>
      <c r="Z29">
        <v>9.8922583653319879E-3</v>
      </c>
      <c r="AA29">
        <v>0.24022039633367268</v>
      </c>
      <c r="AC29" t="s">
        <v>447</v>
      </c>
      <c r="AD29" t="s">
        <v>91</v>
      </c>
      <c r="AE29" t="s">
        <v>92</v>
      </c>
      <c r="AF29">
        <v>0.24022039633367268</v>
      </c>
    </row>
    <row r="30" spans="2:32" x14ac:dyDescent="0.45">
      <c r="B30" t="s">
        <v>448</v>
      </c>
      <c r="C30" t="s">
        <v>87</v>
      </c>
      <c r="D30">
        <v>0.91281472414284492</v>
      </c>
      <c r="E30">
        <v>0.42989482402415041</v>
      </c>
      <c r="F30">
        <v>0.86713456899726526</v>
      </c>
      <c r="G30">
        <v>0.3578210591516861</v>
      </c>
      <c r="W30" t="s">
        <v>448</v>
      </c>
      <c r="X30">
        <v>4.4008824255160669E-3</v>
      </c>
      <c r="Y30">
        <v>0.1829904669962423</v>
      </c>
      <c r="Z30">
        <v>9.090972268785736E-3</v>
      </c>
      <c r="AA30">
        <v>0.2476914984186708</v>
      </c>
      <c r="AC30" t="s">
        <v>448</v>
      </c>
      <c r="AD30" t="s">
        <v>91</v>
      </c>
      <c r="AE30" t="s">
        <v>92</v>
      </c>
      <c r="AF30">
        <v>0.2476914984186708</v>
      </c>
    </row>
    <row r="31" spans="2:32" x14ac:dyDescent="0.45">
      <c r="B31" t="s">
        <v>449</v>
      </c>
      <c r="C31" t="s">
        <v>87</v>
      </c>
      <c r="D31">
        <v>0.91511962246424261</v>
      </c>
      <c r="E31">
        <v>0.41551250816234897</v>
      </c>
      <c r="F31">
        <v>0.86783845320151176</v>
      </c>
      <c r="G31">
        <v>0.35293663990951107</v>
      </c>
      <c r="W31" t="s">
        <v>449</v>
      </c>
      <c r="X31">
        <v>4.1642902447742419E-3</v>
      </c>
      <c r="Y31">
        <v>0.19162031138552121</v>
      </c>
      <c r="Z31">
        <v>8.741048460789165E-3</v>
      </c>
      <c r="AA31">
        <v>0.25631396428950615</v>
      </c>
      <c r="AC31" t="s">
        <v>449</v>
      </c>
      <c r="AD31" t="s">
        <v>91</v>
      </c>
      <c r="AE31" t="s">
        <v>92</v>
      </c>
      <c r="AF31">
        <v>0.25631396428950615</v>
      </c>
    </row>
    <row r="32" spans="2:32" x14ac:dyDescent="0.45">
      <c r="B32" t="s">
        <v>450</v>
      </c>
      <c r="C32" t="s">
        <v>87</v>
      </c>
      <c r="D32">
        <v>0.90771484431107674</v>
      </c>
      <c r="E32">
        <v>0.41409365383693691</v>
      </c>
      <c r="F32">
        <v>0.86475777377570129</v>
      </c>
      <c r="G32">
        <v>0.35536540708234965</v>
      </c>
      <c r="W32" t="s">
        <v>450</v>
      </c>
      <c r="X32">
        <v>5.2419210026116549E-3</v>
      </c>
      <c r="Y32">
        <v>0.20435856438107125</v>
      </c>
      <c r="Z32">
        <v>1.1014363819737449E-2</v>
      </c>
      <c r="AA32">
        <v>0.26506649645489966</v>
      </c>
      <c r="AC32" t="s">
        <v>450</v>
      </c>
      <c r="AD32" t="s">
        <v>91</v>
      </c>
      <c r="AE32" t="s">
        <v>92</v>
      </c>
      <c r="AF32">
        <v>0.26506649645489966</v>
      </c>
    </row>
    <row r="33" spans="2:32" x14ac:dyDescent="0.45">
      <c r="B33" t="s">
        <v>451</v>
      </c>
      <c r="C33" t="s">
        <v>87</v>
      </c>
      <c r="D33">
        <v>0.90455294846174061</v>
      </c>
      <c r="E33">
        <v>0.42022353934859952</v>
      </c>
      <c r="F33">
        <v>0.86334055618019734</v>
      </c>
      <c r="G33">
        <v>0.35429008589878924</v>
      </c>
      <c r="W33" t="s">
        <v>451</v>
      </c>
      <c r="X33">
        <v>5.5575357564006242E-3</v>
      </c>
      <c r="Y33">
        <v>0.19104287973956358</v>
      </c>
      <c r="Z33">
        <v>1.0978223666077576E-2</v>
      </c>
      <c r="AA33">
        <v>0.25317297225049384</v>
      </c>
      <c r="AC33" t="s">
        <v>451</v>
      </c>
      <c r="AD33" t="s">
        <v>91</v>
      </c>
      <c r="AE33" t="s">
        <v>92</v>
      </c>
      <c r="AF33">
        <v>0.25317297225049384</v>
      </c>
    </row>
    <row r="34" spans="2:32" x14ac:dyDescent="0.45">
      <c r="B34" t="s">
        <v>452</v>
      </c>
      <c r="C34" t="s">
        <v>87</v>
      </c>
      <c r="D34">
        <v>0.2589866151641731</v>
      </c>
      <c r="E34">
        <v>0.27471924224519856</v>
      </c>
      <c r="F34">
        <v>0.29663877916253545</v>
      </c>
      <c r="G34">
        <v>0.29667504564052816</v>
      </c>
      <c r="W34" t="s">
        <v>452</v>
      </c>
      <c r="X34">
        <v>0.6260092009378827</v>
      </c>
      <c r="Y34">
        <v>0.61206436350592119</v>
      </c>
      <c r="Z34">
        <v>0.53369869785055468</v>
      </c>
      <c r="AA34">
        <v>0.53584105870893606</v>
      </c>
      <c r="AC34" t="s">
        <v>453</v>
      </c>
      <c r="AD34" t="s">
        <v>91</v>
      </c>
      <c r="AE34" t="s">
        <v>92</v>
      </c>
      <c r="AF34">
        <v>0.1426033291320811</v>
      </c>
    </row>
    <row r="35" spans="2:32" x14ac:dyDescent="0.45">
      <c r="B35" t="s">
        <v>454</v>
      </c>
      <c r="C35" t="s">
        <v>87</v>
      </c>
      <c r="D35">
        <v>0.26240426621804591</v>
      </c>
      <c r="E35">
        <v>0.27742143355143478</v>
      </c>
      <c r="F35">
        <v>0.29002295334545408</v>
      </c>
      <c r="G35">
        <v>0.29916572352608389</v>
      </c>
      <c r="W35" t="s">
        <v>454</v>
      </c>
      <c r="X35">
        <v>0.61675714058308717</v>
      </c>
      <c r="Y35">
        <v>0.59954029906848449</v>
      </c>
      <c r="Z35">
        <v>0.53899331511702253</v>
      </c>
      <c r="AA35">
        <v>0.53444296764812793</v>
      </c>
      <c r="AC35" t="s">
        <v>455</v>
      </c>
      <c r="AD35" t="s">
        <v>91</v>
      </c>
      <c r="AE35" t="s">
        <v>92</v>
      </c>
      <c r="AF35">
        <v>0.1605391832152783</v>
      </c>
    </row>
    <row r="36" spans="2:32" x14ac:dyDescent="0.45">
      <c r="B36" t="s">
        <v>456</v>
      </c>
      <c r="C36" t="s">
        <v>87</v>
      </c>
      <c r="D36">
        <v>0.27102997934061251</v>
      </c>
      <c r="E36">
        <v>0.27886696101000241</v>
      </c>
      <c r="F36">
        <v>0.29328935431270869</v>
      </c>
      <c r="G36">
        <v>0.31380494123955771</v>
      </c>
      <c r="W36" t="s">
        <v>456</v>
      </c>
      <c r="X36">
        <v>0.58894045227285186</v>
      </c>
      <c r="Y36">
        <v>0.57249515330156875</v>
      </c>
      <c r="Z36">
        <v>0.51639488425377067</v>
      </c>
      <c r="AA36">
        <v>0.50478406744639448</v>
      </c>
      <c r="AC36" t="s">
        <v>457</v>
      </c>
      <c r="AD36" t="s">
        <v>91</v>
      </c>
      <c r="AE36" t="s">
        <v>92</v>
      </c>
      <c r="AF36">
        <v>0.20258787955632329</v>
      </c>
    </row>
    <row r="37" spans="2:32" x14ac:dyDescent="0.45">
      <c r="B37" t="s">
        <v>458</v>
      </c>
      <c r="C37" t="s">
        <v>87</v>
      </c>
      <c r="D37">
        <v>0.27242534664659063</v>
      </c>
      <c r="E37">
        <v>0.28283727969182437</v>
      </c>
      <c r="F37">
        <v>0.29161958966903895</v>
      </c>
      <c r="G37">
        <v>0.31044327830904178</v>
      </c>
      <c r="W37" t="s">
        <v>458</v>
      </c>
      <c r="X37">
        <v>0.58987587480276549</v>
      </c>
      <c r="Y37">
        <v>0.57022954311162921</v>
      </c>
      <c r="Z37">
        <v>0.50566928431106251</v>
      </c>
      <c r="AA37">
        <v>0.49862047961140171</v>
      </c>
      <c r="AC37" t="s">
        <v>459</v>
      </c>
      <c r="AD37" t="s">
        <v>91</v>
      </c>
      <c r="AE37" t="s">
        <v>92</v>
      </c>
      <c r="AF37">
        <v>0.21567702850822981</v>
      </c>
    </row>
    <row r="38" spans="2:32" x14ac:dyDescent="0.45">
      <c r="B38" t="s">
        <v>460</v>
      </c>
      <c r="C38" t="s">
        <v>87</v>
      </c>
      <c r="D38">
        <v>0.29239924125852779</v>
      </c>
      <c r="E38">
        <v>0.30314574420070955</v>
      </c>
      <c r="F38">
        <v>0.31319878741076429</v>
      </c>
      <c r="G38">
        <v>0.33954843375363386</v>
      </c>
      <c r="W38" t="s">
        <v>460</v>
      </c>
      <c r="X38">
        <v>0.50238220471101369</v>
      </c>
      <c r="Y38">
        <v>0.48835390009165081</v>
      </c>
      <c r="Z38">
        <v>0.41619901648678931</v>
      </c>
      <c r="AA38">
        <v>0.4085441728321772</v>
      </c>
      <c r="AC38" t="s">
        <v>461</v>
      </c>
      <c r="AD38" t="s">
        <v>91</v>
      </c>
      <c r="AE38" t="s">
        <v>92</v>
      </c>
      <c r="AF38">
        <v>0.16706365325376105</v>
      </c>
    </row>
    <row r="39" spans="2:32" x14ac:dyDescent="0.45">
      <c r="B39" t="s">
        <v>462</v>
      </c>
      <c r="C39" t="s">
        <v>87</v>
      </c>
      <c r="D39">
        <v>0.27654481914707885</v>
      </c>
      <c r="E39">
        <v>0.28714262253881495</v>
      </c>
      <c r="F39">
        <v>0.31363973357100139</v>
      </c>
      <c r="G39">
        <v>0.35647046068544225</v>
      </c>
      <c r="W39" t="s">
        <v>462</v>
      </c>
      <c r="X39">
        <v>0.5457020133364322</v>
      </c>
      <c r="Y39">
        <v>0.52599681785889374</v>
      </c>
      <c r="Z39">
        <v>0.44142787464147953</v>
      </c>
      <c r="AA39">
        <v>0.4127736813411555</v>
      </c>
      <c r="AC39" t="s">
        <v>463</v>
      </c>
      <c r="AD39" t="s">
        <v>91</v>
      </c>
      <c r="AE39" t="s">
        <v>92</v>
      </c>
      <c r="AF39">
        <v>9.9895141632008327E-2</v>
      </c>
    </row>
    <row r="40" spans="2:32" x14ac:dyDescent="0.45">
      <c r="B40" t="s">
        <v>464</v>
      </c>
      <c r="C40" t="s">
        <v>87</v>
      </c>
      <c r="D40">
        <v>0.34079710534311441</v>
      </c>
      <c r="E40">
        <v>0.37082879182524686</v>
      </c>
      <c r="F40">
        <v>0.34479605313745226</v>
      </c>
      <c r="G40">
        <v>0.39585034090389459</v>
      </c>
      <c r="W40" t="s">
        <v>464</v>
      </c>
      <c r="X40">
        <v>0.31573721816033662</v>
      </c>
      <c r="Y40">
        <v>0.28902917155591284</v>
      </c>
      <c r="Z40">
        <v>0.25279853300115973</v>
      </c>
      <c r="AA40">
        <v>0.24261039784608598</v>
      </c>
      <c r="AC40" t="s">
        <v>465</v>
      </c>
      <c r="AD40" t="s">
        <v>91</v>
      </c>
      <c r="AE40" t="s">
        <v>92</v>
      </c>
      <c r="AF40">
        <v>0.19861676416122556</v>
      </c>
    </row>
    <row r="41" spans="2:32" x14ac:dyDescent="0.45">
      <c r="B41" t="s">
        <v>466</v>
      </c>
      <c r="C41" t="s">
        <v>87</v>
      </c>
      <c r="D41">
        <v>0.34370505177593891</v>
      </c>
      <c r="E41">
        <v>0.35415048554912365</v>
      </c>
      <c r="F41">
        <v>0.33467671061370996</v>
      </c>
      <c r="G41">
        <v>0.38258867036394545</v>
      </c>
      <c r="W41" t="s">
        <v>466</v>
      </c>
      <c r="X41">
        <v>0.34715330563635827</v>
      </c>
      <c r="Y41">
        <v>0.33794495655435108</v>
      </c>
      <c r="Z41">
        <v>0.26911410821463067</v>
      </c>
      <c r="AA41">
        <v>0.26528118083481489</v>
      </c>
      <c r="AC41" t="s">
        <v>467</v>
      </c>
      <c r="AD41" t="s">
        <v>91</v>
      </c>
      <c r="AE41" t="s">
        <v>92</v>
      </c>
      <c r="AF41">
        <v>0.26086219849019554</v>
      </c>
    </row>
    <row r="42" spans="2:32" x14ac:dyDescent="0.45">
      <c r="B42" t="s">
        <v>468</v>
      </c>
      <c r="C42" t="s">
        <v>87</v>
      </c>
      <c r="D42">
        <v>0.30629823451883653</v>
      </c>
      <c r="E42">
        <v>0.30970475248096574</v>
      </c>
      <c r="F42">
        <v>0.31683785223998734</v>
      </c>
      <c r="G42">
        <v>0.37086537998933594</v>
      </c>
      <c r="W42" t="s">
        <v>468</v>
      </c>
      <c r="X42">
        <v>0.44868868537810447</v>
      </c>
      <c r="Y42">
        <v>0.43867490539134885</v>
      </c>
      <c r="Z42">
        <v>0.36024449636280564</v>
      </c>
      <c r="AA42">
        <v>0.34037061684263625</v>
      </c>
      <c r="AC42" t="s">
        <v>469</v>
      </c>
      <c r="AD42" t="s">
        <v>91</v>
      </c>
      <c r="AE42" t="s">
        <v>92</v>
      </c>
      <c r="AF42">
        <v>0.23203190062443477</v>
      </c>
    </row>
    <row r="43" spans="2:32" x14ac:dyDescent="0.45">
      <c r="B43" t="s">
        <v>470</v>
      </c>
      <c r="C43" t="s">
        <v>87</v>
      </c>
      <c r="D43">
        <v>0.30792819235494856</v>
      </c>
      <c r="E43">
        <v>0.31420230711606456</v>
      </c>
      <c r="F43">
        <v>0.32216879702003476</v>
      </c>
      <c r="G43">
        <v>0.37529795752962464</v>
      </c>
      <c r="W43" t="s">
        <v>470</v>
      </c>
      <c r="X43">
        <v>0.45177833911055582</v>
      </c>
      <c r="Y43">
        <v>0.4393626568091375</v>
      </c>
      <c r="Z43">
        <v>0.36707166130173907</v>
      </c>
      <c r="AA43">
        <v>0.35206060917702386</v>
      </c>
      <c r="AC43" t="s">
        <v>471</v>
      </c>
      <c r="AD43" t="s">
        <v>91</v>
      </c>
      <c r="AE43" t="s">
        <v>92</v>
      </c>
      <c r="AF43">
        <v>0.22173410416258924</v>
      </c>
    </row>
    <row r="44" spans="2:32" x14ac:dyDescent="0.45">
      <c r="B44" t="s">
        <v>453</v>
      </c>
      <c r="C44" t="s">
        <v>87</v>
      </c>
      <c r="D44">
        <v>0.44468499859000643</v>
      </c>
      <c r="E44">
        <v>0.49999478330985042</v>
      </c>
      <c r="F44">
        <v>0.42729127030365732</v>
      </c>
      <c r="G44">
        <v>0.45964073702825092</v>
      </c>
      <c r="W44" t="s">
        <v>453</v>
      </c>
      <c r="X44">
        <v>0.14388129434733396</v>
      </c>
      <c r="Y44">
        <v>0.1267832025290605</v>
      </c>
      <c r="Z44">
        <v>0.1024449008998877</v>
      </c>
      <c r="AA44">
        <v>8.3783960591509027E-2</v>
      </c>
      <c r="AC44" t="s">
        <v>472</v>
      </c>
      <c r="AD44" t="s">
        <v>91</v>
      </c>
      <c r="AE44" t="s">
        <v>92</v>
      </c>
      <c r="AF44">
        <v>0.28101066880613196</v>
      </c>
    </row>
    <row r="45" spans="2:32" x14ac:dyDescent="0.45">
      <c r="B45" t="s">
        <v>455</v>
      </c>
      <c r="C45" t="s">
        <v>87</v>
      </c>
      <c r="D45">
        <v>0.42086978690813309</v>
      </c>
      <c r="E45">
        <v>0.4820862811974882</v>
      </c>
      <c r="F45">
        <v>0.38815584629607802</v>
      </c>
      <c r="G45">
        <v>0.43707781392933176</v>
      </c>
      <c r="W45" t="s">
        <v>455</v>
      </c>
      <c r="X45">
        <v>0.16295466154370514</v>
      </c>
      <c r="Y45">
        <v>0.15070008254848766</v>
      </c>
      <c r="Z45">
        <v>0.12305220749794103</v>
      </c>
      <c r="AA45">
        <v>0.10834329265736413</v>
      </c>
      <c r="AC45" t="s">
        <v>473</v>
      </c>
      <c r="AD45" t="s">
        <v>91</v>
      </c>
      <c r="AE45" t="s">
        <v>92</v>
      </c>
      <c r="AF45">
        <v>0.25369711720677701</v>
      </c>
    </row>
    <row r="46" spans="2:32" x14ac:dyDescent="0.45">
      <c r="B46" t="s">
        <v>457</v>
      </c>
      <c r="C46" t="s">
        <v>87</v>
      </c>
      <c r="D46">
        <v>0.37821263998683879</v>
      </c>
      <c r="E46">
        <v>0.45145277953593821</v>
      </c>
      <c r="F46">
        <v>0.34704403178946114</v>
      </c>
      <c r="G46">
        <v>0.43990366793121594</v>
      </c>
      <c r="W46" t="s">
        <v>457</v>
      </c>
      <c r="X46">
        <v>0.20542703223292827</v>
      </c>
      <c r="Y46">
        <v>0.16812438047791631</v>
      </c>
      <c r="Z46">
        <v>0.15990601881329977</v>
      </c>
      <c r="AA46">
        <v>0.11703198019538777</v>
      </c>
      <c r="AC46" t="s">
        <v>474</v>
      </c>
      <c r="AD46" t="s">
        <v>91</v>
      </c>
      <c r="AE46" t="s">
        <v>92</v>
      </c>
      <c r="AF46">
        <v>0.25406251652884226</v>
      </c>
    </row>
    <row r="47" spans="2:32" x14ac:dyDescent="0.45">
      <c r="B47" t="s">
        <v>459</v>
      </c>
      <c r="C47" t="s">
        <v>87</v>
      </c>
      <c r="D47">
        <v>0.364255757054742</v>
      </c>
      <c r="E47">
        <v>0.41451581347563127</v>
      </c>
      <c r="F47">
        <v>0.34245297300429456</v>
      </c>
      <c r="G47">
        <v>0.42262420292466019</v>
      </c>
      <c r="W47" t="s">
        <v>459</v>
      </c>
      <c r="X47">
        <v>0.2191188310841676</v>
      </c>
      <c r="Y47">
        <v>0.19727940890972553</v>
      </c>
      <c r="Z47">
        <v>0.1699294769100862</v>
      </c>
      <c r="AA47">
        <v>0.14379174299650746</v>
      </c>
      <c r="AC47" t="s">
        <v>475</v>
      </c>
      <c r="AD47" t="s">
        <v>91</v>
      </c>
      <c r="AE47" t="s">
        <v>92</v>
      </c>
      <c r="AF47">
        <v>0.31617919873932598</v>
      </c>
    </row>
    <row r="48" spans="2:32" x14ac:dyDescent="0.45">
      <c r="B48" t="s">
        <v>461</v>
      </c>
      <c r="C48" t="s">
        <v>87</v>
      </c>
      <c r="D48">
        <v>0.39818273110117075</v>
      </c>
      <c r="E48">
        <v>0.44420708442571488</v>
      </c>
      <c r="F48">
        <v>0.41235700793035956</v>
      </c>
      <c r="G48">
        <v>0.47243432039973049</v>
      </c>
      <c r="W48" t="s">
        <v>461</v>
      </c>
      <c r="X48">
        <v>0.17128293565163336</v>
      </c>
      <c r="Y48">
        <v>0.15587905187441448</v>
      </c>
      <c r="Z48">
        <v>0.13993299563213121</v>
      </c>
      <c r="AA48">
        <v>0.11971148053121553</v>
      </c>
      <c r="AC48" t="s">
        <v>476</v>
      </c>
      <c r="AD48" t="s">
        <v>91</v>
      </c>
      <c r="AE48" t="s">
        <v>92</v>
      </c>
      <c r="AF48">
        <v>0.35345679602898694</v>
      </c>
    </row>
    <row r="49" spans="2:32" x14ac:dyDescent="0.45">
      <c r="B49" t="s">
        <v>463</v>
      </c>
      <c r="C49" t="s">
        <v>87</v>
      </c>
      <c r="D49">
        <v>0.45611721590661841</v>
      </c>
      <c r="E49">
        <v>0.4860293004285659</v>
      </c>
      <c r="F49">
        <v>0.44195468914538666</v>
      </c>
      <c r="G49">
        <v>0.50514531202263313</v>
      </c>
      <c r="W49" t="s">
        <v>463</v>
      </c>
      <c r="X49">
        <v>0.10122696668602396</v>
      </c>
      <c r="Y49">
        <v>8.9670932837431758E-2</v>
      </c>
      <c r="Z49">
        <v>8.1318311039228333E-2</v>
      </c>
      <c r="AA49">
        <v>7.5091956951555419E-2</v>
      </c>
      <c r="AC49" t="s">
        <v>477</v>
      </c>
      <c r="AD49" t="s">
        <v>91</v>
      </c>
      <c r="AE49" t="s">
        <v>92</v>
      </c>
      <c r="AF49">
        <v>0.35083382105353411</v>
      </c>
    </row>
    <row r="50" spans="2:32" x14ac:dyDescent="0.45">
      <c r="B50" t="s">
        <v>465</v>
      </c>
      <c r="C50" t="s">
        <v>87</v>
      </c>
      <c r="D50">
        <v>0.39383880706454177</v>
      </c>
      <c r="E50">
        <v>0.44885371191878626</v>
      </c>
      <c r="F50">
        <v>0.38250129427350382</v>
      </c>
      <c r="G50">
        <v>0.46620985566697642</v>
      </c>
      <c r="W50" t="s">
        <v>465</v>
      </c>
      <c r="X50">
        <v>0.20077636906232535</v>
      </c>
      <c r="Y50">
        <v>0.16893077602054632</v>
      </c>
      <c r="Z50">
        <v>0.15930469861490396</v>
      </c>
      <c r="AA50">
        <v>0.12509941352761564</v>
      </c>
      <c r="AC50" t="s">
        <v>478</v>
      </c>
      <c r="AD50" t="s">
        <v>91</v>
      </c>
      <c r="AE50" t="s">
        <v>92</v>
      </c>
      <c r="AF50">
        <v>0.47004570200069701</v>
      </c>
    </row>
    <row r="51" spans="2:32" x14ac:dyDescent="0.45">
      <c r="B51" t="s">
        <v>467</v>
      </c>
      <c r="C51" t="s">
        <v>87</v>
      </c>
      <c r="D51">
        <v>0.34077218811641563</v>
      </c>
      <c r="E51">
        <v>0.38398271784338073</v>
      </c>
      <c r="F51">
        <v>0.36143485425943922</v>
      </c>
      <c r="G51">
        <v>0.42254512833433139</v>
      </c>
      <c r="W51" t="s">
        <v>467</v>
      </c>
      <c r="X51">
        <v>0.26421368695965458</v>
      </c>
      <c r="Y51">
        <v>0.24134822197692479</v>
      </c>
      <c r="Z51">
        <v>0.21512633954987997</v>
      </c>
      <c r="AA51">
        <v>0.17856198393191999</v>
      </c>
      <c r="AC51" t="s">
        <v>479</v>
      </c>
      <c r="AD51" t="s">
        <v>91</v>
      </c>
      <c r="AE51" t="s">
        <v>92</v>
      </c>
      <c r="AF51">
        <v>0.5329078276320186</v>
      </c>
    </row>
    <row r="52" spans="2:32" x14ac:dyDescent="0.45">
      <c r="B52" t="s">
        <v>469</v>
      </c>
      <c r="C52" t="s">
        <v>87</v>
      </c>
      <c r="D52">
        <v>0.36141901228061152</v>
      </c>
      <c r="E52">
        <v>0.39414453104144942</v>
      </c>
      <c r="F52">
        <v>0.36576991385980379</v>
      </c>
      <c r="G52">
        <v>0.4431128961562022</v>
      </c>
      <c r="W52" t="s">
        <v>469</v>
      </c>
      <c r="X52">
        <v>0.23610469736906217</v>
      </c>
      <c r="Y52">
        <v>0.21546498879262202</v>
      </c>
      <c r="Z52">
        <v>0.18612962429671323</v>
      </c>
      <c r="AA52">
        <v>0.15427228067070747</v>
      </c>
      <c r="AC52" t="s">
        <v>480</v>
      </c>
      <c r="AD52" t="s">
        <v>91</v>
      </c>
      <c r="AE52" t="s">
        <v>92</v>
      </c>
      <c r="AF52">
        <v>0.42722049715751842</v>
      </c>
    </row>
    <row r="53" spans="2:32" x14ac:dyDescent="0.45">
      <c r="B53" t="s">
        <v>471</v>
      </c>
      <c r="C53" t="s">
        <v>87</v>
      </c>
      <c r="D53">
        <v>0.37161087518159536</v>
      </c>
      <c r="E53">
        <v>0.42857797334650377</v>
      </c>
      <c r="F53">
        <v>0.37004968781217606</v>
      </c>
      <c r="G53">
        <v>0.45488573602142301</v>
      </c>
      <c r="W53" t="s">
        <v>471</v>
      </c>
      <c r="X53">
        <v>0.22560180245917577</v>
      </c>
      <c r="Y53">
        <v>0.1928912902853403</v>
      </c>
      <c r="Z53">
        <v>0.17538553145151167</v>
      </c>
      <c r="AA53">
        <v>0.13765433775131794</v>
      </c>
      <c r="AC53" t="s">
        <v>481</v>
      </c>
      <c r="AD53" t="s">
        <v>91</v>
      </c>
      <c r="AE53" t="s">
        <v>92</v>
      </c>
      <c r="AF53">
        <v>0.2661595025180038</v>
      </c>
    </row>
    <row r="54" spans="2:32" x14ac:dyDescent="0.45">
      <c r="B54" t="s">
        <v>472</v>
      </c>
      <c r="C54" t="s">
        <v>87</v>
      </c>
      <c r="D54">
        <v>0.3449971155966472</v>
      </c>
      <c r="E54">
        <v>0.38127238000711006</v>
      </c>
      <c r="F54">
        <v>0.33202025831961662</v>
      </c>
      <c r="G54">
        <v>0.38699155310256667</v>
      </c>
      <c r="W54" t="s">
        <v>472</v>
      </c>
      <c r="X54">
        <v>0.28821841766332917</v>
      </c>
      <c r="Y54">
        <v>0.27759647380374286</v>
      </c>
      <c r="Z54">
        <v>0.23147499278198463</v>
      </c>
      <c r="AA54">
        <v>0.2165996887742081</v>
      </c>
      <c r="AC54" t="s">
        <v>482</v>
      </c>
      <c r="AD54" t="s">
        <v>91</v>
      </c>
      <c r="AE54" t="s">
        <v>92</v>
      </c>
      <c r="AF54">
        <v>0.32734327386923429</v>
      </c>
    </row>
    <row r="55" spans="2:32" x14ac:dyDescent="0.45">
      <c r="B55" t="s">
        <v>473</v>
      </c>
      <c r="C55" t="s">
        <v>87</v>
      </c>
      <c r="D55">
        <v>0.35752295170116749</v>
      </c>
      <c r="E55">
        <v>0.37663346609392256</v>
      </c>
      <c r="F55">
        <v>0.36267916091418029</v>
      </c>
      <c r="G55">
        <v>0.4240555600835485</v>
      </c>
      <c r="W55" t="s">
        <v>473</v>
      </c>
      <c r="X55">
        <v>0.25667723952314347</v>
      </c>
      <c r="Y55">
        <v>0.24627267125616589</v>
      </c>
      <c r="Z55">
        <v>0.19957653523409702</v>
      </c>
      <c r="AA55">
        <v>0.18247869172217579</v>
      </c>
      <c r="AC55" t="s">
        <v>483</v>
      </c>
      <c r="AD55" t="s">
        <v>91</v>
      </c>
      <c r="AE55" t="s">
        <v>92</v>
      </c>
      <c r="AF55">
        <v>0.33511343969882229</v>
      </c>
    </row>
    <row r="56" spans="2:32" x14ac:dyDescent="0.45">
      <c r="B56" t="s">
        <v>474</v>
      </c>
      <c r="C56" t="s">
        <v>87</v>
      </c>
      <c r="D56">
        <v>0.35775796157118867</v>
      </c>
      <c r="E56">
        <v>0.38471354039394712</v>
      </c>
      <c r="F56">
        <v>0.35957971138757339</v>
      </c>
      <c r="G56">
        <v>0.40685263353864493</v>
      </c>
      <c r="W56" t="s">
        <v>474</v>
      </c>
      <c r="X56">
        <v>0.25894855552754675</v>
      </c>
      <c r="Y56">
        <v>0.25463541096238501</v>
      </c>
      <c r="Z56">
        <v>0.20387406715003092</v>
      </c>
      <c r="AA56">
        <v>0.18905617588928514</v>
      </c>
      <c r="AC56" t="s">
        <v>452</v>
      </c>
      <c r="AD56" t="s">
        <v>91</v>
      </c>
      <c r="AE56" t="s">
        <v>92</v>
      </c>
      <c r="AF56">
        <v>0.62310221563791379</v>
      </c>
    </row>
    <row r="57" spans="2:32" x14ac:dyDescent="0.45">
      <c r="B57" t="s">
        <v>475</v>
      </c>
      <c r="C57" t="s">
        <v>87</v>
      </c>
      <c r="D57">
        <v>0.32981546652954408</v>
      </c>
      <c r="E57">
        <v>0.36264212403858409</v>
      </c>
      <c r="F57">
        <v>0.35462565355665071</v>
      </c>
      <c r="G57">
        <v>0.40888941349168872</v>
      </c>
      <c r="W57" t="s">
        <v>475</v>
      </c>
      <c r="X57">
        <v>0.32450626529268678</v>
      </c>
      <c r="Y57">
        <v>0.29840181278321698</v>
      </c>
      <c r="Z57">
        <v>0.25363422392214763</v>
      </c>
      <c r="AA57">
        <v>0.22382726602545977</v>
      </c>
      <c r="AC57" t="s">
        <v>454</v>
      </c>
      <c r="AD57" t="s">
        <v>91</v>
      </c>
      <c r="AE57" t="s">
        <v>92</v>
      </c>
      <c r="AF57">
        <v>0.61351038176862149</v>
      </c>
    </row>
    <row r="58" spans="2:32" x14ac:dyDescent="0.45">
      <c r="B58" t="s">
        <v>476</v>
      </c>
      <c r="C58" t="s">
        <v>87</v>
      </c>
      <c r="D58">
        <v>0.32022106343366391</v>
      </c>
      <c r="E58">
        <v>0.35751393257683356</v>
      </c>
      <c r="F58">
        <v>0.32644221654379851</v>
      </c>
      <c r="G58">
        <v>0.38413624267366087</v>
      </c>
      <c r="W58" t="s">
        <v>476</v>
      </c>
      <c r="X58">
        <v>0.3585280992448841</v>
      </c>
      <c r="Y58">
        <v>0.33960123453825586</v>
      </c>
      <c r="Z58">
        <v>0.27841191298060036</v>
      </c>
      <c r="AA58">
        <v>0.25612235118191429</v>
      </c>
      <c r="AC58" t="s">
        <v>456</v>
      </c>
      <c r="AD58" t="s">
        <v>91</v>
      </c>
      <c r="AE58" t="s">
        <v>92</v>
      </c>
      <c r="AF58">
        <v>0.58561368859682827</v>
      </c>
    </row>
    <row r="59" spans="2:32" x14ac:dyDescent="0.45">
      <c r="B59" t="s">
        <v>477</v>
      </c>
      <c r="C59" t="s">
        <v>87</v>
      </c>
      <c r="D59">
        <v>0.32533741705060021</v>
      </c>
      <c r="E59">
        <v>0.35338716751902621</v>
      </c>
      <c r="F59">
        <v>0.31553491235659104</v>
      </c>
      <c r="G59">
        <v>0.36635939535301598</v>
      </c>
      <c r="W59" t="s">
        <v>477</v>
      </c>
      <c r="X59">
        <v>0.35850046606874059</v>
      </c>
      <c r="Y59">
        <v>0.34638259493285029</v>
      </c>
      <c r="Z59">
        <v>0.28551194791190593</v>
      </c>
      <c r="AA59">
        <v>0.27226772350624368</v>
      </c>
      <c r="AC59" t="s">
        <v>458</v>
      </c>
      <c r="AD59" t="s">
        <v>91</v>
      </c>
      <c r="AE59" t="s">
        <v>92</v>
      </c>
      <c r="AF59">
        <v>0.58431187801479101</v>
      </c>
    </row>
    <row r="60" spans="2:32" x14ac:dyDescent="0.45">
      <c r="B60" t="s">
        <v>478</v>
      </c>
      <c r="C60" t="s">
        <v>87</v>
      </c>
      <c r="D60">
        <v>0.28203243057764815</v>
      </c>
      <c r="E60">
        <v>0.29423998048543926</v>
      </c>
      <c r="F60">
        <v>0.3067669012928641</v>
      </c>
      <c r="G60">
        <v>0.356608340961998</v>
      </c>
      <c r="W60" t="s">
        <v>478</v>
      </c>
      <c r="X60">
        <v>0.47501627051273654</v>
      </c>
      <c r="Y60">
        <v>0.45674950603841752</v>
      </c>
      <c r="Z60">
        <v>0.38364291714106252</v>
      </c>
      <c r="AA60">
        <v>0.36624518796969396</v>
      </c>
      <c r="AC60" t="s">
        <v>460</v>
      </c>
      <c r="AD60" t="s">
        <v>91</v>
      </c>
      <c r="AE60" t="s">
        <v>92</v>
      </c>
      <c r="AF60">
        <v>0.50054180758294209</v>
      </c>
    </row>
    <row r="61" spans="2:32" x14ac:dyDescent="0.45">
      <c r="B61" t="s">
        <v>479</v>
      </c>
      <c r="C61" t="s">
        <v>87</v>
      </c>
      <c r="D61">
        <v>0.27331650020004877</v>
      </c>
      <c r="E61">
        <v>0.28690504141547213</v>
      </c>
      <c r="F61">
        <v>0.28919772006337285</v>
      </c>
      <c r="G61">
        <v>0.31660959602926914</v>
      </c>
      <c r="W61" t="s">
        <v>479</v>
      </c>
      <c r="X61">
        <v>0.53733795026531173</v>
      </c>
      <c r="Y61">
        <v>0.51973687804054913</v>
      </c>
      <c r="Z61">
        <v>0.4514321929391234</v>
      </c>
      <c r="AA61">
        <v>0.43942065440591965</v>
      </c>
      <c r="AC61" t="s">
        <v>462</v>
      </c>
      <c r="AD61" t="s">
        <v>91</v>
      </c>
      <c r="AE61" t="s">
        <v>92</v>
      </c>
      <c r="AF61">
        <v>0.54070998494563538</v>
      </c>
    </row>
    <row r="62" spans="2:32" x14ac:dyDescent="0.45">
      <c r="B62" t="s">
        <v>480</v>
      </c>
      <c r="C62" t="s">
        <v>87</v>
      </c>
      <c r="D62">
        <v>0.3016310554525175</v>
      </c>
      <c r="E62">
        <v>0.31028999089848153</v>
      </c>
      <c r="F62">
        <v>0.30651025824286487</v>
      </c>
      <c r="G62">
        <v>0.35757572623758749</v>
      </c>
      <c r="W62" t="s">
        <v>480</v>
      </c>
      <c r="X62">
        <v>0.43678737377799209</v>
      </c>
      <c r="Y62">
        <v>0.42769272914352419</v>
      </c>
      <c r="Z62">
        <v>0.35009352385323489</v>
      </c>
      <c r="AA62">
        <v>0.33939434728763135</v>
      </c>
      <c r="AC62" t="s">
        <v>464</v>
      </c>
      <c r="AD62" t="s">
        <v>91</v>
      </c>
      <c r="AE62" t="s">
        <v>92</v>
      </c>
      <c r="AF62">
        <v>0.31441450971846074</v>
      </c>
    </row>
    <row r="63" spans="2:32" x14ac:dyDescent="0.45">
      <c r="B63" t="s">
        <v>481</v>
      </c>
      <c r="C63" t="s">
        <v>87</v>
      </c>
      <c r="D63">
        <v>0.32992134276564589</v>
      </c>
      <c r="E63">
        <v>0.37793310323967216</v>
      </c>
      <c r="F63">
        <v>0.34929872769778414</v>
      </c>
      <c r="G63">
        <v>0.39506155184133229</v>
      </c>
      <c r="W63" t="s">
        <v>481</v>
      </c>
      <c r="X63">
        <v>0.27220337579368348</v>
      </c>
      <c r="Y63">
        <v>0.25903761938396891</v>
      </c>
      <c r="Z63">
        <v>0.21878148045955442</v>
      </c>
      <c r="AA63">
        <v>0.1992099786637416</v>
      </c>
      <c r="AC63" t="s">
        <v>466</v>
      </c>
      <c r="AD63" t="s">
        <v>91</v>
      </c>
      <c r="AE63" t="s">
        <v>92</v>
      </c>
      <c r="AF63">
        <v>0.3443490783928036</v>
      </c>
    </row>
    <row r="64" spans="2:32" x14ac:dyDescent="0.45">
      <c r="B64" t="s">
        <v>482</v>
      </c>
      <c r="C64" t="s">
        <v>87</v>
      </c>
      <c r="D64">
        <v>0.32765693461054257</v>
      </c>
      <c r="E64">
        <v>0.35996963675895716</v>
      </c>
      <c r="F64">
        <v>0.32269781431986627</v>
      </c>
      <c r="G64">
        <v>0.3824317462536273</v>
      </c>
      <c r="W64" t="s">
        <v>482</v>
      </c>
      <c r="X64">
        <v>0.32874054333031882</v>
      </c>
      <c r="Y64">
        <v>0.29825199240521577</v>
      </c>
      <c r="Z64">
        <v>0.26676953674181708</v>
      </c>
      <c r="AA64">
        <v>0.24672924548353842</v>
      </c>
      <c r="AC64" t="s">
        <v>468</v>
      </c>
      <c r="AD64" t="s">
        <v>91</v>
      </c>
      <c r="AE64" t="s">
        <v>92</v>
      </c>
      <c r="AF64">
        <v>0.44353437912461718</v>
      </c>
    </row>
    <row r="65" spans="2:32" x14ac:dyDescent="0.45">
      <c r="B65" t="s">
        <v>483</v>
      </c>
      <c r="C65" t="s">
        <v>87</v>
      </c>
      <c r="D65">
        <v>0.31358349154171028</v>
      </c>
      <c r="E65">
        <v>0.34055721627955987</v>
      </c>
      <c r="F65">
        <v>0.30876507913736712</v>
      </c>
      <c r="G65">
        <v>0.36610088632640747</v>
      </c>
      <c r="W65" t="s">
        <v>483</v>
      </c>
      <c r="X65">
        <v>0.34601403525344132</v>
      </c>
      <c r="Y65">
        <v>0.32829462277769411</v>
      </c>
      <c r="Z65">
        <v>0.2797112988822007</v>
      </c>
      <c r="AA65">
        <v>0.2668815845103103</v>
      </c>
      <c r="AC65" t="s">
        <v>470</v>
      </c>
      <c r="AD65" t="s">
        <v>91</v>
      </c>
      <c r="AE65" t="s">
        <v>92</v>
      </c>
      <c r="AF65">
        <v>0.44905951133478805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B999-A5E6-4F19-B9F5-9E65A91EEE70}">
  <dimension ref="A9:S68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region=DEU")</f>
        <v>~TFM_DINS-AT: region=DEU</v>
      </c>
      <c r="H9" t="str">
        <f>IF(A11="x","DeActivated","~TFM_DINS-AT: region=DEU")</f>
        <v>~TFM_DINS-AT: region=DEU</v>
      </c>
      <c r="L9" t="str">
        <f>IF(A11="x","DeActivated","~TFM_DINS-AT: region=DEU")</f>
        <v>~TFM_DINS-AT: region=DEU</v>
      </c>
      <c r="P9" t="str">
        <f>IF(A11="x","DeActivated","~TFM_INS-AT: region=DEU")</f>
        <v>~TFM_INS-AT: region=DEU</v>
      </c>
    </row>
    <row r="10" spans="1:19" x14ac:dyDescent="0.45">
      <c r="A10" t="s">
        <v>169</v>
      </c>
      <c r="C10" t="s">
        <v>170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171</v>
      </c>
      <c r="P10" t="s">
        <v>172</v>
      </c>
      <c r="Q10" t="s">
        <v>1</v>
      </c>
      <c r="R10" t="s">
        <v>173</v>
      </c>
      <c r="S10" t="s">
        <v>174</v>
      </c>
    </row>
    <row r="11" spans="1:19" x14ac:dyDescent="0.45">
      <c r="C11">
        <v>0.24931506849315069</v>
      </c>
      <c r="D11">
        <v>0.13646719538572463</v>
      </c>
      <c r="E11" t="s">
        <v>5</v>
      </c>
      <c r="F11" t="s">
        <v>175</v>
      </c>
      <c r="H11" t="s">
        <v>176</v>
      </c>
      <c r="I11" t="s">
        <v>5</v>
      </c>
      <c r="L11" t="s">
        <v>177</v>
      </c>
      <c r="M11" t="s">
        <v>5</v>
      </c>
      <c r="N11">
        <v>0.35789474879727923</v>
      </c>
      <c r="P11">
        <v>2020</v>
      </c>
      <c r="Q11" t="s">
        <v>178</v>
      </c>
      <c r="R11">
        <v>0.38298333333333329</v>
      </c>
      <c r="S11" t="s">
        <v>179</v>
      </c>
    </row>
    <row r="12" spans="1:19" x14ac:dyDescent="0.45">
      <c r="C12">
        <v>0.24931506849315069</v>
      </c>
      <c r="D12">
        <v>0.36216294160057688</v>
      </c>
      <c r="E12" t="s">
        <v>9</v>
      </c>
      <c r="F12" t="s">
        <v>175</v>
      </c>
      <c r="H12" t="s">
        <v>176</v>
      </c>
      <c r="I12" t="s">
        <v>9</v>
      </c>
      <c r="L12" t="s">
        <v>177</v>
      </c>
      <c r="M12" t="s">
        <v>9</v>
      </c>
      <c r="N12">
        <v>0.18784793418051504</v>
      </c>
      <c r="P12">
        <v>2020</v>
      </c>
      <c r="Q12" t="s">
        <v>180</v>
      </c>
      <c r="R12">
        <v>0.3930833333333334</v>
      </c>
      <c r="S12" t="s">
        <v>179</v>
      </c>
    </row>
    <row r="13" spans="1:19" x14ac:dyDescent="0.45">
      <c r="C13">
        <v>0.25068493150684934</v>
      </c>
      <c r="D13">
        <v>0.13721701514059123</v>
      </c>
      <c r="E13" t="s">
        <v>10</v>
      </c>
      <c r="F13" t="s">
        <v>175</v>
      </c>
      <c r="H13" t="s">
        <v>176</v>
      </c>
      <c r="I13" t="s">
        <v>10</v>
      </c>
      <c r="L13" t="s">
        <v>177</v>
      </c>
      <c r="M13" t="s">
        <v>10</v>
      </c>
      <c r="N13">
        <v>0.38959668993843355</v>
      </c>
      <c r="P13">
        <v>2021</v>
      </c>
      <c r="Q13" t="s">
        <v>178</v>
      </c>
      <c r="R13">
        <v>0.39094999999999996</v>
      </c>
      <c r="S13" t="s">
        <v>179</v>
      </c>
    </row>
    <row r="14" spans="1:19" x14ac:dyDescent="0.45">
      <c r="C14">
        <v>0.25068493150684934</v>
      </c>
      <c r="D14">
        <v>0.36415284787310753</v>
      </c>
      <c r="E14" t="s">
        <v>11</v>
      </c>
      <c r="F14" t="s">
        <v>175</v>
      </c>
      <c r="H14" t="s">
        <v>176</v>
      </c>
      <c r="I14" t="s">
        <v>11</v>
      </c>
      <c r="L14" t="s">
        <v>177</v>
      </c>
      <c r="M14" t="s">
        <v>11</v>
      </c>
      <c r="N14">
        <v>0.21756741827412074</v>
      </c>
      <c r="P14">
        <v>2021</v>
      </c>
      <c r="Q14" t="s">
        <v>180</v>
      </c>
      <c r="R14">
        <v>0.41848333333333332</v>
      </c>
      <c r="S14" t="s">
        <v>179</v>
      </c>
    </row>
    <row r="15" spans="1:19" x14ac:dyDescent="0.45">
      <c r="H15" t="s">
        <v>181</v>
      </c>
      <c r="I15" t="s">
        <v>5</v>
      </c>
      <c r="P15">
        <v>2022</v>
      </c>
      <c r="Q15" t="s">
        <v>178</v>
      </c>
      <c r="R15">
        <v>0.37261666666666665</v>
      </c>
      <c r="S15" t="s">
        <v>179</v>
      </c>
    </row>
    <row r="16" spans="1:19" x14ac:dyDescent="0.45">
      <c r="H16" t="s">
        <v>181</v>
      </c>
      <c r="I16" t="s">
        <v>9</v>
      </c>
      <c r="P16">
        <v>2022</v>
      </c>
      <c r="Q16" t="s">
        <v>180</v>
      </c>
      <c r="R16">
        <v>0.33853333333333335</v>
      </c>
      <c r="S16" t="s">
        <v>179</v>
      </c>
    </row>
    <row r="17" spans="8:19" x14ac:dyDescent="0.45">
      <c r="H17" t="s">
        <v>181</v>
      </c>
      <c r="I17" t="s">
        <v>10</v>
      </c>
      <c r="P17">
        <v>2025</v>
      </c>
      <c r="Q17" t="s">
        <v>178</v>
      </c>
      <c r="R17">
        <v>0.44571666666666671</v>
      </c>
      <c r="S17" t="s">
        <v>179</v>
      </c>
    </row>
    <row r="18" spans="8:19" x14ac:dyDescent="0.45">
      <c r="H18" t="s">
        <v>181</v>
      </c>
      <c r="I18" t="s">
        <v>11</v>
      </c>
      <c r="P18">
        <v>2025</v>
      </c>
      <c r="Q18" t="s">
        <v>180</v>
      </c>
      <c r="R18">
        <v>0.45290000000000002</v>
      </c>
      <c r="S18" t="s">
        <v>179</v>
      </c>
    </row>
    <row r="19" spans="8:19" x14ac:dyDescent="0.45">
      <c r="P19">
        <v>2026</v>
      </c>
      <c r="Q19" t="s">
        <v>178</v>
      </c>
      <c r="R19">
        <v>0.45583333333333331</v>
      </c>
      <c r="S19" t="s">
        <v>179</v>
      </c>
    </row>
    <row r="20" spans="8:19" x14ac:dyDescent="0.45">
      <c r="P20">
        <v>2026</v>
      </c>
      <c r="Q20" t="s">
        <v>180</v>
      </c>
      <c r="R20">
        <v>0.46934999999999999</v>
      </c>
      <c r="S20" t="s">
        <v>179</v>
      </c>
    </row>
    <row r="21" spans="8:19" x14ac:dyDescent="0.45">
      <c r="P21">
        <v>2027</v>
      </c>
      <c r="Q21" t="s">
        <v>178</v>
      </c>
      <c r="R21">
        <v>0.47668333333333329</v>
      </c>
      <c r="S21" t="s">
        <v>179</v>
      </c>
    </row>
    <row r="22" spans="8:19" x14ac:dyDescent="0.45">
      <c r="P22">
        <v>2027</v>
      </c>
      <c r="Q22" t="s">
        <v>180</v>
      </c>
      <c r="R22">
        <v>0.51294999999999991</v>
      </c>
      <c r="S22" t="s">
        <v>179</v>
      </c>
    </row>
    <row r="23" spans="8:19" x14ac:dyDescent="0.45">
      <c r="P23">
        <v>2028</v>
      </c>
      <c r="Q23" t="s">
        <v>178</v>
      </c>
      <c r="R23">
        <v>0.47573333333333329</v>
      </c>
      <c r="S23" t="s">
        <v>179</v>
      </c>
    </row>
    <row r="24" spans="8:19" x14ac:dyDescent="0.45">
      <c r="P24">
        <v>2028</v>
      </c>
      <c r="Q24" t="s">
        <v>180</v>
      </c>
      <c r="R24">
        <v>0.49913333333333337</v>
      </c>
      <c r="S24" t="s">
        <v>179</v>
      </c>
    </row>
    <row r="25" spans="8:19" x14ac:dyDescent="0.45">
      <c r="P25">
        <v>2029</v>
      </c>
      <c r="Q25" t="s">
        <v>178</v>
      </c>
      <c r="R25">
        <v>0.48191666666666672</v>
      </c>
      <c r="S25" t="s">
        <v>179</v>
      </c>
    </row>
    <row r="26" spans="8:19" x14ac:dyDescent="0.45">
      <c r="P26">
        <v>2029</v>
      </c>
      <c r="Q26" t="s">
        <v>180</v>
      </c>
      <c r="R26">
        <v>0.46286666666666676</v>
      </c>
      <c r="S26" t="s">
        <v>179</v>
      </c>
    </row>
    <row r="27" spans="8:19" x14ac:dyDescent="0.45">
      <c r="P27">
        <v>2030</v>
      </c>
      <c r="Q27" t="s">
        <v>178</v>
      </c>
      <c r="R27">
        <v>0.46206666666666668</v>
      </c>
      <c r="S27" t="s">
        <v>179</v>
      </c>
    </row>
    <row r="28" spans="8:19" x14ac:dyDescent="0.45">
      <c r="P28">
        <v>2030</v>
      </c>
      <c r="Q28" t="s">
        <v>180</v>
      </c>
      <c r="R28">
        <v>0.49348333333333333</v>
      </c>
      <c r="S28" t="s">
        <v>179</v>
      </c>
    </row>
    <row r="29" spans="8:19" x14ac:dyDescent="0.45">
      <c r="P29">
        <v>2031</v>
      </c>
      <c r="Q29" t="s">
        <v>178</v>
      </c>
      <c r="R29">
        <v>0.43006666666666665</v>
      </c>
      <c r="S29" t="s">
        <v>179</v>
      </c>
    </row>
    <row r="30" spans="8:19" x14ac:dyDescent="0.45">
      <c r="P30">
        <v>2031</v>
      </c>
      <c r="Q30" t="s">
        <v>180</v>
      </c>
      <c r="R30">
        <v>0.42836666666666662</v>
      </c>
      <c r="S30" t="s">
        <v>179</v>
      </c>
    </row>
    <row r="31" spans="8:19" x14ac:dyDescent="0.45">
      <c r="P31">
        <v>2032</v>
      </c>
      <c r="Q31" t="s">
        <v>178</v>
      </c>
      <c r="R31">
        <v>0.41809999999999997</v>
      </c>
      <c r="S31" t="s">
        <v>179</v>
      </c>
    </row>
    <row r="32" spans="8:19" x14ac:dyDescent="0.45">
      <c r="P32">
        <v>2032</v>
      </c>
      <c r="Q32" t="s">
        <v>180</v>
      </c>
      <c r="R32">
        <v>0.40251666666666663</v>
      </c>
      <c r="S32" t="s">
        <v>179</v>
      </c>
    </row>
    <row r="33" spans="16:19" x14ac:dyDescent="0.45">
      <c r="P33">
        <v>2033</v>
      </c>
      <c r="Q33" t="s">
        <v>178</v>
      </c>
      <c r="R33">
        <v>0.37905000000000005</v>
      </c>
      <c r="S33" t="s">
        <v>179</v>
      </c>
    </row>
    <row r="34" spans="16:19" x14ac:dyDescent="0.45">
      <c r="P34">
        <v>2033</v>
      </c>
      <c r="Q34" t="s">
        <v>180</v>
      </c>
      <c r="R34">
        <v>0.47205000000000008</v>
      </c>
      <c r="S34" t="s">
        <v>179</v>
      </c>
    </row>
    <row r="35" spans="16:19" x14ac:dyDescent="0.45">
      <c r="P35">
        <v>2034</v>
      </c>
      <c r="Q35" t="s">
        <v>178</v>
      </c>
      <c r="R35">
        <v>0.46435000000000004</v>
      </c>
      <c r="S35" t="s">
        <v>179</v>
      </c>
    </row>
    <row r="36" spans="16:19" x14ac:dyDescent="0.45">
      <c r="P36">
        <v>2034</v>
      </c>
      <c r="Q36" t="s">
        <v>180</v>
      </c>
      <c r="R36">
        <v>0.44639999999999996</v>
      </c>
      <c r="S36" t="s">
        <v>179</v>
      </c>
    </row>
    <row r="37" spans="16:19" x14ac:dyDescent="0.45">
      <c r="P37">
        <v>2035</v>
      </c>
      <c r="Q37" t="s">
        <v>178</v>
      </c>
      <c r="R37">
        <v>0.49285000000000001</v>
      </c>
      <c r="S37" t="s">
        <v>179</v>
      </c>
    </row>
    <row r="38" spans="16:19" x14ac:dyDescent="0.45">
      <c r="P38">
        <v>2035</v>
      </c>
      <c r="Q38" t="s">
        <v>180</v>
      </c>
      <c r="R38">
        <v>0.51426666666666665</v>
      </c>
      <c r="S38" t="s">
        <v>179</v>
      </c>
    </row>
    <row r="39" spans="16:19" x14ac:dyDescent="0.45">
      <c r="P39">
        <v>2036</v>
      </c>
      <c r="Q39" t="s">
        <v>178</v>
      </c>
      <c r="R39">
        <v>0.46954999999999997</v>
      </c>
      <c r="S39" t="s">
        <v>179</v>
      </c>
    </row>
    <row r="40" spans="16:19" x14ac:dyDescent="0.45">
      <c r="P40">
        <v>2036</v>
      </c>
      <c r="Q40" t="s">
        <v>180</v>
      </c>
      <c r="R40">
        <v>0.4904</v>
      </c>
      <c r="S40" t="s">
        <v>179</v>
      </c>
    </row>
    <row r="41" spans="16:19" x14ac:dyDescent="0.45">
      <c r="P41">
        <v>2037</v>
      </c>
      <c r="Q41" t="s">
        <v>178</v>
      </c>
      <c r="R41">
        <v>0.46523333333333333</v>
      </c>
      <c r="S41" t="s">
        <v>179</v>
      </c>
    </row>
    <row r="42" spans="16:19" x14ac:dyDescent="0.45">
      <c r="P42">
        <v>2037</v>
      </c>
      <c r="Q42" t="s">
        <v>180</v>
      </c>
      <c r="R42">
        <v>0.50524999999999998</v>
      </c>
      <c r="S42" t="s">
        <v>179</v>
      </c>
    </row>
    <row r="43" spans="16:19" x14ac:dyDescent="0.45">
      <c r="P43">
        <v>2038</v>
      </c>
      <c r="Q43" t="s">
        <v>178</v>
      </c>
      <c r="R43">
        <v>0.45433333333333331</v>
      </c>
      <c r="S43" t="s">
        <v>179</v>
      </c>
    </row>
    <row r="44" spans="16:19" x14ac:dyDescent="0.45">
      <c r="P44">
        <v>2038</v>
      </c>
      <c r="Q44" t="s">
        <v>180</v>
      </c>
      <c r="R44">
        <v>0.49419999999999997</v>
      </c>
      <c r="S44" t="s">
        <v>179</v>
      </c>
    </row>
    <row r="45" spans="16:19" x14ac:dyDescent="0.45">
      <c r="P45">
        <v>2039</v>
      </c>
      <c r="Q45" t="s">
        <v>178</v>
      </c>
      <c r="R45">
        <v>0.47848333333333337</v>
      </c>
      <c r="S45" t="s">
        <v>179</v>
      </c>
    </row>
    <row r="46" spans="16:19" x14ac:dyDescent="0.45">
      <c r="P46">
        <v>2039</v>
      </c>
      <c r="Q46" t="s">
        <v>180</v>
      </c>
      <c r="R46">
        <v>0.58230000000000004</v>
      </c>
      <c r="S46" t="s">
        <v>179</v>
      </c>
    </row>
    <row r="47" spans="16:19" x14ac:dyDescent="0.45">
      <c r="P47">
        <v>2040</v>
      </c>
      <c r="Q47" t="s">
        <v>178</v>
      </c>
      <c r="R47">
        <v>0.47090000000000004</v>
      </c>
      <c r="S47" t="s">
        <v>179</v>
      </c>
    </row>
    <row r="48" spans="16:19" x14ac:dyDescent="0.45">
      <c r="P48">
        <v>2040</v>
      </c>
      <c r="Q48" t="s">
        <v>180</v>
      </c>
      <c r="R48">
        <v>0.53988333333333338</v>
      </c>
      <c r="S48" t="s">
        <v>179</v>
      </c>
    </row>
    <row r="49" spans="16:19" x14ac:dyDescent="0.45">
      <c r="P49">
        <v>2041</v>
      </c>
      <c r="Q49" t="s">
        <v>178</v>
      </c>
      <c r="R49">
        <v>0.52468333333333328</v>
      </c>
      <c r="S49" t="s">
        <v>179</v>
      </c>
    </row>
    <row r="50" spans="16:19" x14ac:dyDescent="0.45">
      <c r="P50">
        <v>2041</v>
      </c>
      <c r="Q50" t="s">
        <v>180</v>
      </c>
      <c r="R50">
        <v>0.49183333333333334</v>
      </c>
      <c r="S50" t="s">
        <v>179</v>
      </c>
    </row>
    <row r="51" spans="16:19" x14ac:dyDescent="0.45">
      <c r="P51">
        <v>2042</v>
      </c>
      <c r="Q51" t="s">
        <v>178</v>
      </c>
      <c r="R51">
        <v>0.51031666666666664</v>
      </c>
      <c r="S51" t="s">
        <v>179</v>
      </c>
    </row>
    <row r="52" spans="16:19" x14ac:dyDescent="0.45">
      <c r="P52">
        <v>2042</v>
      </c>
      <c r="Q52" t="s">
        <v>180</v>
      </c>
      <c r="R52">
        <v>0.51386666666666658</v>
      </c>
      <c r="S52" t="s">
        <v>179</v>
      </c>
    </row>
    <row r="53" spans="16:19" x14ac:dyDescent="0.45">
      <c r="P53">
        <v>2043</v>
      </c>
      <c r="Q53" t="s">
        <v>178</v>
      </c>
      <c r="R53">
        <v>0.45556666666666662</v>
      </c>
      <c r="S53" t="s">
        <v>179</v>
      </c>
    </row>
    <row r="54" spans="16:19" x14ac:dyDescent="0.45">
      <c r="P54">
        <v>2043</v>
      </c>
      <c r="Q54" t="s">
        <v>180</v>
      </c>
      <c r="R54">
        <v>0.43531666666666674</v>
      </c>
      <c r="S54" t="s">
        <v>179</v>
      </c>
    </row>
    <row r="55" spans="16:19" x14ac:dyDescent="0.45">
      <c r="P55">
        <v>2044</v>
      </c>
      <c r="Q55" t="s">
        <v>178</v>
      </c>
      <c r="R55">
        <v>0.48310000000000003</v>
      </c>
      <c r="S55" t="s">
        <v>179</v>
      </c>
    </row>
    <row r="56" spans="16:19" x14ac:dyDescent="0.45">
      <c r="P56">
        <v>2044</v>
      </c>
      <c r="Q56" t="s">
        <v>180</v>
      </c>
      <c r="R56">
        <v>0.51180000000000003</v>
      </c>
      <c r="S56" t="s">
        <v>179</v>
      </c>
    </row>
    <row r="57" spans="16:19" x14ac:dyDescent="0.45">
      <c r="P57">
        <v>2045</v>
      </c>
      <c r="Q57" t="s">
        <v>178</v>
      </c>
      <c r="R57">
        <v>0.37401666666666666</v>
      </c>
      <c r="S57" t="s">
        <v>179</v>
      </c>
    </row>
    <row r="58" spans="16:19" x14ac:dyDescent="0.45">
      <c r="P58">
        <v>2045</v>
      </c>
      <c r="Q58" t="s">
        <v>180</v>
      </c>
      <c r="R58">
        <v>0.34594999999999998</v>
      </c>
      <c r="S58" t="s">
        <v>179</v>
      </c>
    </row>
    <row r="59" spans="16:19" x14ac:dyDescent="0.45">
      <c r="P59">
        <v>2046</v>
      </c>
      <c r="Q59" t="s">
        <v>178</v>
      </c>
      <c r="R59">
        <v>0.37303333333333333</v>
      </c>
      <c r="S59" t="s">
        <v>179</v>
      </c>
    </row>
    <row r="60" spans="16:19" x14ac:dyDescent="0.45">
      <c r="P60">
        <v>2046</v>
      </c>
      <c r="Q60" t="s">
        <v>180</v>
      </c>
      <c r="R60">
        <v>0.36301666666666671</v>
      </c>
      <c r="S60" t="s">
        <v>179</v>
      </c>
    </row>
    <row r="61" spans="16:19" x14ac:dyDescent="0.45">
      <c r="P61">
        <v>2047</v>
      </c>
      <c r="Q61" t="s">
        <v>178</v>
      </c>
      <c r="R61">
        <v>0.40776666666666667</v>
      </c>
      <c r="S61" t="s">
        <v>179</v>
      </c>
    </row>
    <row r="62" spans="16:19" x14ac:dyDescent="0.45">
      <c r="P62">
        <v>2047</v>
      </c>
      <c r="Q62" t="s">
        <v>180</v>
      </c>
      <c r="R62">
        <v>0.39203333333333329</v>
      </c>
      <c r="S62" t="s">
        <v>179</v>
      </c>
    </row>
    <row r="63" spans="16:19" x14ac:dyDescent="0.45">
      <c r="P63">
        <v>2048</v>
      </c>
      <c r="Q63" t="s">
        <v>178</v>
      </c>
      <c r="R63">
        <v>0.3878833333333333</v>
      </c>
      <c r="S63" t="s">
        <v>179</v>
      </c>
    </row>
    <row r="64" spans="16:19" x14ac:dyDescent="0.45">
      <c r="P64">
        <v>2048</v>
      </c>
      <c r="Q64" t="s">
        <v>180</v>
      </c>
      <c r="R64">
        <v>0.39210000000000006</v>
      </c>
      <c r="S64" t="s">
        <v>179</v>
      </c>
    </row>
    <row r="65" spans="16:19" x14ac:dyDescent="0.45">
      <c r="P65">
        <v>2049</v>
      </c>
      <c r="Q65" t="s">
        <v>178</v>
      </c>
      <c r="R65">
        <v>0.37610000000000005</v>
      </c>
      <c r="S65" t="s">
        <v>179</v>
      </c>
    </row>
    <row r="66" spans="16:19" x14ac:dyDescent="0.45">
      <c r="P66">
        <v>2049</v>
      </c>
      <c r="Q66" t="s">
        <v>180</v>
      </c>
      <c r="R66">
        <v>0.38914999999999994</v>
      </c>
      <c r="S66" t="s">
        <v>179</v>
      </c>
    </row>
    <row r="67" spans="16:19" x14ac:dyDescent="0.45">
      <c r="P67">
        <v>2050</v>
      </c>
      <c r="Q67" t="s">
        <v>178</v>
      </c>
      <c r="R67">
        <v>0.41086666666666666</v>
      </c>
      <c r="S67" t="s">
        <v>179</v>
      </c>
    </row>
    <row r="68" spans="16:19" x14ac:dyDescent="0.45">
      <c r="P68">
        <v>2050</v>
      </c>
      <c r="Q68" t="s">
        <v>180</v>
      </c>
      <c r="R68">
        <v>0.41619999999999996</v>
      </c>
      <c r="S68" t="s">
        <v>179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A9F3-D113-4BCD-9415-3CD690725829}">
  <dimension ref="B9:J5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region=CHE")</f>
        <v>~TFM_DINS-AT: region=CHE</v>
      </c>
      <c r="G9" t="str">
        <f>IF(A11="x","DeActivated","~TFM_DINS-AT: region=CHE")</f>
        <v>~TFM_DINS-AT: region=CHE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484</v>
      </c>
      <c r="C11" t="s">
        <v>5</v>
      </c>
      <c r="D11">
        <v>1.0732945597335898E-2</v>
      </c>
      <c r="E11" t="s">
        <v>6</v>
      </c>
      <c r="G11" t="s">
        <v>485</v>
      </c>
      <c r="H11" t="s">
        <v>5</v>
      </c>
      <c r="I11">
        <v>0.2707722247985504</v>
      </c>
      <c r="J11" t="s">
        <v>6</v>
      </c>
    </row>
    <row r="12" spans="2:10" x14ac:dyDescent="0.45">
      <c r="B12" t="s">
        <v>484</v>
      </c>
      <c r="C12" t="s">
        <v>9</v>
      </c>
      <c r="D12">
        <v>0.45569208446779602</v>
      </c>
      <c r="E12" t="s">
        <v>6</v>
      </c>
      <c r="G12" t="s">
        <v>485</v>
      </c>
      <c r="H12" t="s">
        <v>9</v>
      </c>
      <c r="I12">
        <v>0.24215751774838834</v>
      </c>
      <c r="J12" t="s">
        <v>6</v>
      </c>
    </row>
    <row r="13" spans="2:10" x14ac:dyDescent="0.45">
      <c r="B13" t="s">
        <v>484</v>
      </c>
      <c r="C13" t="s">
        <v>10</v>
      </c>
      <c r="D13">
        <v>1.8740316866365556E-2</v>
      </c>
      <c r="E13" t="s">
        <v>6</v>
      </c>
      <c r="G13" t="s">
        <v>485</v>
      </c>
      <c r="H13" t="s">
        <v>10</v>
      </c>
      <c r="I13">
        <v>0.24236482860294972</v>
      </c>
      <c r="J13" t="s">
        <v>6</v>
      </c>
    </row>
    <row r="14" spans="2:10" x14ac:dyDescent="0.45">
      <c r="B14" t="s">
        <v>484</v>
      </c>
      <c r="C14" t="s">
        <v>11</v>
      </c>
      <c r="D14">
        <v>0.51483465306850107</v>
      </c>
      <c r="E14" t="s">
        <v>6</v>
      </c>
      <c r="G14" t="s">
        <v>485</v>
      </c>
      <c r="H14" t="s">
        <v>11</v>
      </c>
      <c r="I14">
        <v>0.24470542885011154</v>
      </c>
      <c r="J14" t="s">
        <v>6</v>
      </c>
    </row>
    <row r="15" spans="2:10" x14ac:dyDescent="0.45">
      <c r="B15" t="s">
        <v>486</v>
      </c>
      <c r="C15" t="s">
        <v>5</v>
      </c>
      <c r="D15">
        <v>9.6381056597513518E-3</v>
      </c>
      <c r="E15" t="s">
        <v>6</v>
      </c>
      <c r="G15" t="s">
        <v>487</v>
      </c>
      <c r="H15" t="s">
        <v>5</v>
      </c>
      <c r="I15">
        <v>0.28355838713671699</v>
      </c>
      <c r="J15" t="s">
        <v>6</v>
      </c>
    </row>
    <row r="16" spans="2:10" x14ac:dyDescent="0.45">
      <c r="B16" t="s">
        <v>486</v>
      </c>
      <c r="C16" t="s">
        <v>9</v>
      </c>
      <c r="D16">
        <v>0.44917978481627535</v>
      </c>
      <c r="E16" t="s">
        <v>6</v>
      </c>
      <c r="G16" t="s">
        <v>487</v>
      </c>
      <c r="H16" t="s">
        <v>9</v>
      </c>
      <c r="I16">
        <v>0.24680897280847836</v>
      </c>
      <c r="J16" t="s">
        <v>6</v>
      </c>
    </row>
    <row r="17" spans="2:10" x14ac:dyDescent="0.45">
      <c r="B17" t="s">
        <v>486</v>
      </c>
      <c r="C17" t="s">
        <v>10</v>
      </c>
      <c r="D17">
        <v>1.8148199613808775E-2</v>
      </c>
      <c r="E17" t="s">
        <v>6</v>
      </c>
      <c r="G17" t="s">
        <v>487</v>
      </c>
      <c r="H17" t="s">
        <v>10</v>
      </c>
      <c r="I17">
        <v>0.24580646883398202</v>
      </c>
      <c r="J17" t="s">
        <v>6</v>
      </c>
    </row>
    <row r="18" spans="2:10" x14ac:dyDescent="0.45">
      <c r="B18" t="s">
        <v>486</v>
      </c>
      <c r="C18" t="s">
        <v>11</v>
      </c>
      <c r="D18">
        <v>0.52303390991016563</v>
      </c>
      <c r="E18" t="s">
        <v>6</v>
      </c>
      <c r="G18" t="s">
        <v>487</v>
      </c>
      <c r="H18" t="s">
        <v>11</v>
      </c>
      <c r="I18">
        <v>0.22382617122082263</v>
      </c>
      <c r="J18" t="s">
        <v>6</v>
      </c>
    </row>
    <row r="19" spans="2:10" x14ac:dyDescent="0.45">
      <c r="B19" t="s">
        <v>488</v>
      </c>
      <c r="C19" t="s">
        <v>5</v>
      </c>
      <c r="D19">
        <v>1.1451532601740286E-2</v>
      </c>
      <c r="E19" t="s">
        <v>6</v>
      </c>
      <c r="G19" t="s">
        <v>489</v>
      </c>
      <c r="H19" t="s">
        <v>5</v>
      </c>
      <c r="I19">
        <v>0.27147870610211522</v>
      </c>
      <c r="J19" t="s">
        <v>6</v>
      </c>
    </row>
    <row r="20" spans="2:10" x14ac:dyDescent="0.45">
      <c r="B20" t="s">
        <v>488</v>
      </c>
      <c r="C20" t="s">
        <v>9</v>
      </c>
      <c r="D20">
        <v>0.42920643332218139</v>
      </c>
      <c r="E20" t="s">
        <v>6</v>
      </c>
      <c r="G20" t="s">
        <v>489</v>
      </c>
      <c r="H20" t="s">
        <v>9</v>
      </c>
      <c r="I20">
        <v>0.25057673887206144</v>
      </c>
      <c r="J20" t="s">
        <v>6</v>
      </c>
    </row>
    <row r="21" spans="2:10" x14ac:dyDescent="0.45">
      <c r="B21" t="s">
        <v>488</v>
      </c>
      <c r="C21" t="s">
        <v>10</v>
      </c>
      <c r="D21">
        <v>2.216567988724015E-2</v>
      </c>
      <c r="E21" t="s">
        <v>6</v>
      </c>
      <c r="G21" t="s">
        <v>489</v>
      </c>
      <c r="H21" t="s">
        <v>10</v>
      </c>
      <c r="I21">
        <v>0.23498106253567705</v>
      </c>
      <c r="J21" t="s">
        <v>6</v>
      </c>
    </row>
    <row r="22" spans="2:10" x14ac:dyDescent="0.45">
      <c r="B22" t="s">
        <v>488</v>
      </c>
      <c r="C22" t="s">
        <v>11</v>
      </c>
      <c r="D22">
        <v>0.53717635418883958</v>
      </c>
      <c r="E22" t="s">
        <v>6</v>
      </c>
      <c r="G22" t="s">
        <v>489</v>
      </c>
      <c r="H22" t="s">
        <v>11</v>
      </c>
      <c r="I22">
        <v>0.24296349249014632</v>
      </c>
      <c r="J22" t="s">
        <v>6</v>
      </c>
    </row>
    <row r="23" spans="2:10" x14ac:dyDescent="0.45">
      <c r="B23" t="s">
        <v>490</v>
      </c>
      <c r="C23" t="s">
        <v>5</v>
      </c>
      <c r="D23">
        <v>1.2090903216801971E-2</v>
      </c>
      <c r="E23" t="s">
        <v>6</v>
      </c>
      <c r="G23" t="s">
        <v>491</v>
      </c>
      <c r="H23" t="s">
        <v>5</v>
      </c>
      <c r="I23">
        <v>0.2789821775840029</v>
      </c>
      <c r="J23" t="s">
        <v>6</v>
      </c>
    </row>
    <row r="24" spans="2:10" x14ac:dyDescent="0.45">
      <c r="B24" t="s">
        <v>490</v>
      </c>
      <c r="C24" t="s">
        <v>9</v>
      </c>
      <c r="D24">
        <v>0.43987979757531864</v>
      </c>
      <c r="E24" t="s">
        <v>6</v>
      </c>
      <c r="G24" t="s">
        <v>491</v>
      </c>
      <c r="H24" t="s">
        <v>9</v>
      </c>
      <c r="I24">
        <v>0.25379501609321853</v>
      </c>
      <c r="J24" t="s">
        <v>6</v>
      </c>
    </row>
    <row r="25" spans="2:10" x14ac:dyDescent="0.45">
      <c r="B25" t="s">
        <v>490</v>
      </c>
      <c r="C25" t="s">
        <v>10</v>
      </c>
      <c r="D25">
        <v>2.1667325523028573E-2</v>
      </c>
      <c r="E25" t="s">
        <v>6</v>
      </c>
      <c r="G25" t="s">
        <v>491</v>
      </c>
      <c r="H25" t="s">
        <v>10</v>
      </c>
      <c r="I25">
        <v>0.24357641215230624</v>
      </c>
      <c r="J25" t="s">
        <v>6</v>
      </c>
    </row>
    <row r="26" spans="2:10" x14ac:dyDescent="0.45">
      <c r="B26" t="s">
        <v>490</v>
      </c>
      <c r="C26" t="s">
        <v>11</v>
      </c>
      <c r="D26">
        <v>0.5263619736848506</v>
      </c>
      <c r="E26" t="s">
        <v>6</v>
      </c>
      <c r="G26" t="s">
        <v>491</v>
      </c>
      <c r="H26" t="s">
        <v>11</v>
      </c>
      <c r="I26">
        <v>0.22364639417047236</v>
      </c>
      <c r="J26" t="s">
        <v>6</v>
      </c>
    </row>
    <row r="27" spans="2:10" x14ac:dyDescent="0.45">
      <c r="B27" t="s">
        <v>492</v>
      </c>
      <c r="C27" t="s">
        <v>5</v>
      </c>
      <c r="D27">
        <v>9.2374264451163483E-3</v>
      </c>
      <c r="E27" t="s">
        <v>6</v>
      </c>
      <c r="G27" t="s">
        <v>493</v>
      </c>
      <c r="H27" t="s">
        <v>5</v>
      </c>
      <c r="I27">
        <v>0.28348900813353889</v>
      </c>
      <c r="J27" t="s">
        <v>6</v>
      </c>
    </row>
    <row r="28" spans="2:10" x14ac:dyDescent="0.45">
      <c r="B28" t="s">
        <v>492</v>
      </c>
      <c r="C28" t="s">
        <v>9</v>
      </c>
      <c r="D28">
        <v>0.46880482104238819</v>
      </c>
      <c r="E28" t="s">
        <v>6</v>
      </c>
      <c r="G28" t="s">
        <v>493</v>
      </c>
      <c r="H28" t="s">
        <v>9</v>
      </c>
      <c r="I28">
        <v>0.26088785678192161</v>
      </c>
      <c r="J28" t="s">
        <v>6</v>
      </c>
    </row>
    <row r="29" spans="2:10" x14ac:dyDescent="0.45">
      <c r="B29" t="s">
        <v>492</v>
      </c>
      <c r="C29" t="s">
        <v>10</v>
      </c>
      <c r="D29">
        <v>1.5731737963200286E-2</v>
      </c>
      <c r="E29" t="s">
        <v>6</v>
      </c>
      <c r="G29" t="s">
        <v>493</v>
      </c>
      <c r="H29" t="s">
        <v>10</v>
      </c>
      <c r="I29">
        <v>0.23212731296213948</v>
      </c>
      <c r="J29" t="s">
        <v>6</v>
      </c>
    </row>
    <row r="30" spans="2:10" x14ac:dyDescent="0.45">
      <c r="B30" t="s">
        <v>492</v>
      </c>
      <c r="C30" t="s">
        <v>11</v>
      </c>
      <c r="D30">
        <v>0.50622601454929572</v>
      </c>
      <c r="E30" t="s">
        <v>6</v>
      </c>
      <c r="G30" t="s">
        <v>493</v>
      </c>
      <c r="H30" t="s">
        <v>11</v>
      </c>
      <c r="I30">
        <v>0.22349582212240005</v>
      </c>
      <c r="J30" t="s">
        <v>6</v>
      </c>
    </row>
    <row r="31" spans="2:10" x14ac:dyDescent="0.45">
      <c r="B31" t="s">
        <v>494</v>
      </c>
      <c r="C31" t="s">
        <v>5</v>
      </c>
      <c r="D31">
        <v>1.0719303047546876E-2</v>
      </c>
      <c r="E31" t="s">
        <v>6</v>
      </c>
      <c r="G31" t="s">
        <v>495</v>
      </c>
      <c r="H31" t="s">
        <v>5</v>
      </c>
      <c r="I31">
        <v>0.2957328802276043</v>
      </c>
      <c r="J31" t="s">
        <v>6</v>
      </c>
    </row>
    <row r="32" spans="2:10" x14ac:dyDescent="0.45">
      <c r="B32" t="s">
        <v>494</v>
      </c>
      <c r="C32" t="s">
        <v>9</v>
      </c>
      <c r="D32">
        <v>0.47011634512076034</v>
      </c>
      <c r="E32" t="s">
        <v>6</v>
      </c>
      <c r="G32" t="s">
        <v>495</v>
      </c>
      <c r="H32" t="s">
        <v>9</v>
      </c>
      <c r="I32">
        <v>0.25626570718817593</v>
      </c>
      <c r="J32" t="s">
        <v>6</v>
      </c>
    </row>
    <row r="33" spans="2:10" x14ac:dyDescent="0.45">
      <c r="B33" t="s">
        <v>494</v>
      </c>
      <c r="C33" t="s">
        <v>10</v>
      </c>
      <c r="D33">
        <v>1.7413011333297208E-2</v>
      </c>
      <c r="E33" t="s">
        <v>6</v>
      </c>
      <c r="G33" t="s">
        <v>495</v>
      </c>
      <c r="H33" t="s">
        <v>10</v>
      </c>
      <c r="I33">
        <v>0.23428239206546564</v>
      </c>
      <c r="J33" t="s">
        <v>6</v>
      </c>
    </row>
    <row r="34" spans="2:10" x14ac:dyDescent="0.45">
      <c r="B34" t="s">
        <v>494</v>
      </c>
      <c r="C34" t="s">
        <v>11</v>
      </c>
      <c r="D34">
        <v>0.50175134049839487</v>
      </c>
      <c r="E34" t="s">
        <v>6</v>
      </c>
      <c r="G34" t="s">
        <v>495</v>
      </c>
      <c r="H34" t="s">
        <v>11</v>
      </c>
      <c r="I34">
        <v>0.21371902051875419</v>
      </c>
      <c r="J34" t="s">
        <v>6</v>
      </c>
    </row>
    <row r="35" spans="2:10" x14ac:dyDescent="0.45">
      <c r="B35" t="s">
        <v>496</v>
      </c>
      <c r="C35" t="s">
        <v>5</v>
      </c>
      <c r="D35">
        <v>1.0077180005367002E-2</v>
      </c>
      <c r="E35" t="s">
        <v>6</v>
      </c>
    </row>
    <row r="36" spans="2:10" x14ac:dyDescent="0.45">
      <c r="B36" t="s">
        <v>496</v>
      </c>
      <c r="C36" t="s">
        <v>9</v>
      </c>
      <c r="D36">
        <v>0.48590603186396808</v>
      </c>
      <c r="E36" t="s">
        <v>6</v>
      </c>
    </row>
    <row r="37" spans="2:10" x14ac:dyDescent="0.45">
      <c r="B37" t="s">
        <v>496</v>
      </c>
      <c r="C37" t="s">
        <v>10</v>
      </c>
      <c r="D37">
        <v>1.4402104196215151E-2</v>
      </c>
      <c r="E37" t="s">
        <v>6</v>
      </c>
    </row>
    <row r="38" spans="2:10" x14ac:dyDescent="0.45">
      <c r="B38" t="s">
        <v>496</v>
      </c>
      <c r="C38" t="s">
        <v>11</v>
      </c>
      <c r="D38">
        <v>0.48961468393445057</v>
      </c>
      <c r="E38" t="s">
        <v>6</v>
      </c>
    </row>
    <row r="39" spans="2:10" x14ac:dyDescent="0.45">
      <c r="B39" t="s">
        <v>497</v>
      </c>
      <c r="C39" t="s">
        <v>5</v>
      </c>
      <c r="D39">
        <v>9.2812297997145986E-3</v>
      </c>
      <c r="E39" t="s">
        <v>6</v>
      </c>
    </row>
    <row r="40" spans="2:10" x14ac:dyDescent="0.45">
      <c r="B40" t="s">
        <v>497</v>
      </c>
      <c r="C40" t="s">
        <v>9</v>
      </c>
      <c r="D40">
        <v>0.47452947001118284</v>
      </c>
      <c r="E40" t="s">
        <v>6</v>
      </c>
    </row>
    <row r="41" spans="2:10" x14ac:dyDescent="0.45">
      <c r="B41" t="s">
        <v>497</v>
      </c>
      <c r="C41" t="s">
        <v>10</v>
      </c>
      <c r="D41">
        <v>1.563922733212382E-2</v>
      </c>
      <c r="E41" t="s">
        <v>6</v>
      </c>
    </row>
    <row r="42" spans="2:10" x14ac:dyDescent="0.45">
      <c r="B42" t="s">
        <v>497</v>
      </c>
      <c r="C42" t="s">
        <v>11</v>
      </c>
      <c r="D42">
        <v>0.50055007285697795</v>
      </c>
      <c r="E42" t="s">
        <v>6</v>
      </c>
    </row>
    <row r="43" spans="2:10" x14ac:dyDescent="0.45">
      <c r="B43" t="s">
        <v>498</v>
      </c>
      <c r="C43" t="s">
        <v>5</v>
      </c>
      <c r="D43">
        <v>1.2200361982629146E-2</v>
      </c>
      <c r="E43" t="s">
        <v>6</v>
      </c>
    </row>
    <row r="44" spans="2:10" x14ac:dyDescent="0.45">
      <c r="B44" t="s">
        <v>498</v>
      </c>
      <c r="C44" t="s">
        <v>9</v>
      </c>
      <c r="D44">
        <v>0.45879911599639833</v>
      </c>
      <c r="E44" t="s">
        <v>6</v>
      </c>
    </row>
    <row r="45" spans="2:10" x14ac:dyDescent="0.45">
      <c r="B45" t="s">
        <v>498</v>
      </c>
      <c r="C45" t="s">
        <v>10</v>
      </c>
      <c r="D45">
        <v>2.0023839143115819E-2</v>
      </c>
      <c r="E45" t="s">
        <v>6</v>
      </c>
    </row>
    <row r="46" spans="2:10" x14ac:dyDescent="0.45">
      <c r="B46" t="s">
        <v>498</v>
      </c>
      <c r="C46" t="s">
        <v>11</v>
      </c>
      <c r="D46">
        <v>0.50897668287785547</v>
      </c>
      <c r="E46" t="s">
        <v>6</v>
      </c>
    </row>
    <row r="47" spans="2:10" x14ac:dyDescent="0.45">
      <c r="B47" t="s">
        <v>499</v>
      </c>
      <c r="C47" t="s">
        <v>5</v>
      </c>
      <c r="D47">
        <v>1.187131273462531E-2</v>
      </c>
      <c r="E47" t="s">
        <v>6</v>
      </c>
    </row>
    <row r="48" spans="2:10" x14ac:dyDescent="0.45">
      <c r="B48" t="s">
        <v>499</v>
      </c>
      <c r="C48" t="s">
        <v>9</v>
      </c>
      <c r="D48">
        <v>0.47585059775441607</v>
      </c>
      <c r="E48" t="s">
        <v>6</v>
      </c>
    </row>
    <row r="49" spans="2:5" x14ac:dyDescent="0.45">
      <c r="B49" t="s">
        <v>499</v>
      </c>
      <c r="C49" t="s">
        <v>10</v>
      </c>
      <c r="D49">
        <v>1.7899319904186205E-2</v>
      </c>
      <c r="E49" t="s">
        <v>6</v>
      </c>
    </row>
    <row r="50" spans="2:5" x14ac:dyDescent="0.45">
      <c r="B50" t="s">
        <v>499</v>
      </c>
      <c r="C50" t="s">
        <v>11</v>
      </c>
      <c r="D50">
        <v>0.49437876960677152</v>
      </c>
      <c r="E50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9080-158A-41B5-9540-3F4C9DB2C1C3}">
  <dimension ref="B9:AF26"/>
  <sheetViews>
    <sheetView workbookViewId="0"/>
  </sheetViews>
  <sheetFormatPr defaultRowHeight="14.25" x14ac:dyDescent="0.45"/>
  <sheetData>
    <row r="9" spans="2:32" x14ac:dyDescent="0.45">
      <c r="B9" t="str">
        <f>IF(A11="x","DeActivated","~TFM_DINS-TSL: attribute=FLO_EMIS; other_indexes=ACT; region=CHE")</f>
        <v>~TFM_DINS-TSL: attribute=FLO_EMIS; other_indexes=ACT; region=CHE</v>
      </c>
      <c r="I9" t="str">
        <f>IF(A11="x","DeActivated","~TFM_INS-TSL: attribute=FLO_SHAR; limtype=FX; region=CHE")</f>
        <v>~TFM_INS-TSL: attribute=FLO_SHAR; limtype=FX; region=CHE</v>
      </c>
      <c r="P9" t="str">
        <f>IF(A11="x","DeActivated","~TFM_INS-TSL: attribute=FLO_SHAR; limtype=FX; region=CHE")</f>
        <v>~TFM_INS-TSL: attribute=FLO_SHAR; limtype=FX; region=CHE</v>
      </c>
      <c r="W9" t="str">
        <f>IF(A11="x","DeActivated","~TFM_DINS-TSL: attribute=NCAP_PKCNT; region=CHE")</f>
        <v>~TFM_DINS-TSL: attribute=NCAP_PKCNT; region=CHE</v>
      </c>
      <c r="AC9" t="str">
        <f>IF(A11="x","DeActivated","~TFM_DINS-AT: region=CHE")</f>
        <v>~TFM_DINS-AT: region=CHE</v>
      </c>
    </row>
    <row r="10" spans="2:3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I10" t="s">
        <v>3</v>
      </c>
      <c r="J10" t="s">
        <v>0</v>
      </c>
      <c r="K10" t="s">
        <v>5</v>
      </c>
      <c r="L10" t="s">
        <v>9</v>
      </c>
      <c r="M10" t="s">
        <v>10</v>
      </c>
      <c r="N10" t="s">
        <v>11</v>
      </c>
      <c r="P10" t="s">
        <v>3</v>
      </c>
      <c r="Q10" t="s">
        <v>0</v>
      </c>
      <c r="R10" t="s">
        <v>5</v>
      </c>
      <c r="S10" t="s">
        <v>9</v>
      </c>
      <c r="T10" t="s">
        <v>10</v>
      </c>
      <c r="U10" t="s">
        <v>11</v>
      </c>
      <c r="W10" t="s">
        <v>3</v>
      </c>
      <c r="X10" t="s">
        <v>5</v>
      </c>
      <c r="Y10" t="s">
        <v>9</v>
      </c>
      <c r="Z10" t="s">
        <v>10</v>
      </c>
      <c r="AA10" t="s">
        <v>11</v>
      </c>
      <c r="AC10" t="s">
        <v>3</v>
      </c>
      <c r="AD10" t="s">
        <v>0</v>
      </c>
      <c r="AE10" t="s">
        <v>84</v>
      </c>
      <c r="AF10" t="s">
        <v>85</v>
      </c>
    </row>
    <row r="11" spans="2:32" x14ac:dyDescent="0.45">
      <c r="B11" t="s">
        <v>500</v>
      </c>
      <c r="C11" t="s">
        <v>87</v>
      </c>
      <c r="D11">
        <v>0.90982832913875844</v>
      </c>
      <c r="E11">
        <v>0.37928006622780669</v>
      </c>
      <c r="F11">
        <v>0.86654702585981291</v>
      </c>
      <c r="G11">
        <v>0.34091708822616285</v>
      </c>
      <c r="I11" t="s">
        <v>88</v>
      </c>
      <c r="J11" t="s">
        <v>89</v>
      </c>
      <c r="K11">
        <v>0.3176947624922335</v>
      </c>
      <c r="L11">
        <v>0.17610739001233339</v>
      </c>
      <c r="M11">
        <v>0.25533142813589077</v>
      </c>
      <c r="N11">
        <v>0.13826067925163962</v>
      </c>
      <c r="P11" t="s">
        <v>88</v>
      </c>
      <c r="Q11" t="s">
        <v>90</v>
      </c>
      <c r="R11">
        <v>0.47225275625990004</v>
      </c>
      <c r="S11">
        <v>5.2105419832424463E-2</v>
      </c>
      <c r="T11">
        <v>0.43202024038373532</v>
      </c>
      <c r="U11">
        <v>5.7932072262868742E-2</v>
      </c>
      <c r="W11" t="s">
        <v>500</v>
      </c>
      <c r="X11">
        <v>6.0656157038669759E-3</v>
      </c>
      <c r="Y11">
        <v>0.2575297748981254</v>
      </c>
      <c r="Z11">
        <v>1.0533026855276982E-2</v>
      </c>
      <c r="AA11">
        <v>0.2893636892837344</v>
      </c>
      <c r="AC11" t="s">
        <v>500</v>
      </c>
      <c r="AD11" t="s">
        <v>91</v>
      </c>
      <c r="AE11" t="s">
        <v>92</v>
      </c>
      <c r="AF11">
        <v>0.2893636892837344</v>
      </c>
    </row>
    <row r="12" spans="2:32" x14ac:dyDescent="0.45">
      <c r="B12" t="s">
        <v>501</v>
      </c>
      <c r="C12" t="s">
        <v>87</v>
      </c>
      <c r="D12">
        <v>0.9132476677201341</v>
      </c>
      <c r="E12">
        <v>0.38420080340562063</v>
      </c>
      <c r="F12">
        <v>0.8689844059004399</v>
      </c>
      <c r="G12">
        <v>0.35135978593330602</v>
      </c>
      <c r="I12" t="s">
        <v>94</v>
      </c>
      <c r="J12" t="s">
        <v>89</v>
      </c>
      <c r="K12">
        <v>2.5453677134980347E-2</v>
      </c>
      <c r="L12">
        <v>2.2105541679888343E-2</v>
      </c>
      <c r="M12">
        <v>2.1901652342520853E-2</v>
      </c>
      <c r="N12">
        <v>1.4636691240163337E-2</v>
      </c>
      <c r="P12" t="s">
        <v>94</v>
      </c>
      <c r="Q12" t="s">
        <v>90</v>
      </c>
      <c r="R12">
        <v>5.0542924736389987E-2</v>
      </c>
      <c r="S12">
        <v>3.6155251188105211E-2</v>
      </c>
      <c r="T12">
        <v>4.9446703848719749E-2</v>
      </c>
      <c r="U12">
        <v>3.9009102098651154E-2</v>
      </c>
      <c r="W12" t="s">
        <v>501</v>
      </c>
      <c r="X12">
        <v>5.1572715117296289E-3</v>
      </c>
      <c r="Y12">
        <v>0.24035242916579372</v>
      </c>
      <c r="Z12">
        <v>9.6578878674154715E-3</v>
      </c>
      <c r="AA12">
        <v>0.27834181683370435</v>
      </c>
      <c r="AC12" t="s">
        <v>501</v>
      </c>
      <c r="AD12" t="s">
        <v>91</v>
      </c>
      <c r="AE12" t="s">
        <v>92</v>
      </c>
      <c r="AF12">
        <v>0.27834181683370435</v>
      </c>
    </row>
    <row r="13" spans="2:32" x14ac:dyDescent="0.45">
      <c r="B13" t="s">
        <v>502</v>
      </c>
      <c r="C13" t="s">
        <v>87</v>
      </c>
      <c r="D13">
        <v>0.90791646897254652</v>
      </c>
      <c r="E13">
        <v>0.40719693305380872</v>
      </c>
      <c r="F13">
        <v>0.86551944669314773</v>
      </c>
      <c r="G13">
        <v>0.35776271071608162</v>
      </c>
      <c r="W13" t="s">
        <v>502</v>
      </c>
      <c r="X13">
        <v>5.9327321353556612E-3</v>
      </c>
      <c r="Y13">
        <v>0.22236035020193903</v>
      </c>
      <c r="Z13">
        <v>1.1420693636647846E-2</v>
      </c>
      <c r="AA13">
        <v>0.27677592572171861</v>
      </c>
      <c r="AC13" t="s">
        <v>502</v>
      </c>
      <c r="AD13" t="s">
        <v>91</v>
      </c>
      <c r="AE13" t="s">
        <v>92</v>
      </c>
      <c r="AF13">
        <v>0.27677592572171861</v>
      </c>
    </row>
    <row r="14" spans="2:32" x14ac:dyDescent="0.45">
      <c r="B14" t="s">
        <v>503</v>
      </c>
      <c r="C14" t="s">
        <v>87</v>
      </c>
      <c r="D14">
        <v>0.90680895684000296</v>
      </c>
      <c r="E14">
        <v>0.39509848923794716</v>
      </c>
      <c r="F14">
        <v>0.86351249010719655</v>
      </c>
      <c r="G14">
        <v>0.34559013846269876</v>
      </c>
      <c r="W14" t="s">
        <v>503</v>
      </c>
      <c r="X14">
        <v>6.7404050955725539E-3</v>
      </c>
      <c r="Y14">
        <v>0.24522303882937968</v>
      </c>
      <c r="Z14">
        <v>1.2013038246334325E-2</v>
      </c>
      <c r="AA14">
        <v>0.29183142675230822</v>
      </c>
      <c r="AC14" t="s">
        <v>503</v>
      </c>
      <c r="AD14" t="s">
        <v>91</v>
      </c>
      <c r="AE14" t="s">
        <v>92</v>
      </c>
      <c r="AF14">
        <v>0.29183142675230822</v>
      </c>
    </row>
    <row r="15" spans="2:32" x14ac:dyDescent="0.45">
      <c r="B15" t="s">
        <v>504</v>
      </c>
      <c r="C15" t="s">
        <v>87</v>
      </c>
      <c r="D15">
        <v>0.91455955771940334</v>
      </c>
      <c r="E15">
        <v>0.36862726237117138</v>
      </c>
      <c r="F15">
        <v>0.87143640524597055</v>
      </c>
      <c r="G15">
        <v>0.3287509328596176</v>
      </c>
      <c r="W15" t="s">
        <v>504</v>
      </c>
      <c r="X15">
        <v>5.4724603977729233E-3</v>
      </c>
      <c r="Y15">
        <v>0.27773058142139057</v>
      </c>
      <c r="Z15">
        <v>9.2689093837096045E-3</v>
      </c>
      <c r="AA15">
        <v>0.29826094659787744</v>
      </c>
      <c r="AC15" t="s">
        <v>504</v>
      </c>
      <c r="AD15" t="s">
        <v>91</v>
      </c>
      <c r="AE15" t="s">
        <v>92</v>
      </c>
      <c r="AF15">
        <v>0.29826094659787744</v>
      </c>
    </row>
    <row r="16" spans="2:32" x14ac:dyDescent="0.45">
      <c r="B16" t="s">
        <v>505</v>
      </c>
      <c r="C16" t="s">
        <v>87</v>
      </c>
      <c r="D16">
        <v>0.91090940394459685</v>
      </c>
      <c r="E16">
        <v>0.3665334142577566</v>
      </c>
      <c r="F16">
        <v>0.86846782701758496</v>
      </c>
      <c r="G16">
        <v>0.33572033426062453</v>
      </c>
      <c r="W16" t="s">
        <v>505</v>
      </c>
      <c r="X16">
        <v>6.4652429987332683E-3</v>
      </c>
      <c r="Y16">
        <v>0.28354608461019698</v>
      </c>
      <c r="Z16">
        <v>1.0445097168169156E-2</v>
      </c>
      <c r="AA16">
        <v>0.30097272697131433</v>
      </c>
      <c r="AC16" t="s">
        <v>505</v>
      </c>
      <c r="AD16" t="s">
        <v>91</v>
      </c>
      <c r="AE16" t="s">
        <v>92</v>
      </c>
      <c r="AF16">
        <v>0.30097272697131433</v>
      </c>
    </row>
    <row r="17" spans="2:32" x14ac:dyDescent="0.45">
      <c r="B17" t="s">
        <v>506</v>
      </c>
      <c r="C17" t="s">
        <v>87</v>
      </c>
      <c r="D17">
        <v>0.9135649519839637</v>
      </c>
      <c r="E17">
        <v>0.34796703186032296</v>
      </c>
      <c r="F17">
        <v>0.87143947122008236</v>
      </c>
      <c r="G17">
        <v>0.31342485279681498</v>
      </c>
      <c r="W17" t="s">
        <v>506</v>
      </c>
      <c r="X17">
        <v>6.7181905424962265E-3</v>
      </c>
      <c r="Y17">
        <v>0.32394075585350174</v>
      </c>
      <c r="Z17">
        <v>9.5490363774453444E-3</v>
      </c>
      <c r="AA17">
        <v>0.32462953774839004</v>
      </c>
      <c r="AC17" t="s">
        <v>506</v>
      </c>
      <c r="AD17" t="s">
        <v>91</v>
      </c>
      <c r="AE17" t="s">
        <v>92</v>
      </c>
      <c r="AF17">
        <v>0.32462953774839004</v>
      </c>
    </row>
    <row r="18" spans="2:32" x14ac:dyDescent="0.45">
      <c r="B18" t="s">
        <v>507</v>
      </c>
      <c r="C18" t="s">
        <v>87</v>
      </c>
      <c r="D18">
        <v>0.91549914369504326</v>
      </c>
      <c r="E18">
        <v>0.36509507382922024</v>
      </c>
      <c r="F18">
        <v>0.8725034805214823</v>
      </c>
      <c r="G18">
        <v>0.33529313927739157</v>
      </c>
      <c r="W18" t="s">
        <v>507</v>
      </c>
      <c r="X18">
        <v>5.5588004435384976E-3</v>
      </c>
      <c r="Y18">
        <v>0.28420960209942919</v>
      </c>
      <c r="Z18">
        <v>9.3156067862261646E-3</v>
      </c>
      <c r="AA18">
        <v>0.29815588433672557</v>
      </c>
      <c r="AC18" t="s">
        <v>507</v>
      </c>
      <c r="AD18" t="s">
        <v>91</v>
      </c>
      <c r="AE18" t="s">
        <v>92</v>
      </c>
      <c r="AF18">
        <v>0.29815588433672557</v>
      </c>
    </row>
    <row r="19" spans="2:32" x14ac:dyDescent="0.45">
      <c r="B19" t="s">
        <v>508</v>
      </c>
      <c r="C19" t="s">
        <v>87</v>
      </c>
      <c r="D19">
        <v>0.9059180389329049</v>
      </c>
      <c r="E19">
        <v>0.3843418442469631</v>
      </c>
      <c r="F19">
        <v>0.86347601738496904</v>
      </c>
      <c r="G19">
        <v>0.33916432591688622</v>
      </c>
      <c r="W19" t="s">
        <v>508</v>
      </c>
      <c r="X19">
        <v>7.2508724137738817E-3</v>
      </c>
      <c r="Y19">
        <v>0.2726717337058252</v>
      </c>
      <c r="Z19">
        <v>1.183546139312406E-2</v>
      </c>
      <c r="AA19">
        <v>0.30084010549356832</v>
      </c>
      <c r="AC19" t="s">
        <v>508</v>
      </c>
      <c r="AD19" t="s">
        <v>91</v>
      </c>
      <c r="AE19" t="s">
        <v>92</v>
      </c>
      <c r="AF19">
        <v>0.30084010549356832</v>
      </c>
    </row>
    <row r="20" spans="2:32" x14ac:dyDescent="0.45">
      <c r="B20" t="s">
        <v>509</v>
      </c>
      <c r="C20" t="s">
        <v>87</v>
      </c>
      <c r="D20">
        <v>0.90764171841704533</v>
      </c>
      <c r="E20">
        <v>0.36488129438492178</v>
      </c>
      <c r="F20">
        <v>0.8659306422708003</v>
      </c>
      <c r="G20">
        <v>0.32629545802515181</v>
      </c>
      <c r="W20" t="s">
        <v>509</v>
      </c>
      <c r="X20">
        <v>7.6990993912480106E-3</v>
      </c>
      <c r="Y20">
        <v>0.30861128245827985</v>
      </c>
      <c r="Z20">
        <v>1.1545108224168942E-2</v>
      </c>
      <c r="AA20">
        <v>0.31887560138565824</v>
      </c>
      <c r="AC20" t="s">
        <v>509</v>
      </c>
      <c r="AD20" t="s">
        <v>91</v>
      </c>
      <c r="AE20" t="s">
        <v>92</v>
      </c>
      <c r="AF20">
        <v>0.31887560138565824</v>
      </c>
    </row>
    <row r="21" spans="2:32" x14ac:dyDescent="0.45">
      <c r="B21" t="s">
        <v>510</v>
      </c>
      <c r="C21" t="s">
        <v>87</v>
      </c>
      <c r="D21">
        <v>0.44921454057393034</v>
      </c>
      <c r="E21">
        <v>0.45634218601930071</v>
      </c>
      <c r="F21">
        <v>0.43000351195553949</v>
      </c>
      <c r="G21">
        <v>0.51158900467947643</v>
      </c>
      <c r="W21" t="s">
        <v>510</v>
      </c>
      <c r="X21">
        <v>9.5900398696561251E-2</v>
      </c>
      <c r="Y21">
        <v>8.5765822239402656E-2</v>
      </c>
      <c r="Z21">
        <v>8.5370179370649155E-2</v>
      </c>
      <c r="AA21">
        <v>8.6194628462899825E-2</v>
      </c>
      <c r="AC21" t="s">
        <v>510</v>
      </c>
      <c r="AD21" t="s">
        <v>91</v>
      </c>
      <c r="AE21" t="s">
        <v>92</v>
      </c>
      <c r="AF21">
        <v>9.4191937957678828E-2</v>
      </c>
    </row>
    <row r="22" spans="2:32" x14ac:dyDescent="0.45">
      <c r="B22" t="s">
        <v>511</v>
      </c>
      <c r="C22" t="s">
        <v>87</v>
      </c>
      <c r="D22">
        <v>0.45527971489467323</v>
      </c>
      <c r="E22">
        <v>0.47531102828766097</v>
      </c>
      <c r="F22">
        <v>0.42221081642579184</v>
      </c>
      <c r="G22">
        <v>0.49318231245978156</v>
      </c>
      <c r="W22" t="s">
        <v>511</v>
      </c>
      <c r="X22">
        <v>0.18266612226870543</v>
      </c>
      <c r="Y22">
        <v>0.158992433478295</v>
      </c>
      <c r="Z22">
        <v>0.15748134604199299</v>
      </c>
      <c r="AA22">
        <v>0.14339918265978421</v>
      </c>
      <c r="AC22" t="s">
        <v>511</v>
      </c>
      <c r="AD22" t="s">
        <v>91</v>
      </c>
      <c r="AE22" t="s">
        <v>92</v>
      </c>
      <c r="AF22">
        <v>0.1808228625988651</v>
      </c>
    </row>
    <row r="23" spans="2:32" x14ac:dyDescent="0.45">
      <c r="B23" t="s">
        <v>512</v>
      </c>
      <c r="C23" t="s">
        <v>87</v>
      </c>
      <c r="D23">
        <v>0.47568852365033348</v>
      </c>
      <c r="E23">
        <v>0.49916463402998251</v>
      </c>
      <c r="F23">
        <v>0.4580171880584597</v>
      </c>
      <c r="G23">
        <v>0.52447774828005944</v>
      </c>
      <c r="W23" t="s">
        <v>512</v>
      </c>
      <c r="X23">
        <v>0.10826400364226757</v>
      </c>
      <c r="Y23">
        <v>9.9928430334083662E-2</v>
      </c>
      <c r="Z23">
        <v>9.3196901633151433E-2</v>
      </c>
      <c r="AA23">
        <v>9.6362849268387965E-2</v>
      </c>
      <c r="AC23" t="s">
        <v>512</v>
      </c>
      <c r="AD23" t="s">
        <v>91</v>
      </c>
      <c r="AE23" t="s">
        <v>92</v>
      </c>
      <c r="AF23">
        <v>0.10680201008859186</v>
      </c>
    </row>
    <row r="24" spans="2:32" x14ac:dyDescent="0.45">
      <c r="B24" t="s">
        <v>513</v>
      </c>
      <c r="C24" t="s">
        <v>87</v>
      </c>
      <c r="D24">
        <v>0.43969035687886437</v>
      </c>
      <c r="E24">
        <v>0.50100847380945257</v>
      </c>
      <c r="F24">
        <v>0.4356682430521247</v>
      </c>
      <c r="G24">
        <v>0.50033508486425271</v>
      </c>
      <c r="W24" t="s">
        <v>513</v>
      </c>
      <c r="X24">
        <v>0.15405810155794697</v>
      </c>
      <c r="Y24">
        <v>0.14014937693436311</v>
      </c>
      <c r="Z24">
        <v>0.1337715038214492</v>
      </c>
      <c r="AA24">
        <v>0.12282599209040618</v>
      </c>
      <c r="AC24" t="s">
        <v>513</v>
      </c>
      <c r="AD24" t="s">
        <v>91</v>
      </c>
      <c r="AE24" t="s">
        <v>92</v>
      </c>
      <c r="AF24">
        <v>0.15261709722113537</v>
      </c>
    </row>
    <row r="25" spans="2:32" x14ac:dyDescent="0.45">
      <c r="B25" t="s">
        <v>514</v>
      </c>
      <c r="C25" t="s">
        <v>87</v>
      </c>
      <c r="D25">
        <v>0.4552109769404698</v>
      </c>
      <c r="E25">
        <v>0.48946210375755994</v>
      </c>
      <c r="F25">
        <v>0.45405695730348428</v>
      </c>
      <c r="G25">
        <v>0.51827822177120275</v>
      </c>
      <c r="W25" t="s">
        <v>514</v>
      </c>
      <c r="X25">
        <v>0.10134937110892796</v>
      </c>
      <c r="Y25">
        <v>9.3269296008643643E-2</v>
      </c>
      <c r="Z25">
        <v>8.2533711613270833E-2</v>
      </c>
      <c r="AA25">
        <v>7.9464753606266134E-2</v>
      </c>
      <c r="AC25" t="s">
        <v>514</v>
      </c>
      <c r="AD25" t="s">
        <v>91</v>
      </c>
      <c r="AE25" t="s">
        <v>92</v>
      </c>
      <c r="AF25">
        <v>0.10026554108667486</v>
      </c>
    </row>
    <row r="26" spans="2:32" x14ac:dyDescent="0.45">
      <c r="B26" t="s">
        <v>515</v>
      </c>
      <c r="C26" t="s">
        <v>87</v>
      </c>
      <c r="D26">
        <v>0.47933233880813725</v>
      </c>
      <c r="E26">
        <v>0.50851344652390618</v>
      </c>
      <c r="F26">
        <v>0.46547910125606623</v>
      </c>
      <c r="G26">
        <v>0.52058803310829438</v>
      </c>
      <c r="W26" t="s">
        <v>515</v>
      </c>
      <c r="X26">
        <v>9.7770569782762537E-2</v>
      </c>
      <c r="Y26">
        <v>8.4722551609030861E-2</v>
      </c>
      <c r="Z26">
        <v>7.7031522388854162E-2</v>
      </c>
      <c r="AA26">
        <v>7.0270332178502357E-2</v>
      </c>
      <c r="AC26" t="s">
        <v>515</v>
      </c>
      <c r="AD26" t="s">
        <v>91</v>
      </c>
      <c r="AE26" t="s">
        <v>92</v>
      </c>
      <c r="AF26">
        <v>9.670552930986763E-2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8914-06D5-487B-9A1D-CF87DB6F45DD}">
  <dimension ref="A9:S68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region=CHE")</f>
        <v>~TFM_DINS-AT: region=CHE</v>
      </c>
      <c r="H9" t="str">
        <f>IF(A11="x","DeActivated","~TFM_DINS-AT: region=CHE")</f>
        <v>~TFM_DINS-AT: region=CHE</v>
      </c>
      <c r="L9" t="str">
        <f>IF(A11="x","DeActivated","~TFM_DINS-AT: region=CHE")</f>
        <v>~TFM_DINS-AT: region=CHE</v>
      </c>
      <c r="P9" t="str">
        <f>IF(A11="x","DeActivated","~TFM_INS-AT: region=CHE")</f>
        <v>~TFM_INS-AT: region=CHE</v>
      </c>
    </row>
    <row r="10" spans="1:19" x14ac:dyDescent="0.45">
      <c r="A10" t="s">
        <v>169</v>
      </c>
      <c r="C10" t="s">
        <v>170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171</v>
      </c>
      <c r="P10" t="s">
        <v>172</v>
      </c>
      <c r="Q10" t="s">
        <v>1</v>
      </c>
      <c r="R10" t="s">
        <v>173</v>
      </c>
      <c r="S10" t="s">
        <v>174</v>
      </c>
    </row>
    <row r="11" spans="1:19" x14ac:dyDescent="0.45">
      <c r="C11">
        <v>0.24931506849315069</v>
      </c>
      <c r="D11">
        <v>0.13646719538572463</v>
      </c>
      <c r="E11" t="s">
        <v>5</v>
      </c>
      <c r="F11" t="s">
        <v>175</v>
      </c>
      <c r="H11" t="s">
        <v>176</v>
      </c>
      <c r="I11" t="s">
        <v>5</v>
      </c>
      <c r="L11" t="s">
        <v>177</v>
      </c>
      <c r="M11" t="s">
        <v>5</v>
      </c>
      <c r="N11">
        <v>0.28203809883308506</v>
      </c>
      <c r="P11">
        <v>2020</v>
      </c>
      <c r="Q11" t="s">
        <v>178</v>
      </c>
      <c r="R11">
        <v>0.28028333333333338</v>
      </c>
      <c r="S11" t="s">
        <v>179</v>
      </c>
    </row>
    <row r="12" spans="1:19" x14ac:dyDescent="0.45">
      <c r="C12">
        <v>0.24931506849315069</v>
      </c>
      <c r="D12">
        <v>0.36216294160057688</v>
      </c>
      <c r="E12" t="s">
        <v>9</v>
      </c>
      <c r="F12" t="s">
        <v>175</v>
      </c>
      <c r="H12" t="s">
        <v>176</v>
      </c>
      <c r="I12" t="s">
        <v>9</v>
      </c>
      <c r="L12" t="s">
        <v>177</v>
      </c>
      <c r="M12" t="s">
        <v>9</v>
      </c>
      <c r="N12">
        <v>0.15248253565036651</v>
      </c>
      <c r="P12">
        <v>2020</v>
      </c>
      <c r="Q12" t="s">
        <v>180</v>
      </c>
      <c r="R12">
        <v>0.33886666666666665</v>
      </c>
      <c r="S12" t="s">
        <v>179</v>
      </c>
    </row>
    <row r="13" spans="1:19" x14ac:dyDescent="0.45">
      <c r="C13">
        <v>0.25068493150684934</v>
      </c>
      <c r="D13">
        <v>0.13721701514059123</v>
      </c>
      <c r="E13" t="s">
        <v>10</v>
      </c>
      <c r="F13" t="s">
        <v>175</v>
      </c>
      <c r="H13" t="s">
        <v>176</v>
      </c>
      <c r="I13" t="s">
        <v>10</v>
      </c>
      <c r="L13" t="s">
        <v>177</v>
      </c>
      <c r="M13" t="s">
        <v>10</v>
      </c>
      <c r="N13">
        <v>0.38975259189705169</v>
      </c>
      <c r="P13">
        <v>2021</v>
      </c>
      <c r="Q13" t="s">
        <v>178</v>
      </c>
      <c r="R13">
        <v>0.25531666666666669</v>
      </c>
      <c r="S13" t="s">
        <v>179</v>
      </c>
    </row>
    <row r="14" spans="1:19" x14ac:dyDescent="0.45">
      <c r="C14">
        <v>0.25068493150684934</v>
      </c>
      <c r="D14">
        <v>0.36415284787310753</v>
      </c>
      <c r="E14" t="s">
        <v>11</v>
      </c>
      <c r="F14" t="s">
        <v>175</v>
      </c>
      <c r="H14" t="s">
        <v>176</v>
      </c>
      <c r="I14" t="s">
        <v>11</v>
      </c>
      <c r="L14" t="s">
        <v>177</v>
      </c>
      <c r="M14" t="s">
        <v>11</v>
      </c>
      <c r="N14">
        <v>0.22049204823919699</v>
      </c>
      <c r="P14">
        <v>2021</v>
      </c>
      <c r="Q14" t="s">
        <v>180</v>
      </c>
      <c r="R14">
        <v>0.33676666666666666</v>
      </c>
      <c r="S14" t="s">
        <v>179</v>
      </c>
    </row>
    <row r="15" spans="1:19" x14ac:dyDescent="0.45">
      <c r="H15" t="s">
        <v>181</v>
      </c>
      <c r="I15" t="s">
        <v>5</v>
      </c>
      <c r="P15">
        <v>2022</v>
      </c>
      <c r="Q15" t="s">
        <v>178</v>
      </c>
      <c r="R15">
        <v>0.22885</v>
      </c>
      <c r="S15" t="s">
        <v>179</v>
      </c>
    </row>
    <row r="16" spans="1:19" x14ac:dyDescent="0.45">
      <c r="H16" t="s">
        <v>181</v>
      </c>
      <c r="I16" t="s">
        <v>9</v>
      </c>
      <c r="P16">
        <v>2022</v>
      </c>
      <c r="Q16" t="s">
        <v>180</v>
      </c>
      <c r="R16">
        <v>0.27155000000000001</v>
      </c>
      <c r="S16" t="s">
        <v>179</v>
      </c>
    </row>
    <row r="17" spans="8:19" x14ac:dyDescent="0.45">
      <c r="H17" t="s">
        <v>181</v>
      </c>
      <c r="I17" t="s">
        <v>10</v>
      </c>
      <c r="P17">
        <v>2025</v>
      </c>
      <c r="Q17" t="s">
        <v>178</v>
      </c>
      <c r="R17">
        <v>0.2578833333333333</v>
      </c>
      <c r="S17" t="s">
        <v>179</v>
      </c>
    </row>
    <row r="18" spans="8:19" x14ac:dyDescent="0.45">
      <c r="H18" t="s">
        <v>181</v>
      </c>
      <c r="I18" t="s">
        <v>11</v>
      </c>
      <c r="P18">
        <v>2025</v>
      </c>
      <c r="Q18" t="s">
        <v>180</v>
      </c>
      <c r="R18">
        <v>0.32868333333333338</v>
      </c>
      <c r="S18" t="s">
        <v>179</v>
      </c>
    </row>
    <row r="19" spans="8:19" x14ac:dyDescent="0.45">
      <c r="P19">
        <v>2026</v>
      </c>
      <c r="Q19" t="s">
        <v>178</v>
      </c>
      <c r="R19">
        <v>0.24631666666666666</v>
      </c>
      <c r="S19" t="s">
        <v>179</v>
      </c>
    </row>
    <row r="20" spans="8:19" x14ac:dyDescent="0.45">
      <c r="P20">
        <v>2026</v>
      </c>
      <c r="Q20" t="s">
        <v>180</v>
      </c>
      <c r="R20">
        <v>0.32941666666666669</v>
      </c>
      <c r="S20" t="s">
        <v>179</v>
      </c>
    </row>
    <row r="21" spans="8:19" x14ac:dyDescent="0.45">
      <c r="P21">
        <v>2027</v>
      </c>
      <c r="Q21" t="s">
        <v>178</v>
      </c>
      <c r="R21">
        <v>0.25215000000000004</v>
      </c>
      <c r="S21" t="s">
        <v>179</v>
      </c>
    </row>
    <row r="22" spans="8:19" x14ac:dyDescent="0.45">
      <c r="P22">
        <v>2027</v>
      </c>
      <c r="Q22" t="s">
        <v>180</v>
      </c>
      <c r="R22">
        <v>0.34688333333333338</v>
      </c>
      <c r="S22" t="s">
        <v>179</v>
      </c>
    </row>
    <row r="23" spans="8:19" x14ac:dyDescent="0.45">
      <c r="P23">
        <v>2028</v>
      </c>
      <c r="Q23" t="s">
        <v>178</v>
      </c>
      <c r="R23">
        <v>0.29576666666666668</v>
      </c>
      <c r="S23" t="s">
        <v>179</v>
      </c>
    </row>
    <row r="24" spans="8:19" x14ac:dyDescent="0.45">
      <c r="P24">
        <v>2028</v>
      </c>
      <c r="Q24" t="s">
        <v>180</v>
      </c>
      <c r="R24">
        <v>0.39208333333333334</v>
      </c>
      <c r="S24" t="s">
        <v>179</v>
      </c>
    </row>
    <row r="25" spans="8:19" x14ac:dyDescent="0.45">
      <c r="P25">
        <v>2029</v>
      </c>
      <c r="Q25" t="s">
        <v>178</v>
      </c>
      <c r="R25">
        <v>0.29438333333333333</v>
      </c>
      <c r="S25" t="s">
        <v>179</v>
      </c>
    </row>
    <row r="26" spans="8:19" x14ac:dyDescent="0.45">
      <c r="P26">
        <v>2029</v>
      </c>
      <c r="Q26" t="s">
        <v>180</v>
      </c>
      <c r="R26">
        <v>0.37738333333333335</v>
      </c>
      <c r="S26" t="s">
        <v>179</v>
      </c>
    </row>
    <row r="27" spans="8:19" x14ac:dyDescent="0.45">
      <c r="P27">
        <v>2030</v>
      </c>
      <c r="Q27" t="s">
        <v>178</v>
      </c>
      <c r="R27">
        <v>0.32068333333333326</v>
      </c>
      <c r="S27" t="s">
        <v>179</v>
      </c>
    </row>
    <row r="28" spans="8:19" x14ac:dyDescent="0.45">
      <c r="P28">
        <v>2030</v>
      </c>
      <c r="Q28" t="s">
        <v>180</v>
      </c>
      <c r="R28">
        <v>0.39328333333333337</v>
      </c>
      <c r="S28" t="s">
        <v>179</v>
      </c>
    </row>
    <row r="29" spans="8:19" x14ac:dyDescent="0.45">
      <c r="P29">
        <v>2031</v>
      </c>
      <c r="Q29" t="s">
        <v>178</v>
      </c>
      <c r="R29">
        <v>0.29753333333333332</v>
      </c>
      <c r="S29" t="s">
        <v>179</v>
      </c>
    </row>
    <row r="30" spans="8:19" x14ac:dyDescent="0.45">
      <c r="P30">
        <v>2031</v>
      </c>
      <c r="Q30" t="s">
        <v>180</v>
      </c>
      <c r="R30">
        <v>0.38525000000000004</v>
      </c>
      <c r="S30" t="s">
        <v>179</v>
      </c>
    </row>
    <row r="31" spans="8:19" x14ac:dyDescent="0.45">
      <c r="P31">
        <v>2032</v>
      </c>
      <c r="Q31" t="s">
        <v>178</v>
      </c>
      <c r="R31">
        <v>0.32261666666666666</v>
      </c>
      <c r="S31" t="s">
        <v>179</v>
      </c>
    </row>
    <row r="32" spans="8:19" x14ac:dyDescent="0.45">
      <c r="P32">
        <v>2032</v>
      </c>
      <c r="Q32" t="s">
        <v>180</v>
      </c>
      <c r="R32">
        <v>0.39216666666666672</v>
      </c>
      <c r="S32" t="s">
        <v>179</v>
      </c>
    </row>
    <row r="33" spans="16:19" x14ac:dyDescent="0.45">
      <c r="P33">
        <v>2033</v>
      </c>
      <c r="Q33" t="s">
        <v>178</v>
      </c>
      <c r="R33">
        <v>0.28894999999999998</v>
      </c>
      <c r="S33" t="s">
        <v>179</v>
      </c>
    </row>
    <row r="34" spans="16:19" x14ac:dyDescent="0.45">
      <c r="P34">
        <v>2033</v>
      </c>
      <c r="Q34" t="s">
        <v>180</v>
      </c>
      <c r="R34">
        <v>0.37211666666666671</v>
      </c>
      <c r="S34" t="s">
        <v>179</v>
      </c>
    </row>
    <row r="35" spans="16:19" x14ac:dyDescent="0.45">
      <c r="P35">
        <v>2034</v>
      </c>
      <c r="Q35" t="s">
        <v>178</v>
      </c>
      <c r="R35">
        <v>0.31659999999999999</v>
      </c>
      <c r="S35" t="s">
        <v>179</v>
      </c>
    </row>
    <row r="36" spans="16:19" x14ac:dyDescent="0.45">
      <c r="P36">
        <v>2034</v>
      </c>
      <c r="Q36" t="s">
        <v>180</v>
      </c>
      <c r="R36">
        <v>0.38518333333333338</v>
      </c>
      <c r="S36" t="s">
        <v>179</v>
      </c>
    </row>
    <row r="37" spans="16:19" x14ac:dyDescent="0.45">
      <c r="P37">
        <v>2035</v>
      </c>
      <c r="Q37" t="s">
        <v>178</v>
      </c>
      <c r="R37">
        <v>0.27406666666666668</v>
      </c>
      <c r="S37" t="s">
        <v>179</v>
      </c>
    </row>
    <row r="38" spans="16:19" x14ac:dyDescent="0.45">
      <c r="P38">
        <v>2035</v>
      </c>
      <c r="Q38" t="s">
        <v>180</v>
      </c>
      <c r="R38">
        <v>0.34051666666666663</v>
      </c>
      <c r="S38" t="s">
        <v>179</v>
      </c>
    </row>
    <row r="39" spans="16:19" x14ac:dyDescent="0.45">
      <c r="P39">
        <v>2036</v>
      </c>
      <c r="Q39" t="s">
        <v>178</v>
      </c>
      <c r="R39">
        <v>0.24725</v>
      </c>
      <c r="S39" t="s">
        <v>179</v>
      </c>
    </row>
    <row r="40" spans="16:19" x14ac:dyDescent="0.45">
      <c r="P40">
        <v>2036</v>
      </c>
      <c r="Q40" t="s">
        <v>180</v>
      </c>
      <c r="R40">
        <v>0.28658333333333336</v>
      </c>
      <c r="S40" t="s">
        <v>179</v>
      </c>
    </row>
    <row r="41" spans="16:19" x14ac:dyDescent="0.45">
      <c r="P41">
        <v>2037</v>
      </c>
      <c r="Q41" t="s">
        <v>178</v>
      </c>
      <c r="R41">
        <v>0.23129999999999998</v>
      </c>
      <c r="S41" t="s">
        <v>179</v>
      </c>
    </row>
    <row r="42" spans="16:19" x14ac:dyDescent="0.45">
      <c r="P42">
        <v>2037</v>
      </c>
      <c r="Q42" t="s">
        <v>180</v>
      </c>
      <c r="R42">
        <v>0.28091666666666665</v>
      </c>
      <c r="S42" t="s">
        <v>179</v>
      </c>
    </row>
    <row r="43" spans="16:19" x14ac:dyDescent="0.45">
      <c r="P43">
        <v>2038</v>
      </c>
      <c r="Q43" t="s">
        <v>178</v>
      </c>
      <c r="R43">
        <v>0.22551666666666667</v>
      </c>
      <c r="S43" t="s">
        <v>179</v>
      </c>
    </row>
    <row r="44" spans="16:19" x14ac:dyDescent="0.45">
      <c r="P44">
        <v>2038</v>
      </c>
      <c r="Q44" t="s">
        <v>180</v>
      </c>
      <c r="R44">
        <v>0.31129999999999997</v>
      </c>
      <c r="S44" t="s">
        <v>179</v>
      </c>
    </row>
    <row r="45" spans="16:19" x14ac:dyDescent="0.45">
      <c r="P45">
        <v>2039</v>
      </c>
      <c r="Q45" t="s">
        <v>178</v>
      </c>
      <c r="R45">
        <v>0.25433333333333336</v>
      </c>
      <c r="S45" t="s">
        <v>179</v>
      </c>
    </row>
    <row r="46" spans="16:19" x14ac:dyDescent="0.45">
      <c r="P46">
        <v>2039</v>
      </c>
      <c r="Q46" t="s">
        <v>180</v>
      </c>
      <c r="R46">
        <v>0.28376666666666667</v>
      </c>
      <c r="S46" t="s">
        <v>179</v>
      </c>
    </row>
    <row r="47" spans="16:19" x14ac:dyDescent="0.45">
      <c r="P47">
        <v>2040</v>
      </c>
      <c r="Q47" t="s">
        <v>178</v>
      </c>
      <c r="R47">
        <v>0.22888333333333333</v>
      </c>
      <c r="S47" t="s">
        <v>179</v>
      </c>
    </row>
    <row r="48" spans="16:19" x14ac:dyDescent="0.45">
      <c r="P48">
        <v>2040</v>
      </c>
      <c r="Q48" t="s">
        <v>180</v>
      </c>
      <c r="R48">
        <v>0.28599999999999998</v>
      </c>
      <c r="S48" t="s">
        <v>179</v>
      </c>
    </row>
    <row r="49" spans="16:19" x14ac:dyDescent="0.45">
      <c r="P49">
        <v>2041</v>
      </c>
      <c r="Q49" t="s">
        <v>178</v>
      </c>
      <c r="R49">
        <v>0.21986666666666665</v>
      </c>
      <c r="S49" t="s">
        <v>179</v>
      </c>
    </row>
    <row r="50" spans="16:19" x14ac:dyDescent="0.45">
      <c r="P50">
        <v>2041</v>
      </c>
      <c r="Q50" t="s">
        <v>180</v>
      </c>
      <c r="R50">
        <v>0.28736666666666666</v>
      </c>
      <c r="S50" t="s">
        <v>179</v>
      </c>
    </row>
    <row r="51" spans="16:19" x14ac:dyDescent="0.45">
      <c r="P51">
        <v>2042</v>
      </c>
      <c r="Q51" t="s">
        <v>178</v>
      </c>
      <c r="R51">
        <v>0.21593333333333331</v>
      </c>
      <c r="S51" t="s">
        <v>179</v>
      </c>
    </row>
    <row r="52" spans="16:19" x14ac:dyDescent="0.45">
      <c r="P52">
        <v>2042</v>
      </c>
      <c r="Q52" t="s">
        <v>180</v>
      </c>
      <c r="R52">
        <v>0.28331666666666672</v>
      </c>
      <c r="S52" t="s">
        <v>179</v>
      </c>
    </row>
    <row r="53" spans="16:19" x14ac:dyDescent="0.45">
      <c r="P53">
        <v>2043</v>
      </c>
      <c r="Q53" t="s">
        <v>178</v>
      </c>
      <c r="R53">
        <v>0.23543333333333336</v>
      </c>
      <c r="S53" t="s">
        <v>179</v>
      </c>
    </row>
    <row r="54" spans="16:19" x14ac:dyDescent="0.45">
      <c r="P54">
        <v>2043</v>
      </c>
      <c r="Q54" t="s">
        <v>180</v>
      </c>
      <c r="R54">
        <v>0.27350000000000002</v>
      </c>
      <c r="S54" t="s">
        <v>179</v>
      </c>
    </row>
    <row r="55" spans="16:19" x14ac:dyDescent="0.45">
      <c r="P55">
        <v>2044</v>
      </c>
      <c r="Q55" t="s">
        <v>178</v>
      </c>
      <c r="R55">
        <v>0.20871666666666663</v>
      </c>
      <c r="S55" t="s">
        <v>179</v>
      </c>
    </row>
    <row r="56" spans="16:19" x14ac:dyDescent="0.45">
      <c r="P56">
        <v>2044</v>
      </c>
      <c r="Q56" t="s">
        <v>180</v>
      </c>
      <c r="R56">
        <v>0.2905166666666667</v>
      </c>
      <c r="S56" t="s">
        <v>179</v>
      </c>
    </row>
    <row r="57" spans="16:19" x14ac:dyDescent="0.45">
      <c r="P57">
        <v>2045</v>
      </c>
      <c r="Q57" t="s">
        <v>178</v>
      </c>
      <c r="R57">
        <v>0.25538333333333335</v>
      </c>
      <c r="S57" t="s">
        <v>179</v>
      </c>
    </row>
    <row r="58" spans="16:19" x14ac:dyDescent="0.45">
      <c r="P58">
        <v>2045</v>
      </c>
      <c r="Q58" t="s">
        <v>180</v>
      </c>
      <c r="R58">
        <v>0.30238333333333328</v>
      </c>
      <c r="S58" t="s">
        <v>179</v>
      </c>
    </row>
    <row r="59" spans="16:19" x14ac:dyDescent="0.45">
      <c r="P59">
        <v>2046</v>
      </c>
      <c r="Q59" t="s">
        <v>178</v>
      </c>
      <c r="R59">
        <v>0.24544999999999997</v>
      </c>
      <c r="S59" t="s">
        <v>179</v>
      </c>
    </row>
    <row r="60" spans="16:19" x14ac:dyDescent="0.45">
      <c r="P60">
        <v>2046</v>
      </c>
      <c r="Q60" t="s">
        <v>180</v>
      </c>
      <c r="R60">
        <v>0.33388333333333331</v>
      </c>
      <c r="S60" t="s">
        <v>179</v>
      </c>
    </row>
    <row r="61" spans="16:19" x14ac:dyDescent="0.45">
      <c r="P61">
        <v>2047</v>
      </c>
      <c r="Q61" t="s">
        <v>178</v>
      </c>
      <c r="R61">
        <v>0.29508333333333331</v>
      </c>
      <c r="S61" t="s">
        <v>179</v>
      </c>
    </row>
    <row r="62" spans="16:19" x14ac:dyDescent="0.45">
      <c r="P62">
        <v>2047</v>
      </c>
      <c r="Q62" t="s">
        <v>180</v>
      </c>
      <c r="R62">
        <v>0.36591666666666667</v>
      </c>
      <c r="S62" t="s">
        <v>179</v>
      </c>
    </row>
    <row r="63" spans="16:19" x14ac:dyDescent="0.45">
      <c r="P63">
        <v>2048</v>
      </c>
      <c r="Q63" t="s">
        <v>178</v>
      </c>
      <c r="R63">
        <v>0.25925000000000004</v>
      </c>
      <c r="S63" t="s">
        <v>179</v>
      </c>
    </row>
    <row r="64" spans="16:19" x14ac:dyDescent="0.45">
      <c r="P64">
        <v>2048</v>
      </c>
      <c r="Q64" t="s">
        <v>180</v>
      </c>
      <c r="R64">
        <v>0.33236666666666664</v>
      </c>
      <c r="S64" t="s">
        <v>179</v>
      </c>
    </row>
    <row r="65" spans="16:19" x14ac:dyDescent="0.45">
      <c r="P65">
        <v>2049</v>
      </c>
      <c r="Q65" t="s">
        <v>178</v>
      </c>
      <c r="R65">
        <v>0.30393333333333333</v>
      </c>
      <c r="S65" t="s">
        <v>179</v>
      </c>
    </row>
    <row r="66" spans="16:19" x14ac:dyDescent="0.45">
      <c r="P66">
        <v>2049</v>
      </c>
      <c r="Q66" t="s">
        <v>180</v>
      </c>
      <c r="R66">
        <v>0.34346666666666664</v>
      </c>
      <c r="S66" t="s">
        <v>179</v>
      </c>
    </row>
    <row r="67" spans="16:19" x14ac:dyDescent="0.45">
      <c r="P67">
        <v>2050</v>
      </c>
      <c r="Q67" t="s">
        <v>178</v>
      </c>
      <c r="R67">
        <v>0.2747</v>
      </c>
      <c r="S67" t="s">
        <v>179</v>
      </c>
    </row>
    <row r="68" spans="16:19" x14ac:dyDescent="0.45">
      <c r="P68">
        <v>2050</v>
      </c>
      <c r="Q68" t="s">
        <v>180</v>
      </c>
      <c r="R68">
        <v>0.31170000000000003</v>
      </c>
      <c r="S68" t="s">
        <v>179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9101-D306-440F-9F77-223E443E4F23}">
  <dimension ref="B9:O106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region=ITA")</f>
        <v>~TFM_DINS-AT: region=ITA</v>
      </c>
      <c r="G9" t="str">
        <f>IF(A11="x","DeActivated","~TFM_DINS-AT: region=ITA")</f>
        <v>~TFM_DINS-AT: region=ITA</v>
      </c>
      <c r="L9" t="str">
        <f>IF(A11="x","DeActivated","~TFM_DINS-AT: region=ITA")</f>
        <v>~TFM_DINS-AT: region=ITA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516</v>
      </c>
      <c r="C11" t="s">
        <v>5</v>
      </c>
      <c r="D11">
        <v>1.0186517685771139E-2</v>
      </c>
      <c r="E11" t="s">
        <v>6</v>
      </c>
      <c r="G11" t="s">
        <v>517</v>
      </c>
      <c r="H11" t="s">
        <v>5</v>
      </c>
      <c r="I11">
        <v>0.28406885356922756</v>
      </c>
      <c r="J11" t="s">
        <v>6</v>
      </c>
      <c r="L11" t="s">
        <v>518</v>
      </c>
      <c r="M11" t="s">
        <v>5</v>
      </c>
      <c r="N11">
        <v>0.31981429888636437</v>
      </c>
      <c r="O11" t="s">
        <v>6</v>
      </c>
    </row>
    <row r="12" spans="2:15" x14ac:dyDescent="0.45">
      <c r="B12" t="s">
        <v>516</v>
      </c>
      <c r="C12" t="s">
        <v>9</v>
      </c>
      <c r="D12">
        <v>0.44543523138104701</v>
      </c>
      <c r="E12" t="s">
        <v>6</v>
      </c>
      <c r="G12" t="s">
        <v>517</v>
      </c>
      <c r="H12" t="s">
        <v>9</v>
      </c>
      <c r="I12">
        <v>0.25979105756639992</v>
      </c>
      <c r="J12" t="s">
        <v>6</v>
      </c>
      <c r="L12" t="s">
        <v>518</v>
      </c>
      <c r="M12" t="s">
        <v>9</v>
      </c>
      <c r="N12">
        <v>0.31882858572280465</v>
      </c>
      <c r="O12" t="s">
        <v>6</v>
      </c>
    </row>
    <row r="13" spans="2:15" x14ac:dyDescent="0.45">
      <c r="B13" t="s">
        <v>516</v>
      </c>
      <c r="C13" t="s">
        <v>10</v>
      </c>
      <c r="D13">
        <v>1.5934236354126968E-2</v>
      </c>
      <c r="E13" t="s">
        <v>6</v>
      </c>
      <c r="G13" t="s">
        <v>517</v>
      </c>
      <c r="H13" t="s">
        <v>10</v>
      </c>
      <c r="I13">
        <v>0.23752229809968403</v>
      </c>
      <c r="J13" t="s">
        <v>6</v>
      </c>
      <c r="L13" t="s">
        <v>518</v>
      </c>
      <c r="M13" t="s">
        <v>10</v>
      </c>
      <c r="N13">
        <v>0.19063304319779686</v>
      </c>
      <c r="O13" t="s">
        <v>6</v>
      </c>
    </row>
    <row r="14" spans="2:15" x14ac:dyDescent="0.45">
      <c r="B14" t="s">
        <v>516</v>
      </c>
      <c r="C14" t="s">
        <v>11</v>
      </c>
      <c r="D14">
        <v>0.5284440145790561</v>
      </c>
      <c r="E14" t="s">
        <v>6</v>
      </c>
      <c r="G14" t="s">
        <v>517</v>
      </c>
      <c r="H14" t="s">
        <v>11</v>
      </c>
      <c r="I14">
        <v>0.21861779076468646</v>
      </c>
      <c r="J14" t="s">
        <v>6</v>
      </c>
      <c r="L14" t="s">
        <v>518</v>
      </c>
      <c r="M14" t="s">
        <v>11</v>
      </c>
      <c r="N14">
        <v>0.17072407219303831</v>
      </c>
      <c r="O14" t="s">
        <v>6</v>
      </c>
    </row>
    <row r="15" spans="2:15" x14ac:dyDescent="0.45">
      <c r="B15" t="s">
        <v>519</v>
      </c>
      <c r="C15" t="s">
        <v>5</v>
      </c>
      <c r="D15">
        <v>9.8947393165684013E-3</v>
      </c>
      <c r="E15" t="s">
        <v>6</v>
      </c>
      <c r="G15" t="s">
        <v>520</v>
      </c>
      <c r="H15" t="s">
        <v>5</v>
      </c>
      <c r="I15">
        <v>0.31310804782537155</v>
      </c>
      <c r="J15" t="s">
        <v>6</v>
      </c>
      <c r="L15" t="s">
        <v>521</v>
      </c>
      <c r="M15" t="s">
        <v>5</v>
      </c>
      <c r="N15">
        <v>0.31157677955853902</v>
      </c>
      <c r="O15" t="s">
        <v>6</v>
      </c>
    </row>
    <row r="16" spans="2:15" x14ac:dyDescent="0.45">
      <c r="B16" t="s">
        <v>519</v>
      </c>
      <c r="C16" t="s">
        <v>9</v>
      </c>
      <c r="D16">
        <v>0.44125599171877278</v>
      </c>
      <c r="E16" t="s">
        <v>6</v>
      </c>
      <c r="G16" t="s">
        <v>520</v>
      </c>
      <c r="H16" t="s">
        <v>9</v>
      </c>
      <c r="I16">
        <v>0.24774839344710767</v>
      </c>
      <c r="J16" t="s">
        <v>6</v>
      </c>
      <c r="L16" t="s">
        <v>521</v>
      </c>
      <c r="M16" t="s">
        <v>9</v>
      </c>
      <c r="N16">
        <v>0.28205819056084552</v>
      </c>
      <c r="O16" t="s">
        <v>6</v>
      </c>
    </row>
    <row r="17" spans="2:15" x14ac:dyDescent="0.45">
      <c r="B17" t="s">
        <v>519</v>
      </c>
      <c r="C17" t="s">
        <v>10</v>
      </c>
      <c r="D17">
        <v>1.6321476465587233E-2</v>
      </c>
      <c r="E17" t="s">
        <v>6</v>
      </c>
      <c r="G17" t="s">
        <v>520</v>
      </c>
      <c r="H17" t="s">
        <v>10</v>
      </c>
      <c r="I17">
        <v>0.2588927562541003</v>
      </c>
      <c r="J17" t="s">
        <v>6</v>
      </c>
      <c r="L17" t="s">
        <v>521</v>
      </c>
      <c r="M17" t="s">
        <v>10</v>
      </c>
      <c r="N17">
        <v>0.21325300105511727</v>
      </c>
      <c r="O17" t="s">
        <v>6</v>
      </c>
    </row>
    <row r="18" spans="2:15" x14ac:dyDescent="0.45">
      <c r="B18" t="s">
        <v>519</v>
      </c>
      <c r="C18" t="s">
        <v>11</v>
      </c>
      <c r="D18">
        <v>0.5325277924990699</v>
      </c>
      <c r="E18" t="s">
        <v>6</v>
      </c>
      <c r="G18" t="s">
        <v>520</v>
      </c>
      <c r="H18" t="s">
        <v>11</v>
      </c>
      <c r="I18">
        <v>0.18025080247341757</v>
      </c>
      <c r="J18" t="s">
        <v>6</v>
      </c>
      <c r="L18" t="s">
        <v>521</v>
      </c>
      <c r="M18" t="s">
        <v>11</v>
      </c>
      <c r="N18">
        <v>0.19311202882549677</v>
      </c>
      <c r="O18" t="s">
        <v>6</v>
      </c>
    </row>
    <row r="19" spans="2:15" x14ac:dyDescent="0.45">
      <c r="B19" t="s">
        <v>522</v>
      </c>
      <c r="C19" t="s">
        <v>5</v>
      </c>
      <c r="D19">
        <v>6.9575684481898332E-3</v>
      </c>
      <c r="E19" t="s">
        <v>6</v>
      </c>
      <c r="G19" t="s">
        <v>523</v>
      </c>
      <c r="H19" t="s">
        <v>5</v>
      </c>
      <c r="I19">
        <v>0.30448475037001899</v>
      </c>
      <c r="J19" t="s">
        <v>6</v>
      </c>
      <c r="L19" t="s">
        <v>524</v>
      </c>
      <c r="M19" t="s">
        <v>5</v>
      </c>
      <c r="N19">
        <v>0.29854537616269267</v>
      </c>
      <c r="O19" t="s">
        <v>6</v>
      </c>
    </row>
    <row r="20" spans="2:15" x14ac:dyDescent="0.45">
      <c r="B20" t="s">
        <v>522</v>
      </c>
      <c r="C20" t="s">
        <v>9</v>
      </c>
      <c r="D20">
        <v>0.4582300320506017</v>
      </c>
      <c r="E20" t="s">
        <v>6</v>
      </c>
      <c r="G20" t="s">
        <v>523</v>
      </c>
      <c r="H20" t="s">
        <v>9</v>
      </c>
      <c r="I20">
        <v>0.33997738437004721</v>
      </c>
      <c r="J20" t="s">
        <v>6</v>
      </c>
      <c r="L20" t="s">
        <v>524</v>
      </c>
      <c r="M20" t="s">
        <v>9</v>
      </c>
      <c r="N20">
        <v>0.27594203883610657</v>
      </c>
      <c r="O20" t="s">
        <v>6</v>
      </c>
    </row>
    <row r="21" spans="2:15" x14ac:dyDescent="0.45">
      <c r="B21" t="s">
        <v>522</v>
      </c>
      <c r="C21" t="s">
        <v>10</v>
      </c>
      <c r="D21">
        <v>1.0895923651823293E-2</v>
      </c>
      <c r="E21" t="s">
        <v>6</v>
      </c>
      <c r="G21" t="s">
        <v>523</v>
      </c>
      <c r="H21" t="s">
        <v>10</v>
      </c>
      <c r="I21">
        <v>0.16803721168386146</v>
      </c>
      <c r="J21" t="s">
        <v>6</v>
      </c>
      <c r="L21" t="s">
        <v>524</v>
      </c>
      <c r="M21" t="s">
        <v>10</v>
      </c>
      <c r="N21">
        <v>0.22403969011295075</v>
      </c>
      <c r="O21" t="s">
        <v>6</v>
      </c>
    </row>
    <row r="22" spans="2:15" x14ac:dyDescent="0.45">
      <c r="B22" t="s">
        <v>522</v>
      </c>
      <c r="C22" t="s">
        <v>11</v>
      </c>
      <c r="D22">
        <v>0.52391647584938339</v>
      </c>
      <c r="E22" t="s">
        <v>6</v>
      </c>
      <c r="G22" t="s">
        <v>523</v>
      </c>
      <c r="H22" t="s">
        <v>11</v>
      </c>
      <c r="I22">
        <v>0.18750065357606996</v>
      </c>
      <c r="J22" t="s">
        <v>6</v>
      </c>
      <c r="L22" t="s">
        <v>524</v>
      </c>
      <c r="M22" t="s">
        <v>11</v>
      </c>
      <c r="N22">
        <v>0.20147289488825373</v>
      </c>
      <c r="O22" t="s">
        <v>6</v>
      </c>
    </row>
    <row r="23" spans="2:15" x14ac:dyDescent="0.45">
      <c r="B23" t="s">
        <v>525</v>
      </c>
      <c r="C23" t="s">
        <v>5</v>
      </c>
      <c r="D23">
        <v>5.3193810998890889E-3</v>
      </c>
      <c r="E23" t="s">
        <v>6</v>
      </c>
      <c r="G23" t="s">
        <v>526</v>
      </c>
      <c r="H23" t="s">
        <v>5</v>
      </c>
      <c r="I23">
        <v>0.28438270330455495</v>
      </c>
      <c r="J23" t="s">
        <v>6</v>
      </c>
      <c r="L23" t="s">
        <v>527</v>
      </c>
      <c r="M23" t="s">
        <v>5</v>
      </c>
      <c r="N23">
        <v>0.30106055099091183</v>
      </c>
      <c r="O23" t="s">
        <v>6</v>
      </c>
    </row>
    <row r="24" spans="2:15" x14ac:dyDescent="0.45">
      <c r="B24" t="s">
        <v>525</v>
      </c>
      <c r="C24" t="s">
        <v>9</v>
      </c>
      <c r="D24">
        <v>0.46841407955405856</v>
      </c>
      <c r="E24" t="s">
        <v>6</v>
      </c>
      <c r="G24" t="s">
        <v>526</v>
      </c>
      <c r="H24" t="s">
        <v>9</v>
      </c>
      <c r="I24">
        <v>0.3117421634844374</v>
      </c>
      <c r="J24" t="s">
        <v>6</v>
      </c>
      <c r="L24" t="s">
        <v>527</v>
      </c>
      <c r="M24" t="s">
        <v>9</v>
      </c>
      <c r="N24">
        <v>0.26642963631961486</v>
      </c>
      <c r="O24" t="s">
        <v>6</v>
      </c>
    </row>
    <row r="25" spans="2:15" x14ac:dyDescent="0.45">
      <c r="B25" t="s">
        <v>525</v>
      </c>
      <c r="C25" t="s">
        <v>10</v>
      </c>
      <c r="D25">
        <v>8.6101234096230255E-3</v>
      </c>
      <c r="E25" t="s">
        <v>6</v>
      </c>
      <c r="G25" t="s">
        <v>526</v>
      </c>
      <c r="H25" t="s">
        <v>10</v>
      </c>
      <c r="I25">
        <v>0.20160749784983911</v>
      </c>
      <c r="J25" t="s">
        <v>6</v>
      </c>
      <c r="L25" t="s">
        <v>527</v>
      </c>
      <c r="M25" t="s">
        <v>10</v>
      </c>
      <c r="N25">
        <v>0.22671062828851751</v>
      </c>
      <c r="O25" t="s">
        <v>6</v>
      </c>
    </row>
    <row r="26" spans="2:15" x14ac:dyDescent="0.45">
      <c r="B26" t="s">
        <v>525</v>
      </c>
      <c r="C26" t="s">
        <v>11</v>
      </c>
      <c r="D26">
        <v>0.51765641593642808</v>
      </c>
      <c r="E26" t="s">
        <v>6</v>
      </c>
      <c r="G26" t="s">
        <v>526</v>
      </c>
      <c r="H26" t="s">
        <v>11</v>
      </c>
      <c r="I26">
        <v>0.20226763536117268</v>
      </c>
      <c r="J26" t="s">
        <v>6</v>
      </c>
      <c r="L26" t="s">
        <v>527</v>
      </c>
      <c r="M26" t="s">
        <v>11</v>
      </c>
      <c r="N26">
        <v>0.20579918440095324</v>
      </c>
      <c r="O26" t="s">
        <v>6</v>
      </c>
    </row>
    <row r="27" spans="2:15" x14ac:dyDescent="0.45">
      <c r="B27" t="s">
        <v>528</v>
      </c>
      <c r="C27" t="s">
        <v>5</v>
      </c>
      <c r="D27">
        <v>4.1645408773713999E-3</v>
      </c>
      <c r="E27" t="s">
        <v>6</v>
      </c>
      <c r="G27" t="s">
        <v>529</v>
      </c>
      <c r="H27" t="s">
        <v>5</v>
      </c>
      <c r="I27">
        <v>0.29852247395374032</v>
      </c>
      <c r="J27" t="s">
        <v>6</v>
      </c>
      <c r="L27" t="s">
        <v>530</v>
      </c>
      <c r="M27" t="s">
        <v>5</v>
      </c>
      <c r="N27">
        <v>0.2962599785296241</v>
      </c>
      <c r="O27" t="s">
        <v>6</v>
      </c>
    </row>
    <row r="28" spans="2:15" x14ac:dyDescent="0.45">
      <c r="B28" t="s">
        <v>528</v>
      </c>
      <c r="C28" t="s">
        <v>9</v>
      </c>
      <c r="D28">
        <v>0.46398547409614355</v>
      </c>
      <c r="E28" t="s">
        <v>6</v>
      </c>
      <c r="G28" t="s">
        <v>529</v>
      </c>
      <c r="H28" t="s">
        <v>9</v>
      </c>
      <c r="I28">
        <v>0.29936125974940397</v>
      </c>
      <c r="J28" t="s">
        <v>6</v>
      </c>
      <c r="L28" t="s">
        <v>530</v>
      </c>
      <c r="M28" t="s">
        <v>9</v>
      </c>
      <c r="N28">
        <v>0.2780196780791192</v>
      </c>
      <c r="O28" t="s">
        <v>6</v>
      </c>
    </row>
    <row r="29" spans="2:15" x14ac:dyDescent="0.45">
      <c r="B29" t="s">
        <v>528</v>
      </c>
      <c r="C29" t="s">
        <v>10</v>
      </c>
      <c r="D29">
        <v>7.5120623671152374E-3</v>
      </c>
      <c r="E29" t="s">
        <v>6</v>
      </c>
      <c r="G29" t="s">
        <v>529</v>
      </c>
      <c r="H29" t="s">
        <v>10</v>
      </c>
      <c r="I29">
        <v>0.19633083934051729</v>
      </c>
      <c r="J29" t="s">
        <v>6</v>
      </c>
      <c r="L29" t="s">
        <v>530</v>
      </c>
      <c r="M29" t="s">
        <v>10</v>
      </c>
      <c r="N29">
        <v>0.22150220764738754</v>
      </c>
      <c r="O29" t="s">
        <v>6</v>
      </c>
    </row>
    <row r="30" spans="2:15" x14ac:dyDescent="0.45">
      <c r="B30" t="s">
        <v>528</v>
      </c>
      <c r="C30" t="s">
        <v>11</v>
      </c>
      <c r="D30">
        <v>0.52433792265937207</v>
      </c>
      <c r="E30" t="s">
        <v>6</v>
      </c>
      <c r="G30" t="s">
        <v>529</v>
      </c>
      <c r="H30" t="s">
        <v>11</v>
      </c>
      <c r="I30">
        <v>0.20578542695633675</v>
      </c>
      <c r="J30" t="s">
        <v>6</v>
      </c>
      <c r="L30" t="s">
        <v>530</v>
      </c>
      <c r="M30" t="s">
        <v>11</v>
      </c>
      <c r="N30">
        <v>0.20421813574386749</v>
      </c>
      <c r="O30" t="s">
        <v>6</v>
      </c>
    </row>
    <row r="31" spans="2:15" x14ac:dyDescent="0.45">
      <c r="B31" t="s">
        <v>531</v>
      </c>
      <c r="C31" t="s">
        <v>5</v>
      </c>
      <c r="D31">
        <v>5.3502159839010008E-3</v>
      </c>
      <c r="E31" t="s">
        <v>6</v>
      </c>
      <c r="G31" t="s">
        <v>532</v>
      </c>
      <c r="H31" t="s">
        <v>5</v>
      </c>
      <c r="I31">
        <v>0.26477801624144282</v>
      </c>
      <c r="J31" t="s">
        <v>6</v>
      </c>
      <c r="L31" t="s">
        <v>533</v>
      </c>
      <c r="M31" t="s">
        <v>5</v>
      </c>
      <c r="N31">
        <v>0.29245130332575892</v>
      </c>
      <c r="O31" t="s">
        <v>6</v>
      </c>
    </row>
    <row r="32" spans="2:15" x14ac:dyDescent="0.45">
      <c r="B32" t="s">
        <v>531</v>
      </c>
      <c r="C32" t="s">
        <v>9</v>
      </c>
      <c r="D32">
        <v>0.45179302445526215</v>
      </c>
      <c r="E32" t="s">
        <v>6</v>
      </c>
      <c r="G32" t="s">
        <v>532</v>
      </c>
      <c r="H32" t="s">
        <v>9</v>
      </c>
      <c r="I32">
        <v>0.31147323971538848</v>
      </c>
      <c r="J32" t="s">
        <v>6</v>
      </c>
      <c r="L32" t="s">
        <v>533</v>
      </c>
      <c r="M32" t="s">
        <v>9</v>
      </c>
      <c r="N32">
        <v>0.30586766182984421</v>
      </c>
      <c r="O32" t="s">
        <v>6</v>
      </c>
    </row>
    <row r="33" spans="2:15" x14ac:dyDescent="0.45">
      <c r="B33" t="s">
        <v>531</v>
      </c>
      <c r="C33" t="s">
        <v>10</v>
      </c>
      <c r="D33">
        <v>9.4442264654295924E-3</v>
      </c>
      <c r="E33" t="s">
        <v>6</v>
      </c>
      <c r="G33" t="s">
        <v>532</v>
      </c>
      <c r="H33" t="s">
        <v>10</v>
      </c>
      <c r="I33">
        <v>0.20750495969524085</v>
      </c>
      <c r="J33" t="s">
        <v>6</v>
      </c>
      <c r="L33" t="s">
        <v>533</v>
      </c>
      <c r="M33" t="s">
        <v>10</v>
      </c>
      <c r="N33">
        <v>0.20824495118726669</v>
      </c>
      <c r="O33" t="s">
        <v>6</v>
      </c>
    </row>
    <row r="34" spans="2:15" x14ac:dyDescent="0.45">
      <c r="B34" t="s">
        <v>531</v>
      </c>
      <c r="C34" t="s">
        <v>11</v>
      </c>
      <c r="D34">
        <v>0.53341253309540437</v>
      </c>
      <c r="E34" t="s">
        <v>6</v>
      </c>
      <c r="G34" t="s">
        <v>532</v>
      </c>
      <c r="H34" t="s">
        <v>11</v>
      </c>
      <c r="I34">
        <v>0.2162437843479251</v>
      </c>
      <c r="J34" t="s">
        <v>6</v>
      </c>
      <c r="L34" t="s">
        <v>533</v>
      </c>
      <c r="M34" t="s">
        <v>11</v>
      </c>
      <c r="N34">
        <v>0.19343608365713108</v>
      </c>
      <c r="O34" t="s">
        <v>6</v>
      </c>
    </row>
    <row r="35" spans="2:15" x14ac:dyDescent="0.45">
      <c r="B35" t="s">
        <v>534</v>
      </c>
      <c r="C35" t="s">
        <v>5</v>
      </c>
      <c r="D35">
        <v>4.0540551217847012E-3</v>
      </c>
      <c r="E35" t="s">
        <v>6</v>
      </c>
      <c r="G35" t="s">
        <v>535</v>
      </c>
      <c r="H35" t="s">
        <v>5</v>
      </c>
      <c r="I35">
        <v>0.29594404169511901</v>
      </c>
      <c r="J35" t="s">
        <v>6</v>
      </c>
      <c r="L35" t="s">
        <v>536</v>
      </c>
      <c r="M35" t="s">
        <v>5</v>
      </c>
      <c r="N35">
        <v>0.31157510988213299</v>
      </c>
      <c r="O35" t="s">
        <v>6</v>
      </c>
    </row>
    <row r="36" spans="2:15" x14ac:dyDescent="0.45">
      <c r="B36" t="s">
        <v>534</v>
      </c>
      <c r="C36" t="s">
        <v>9</v>
      </c>
      <c r="D36">
        <v>0.45994977188300251</v>
      </c>
      <c r="E36" t="s">
        <v>6</v>
      </c>
      <c r="G36" t="s">
        <v>535</v>
      </c>
      <c r="H36" t="s">
        <v>9</v>
      </c>
      <c r="I36">
        <v>0.30987740878626469</v>
      </c>
      <c r="J36" t="s">
        <v>6</v>
      </c>
      <c r="L36" t="s">
        <v>536</v>
      </c>
      <c r="M36" t="s">
        <v>9</v>
      </c>
      <c r="N36">
        <v>0.30529114906333193</v>
      </c>
      <c r="O36" t="s">
        <v>6</v>
      </c>
    </row>
    <row r="37" spans="2:15" x14ac:dyDescent="0.45">
      <c r="B37" t="s">
        <v>534</v>
      </c>
      <c r="C37" t="s">
        <v>10</v>
      </c>
      <c r="D37">
        <v>7.507269971229402E-3</v>
      </c>
      <c r="E37" t="s">
        <v>6</v>
      </c>
      <c r="G37" t="s">
        <v>535</v>
      </c>
      <c r="H37" t="s">
        <v>10</v>
      </c>
      <c r="I37">
        <v>0.1994639531639204</v>
      </c>
      <c r="J37" t="s">
        <v>6</v>
      </c>
      <c r="L37" t="s">
        <v>536</v>
      </c>
      <c r="M37" t="s">
        <v>10</v>
      </c>
      <c r="N37">
        <v>0.20055339818296025</v>
      </c>
      <c r="O37" t="s">
        <v>6</v>
      </c>
    </row>
    <row r="38" spans="2:15" x14ac:dyDescent="0.45">
      <c r="B38" t="s">
        <v>534</v>
      </c>
      <c r="C38" t="s">
        <v>11</v>
      </c>
      <c r="D38">
        <v>0.52848890302398255</v>
      </c>
      <c r="E38" t="s">
        <v>6</v>
      </c>
      <c r="G38" t="s">
        <v>535</v>
      </c>
      <c r="H38" t="s">
        <v>11</v>
      </c>
      <c r="I38">
        <v>0.19471459635469868</v>
      </c>
      <c r="J38" t="s">
        <v>6</v>
      </c>
      <c r="L38" t="s">
        <v>536</v>
      </c>
      <c r="M38" t="s">
        <v>11</v>
      </c>
      <c r="N38">
        <v>0.18258034287157068</v>
      </c>
      <c r="O38" t="s">
        <v>6</v>
      </c>
    </row>
    <row r="39" spans="2:15" x14ac:dyDescent="0.45">
      <c r="B39" t="s">
        <v>537</v>
      </c>
      <c r="C39" t="s">
        <v>5</v>
      </c>
      <c r="D39">
        <v>6.505813855485482E-3</v>
      </c>
      <c r="E39" t="s">
        <v>6</v>
      </c>
      <c r="G39" t="s">
        <v>538</v>
      </c>
      <c r="H39" t="s">
        <v>5</v>
      </c>
      <c r="I39">
        <v>0.25799607657630785</v>
      </c>
      <c r="J39" t="s">
        <v>6</v>
      </c>
      <c r="L39" t="s">
        <v>539</v>
      </c>
      <c r="M39" t="s">
        <v>5</v>
      </c>
      <c r="N39">
        <v>0.29284244435379742</v>
      </c>
      <c r="O39" t="s">
        <v>6</v>
      </c>
    </row>
    <row r="40" spans="2:15" x14ac:dyDescent="0.45">
      <c r="B40" t="s">
        <v>537</v>
      </c>
      <c r="C40" t="s">
        <v>9</v>
      </c>
      <c r="D40">
        <v>0.44992755332880718</v>
      </c>
      <c r="E40" t="s">
        <v>6</v>
      </c>
      <c r="G40" t="s">
        <v>538</v>
      </c>
      <c r="H40" t="s">
        <v>9</v>
      </c>
      <c r="I40">
        <v>0.29624982400292965</v>
      </c>
      <c r="J40" t="s">
        <v>6</v>
      </c>
      <c r="L40" t="s">
        <v>539</v>
      </c>
      <c r="M40" t="s">
        <v>9</v>
      </c>
      <c r="N40">
        <v>0.29886836122221011</v>
      </c>
      <c r="O40" t="s">
        <v>6</v>
      </c>
    </row>
    <row r="41" spans="2:15" x14ac:dyDescent="0.45">
      <c r="B41" t="s">
        <v>537</v>
      </c>
      <c r="C41" t="s">
        <v>10</v>
      </c>
      <c r="D41">
        <v>1.1435955307669568E-2</v>
      </c>
      <c r="E41" t="s">
        <v>6</v>
      </c>
      <c r="G41" t="s">
        <v>538</v>
      </c>
      <c r="H41" t="s">
        <v>10</v>
      </c>
      <c r="I41">
        <v>0.21463258106082578</v>
      </c>
      <c r="J41" t="s">
        <v>6</v>
      </c>
      <c r="L41" t="s">
        <v>539</v>
      </c>
      <c r="M41" t="s">
        <v>10</v>
      </c>
      <c r="N41">
        <v>0.19999832947675952</v>
      </c>
      <c r="O41" t="s">
        <v>6</v>
      </c>
    </row>
    <row r="42" spans="2:15" x14ac:dyDescent="0.45">
      <c r="B42" t="s">
        <v>537</v>
      </c>
      <c r="C42" t="s">
        <v>11</v>
      </c>
      <c r="D42">
        <v>0.53213067750803533</v>
      </c>
      <c r="E42" t="s">
        <v>6</v>
      </c>
      <c r="G42" t="s">
        <v>538</v>
      </c>
      <c r="H42" t="s">
        <v>11</v>
      </c>
      <c r="I42">
        <v>0.23112151835993364</v>
      </c>
      <c r="J42" t="s">
        <v>6</v>
      </c>
      <c r="L42" t="s">
        <v>539</v>
      </c>
      <c r="M42" t="s">
        <v>11</v>
      </c>
      <c r="N42">
        <v>0.2082908649472355</v>
      </c>
      <c r="O42" t="s">
        <v>6</v>
      </c>
    </row>
    <row r="43" spans="2:15" x14ac:dyDescent="0.45">
      <c r="B43" t="s">
        <v>540</v>
      </c>
      <c r="C43" t="s">
        <v>5</v>
      </c>
      <c r="D43">
        <v>6.072385489571625E-3</v>
      </c>
      <c r="E43" t="s">
        <v>6</v>
      </c>
      <c r="G43" t="s">
        <v>541</v>
      </c>
      <c r="H43" t="s">
        <v>5</v>
      </c>
      <c r="I43">
        <v>0.27398968200477125</v>
      </c>
      <c r="J43" t="s">
        <v>6</v>
      </c>
      <c r="L43" t="s">
        <v>542</v>
      </c>
      <c r="M43" t="s">
        <v>5</v>
      </c>
      <c r="N43">
        <v>0.28303769770291165</v>
      </c>
      <c r="O43" t="s">
        <v>6</v>
      </c>
    </row>
    <row r="44" spans="2:15" x14ac:dyDescent="0.45">
      <c r="B44" t="s">
        <v>540</v>
      </c>
      <c r="C44" t="s">
        <v>9</v>
      </c>
      <c r="D44">
        <v>0.43834807982358531</v>
      </c>
      <c r="E44" t="s">
        <v>6</v>
      </c>
      <c r="G44" t="s">
        <v>541</v>
      </c>
      <c r="H44" t="s">
        <v>9</v>
      </c>
      <c r="I44">
        <v>0.32642964298737553</v>
      </c>
      <c r="J44" t="s">
        <v>6</v>
      </c>
      <c r="L44" t="s">
        <v>542</v>
      </c>
      <c r="M44" t="s">
        <v>9</v>
      </c>
      <c r="N44">
        <v>0.29319833929204819</v>
      </c>
      <c r="O44" t="s">
        <v>6</v>
      </c>
    </row>
    <row r="45" spans="2:15" x14ac:dyDescent="0.45">
      <c r="B45" t="s">
        <v>540</v>
      </c>
      <c r="C45" t="s">
        <v>10</v>
      </c>
      <c r="D45">
        <v>1.170570226770205E-2</v>
      </c>
      <c r="E45" t="s">
        <v>6</v>
      </c>
      <c r="G45" t="s">
        <v>541</v>
      </c>
      <c r="H45" t="s">
        <v>10</v>
      </c>
      <c r="I45">
        <v>0.18680947295686348</v>
      </c>
      <c r="J45" t="s">
        <v>6</v>
      </c>
      <c r="L45" t="s">
        <v>542</v>
      </c>
      <c r="M45" t="s">
        <v>10</v>
      </c>
      <c r="N45">
        <v>0.22258873011581137</v>
      </c>
      <c r="O45" t="s">
        <v>6</v>
      </c>
    </row>
    <row r="46" spans="2:15" x14ac:dyDescent="0.45">
      <c r="B46" t="s">
        <v>540</v>
      </c>
      <c r="C46" t="s">
        <v>11</v>
      </c>
      <c r="D46">
        <v>0.54387383241914233</v>
      </c>
      <c r="E46" t="s">
        <v>6</v>
      </c>
      <c r="G46" t="s">
        <v>541</v>
      </c>
      <c r="H46" t="s">
        <v>11</v>
      </c>
      <c r="I46">
        <v>0.21277120205099115</v>
      </c>
      <c r="J46" t="s">
        <v>6</v>
      </c>
      <c r="L46" t="s">
        <v>542</v>
      </c>
      <c r="M46" t="s">
        <v>11</v>
      </c>
      <c r="N46">
        <v>0.20117523288923012</v>
      </c>
      <c r="O46" t="s">
        <v>6</v>
      </c>
    </row>
    <row r="47" spans="2:15" x14ac:dyDescent="0.45">
      <c r="B47" t="s">
        <v>543</v>
      </c>
      <c r="C47" t="s">
        <v>5</v>
      </c>
      <c r="D47">
        <v>5.2579197908631681E-3</v>
      </c>
      <c r="E47" t="s">
        <v>6</v>
      </c>
      <c r="G47" t="s">
        <v>544</v>
      </c>
      <c r="H47" t="s">
        <v>5</v>
      </c>
      <c r="I47">
        <v>0.30599113481009638</v>
      </c>
      <c r="J47" t="s">
        <v>6</v>
      </c>
      <c r="L47" t="s">
        <v>545</v>
      </c>
      <c r="M47" t="s">
        <v>5</v>
      </c>
      <c r="N47">
        <v>0.3394831013810618</v>
      </c>
      <c r="O47" t="s">
        <v>6</v>
      </c>
    </row>
    <row r="48" spans="2:15" x14ac:dyDescent="0.45">
      <c r="B48" t="s">
        <v>543</v>
      </c>
      <c r="C48" t="s">
        <v>9</v>
      </c>
      <c r="D48">
        <v>0.45393807195797065</v>
      </c>
      <c r="E48" t="s">
        <v>6</v>
      </c>
      <c r="G48" t="s">
        <v>544</v>
      </c>
      <c r="H48" t="s">
        <v>9</v>
      </c>
      <c r="I48">
        <v>0.29610622197727393</v>
      </c>
      <c r="J48" t="s">
        <v>6</v>
      </c>
      <c r="L48" t="s">
        <v>545</v>
      </c>
      <c r="M48" t="s">
        <v>9</v>
      </c>
      <c r="N48">
        <v>0.35282594787903127</v>
      </c>
      <c r="O48" t="s">
        <v>6</v>
      </c>
    </row>
    <row r="49" spans="2:15" x14ac:dyDescent="0.45">
      <c r="B49" t="s">
        <v>543</v>
      </c>
      <c r="C49" t="s">
        <v>10</v>
      </c>
      <c r="D49">
        <v>9.5521973151233529E-3</v>
      </c>
      <c r="E49" t="s">
        <v>6</v>
      </c>
      <c r="G49" t="s">
        <v>544</v>
      </c>
      <c r="H49" t="s">
        <v>10</v>
      </c>
      <c r="I49">
        <v>0.20132839250631085</v>
      </c>
      <c r="J49" t="s">
        <v>6</v>
      </c>
      <c r="L49" t="s">
        <v>545</v>
      </c>
      <c r="M49" t="s">
        <v>10</v>
      </c>
      <c r="N49">
        <v>0.14841073096619259</v>
      </c>
      <c r="O49" t="s">
        <v>6</v>
      </c>
    </row>
    <row r="50" spans="2:15" x14ac:dyDescent="0.45">
      <c r="B50" t="s">
        <v>543</v>
      </c>
      <c r="C50" t="s">
        <v>11</v>
      </c>
      <c r="D50">
        <v>0.53125181093604101</v>
      </c>
      <c r="E50" t="s">
        <v>6</v>
      </c>
      <c r="G50" t="s">
        <v>544</v>
      </c>
      <c r="H50" t="s">
        <v>11</v>
      </c>
      <c r="I50">
        <v>0.19657425070632006</v>
      </c>
      <c r="J50" t="s">
        <v>6</v>
      </c>
      <c r="L50" t="s">
        <v>545</v>
      </c>
      <c r="M50" t="s">
        <v>11</v>
      </c>
      <c r="N50">
        <v>0.15928021977371645</v>
      </c>
      <c r="O50" t="s">
        <v>6</v>
      </c>
    </row>
    <row r="51" spans="2:15" x14ac:dyDescent="0.45">
      <c r="B51" t="s">
        <v>546</v>
      </c>
      <c r="C51" t="s">
        <v>5</v>
      </c>
      <c r="D51">
        <v>1.3115103460248169E-2</v>
      </c>
      <c r="E51" t="s">
        <v>6</v>
      </c>
      <c r="G51" t="s">
        <v>547</v>
      </c>
      <c r="H51" t="s">
        <v>5</v>
      </c>
      <c r="I51">
        <v>0.33160844509537318</v>
      </c>
      <c r="J51" t="s">
        <v>6</v>
      </c>
      <c r="L51" t="s">
        <v>548</v>
      </c>
      <c r="M51" t="s">
        <v>5</v>
      </c>
      <c r="N51">
        <v>0.36861763684132182</v>
      </c>
      <c r="O51" t="s">
        <v>6</v>
      </c>
    </row>
    <row r="52" spans="2:15" x14ac:dyDescent="0.45">
      <c r="B52" t="s">
        <v>546</v>
      </c>
      <c r="C52" t="s">
        <v>9</v>
      </c>
      <c r="D52">
        <v>0.48793693076766992</v>
      </c>
      <c r="E52" t="s">
        <v>6</v>
      </c>
      <c r="G52" t="s">
        <v>547</v>
      </c>
      <c r="H52" t="s">
        <v>9</v>
      </c>
      <c r="I52">
        <v>0.34776886310480931</v>
      </c>
      <c r="J52" t="s">
        <v>6</v>
      </c>
      <c r="L52" t="s">
        <v>548</v>
      </c>
      <c r="M52" t="s">
        <v>9</v>
      </c>
      <c r="N52">
        <v>0.35231264132553047</v>
      </c>
      <c r="O52" t="s">
        <v>6</v>
      </c>
    </row>
    <row r="53" spans="2:15" x14ac:dyDescent="0.45">
      <c r="B53" t="s">
        <v>546</v>
      </c>
      <c r="C53" t="s">
        <v>10</v>
      </c>
      <c r="D53">
        <v>1.7994054193322975E-2</v>
      </c>
      <c r="E53" t="s">
        <v>6</v>
      </c>
      <c r="G53" t="s">
        <v>547</v>
      </c>
      <c r="H53" t="s">
        <v>10</v>
      </c>
      <c r="I53">
        <v>0.1567307871866519</v>
      </c>
      <c r="J53" t="s">
        <v>6</v>
      </c>
      <c r="L53" t="s">
        <v>548</v>
      </c>
      <c r="M53" t="s">
        <v>10</v>
      </c>
      <c r="N53">
        <v>0.13654366141799593</v>
      </c>
      <c r="O53" t="s">
        <v>6</v>
      </c>
    </row>
    <row r="54" spans="2:15" x14ac:dyDescent="0.45">
      <c r="B54" t="s">
        <v>546</v>
      </c>
      <c r="C54" t="s">
        <v>11</v>
      </c>
      <c r="D54">
        <v>0.480953911578761</v>
      </c>
      <c r="E54" t="s">
        <v>6</v>
      </c>
      <c r="G54" t="s">
        <v>547</v>
      </c>
      <c r="H54" t="s">
        <v>11</v>
      </c>
      <c r="I54">
        <v>0.16389190461316419</v>
      </c>
      <c r="J54" t="s">
        <v>6</v>
      </c>
      <c r="L54" t="s">
        <v>548</v>
      </c>
      <c r="M54" t="s">
        <v>11</v>
      </c>
      <c r="N54">
        <v>0.14252606041514887</v>
      </c>
      <c r="O54" t="s">
        <v>6</v>
      </c>
    </row>
    <row r="55" spans="2:15" x14ac:dyDescent="0.45">
      <c r="B55" t="s">
        <v>549</v>
      </c>
      <c r="C55" t="s">
        <v>5</v>
      </c>
      <c r="D55">
        <v>9.8573142855170482E-3</v>
      </c>
      <c r="E55" t="s">
        <v>6</v>
      </c>
      <c r="G55" t="s">
        <v>550</v>
      </c>
      <c r="H55" t="s">
        <v>5</v>
      </c>
      <c r="I55">
        <v>0.29242711392983511</v>
      </c>
      <c r="J55" t="s">
        <v>6</v>
      </c>
      <c r="L55" t="s">
        <v>551</v>
      </c>
      <c r="M55" t="s">
        <v>5</v>
      </c>
      <c r="N55">
        <v>0.32610005467459319</v>
      </c>
      <c r="O55" t="s">
        <v>6</v>
      </c>
    </row>
    <row r="56" spans="2:15" x14ac:dyDescent="0.45">
      <c r="B56" t="s">
        <v>549</v>
      </c>
      <c r="C56" t="s">
        <v>9</v>
      </c>
      <c r="D56">
        <v>0.45159696281182732</v>
      </c>
      <c r="E56" t="s">
        <v>6</v>
      </c>
      <c r="G56" t="s">
        <v>550</v>
      </c>
      <c r="H56" t="s">
        <v>9</v>
      </c>
      <c r="I56">
        <v>0.31307827062061833</v>
      </c>
      <c r="J56" t="s">
        <v>6</v>
      </c>
      <c r="L56" t="s">
        <v>551</v>
      </c>
      <c r="M56" t="s">
        <v>9</v>
      </c>
      <c r="N56">
        <v>0.33022134995411456</v>
      </c>
      <c r="O56" t="s">
        <v>6</v>
      </c>
    </row>
    <row r="57" spans="2:15" x14ac:dyDescent="0.45">
      <c r="B57" t="s">
        <v>549</v>
      </c>
      <c r="C57" t="s">
        <v>10</v>
      </c>
      <c r="D57">
        <v>1.7876989066606425E-2</v>
      </c>
      <c r="E57" t="s">
        <v>6</v>
      </c>
      <c r="G57" t="s">
        <v>550</v>
      </c>
      <c r="H57" t="s">
        <v>10</v>
      </c>
      <c r="I57">
        <v>0.1844089882542414</v>
      </c>
      <c r="J57" t="s">
        <v>6</v>
      </c>
      <c r="L57" t="s">
        <v>551</v>
      </c>
      <c r="M57" t="s">
        <v>10</v>
      </c>
      <c r="N57">
        <v>0.17229738799105201</v>
      </c>
      <c r="O57" t="s">
        <v>6</v>
      </c>
    </row>
    <row r="58" spans="2:15" x14ac:dyDescent="0.45">
      <c r="B58" t="s">
        <v>549</v>
      </c>
      <c r="C58" t="s">
        <v>11</v>
      </c>
      <c r="D58">
        <v>0.52066873383605228</v>
      </c>
      <c r="E58" t="s">
        <v>6</v>
      </c>
      <c r="G58" t="s">
        <v>550</v>
      </c>
      <c r="H58" t="s">
        <v>11</v>
      </c>
      <c r="I58">
        <v>0.21008562719530527</v>
      </c>
      <c r="J58" t="s">
        <v>6</v>
      </c>
      <c r="L58" t="s">
        <v>551</v>
      </c>
      <c r="M58" t="s">
        <v>11</v>
      </c>
      <c r="N58">
        <v>0.17138120738024404</v>
      </c>
      <c r="O58" t="s">
        <v>6</v>
      </c>
    </row>
    <row r="59" spans="2:15" x14ac:dyDescent="0.45">
      <c r="B59" t="s">
        <v>552</v>
      </c>
      <c r="C59" t="s">
        <v>5</v>
      </c>
      <c r="D59">
        <v>9.5854155169411166E-3</v>
      </c>
      <c r="E59" t="s">
        <v>6</v>
      </c>
      <c r="G59" t="s">
        <v>553</v>
      </c>
      <c r="H59" t="s">
        <v>5</v>
      </c>
      <c r="I59">
        <v>0.28539108078286729</v>
      </c>
      <c r="J59" t="s">
        <v>6</v>
      </c>
      <c r="L59" t="s">
        <v>554</v>
      </c>
      <c r="M59" t="s">
        <v>5</v>
      </c>
      <c r="N59">
        <v>0.35239992000883669</v>
      </c>
      <c r="O59" t="s">
        <v>6</v>
      </c>
    </row>
    <row r="60" spans="2:15" x14ac:dyDescent="0.45">
      <c r="B60" t="s">
        <v>552</v>
      </c>
      <c r="C60" t="s">
        <v>9</v>
      </c>
      <c r="D60">
        <v>0.43230454442381744</v>
      </c>
      <c r="E60" t="s">
        <v>6</v>
      </c>
      <c r="G60" t="s">
        <v>553</v>
      </c>
      <c r="H60" t="s">
        <v>9</v>
      </c>
      <c r="I60">
        <v>0.35113044785736724</v>
      </c>
      <c r="J60" t="s">
        <v>6</v>
      </c>
      <c r="L60" t="s">
        <v>554</v>
      </c>
      <c r="M60" t="s">
        <v>9</v>
      </c>
      <c r="N60">
        <v>0.33236800891356322</v>
      </c>
      <c r="O60" t="s">
        <v>6</v>
      </c>
    </row>
    <row r="61" spans="2:15" x14ac:dyDescent="0.45">
      <c r="B61" t="s">
        <v>552</v>
      </c>
      <c r="C61" t="s">
        <v>10</v>
      </c>
      <c r="D61">
        <v>1.8518764163850718E-2</v>
      </c>
      <c r="E61" t="s">
        <v>6</v>
      </c>
      <c r="G61" t="s">
        <v>553</v>
      </c>
      <c r="H61" t="s">
        <v>10</v>
      </c>
      <c r="I61">
        <v>0.16471568820668653</v>
      </c>
      <c r="J61" t="s">
        <v>6</v>
      </c>
      <c r="L61" t="s">
        <v>554</v>
      </c>
      <c r="M61" t="s">
        <v>10</v>
      </c>
      <c r="N61">
        <v>0.16890940550547554</v>
      </c>
      <c r="O61" t="s">
        <v>6</v>
      </c>
    </row>
    <row r="62" spans="2:15" x14ac:dyDescent="0.45">
      <c r="B62" t="s">
        <v>552</v>
      </c>
      <c r="C62" t="s">
        <v>11</v>
      </c>
      <c r="D62">
        <v>0.5395912758953918</v>
      </c>
      <c r="E62" t="s">
        <v>6</v>
      </c>
      <c r="G62" t="s">
        <v>553</v>
      </c>
      <c r="H62" t="s">
        <v>11</v>
      </c>
      <c r="I62">
        <v>0.19876278315308016</v>
      </c>
      <c r="J62" t="s">
        <v>6</v>
      </c>
      <c r="L62" t="s">
        <v>554</v>
      </c>
      <c r="M62" t="s">
        <v>11</v>
      </c>
      <c r="N62">
        <v>0.14632266557211834</v>
      </c>
      <c r="O62" t="s">
        <v>6</v>
      </c>
    </row>
    <row r="63" spans="2:15" x14ac:dyDescent="0.45">
      <c r="B63" t="s">
        <v>555</v>
      </c>
      <c r="C63" t="s">
        <v>5</v>
      </c>
      <c r="D63">
        <v>1.0849640885001765E-2</v>
      </c>
      <c r="E63" t="s">
        <v>6</v>
      </c>
      <c r="G63" t="s">
        <v>556</v>
      </c>
      <c r="H63" t="s">
        <v>5</v>
      </c>
      <c r="I63">
        <v>0.30814482536621923</v>
      </c>
      <c r="J63" t="s">
        <v>6</v>
      </c>
      <c r="L63" t="s">
        <v>557</v>
      </c>
      <c r="M63" t="s">
        <v>5</v>
      </c>
      <c r="N63">
        <v>0.34447329629827672</v>
      </c>
      <c r="O63" t="s">
        <v>6</v>
      </c>
    </row>
    <row r="64" spans="2:15" x14ac:dyDescent="0.45">
      <c r="B64" t="s">
        <v>555</v>
      </c>
      <c r="C64" t="s">
        <v>9</v>
      </c>
      <c r="D64">
        <v>0.45391779045558817</v>
      </c>
      <c r="E64" t="s">
        <v>6</v>
      </c>
      <c r="G64" t="s">
        <v>556</v>
      </c>
      <c r="H64" t="s">
        <v>9</v>
      </c>
      <c r="I64">
        <v>0.32213632560662542</v>
      </c>
      <c r="J64" t="s">
        <v>6</v>
      </c>
      <c r="L64" t="s">
        <v>557</v>
      </c>
      <c r="M64" t="s">
        <v>9</v>
      </c>
      <c r="N64">
        <v>0.35235169511447606</v>
      </c>
      <c r="O64" t="s">
        <v>6</v>
      </c>
    </row>
    <row r="65" spans="2:15" x14ac:dyDescent="0.45">
      <c r="B65" t="s">
        <v>555</v>
      </c>
      <c r="C65" t="s">
        <v>10</v>
      </c>
      <c r="D65">
        <v>1.9405239184250501E-2</v>
      </c>
      <c r="E65" t="s">
        <v>6</v>
      </c>
      <c r="G65" t="s">
        <v>556</v>
      </c>
      <c r="H65" t="s">
        <v>10</v>
      </c>
      <c r="I65">
        <v>0.17545207523379633</v>
      </c>
      <c r="J65" t="s">
        <v>6</v>
      </c>
      <c r="L65" t="s">
        <v>557</v>
      </c>
      <c r="M65" t="s">
        <v>10</v>
      </c>
      <c r="N65">
        <v>0.15130460662180042</v>
      </c>
      <c r="O65" t="s">
        <v>6</v>
      </c>
    </row>
    <row r="66" spans="2:15" x14ac:dyDescent="0.45">
      <c r="B66" t="s">
        <v>555</v>
      </c>
      <c r="C66" t="s">
        <v>11</v>
      </c>
      <c r="D66">
        <v>0.51582732947516285</v>
      </c>
      <c r="E66" t="s">
        <v>6</v>
      </c>
      <c r="G66" t="s">
        <v>556</v>
      </c>
      <c r="H66" t="s">
        <v>11</v>
      </c>
      <c r="I66">
        <v>0.19426677379335891</v>
      </c>
      <c r="J66" t="s">
        <v>6</v>
      </c>
      <c r="L66" t="s">
        <v>557</v>
      </c>
      <c r="M66" t="s">
        <v>11</v>
      </c>
      <c r="N66">
        <v>0.15187040196545062</v>
      </c>
      <c r="O66" t="s">
        <v>6</v>
      </c>
    </row>
    <row r="67" spans="2:15" x14ac:dyDescent="0.45">
      <c r="B67" t="s">
        <v>558</v>
      </c>
      <c r="C67" t="s">
        <v>5</v>
      </c>
      <c r="D67">
        <v>1.1628278892371717E-2</v>
      </c>
      <c r="E67" t="s">
        <v>6</v>
      </c>
      <c r="G67" t="s">
        <v>559</v>
      </c>
      <c r="H67" t="s">
        <v>5</v>
      </c>
      <c r="I67">
        <v>0.3016021671983945</v>
      </c>
      <c r="J67" t="s">
        <v>6</v>
      </c>
      <c r="L67" t="s">
        <v>560</v>
      </c>
      <c r="M67" t="s">
        <v>5</v>
      </c>
      <c r="N67">
        <v>0.32678508399543715</v>
      </c>
      <c r="O67" t="s">
        <v>6</v>
      </c>
    </row>
    <row r="68" spans="2:15" x14ac:dyDescent="0.45">
      <c r="B68" t="s">
        <v>558</v>
      </c>
      <c r="C68" t="s">
        <v>9</v>
      </c>
      <c r="D68">
        <v>0.46181602159078122</v>
      </c>
      <c r="E68" t="s">
        <v>6</v>
      </c>
      <c r="G68" t="s">
        <v>559</v>
      </c>
      <c r="H68" t="s">
        <v>9</v>
      </c>
      <c r="I68">
        <v>0.33596113878722822</v>
      </c>
      <c r="J68" t="s">
        <v>6</v>
      </c>
      <c r="L68" t="s">
        <v>560</v>
      </c>
      <c r="M68" t="s">
        <v>9</v>
      </c>
      <c r="N68">
        <v>0.32389310528732174</v>
      </c>
      <c r="O68" t="s">
        <v>6</v>
      </c>
    </row>
    <row r="69" spans="2:15" x14ac:dyDescent="0.45">
      <c r="B69" t="s">
        <v>558</v>
      </c>
      <c r="C69" t="s">
        <v>10</v>
      </c>
      <c r="D69">
        <v>1.8339540211254609E-2</v>
      </c>
      <c r="E69" t="s">
        <v>6</v>
      </c>
      <c r="G69" t="s">
        <v>559</v>
      </c>
      <c r="H69" t="s">
        <v>10</v>
      </c>
      <c r="I69">
        <v>0.16581242624585485</v>
      </c>
      <c r="J69" t="s">
        <v>6</v>
      </c>
      <c r="L69" t="s">
        <v>560</v>
      </c>
      <c r="M69" t="s">
        <v>10</v>
      </c>
      <c r="N69">
        <v>0.18319728391629095</v>
      </c>
      <c r="O69" t="s">
        <v>6</v>
      </c>
    </row>
    <row r="70" spans="2:15" x14ac:dyDescent="0.45">
      <c r="B70" t="s">
        <v>558</v>
      </c>
      <c r="C70" t="s">
        <v>11</v>
      </c>
      <c r="D70">
        <v>0.50821615930559116</v>
      </c>
      <c r="E70" t="s">
        <v>6</v>
      </c>
      <c r="G70" t="s">
        <v>559</v>
      </c>
      <c r="H70" t="s">
        <v>11</v>
      </c>
      <c r="I70">
        <v>0.19662426776852029</v>
      </c>
      <c r="J70" t="s">
        <v>6</v>
      </c>
      <c r="L70" t="s">
        <v>560</v>
      </c>
      <c r="M70" t="s">
        <v>11</v>
      </c>
      <c r="N70">
        <v>0.16612452680094852</v>
      </c>
      <c r="O70" t="s">
        <v>6</v>
      </c>
    </row>
    <row r="71" spans="2:15" x14ac:dyDescent="0.45">
      <c r="B71" t="s">
        <v>561</v>
      </c>
      <c r="C71" t="s">
        <v>5</v>
      </c>
      <c r="D71">
        <v>8.2507895899081602E-3</v>
      </c>
      <c r="E71" t="s">
        <v>6</v>
      </c>
      <c r="G71" t="s">
        <v>562</v>
      </c>
      <c r="H71" t="s">
        <v>5</v>
      </c>
      <c r="I71">
        <v>0.30796731513025521</v>
      </c>
      <c r="J71" t="s">
        <v>6</v>
      </c>
      <c r="L71" t="s">
        <v>563</v>
      </c>
      <c r="M71" t="s">
        <v>5</v>
      </c>
      <c r="N71">
        <v>0.31617781574378978</v>
      </c>
      <c r="O71" t="s">
        <v>6</v>
      </c>
    </row>
    <row r="72" spans="2:15" x14ac:dyDescent="0.45">
      <c r="B72" t="s">
        <v>561</v>
      </c>
      <c r="C72" t="s">
        <v>9</v>
      </c>
      <c r="D72">
        <v>0.45302741703820693</v>
      </c>
      <c r="E72" t="s">
        <v>6</v>
      </c>
      <c r="G72" t="s">
        <v>562</v>
      </c>
      <c r="H72" t="s">
        <v>9</v>
      </c>
      <c r="I72">
        <v>0.32387136746911765</v>
      </c>
      <c r="J72" t="s">
        <v>6</v>
      </c>
      <c r="L72" t="s">
        <v>563</v>
      </c>
      <c r="M72" t="s">
        <v>9</v>
      </c>
      <c r="N72">
        <v>0.32839227210940014</v>
      </c>
      <c r="O72" t="s">
        <v>6</v>
      </c>
    </row>
    <row r="73" spans="2:15" x14ac:dyDescent="0.45">
      <c r="B73" t="s">
        <v>561</v>
      </c>
      <c r="C73" t="s">
        <v>10</v>
      </c>
      <c r="D73">
        <v>1.5508789843603774E-2</v>
      </c>
      <c r="E73" t="s">
        <v>6</v>
      </c>
      <c r="G73" t="s">
        <v>562</v>
      </c>
      <c r="H73" t="s">
        <v>10</v>
      </c>
      <c r="I73">
        <v>0.17883195036288307</v>
      </c>
      <c r="J73" t="s">
        <v>6</v>
      </c>
      <c r="L73" t="s">
        <v>563</v>
      </c>
      <c r="M73" t="s">
        <v>10</v>
      </c>
      <c r="N73">
        <v>0.17635516161412348</v>
      </c>
      <c r="O73" t="s">
        <v>6</v>
      </c>
    </row>
    <row r="74" spans="2:15" x14ac:dyDescent="0.45">
      <c r="B74" t="s">
        <v>561</v>
      </c>
      <c r="C74" t="s">
        <v>11</v>
      </c>
      <c r="D74">
        <v>0.52321300352828126</v>
      </c>
      <c r="E74" t="s">
        <v>6</v>
      </c>
      <c r="G74" t="s">
        <v>562</v>
      </c>
      <c r="H74" t="s">
        <v>11</v>
      </c>
      <c r="I74">
        <v>0.18932936703774425</v>
      </c>
      <c r="J74" t="s">
        <v>6</v>
      </c>
      <c r="L74" t="s">
        <v>563</v>
      </c>
      <c r="M74" t="s">
        <v>11</v>
      </c>
      <c r="N74">
        <v>0.17907475053268401</v>
      </c>
      <c r="O74" t="s">
        <v>6</v>
      </c>
    </row>
    <row r="75" spans="2:15" x14ac:dyDescent="0.45">
      <c r="B75" t="s">
        <v>564</v>
      </c>
      <c r="C75" t="s">
        <v>5</v>
      </c>
      <c r="D75">
        <v>8.0981715381832284E-3</v>
      </c>
      <c r="E75" t="s">
        <v>6</v>
      </c>
      <c r="G75" t="s">
        <v>565</v>
      </c>
      <c r="H75" t="s">
        <v>5</v>
      </c>
      <c r="I75">
        <v>0.33576734306072653</v>
      </c>
      <c r="J75" t="s">
        <v>6</v>
      </c>
      <c r="L75" t="s">
        <v>566</v>
      </c>
      <c r="M75" t="s">
        <v>5</v>
      </c>
      <c r="N75">
        <v>0.31966569241864495</v>
      </c>
      <c r="O75" t="s">
        <v>6</v>
      </c>
    </row>
    <row r="76" spans="2:15" x14ac:dyDescent="0.45">
      <c r="B76" t="s">
        <v>564</v>
      </c>
      <c r="C76" t="s">
        <v>9</v>
      </c>
      <c r="D76">
        <v>0.4742958859820352</v>
      </c>
      <c r="E76" t="s">
        <v>6</v>
      </c>
      <c r="G76" t="s">
        <v>565</v>
      </c>
      <c r="H76" t="s">
        <v>9</v>
      </c>
      <c r="I76">
        <v>0.37284687576304915</v>
      </c>
      <c r="J76" t="s">
        <v>6</v>
      </c>
      <c r="L76" t="s">
        <v>566</v>
      </c>
      <c r="M76" t="s">
        <v>9</v>
      </c>
      <c r="N76">
        <v>0.3155895931093376</v>
      </c>
      <c r="O76" t="s">
        <v>6</v>
      </c>
    </row>
    <row r="77" spans="2:15" x14ac:dyDescent="0.45">
      <c r="B77" t="s">
        <v>564</v>
      </c>
      <c r="C77" t="s">
        <v>10</v>
      </c>
      <c r="D77">
        <v>1.3500825124600055E-2</v>
      </c>
      <c r="E77" t="s">
        <v>6</v>
      </c>
      <c r="G77" t="s">
        <v>565</v>
      </c>
      <c r="H77" t="s">
        <v>10</v>
      </c>
      <c r="I77">
        <v>0.12615715011654258</v>
      </c>
      <c r="J77" t="s">
        <v>6</v>
      </c>
      <c r="L77" t="s">
        <v>566</v>
      </c>
      <c r="M77" t="s">
        <v>10</v>
      </c>
      <c r="N77">
        <v>0.18874448383585063</v>
      </c>
      <c r="O77" t="s">
        <v>6</v>
      </c>
    </row>
    <row r="78" spans="2:15" x14ac:dyDescent="0.45">
      <c r="B78" t="s">
        <v>564</v>
      </c>
      <c r="C78" t="s">
        <v>11</v>
      </c>
      <c r="D78">
        <v>0.50410511735518271</v>
      </c>
      <c r="E78" t="s">
        <v>6</v>
      </c>
      <c r="G78" t="s">
        <v>565</v>
      </c>
      <c r="H78" t="s">
        <v>11</v>
      </c>
      <c r="I78">
        <v>0.16522863105968302</v>
      </c>
      <c r="J78" t="s">
        <v>6</v>
      </c>
      <c r="L78" t="s">
        <v>566</v>
      </c>
      <c r="M78" t="s">
        <v>11</v>
      </c>
      <c r="N78">
        <v>0.17600023063616393</v>
      </c>
      <c r="O78" t="s">
        <v>6</v>
      </c>
    </row>
    <row r="79" spans="2:15" x14ac:dyDescent="0.45">
      <c r="B79" t="s">
        <v>567</v>
      </c>
      <c r="C79" t="s">
        <v>5</v>
      </c>
      <c r="D79">
        <v>6.0921630414406073E-3</v>
      </c>
      <c r="E79" t="s">
        <v>6</v>
      </c>
      <c r="G79" t="s">
        <v>568</v>
      </c>
      <c r="H79" t="s">
        <v>5</v>
      </c>
      <c r="I79">
        <v>0.33217103786321228</v>
      </c>
      <c r="J79" t="s">
        <v>6</v>
      </c>
      <c r="L79" t="s">
        <v>569</v>
      </c>
      <c r="M79" t="s">
        <v>5</v>
      </c>
      <c r="N79">
        <v>0.31225405050170774</v>
      </c>
      <c r="O79" t="s">
        <v>6</v>
      </c>
    </row>
    <row r="80" spans="2:15" x14ac:dyDescent="0.45">
      <c r="B80" t="s">
        <v>567</v>
      </c>
      <c r="C80" t="s">
        <v>9</v>
      </c>
      <c r="D80">
        <v>0.43109159994209856</v>
      </c>
      <c r="E80" t="s">
        <v>6</v>
      </c>
      <c r="G80" t="s">
        <v>568</v>
      </c>
      <c r="H80" t="s">
        <v>9</v>
      </c>
      <c r="I80">
        <v>0.3373540659984367</v>
      </c>
      <c r="J80" t="s">
        <v>6</v>
      </c>
      <c r="L80" t="s">
        <v>569</v>
      </c>
      <c r="M80" t="s">
        <v>9</v>
      </c>
      <c r="N80">
        <v>0.3065689734511815</v>
      </c>
      <c r="O80" t="s">
        <v>6</v>
      </c>
    </row>
    <row r="81" spans="2:15" x14ac:dyDescent="0.45">
      <c r="B81" t="s">
        <v>567</v>
      </c>
      <c r="C81" t="s">
        <v>10</v>
      </c>
      <c r="D81">
        <v>1.3271409938581001E-2</v>
      </c>
      <c r="E81" t="s">
        <v>6</v>
      </c>
      <c r="G81" t="s">
        <v>568</v>
      </c>
      <c r="H81" t="s">
        <v>10</v>
      </c>
      <c r="I81">
        <v>0.16795487755717009</v>
      </c>
      <c r="J81" t="s">
        <v>6</v>
      </c>
      <c r="L81" t="s">
        <v>569</v>
      </c>
      <c r="M81" t="s">
        <v>10</v>
      </c>
      <c r="N81">
        <v>0.19627488423073097</v>
      </c>
      <c r="O81" t="s">
        <v>6</v>
      </c>
    </row>
    <row r="82" spans="2:15" x14ac:dyDescent="0.45">
      <c r="B82" t="s">
        <v>567</v>
      </c>
      <c r="C82" t="s">
        <v>11</v>
      </c>
      <c r="D82">
        <v>0.54954482707787833</v>
      </c>
      <c r="E82" t="s">
        <v>6</v>
      </c>
      <c r="G82" t="s">
        <v>568</v>
      </c>
      <c r="H82" t="s">
        <v>11</v>
      </c>
      <c r="I82">
        <v>0.16252001858118029</v>
      </c>
      <c r="J82" t="s">
        <v>6</v>
      </c>
      <c r="L82" t="s">
        <v>569</v>
      </c>
      <c r="M82" t="s">
        <v>11</v>
      </c>
      <c r="N82">
        <v>0.18490209181637932</v>
      </c>
      <c r="O82" t="s">
        <v>6</v>
      </c>
    </row>
    <row r="83" spans="2:15" x14ac:dyDescent="0.45">
      <c r="B83" t="s">
        <v>570</v>
      </c>
      <c r="C83" t="s">
        <v>5</v>
      </c>
      <c r="D83">
        <v>7.0090201106753304E-3</v>
      </c>
      <c r="E83" t="s">
        <v>6</v>
      </c>
      <c r="G83" t="s">
        <v>571</v>
      </c>
      <c r="H83" t="s">
        <v>5</v>
      </c>
      <c r="I83">
        <v>0.33864122177907457</v>
      </c>
      <c r="J83" t="s">
        <v>6</v>
      </c>
      <c r="L83" t="s">
        <v>572</v>
      </c>
      <c r="M83" t="s">
        <v>5</v>
      </c>
      <c r="N83">
        <v>0.30289391832328716</v>
      </c>
      <c r="O83" t="s">
        <v>6</v>
      </c>
    </row>
    <row r="84" spans="2:15" x14ac:dyDescent="0.45">
      <c r="B84" t="s">
        <v>570</v>
      </c>
      <c r="C84" t="s">
        <v>9</v>
      </c>
      <c r="D84">
        <v>0.43318346304871203</v>
      </c>
      <c r="E84" t="s">
        <v>6</v>
      </c>
      <c r="G84" t="s">
        <v>571</v>
      </c>
      <c r="H84" t="s">
        <v>9</v>
      </c>
      <c r="I84">
        <v>0.35909933197756733</v>
      </c>
      <c r="J84" t="s">
        <v>6</v>
      </c>
      <c r="L84" t="s">
        <v>572</v>
      </c>
      <c r="M84" t="s">
        <v>9</v>
      </c>
      <c r="N84">
        <v>0.29340240068495194</v>
      </c>
      <c r="O84" t="s">
        <v>6</v>
      </c>
    </row>
    <row r="85" spans="2:15" x14ac:dyDescent="0.45">
      <c r="B85" t="s">
        <v>570</v>
      </c>
      <c r="C85" t="s">
        <v>10</v>
      </c>
      <c r="D85">
        <v>1.4479694921209395E-2</v>
      </c>
      <c r="E85" t="s">
        <v>6</v>
      </c>
      <c r="G85" t="s">
        <v>571</v>
      </c>
      <c r="H85" t="s">
        <v>10</v>
      </c>
      <c r="I85">
        <v>0.1521369646148307</v>
      </c>
      <c r="J85" t="s">
        <v>6</v>
      </c>
      <c r="L85" t="s">
        <v>572</v>
      </c>
      <c r="M85" t="s">
        <v>10</v>
      </c>
      <c r="N85">
        <v>0.20740147380011062</v>
      </c>
      <c r="O85" t="s">
        <v>6</v>
      </c>
    </row>
    <row r="86" spans="2:15" x14ac:dyDescent="0.45">
      <c r="B86" t="s">
        <v>570</v>
      </c>
      <c r="C86" t="s">
        <v>11</v>
      </c>
      <c r="D86">
        <v>0.54532782191940299</v>
      </c>
      <c r="E86" t="s">
        <v>6</v>
      </c>
      <c r="G86" t="s">
        <v>571</v>
      </c>
      <c r="H86" t="s">
        <v>11</v>
      </c>
      <c r="I86">
        <v>0.15012248162852559</v>
      </c>
      <c r="J86" t="s">
        <v>6</v>
      </c>
      <c r="L86" t="s">
        <v>572</v>
      </c>
      <c r="M86" t="s">
        <v>11</v>
      </c>
      <c r="N86">
        <v>0.19630220719164707</v>
      </c>
      <c r="O86" t="s">
        <v>6</v>
      </c>
    </row>
    <row r="87" spans="2:15" x14ac:dyDescent="0.45">
      <c r="B87" t="s">
        <v>573</v>
      </c>
      <c r="C87" t="s">
        <v>5</v>
      </c>
      <c r="D87">
        <v>7.2015332607277289E-3</v>
      </c>
      <c r="E87" t="s">
        <v>6</v>
      </c>
      <c r="L87" t="s">
        <v>574</v>
      </c>
      <c r="M87" t="s">
        <v>5</v>
      </c>
      <c r="N87">
        <v>0.31343260566367687</v>
      </c>
      <c r="O87" t="s">
        <v>6</v>
      </c>
    </row>
    <row r="88" spans="2:15" x14ac:dyDescent="0.45">
      <c r="B88" t="s">
        <v>573</v>
      </c>
      <c r="C88" t="s">
        <v>9</v>
      </c>
      <c r="D88">
        <v>0.43203863392148112</v>
      </c>
      <c r="E88" t="s">
        <v>6</v>
      </c>
      <c r="L88" t="s">
        <v>574</v>
      </c>
      <c r="M88" t="s">
        <v>9</v>
      </c>
      <c r="N88">
        <v>0.31953503167165426</v>
      </c>
      <c r="O88" t="s">
        <v>6</v>
      </c>
    </row>
    <row r="89" spans="2:15" x14ac:dyDescent="0.45">
      <c r="B89" t="s">
        <v>573</v>
      </c>
      <c r="C89" t="s">
        <v>10</v>
      </c>
      <c r="D89">
        <v>1.4086041826996036E-2</v>
      </c>
      <c r="E89" t="s">
        <v>6</v>
      </c>
      <c r="L89" t="s">
        <v>574</v>
      </c>
      <c r="M89" t="s">
        <v>10</v>
      </c>
      <c r="N89">
        <v>0.18417592530092516</v>
      </c>
      <c r="O89" t="s">
        <v>6</v>
      </c>
    </row>
    <row r="90" spans="2:15" x14ac:dyDescent="0.45">
      <c r="B90" t="s">
        <v>573</v>
      </c>
      <c r="C90" t="s">
        <v>11</v>
      </c>
      <c r="D90">
        <v>0.54667379099079705</v>
      </c>
      <c r="E90" t="s">
        <v>6</v>
      </c>
      <c r="L90" t="s">
        <v>574</v>
      </c>
      <c r="M90" t="s">
        <v>11</v>
      </c>
      <c r="N90">
        <v>0.18285643736374002</v>
      </c>
      <c r="O90" t="s">
        <v>6</v>
      </c>
    </row>
    <row r="91" spans="2:15" x14ac:dyDescent="0.45">
      <c r="B91" t="s">
        <v>575</v>
      </c>
      <c r="C91" t="s">
        <v>5</v>
      </c>
      <c r="D91">
        <v>8.1221377997939513E-3</v>
      </c>
      <c r="E91" t="s">
        <v>6</v>
      </c>
    </row>
    <row r="92" spans="2:15" x14ac:dyDescent="0.45">
      <c r="B92" t="s">
        <v>575</v>
      </c>
      <c r="C92" t="s">
        <v>9</v>
      </c>
      <c r="D92">
        <v>0.43059190667022273</v>
      </c>
      <c r="E92" t="s">
        <v>6</v>
      </c>
    </row>
    <row r="93" spans="2:15" x14ac:dyDescent="0.45">
      <c r="B93" t="s">
        <v>575</v>
      </c>
      <c r="C93" t="s">
        <v>10</v>
      </c>
      <c r="D93">
        <v>1.5804121737902081E-2</v>
      </c>
      <c r="E93" t="s">
        <v>6</v>
      </c>
    </row>
    <row r="94" spans="2:15" x14ac:dyDescent="0.45">
      <c r="B94" t="s">
        <v>575</v>
      </c>
      <c r="C94" t="s">
        <v>11</v>
      </c>
      <c r="D94">
        <v>0.54548183379208248</v>
      </c>
      <c r="E94" t="s">
        <v>6</v>
      </c>
    </row>
    <row r="95" spans="2:15" x14ac:dyDescent="0.45">
      <c r="B95" t="s">
        <v>576</v>
      </c>
      <c r="C95" t="s">
        <v>5</v>
      </c>
      <c r="D95">
        <v>7.0964926004368351E-3</v>
      </c>
      <c r="E95" t="s">
        <v>6</v>
      </c>
    </row>
    <row r="96" spans="2:15" x14ac:dyDescent="0.45">
      <c r="B96" t="s">
        <v>576</v>
      </c>
      <c r="C96" t="s">
        <v>9</v>
      </c>
      <c r="D96">
        <v>0.43459633665664676</v>
      </c>
      <c r="E96" t="s">
        <v>6</v>
      </c>
    </row>
    <row r="97" spans="2:5" x14ac:dyDescent="0.45">
      <c r="B97" t="s">
        <v>576</v>
      </c>
      <c r="C97" t="s">
        <v>10</v>
      </c>
      <c r="D97">
        <v>1.3031552565291616E-2</v>
      </c>
      <c r="E97" t="s">
        <v>6</v>
      </c>
    </row>
    <row r="98" spans="2:5" x14ac:dyDescent="0.45">
      <c r="B98" t="s">
        <v>576</v>
      </c>
      <c r="C98" t="s">
        <v>11</v>
      </c>
      <c r="D98">
        <v>0.5452756181776276</v>
      </c>
      <c r="E98" t="s">
        <v>6</v>
      </c>
    </row>
    <row r="99" spans="2:5" x14ac:dyDescent="0.45">
      <c r="B99" t="s">
        <v>577</v>
      </c>
      <c r="C99" t="s">
        <v>5</v>
      </c>
      <c r="D99">
        <v>8.4870714274644325E-3</v>
      </c>
      <c r="E99" t="s">
        <v>6</v>
      </c>
    </row>
    <row r="100" spans="2:5" x14ac:dyDescent="0.45">
      <c r="B100" t="s">
        <v>577</v>
      </c>
      <c r="C100" t="s">
        <v>9</v>
      </c>
      <c r="D100">
        <v>0.4347523155234298</v>
      </c>
      <c r="E100" t="s">
        <v>6</v>
      </c>
    </row>
    <row r="101" spans="2:5" x14ac:dyDescent="0.45">
      <c r="B101" t="s">
        <v>577</v>
      </c>
      <c r="C101" t="s">
        <v>10</v>
      </c>
      <c r="D101">
        <v>1.5309370448813128E-2</v>
      </c>
      <c r="E101" t="s">
        <v>6</v>
      </c>
    </row>
    <row r="102" spans="2:5" x14ac:dyDescent="0.45">
      <c r="B102" t="s">
        <v>577</v>
      </c>
      <c r="C102" t="s">
        <v>11</v>
      </c>
      <c r="D102">
        <v>0.54145124260028965</v>
      </c>
      <c r="E102" t="s">
        <v>6</v>
      </c>
    </row>
    <row r="103" spans="2:5" x14ac:dyDescent="0.45">
      <c r="B103" t="s">
        <v>578</v>
      </c>
      <c r="C103" t="s">
        <v>5</v>
      </c>
      <c r="D103">
        <v>8.2478778680154779E-3</v>
      </c>
      <c r="E103" t="s">
        <v>6</v>
      </c>
    </row>
    <row r="104" spans="2:5" x14ac:dyDescent="0.45">
      <c r="B104" t="s">
        <v>578</v>
      </c>
      <c r="C104" t="s">
        <v>9</v>
      </c>
      <c r="D104">
        <v>0.44381891731999223</v>
      </c>
      <c r="E104" t="s">
        <v>6</v>
      </c>
    </row>
    <row r="105" spans="2:5" x14ac:dyDescent="0.45">
      <c r="B105" t="s">
        <v>578</v>
      </c>
      <c r="C105" t="s">
        <v>10</v>
      </c>
      <c r="D105">
        <v>1.4167121392161428E-2</v>
      </c>
      <c r="E105" t="s">
        <v>6</v>
      </c>
    </row>
    <row r="106" spans="2:5" x14ac:dyDescent="0.45">
      <c r="B106" t="s">
        <v>578</v>
      </c>
      <c r="C106" t="s">
        <v>11</v>
      </c>
      <c r="D106">
        <v>0.53376608341982668</v>
      </c>
      <c r="E106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7F32-4724-48EB-9222-253B4A4EFB7F}">
  <dimension ref="B9:AF73"/>
  <sheetViews>
    <sheetView workbookViewId="0"/>
  </sheetViews>
  <sheetFormatPr defaultRowHeight="14.25" x14ac:dyDescent="0.45"/>
  <sheetData>
    <row r="9" spans="2:32" x14ac:dyDescent="0.45">
      <c r="B9" t="str">
        <f>IF(A11="x","DeActivated","~TFM_DINS-TSL: attribute=FLO_EMIS; other_indexes=ACT; region=ITA")</f>
        <v>~TFM_DINS-TSL: attribute=FLO_EMIS; other_indexes=ACT; region=ITA</v>
      </c>
      <c r="I9" t="str">
        <f>IF(A11="x","DeActivated","~TFM_INS-TSL: attribute=FLO_SHAR; limtype=FX; region=ITA")</f>
        <v>~TFM_INS-TSL: attribute=FLO_SHAR; limtype=FX; region=ITA</v>
      </c>
      <c r="P9" t="str">
        <f>IF(A11="x","DeActivated","~TFM_INS-TSL: attribute=FLO_SHAR; limtype=FX; region=ITA")</f>
        <v>~TFM_INS-TSL: attribute=FLO_SHAR; limtype=FX; region=ITA</v>
      </c>
      <c r="W9" t="str">
        <f>IF(A11="x","DeActivated","~TFM_DINS-TSL: attribute=NCAP_PKCNT; region=ITA")</f>
        <v>~TFM_DINS-TSL: attribute=NCAP_PKCNT; region=ITA</v>
      </c>
      <c r="AC9" t="str">
        <f>IF(A11="x","DeActivated","~TFM_DINS-AT: region=ITA")</f>
        <v>~TFM_DINS-AT: region=ITA</v>
      </c>
    </row>
    <row r="10" spans="2:3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I10" t="s">
        <v>3</v>
      </c>
      <c r="J10" t="s">
        <v>0</v>
      </c>
      <c r="K10" t="s">
        <v>5</v>
      </c>
      <c r="L10" t="s">
        <v>9</v>
      </c>
      <c r="M10" t="s">
        <v>10</v>
      </c>
      <c r="N10" t="s">
        <v>11</v>
      </c>
      <c r="P10" t="s">
        <v>3</v>
      </c>
      <c r="Q10" t="s">
        <v>0</v>
      </c>
      <c r="R10" t="s">
        <v>5</v>
      </c>
      <c r="S10" t="s">
        <v>9</v>
      </c>
      <c r="T10" t="s">
        <v>10</v>
      </c>
      <c r="U10" t="s">
        <v>11</v>
      </c>
      <c r="W10" t="s">
        <v>3</v>
      </c>
      <c r="X10" t="s">
        <v>5</v>
      </c>
      <c r="Y10" t="s">
        <v>9</v>
      </c>
      <c r="Z10" t="s">
        <v>10</v>
      </c>
      <c r="AA10" t="s">
        <v>11</v>
      </c>
      <c r="AC10" t="s">
        <v>3</v>
      </c>
      <c r="AD10" t="s">
        <v>0</v>
      </c>
      <c r="AE10" t="s">
        <v>84</v>
      </c>
      <c r="AF10" t="s">
        <v>85</v>
      </c>
    </row>
    <row r="11" spans="2:32" x14ac:dyDescent="0.45">
      <c r="B11" t="s">
        <v>579</v>
      </c>
      <c r="C11" t="s">
        <v>87</v>
      </c>
      <c r="D11">
        <v>0.91234808853680294</v>
      </c>
      <c r="E11">
        <v>0.32611196824324801</v>
      </c>
      <c r="F11">
        <v>0.88095063220671943</v>
      </c>
      <c r="G11">
        <v>0.27276851571218513</v>
      </c>
      <c r="I11" t="s">
        <v>88</v>
      </c>
      <c r="J11" t="s">
        <v>89</v>
      </c>
      <c r="K11">
        <v>0.5749928269580159</v>
      </c>
      <c r="L11">
        <v>0.14064190884081443</v>
      </c>
      <c r="M11">
        <v>0.77628304603363807</v>
      </c>
      <c r="N11">
        <v>0.11473097190285228</v>
      </c>
      <c r="P11" t="s">
        <v>88</v>
      </c>
      <c r="Q11" t="s">
        <v>90</v>
      </c>
      <c r="R11">
        <v>0.22485062312023882</v>
      </c>
      <c r="S11">
        <v>4.3043365942111118E-2</v>
      </c>
      <c r="T11">
        <v>1.6947983775364332E-2</v>
      </c>
      <c r="U11">
        <v>3.9258522320689583E-2</v>
      </c>
      <c r="W11" t="s">
        <v>579</v>
      </c>
      <c r="X11">
        <v>7.23446807969539E-3</v>
      </c>
      <c r="Y11">
        <v>0.31634824209839546</v>
      </c>
      <c r="Z11">
        <v>1.1254660898277619E-2</v>
      </c>
      <c r="AA11">
        <v>0.37325028044229791</v>
      </c>
      <c r="AC11" t="s">
        <v>579</v>
      </c>
      <c r="AD11" t="s">
        <v>91</v>
      </c>
      <c r="AE11" t="s">
        <v>92</v>
      </c>
      <c r="AF11">
        <v>0.37325028044229791</v>
      </c>
    </row>
    <row r="12" spans="2:32" x14ac:dyDescent="0.45">
      <c r="B12" t="s">
        <v>580</v>
      </c>
      <c r="C12" t="s">
        <v>87</v>
      </c>
      <c r="D12">
        <v>0.91327779099866235</v>
      </c>
      <c r="E12">
        <v>0.32975156837412911</v>
      </c>
      <c r="F12">
        <v>0.87865674349065515</v>
      </c>
      <c r="G12">
        <v>0.27704668125683601</v>
      </c>
      <c r="I12" t="s">
        <v>94</v>
      </c>
      <c r="J12" t="s">
        <v>89</v>
      </c>
      <c r="K12">
        <v>5.103250026656334E-4</v>
      </c>
      <c r="L12">
        <v>5.9394589007742641E-3</v>
      </c>
      <c r="M12">
        <v>2.8275432696731012E-3</v>
      </c>
      <c r="N12">
        <v>5.0519588475080911E-3</v>
      </c>
      <c r="P12" t="s">
        <v>94</v>
      </c>
      <c r="Q12" t="s">
        <v>90</v>
      </c>
      <c r="R12">
        <v>9.8059574568451109E-3</v>
      </c>
      <c r="S12">
        <v>2.1623282676276428E-2</v>
      </c>
      <c r="T12">
        <v>1.1988153426637289E-2</v>
      </c>
      <c r="U12">
        <v>1.1825289257434856E-2</v>
      </c>
      <c r="W12" t="s">
        <v>580</v>
      </c>
      <c r="X12">
        <v>6.9191581209821053E-3</v>
      </c>
      <c r="Y12">
        <v>0.3085599206661882</v>
      </c>
      <c r="Z12">
        <v>1.1350856675004172E-2</v>
      </c>
      <c r="AA12">
        <v>0.37034925491318432</v>
      </c>
      <c r="AC12" t="s">
        <v>580</v>
      </c>
      <c r="AD12" t="s">
        <v>91</v>
      </c>
      <c r="AE12" t="s">
        <v>92</v>
      </c>
      <c r="AF12">
        <v>0.37034925491318432</v>
      </c>
    </row>
    <row r="13" spans="2:32" x14ac:dyDescent="0.45">
      <c r="B13" t="s">
        <v>581</v>
      </c>
      <c r="C13" t="s">
        <v>87</v>
      </c>
      <c r="D13">
        <v>0.92068794064710047</v>
      </c>
      <c r="E13">
        <v>0.30597439215768207</v>
      </c>
      <c r="F13">
        <v>0.89887808208837561</v>
      </c>
      <c r="G13">
        <v>0.2638788647124401</v>
      </c>
      <c r="I13" t="s">
        <v>96</v>
      </c>
      <c r="J13" t="s">
        <v>89</v>
      </c>
      <c r="K13">
        <v>6.1041709011653612E-4</v>
      </c>
      <c r="L13">
        <v>2.2993409596666833E-3</v>
      </c>
      <c r="M13">
        <v>2.1499729125896861E-3</v>
      </c>
      <c r="N13">
        <v>3.0192969140018866E-3</v>
      </c>
      <c r="P13" t="s">
        <v>96</v>
      </c>
      <c r="Q13" t="s">
        <v>90</v>
      </c>
      <c r="R13">
        <v>7.49518085337214E-3</v>
      </c>
      <c r="S13">
        <v>1.1342842485242097E-2</v>
      </c>
      <c r="T13">
        <v>7.3901731476454955E-3</v>
      </c>
      <c r="U13">
        <v>6.9553671185870001E-3</v>
      </c>
      <c r="W13" t="s">
        <v>581</v>
      </c>
      <c r="X13">
        <v>5.1006004592379951E-3</v>
      </c>
      <c r="Y13">
        <v>0.33592889948815774</v>
      </c>
      <c r="Z13">
        <v>7.9441633889138046E-3</v>
      </c>
      <c r="AA13">
        <v>0.38198487978528972</v>
      </c>
      <c r="AC13" t="s">
        <v>581</v>
      </c>
      <c r="AD13" t="s">
        <v>91</v>
      </c>
      <c r="AE13" t="s">
        <v>92</v>
      </c>
      <c r="AF13">
        <v>0.38198487978528972</v>
      </c>
    </row>
    <row r="14" spans="2:32" x14ac:dyDescent="0.45">
      <c r="B14" t="s">
        <v>582</v>
      </c>
      <c r="C14" t="s">
        <v>87</v>
      </c>
      <c r="D14">
        <v>0.93147195654819503</v>
      </c>
      <c r="E14">
        <v>0.30151710232801388</v>
      </c>
      <c r="F14">
        <v>0.90539772842091892</v>
      </c>
      <c r="G14">
        <v>0.26370137383598907</v>
      </c>
      <c r="W14" t="s">
        <v>582</v>
      </c>
      <c r="X14">
        <v>3.9217850724031587E-3</v>
      </c>
      <c r="Y14">
        <v>0.34534456366303135</v>
      </c>
      <c r="Z14">
        <v>6.313240847191379E-3</v>
      </c>
      <c r="AA14">
        <v>0.37956362231091806</v>
      </c>
      <c r="AC14" t="s">
        <v>582</v>
      </c>
      <c r="AD14" t="s">
        <v>91</v>
      </c>
      <c r="AE14" t="s">
        <v>92</v>
      </c>
      <c r="AF14">
        <v>0.37956362231091806</v>
      </c>
    </row>
    <row r="15" spans="2:32" x14ac:dyDescent="0.45">
      <c r="B15" t="s">
        <v>583</v>
      </c>
      <c r="C15" t="s">
        <v>87</v>
      </c>
      <c r="D15">
        <v>0.93681418393670202</v>
      </c>
      <c r="E15">
        <v>0.31183635789678371</v>
      </c>
      <c r="F15">
        <v>0.90864128673635847</v>
      </c>
      <c r="G15">
        <v>0.26551827575931464</v>
      </c>
      <c r="W15" t="s">
        <v>583</v>
      </c>
      <c r="X15">
        <v>2.9669935686439147E-3</v>
      </c>
      <c r="Y15">
        <v>0.33056270982177816</v>
      </c>
      <c r="Z15">
        <v>5.3226628620056055E-3</v>
      </c>
      <c r="AA15">
        <v>0.37151901191575853</v>
      </c>
      <c r="AC15" t="s">
        <v>583</v>
      </c>
      <c r="AD15" t="s">
        <v>91</v>
      </c>
      <c r="AE15" t="s">
        <v>92</v>
      </c>
      <c r="AF15">
        <v>0.37151901191575853</v>
      </c>
    </row>
    <row r="16" spans="2:32" x14ac:dyDescent="0.45">
      <c r="B16" t="s">
        <v>584</v>
      </c>
      <c r="C16" t="s">
        <v>87</v>
      </c>
      <c r="D16">
        <v>0.93138891309529059</v>
      </c>
      <c r="E16">
        <v>0.3306513988369435</v>
      </c>
      <c r="F16">
        <v>0.90405003720563482</v>
      </c>
      <c r="G16">
        <v>0.2815477595501012</v>
      </c>
      <c r="W16" t="s">
        <v>584</v>
      </c>
      <c r="X16">
        <v>3.530931266192811E-3</v>
      </c>
      <c r="Y16">
        <v>0.29816555456771565</v>
      </c>
      <c r="Z16">
        <v>6.1987574025081597E-3</v>
      </c>
      <c r="AA16">
        <v>0.35010753926953431</v>
      </c>
      <c r="AC16" t="s">
        <v>584</v>
      </c>
      <c r="AD16" t="s">
        <v>91</v>
      </c>
      <c r="AE16" t="s">
        <v>92</v>
      </c>
      <c r="AF16">
        <v>0.35010753926953431</v>
      </c>
    </row>
    <row r="17" spans="2:32" x14ac:dyDescent="0.45">
      <c r="B17" t="s">
        <v>585</v>
      </c>
      <c r="C17" t="s">
        <v>87</v>
      </c>
      <c r="D17">
        <v>0.93798086433656813</v>
      </c>
      <c r="E17">
        <v>0.3186124527121672</v>
      </c>
      <c r="F17">
        <v>0.90821993110040089</v>
      </c>
      <c r="G17">
        <v>0.27227202097875514</v>
      </c>
      <c r="W17" t="s">
        <v>585</v>
      </c>
      <c r="X17">
        <v>2.804081172931518E-3</v>
      </c>
      <c r="Y17">
        <v>0.3181349185167216</v>
      </c>
      <c r="Z17">
        <v>5.1642025086752891E-3</v>
      </c>
      <c r="AA17">
        <v>0.36354410181902125</v>
      </c>
      <c r="AC17" t="s">
        <v>585</v>
      </c>
      <c r="AD17" t="s">
        <v>91</v>
      </c>
      <c r="AE17" t="s">
        <v>92</v>
      </c>
      <c r="AF17">
        <v>0.36354410181902125</v>
      </c>
    </row>
    <row r="18" spans="2:32" x14ac:dyDescent="0.45">
      <c r="B18" t="s">
        <v>586</v>
      </c>
      <c r="C18" t="s">
        <v>87</v>
      </c>
      <c r="D18">
        <v>0.92621390346503674</v>
      </c>
      <c r="E18">
        <v>0.33709630554119185</v>
      </c>
      <c r="F18">
        <v>0.89509047323180635</v>
      </c>
      <c r="G18">
        <v>0.28101595749114489</v>
      </c>
      <c r="W18" t="s">
        <v>586</v>
      </c>
      <c r="X18">
        <v>4.3313209158505365E-3</v>
      </c>
      <c r="Y18">
        <v>0.29954447908271681</v>
      </c>
      <c r="Z18">
        <v>7.5720152027546356E-3</v>
      </c>
      <c r="AA18">
        <v>0.35233624752281961</v>
      </c>
      <c r="AC18" t="s">
        <v>586</v>
      </c>
      <c r="AD18" t="s">
        <v>91</v>
      </c>
      <c r="AE18" t="s">
        <v>92</v>
      </c>
      <c r="AF18">
        <v>0.35233624752281961</v>
      </c>
    </row>
    <row r="19" spans="2:32" x14ac:dyDescent="0.45">
      <c r="B19" t="s">
        <v>587</v>
      </c>
      <c r="C19" t="s">
        <v>87</v>
      </c>
      <c r="D19">
        <v>0.9293641862047376</v>
      </c>
      <c r="E19">
        <v>0.35467021067674337</v>
      </c>
      <c r="F19">
        <v>0.89493379629883585</v>
      </c>
      <c r="G19">
        <v>0.29099532042234089</v>
      </c>
      <c r="W19" t="s">
        <v>587</v>
      </c>
      <c r="X19">
        <v>3.8878345439189279E-3</v>
      </c>
      <c r="Y19">
        <v>0.28065161704990682</v>
      </c>
      <c r="Z19">
        <v>7.4536022292107911E-3</v>
      </c>
      <c r="AA19">
        <v>0.34631149135869332</v>
      </c>
      <c r="AC19" t="s">
        <v>587</v>
      </c>
      <c r="AD19" t="s">
        <v>91</v>
      </c>
      <c r="AE19" t="s">
        <v>92</v>
      </c>
      <c r="AF19">
        <v>0.34631149135869332</v>
      </c>
    </row>
    <row r="20" spans="2:32" x14ac:dyDescent="0.45">
      <c r="B20" t="s">
        <v>588</v>
      </c>
      <c r="C20" t="s">
        <v>87</v>
      </c>
      <c r="D20">
        <v>0.93181649707290626</v>
      </c>
      <c r="E20">
        <v>0.33392533034251615</v>
      </c>
      <c r="F20">
        <v>0.90336822072048184</v>
      </c>
      <c r="G20">
        <v>0.28223952739602481</v>
      </c>
      <c r="W20" t="s">
        <v>588</v>
      </c>
      <c r="X20">
        <v>3.5116422220823045E-3</v>
      </c>
      <c r="Y20">
        <v>0.30317467042161828</v>
      </c>
      <c r="Z20">
        <v>6.3448285131068264E-3</v>
      </c>
      <c r="AA20">
        <v>0.35287186041791913</v>
      </c>
      <c r="AC20" t="s">
        <v>588</v>
      </c>
      <c r="AD20" t="s">
        <v>91</v>
      </c>
      <c r="AE20" t="s">
        <v>92</v>
      </c>
      <c r="AF20">
        <v>0.35287186041791913</v>
      </c>
    </row>
    <row r="21" spans="2:32" x14ac:dyDescent="0.45">
      <c r="B21" t="s">
        <v>589</v>
      </c>
      <c r="C21" t="s">
        <v>87</v>
      </c>
      <c r="D21">
        <v>0.90426438979667001</v>
      </c>
      <c r="E21">
        <v>0.34387644241946924</v>
      </c>
      <c r="F21">
        <v>0.86361887789061631</v>
      </c>
      <c r="G21">
        <v>0.30768101841206336</v>
      </c>
      <c r="W21" t="s">
        <v>589</v>
      </c>
      <c r="X21">
        <v>9.1497165169064417E-3</v>
      </c>
      <c r="Y21">
        <v>0.34040788226988983</v>
      </c>
      <c r="Z21">
        <v>1.248490494335488E-2</v>
      </c>
      <c r="AA21">
        <v>0.33370266665217008</v>
      </c>
      <c r="AC21" t="s">
        <v>589</v>
      </c>
      <c r="AD21" t="s">
        <v>91</v>
      </c>
      <c r="AE21" t="s">
        <v>92</v>
      </c>
      <c r="AF21">
        <v>0.34040788226988983</v>
      </c>
    </row>
    <row r="22" spans="2:32" x14ac:dyDescent="0.45">
      <c r="B22" t="s">
        <v>590</v>
      </c>
      <c r="C22" t="s">
        <v>87</v>
      </c>
      <c r="D22">
        <v>0.91258489079973293</v>
      </c>
      <c r="E22">
        <v>0.38064321918060456</v>
      </c>
      <c r="F22">
        <v>0.86935162572101821</v>
      </c>
      <c r="G22">
        <v>0.33913085825388356</v>
      </c>
      <c r="W22" t="s">
        <v>590</v>
      </c>
      <c r="X22">
        <v>5.6599486698275664E-3</v>
      </c>
      <c r="Y22">
        <v>0.25930142378846754</v>
      </c>
      <c r="Z22">
        <v>1.0208655814013803E-2</v>
      </c>
      <c r="AA22">
        <v>0.29732791562643296</v>
      </c>
      <c r="AC22" t="s">
        <v>590</v>
      </c>
      <c r="AD22" t="s">
        <v>91</v>
      </c>
      <c r="AE22" t="s">
        <v>92</v>
      </c>
      <c r="AF22">
        <v>0.29732791562643296</v>
      </c>
    </row>
    <row r="23" spans="2:32" x14ac:dyDescent="0.45">
      <c r="B23" t="s">
        <v>591</v>
      </c>
      <c r="C23" t="s">
        <v>87</v>
      </c>
      <c r="D23">
        <v>0.91321224412784141</v>
      </c>
      <c r="E23">
        <v>0.39217839234550766</v>
      </c>
      <c r="F23">
        <v>0.86997213971721254</v>
      </c>
      <c r="G23">
        <v>0.33275017528145384</v>
      </c>
      <c r="W23" t="s">
        <v>591</v>
      </c>
      <c r="X23">
        <v>5.4273279666545741E-3</v>
      </c>
      <c r="Y23">
        <v>0.24477379618197129</v>
      </c>
      <c r="Z23">
        <v>1.0428153654507003E-2</v>
      </c>
      <c r="AA23">
        <v>0.30385076919185644</v>
      </c>
      <c r="AC23" t="s">
        <v>591</v>
      </c>
      <c r="AD23" t="s">
        <v>91</v>
      </c>
      <c r="AE23" t="s">
        <v>92</v>
      </c>
      <c r="AF23">
        <v>0.30385076919185644</v>
      </c>
    </row>
    <row r="24" spans="2:32" x14ac:dyDescent="0.45">
      <c r="B24" t="s">
        <v>592</v>
      </c>
      <c r="C24" t="s">
        <v>87</v>
      </c>
      <c r="D24">
        <v>0.90843792086729191</v>
      </c>
      <c r="E24">
        <v>0.38498940351203403</v>
      </c>
      <c r="F24">
        <v>0.86555339488529315</v>
      </c>
      <c r="G24">
        <v>0.3356369077125762</v>
      </c>
      <c r="W24" t="s">
        <v>592</v>
      </c>
      <c r="X24">
        <v>6.3246628475574313E-3</v>
      </c>
      <c r="Y24">
        <v>0.26460571511711839</v>
      </c>
      <c r="Z24">
        <v>1.1250227740721487E-2</v>
      </c>
      <c r="AA24">
        <v>0.29905196614085944</v>
      </c>
      <c r="AC24" t="s">
        <v>592</v>
      </c>
      <c r="AD24" t="s">
        <v>91</v>
      </c>
      <c r="AE24" t="s">
        <v>92</v>
      </c>
      <c r="AF24">
        <v>0.29905196614085944</v>
      </c>
    </row>
    <row r="25" spans="2:32" x14ac:dyDescent="0.45">
      <c r="B25" t="s">
        <v>593</v>
      </c>
      <c r="C25" t="s">
        <v>87</v>
      </c>
      <c r="D25">
        <v>0.90576051660493095</v>
      </c>
      <c r="E25">
        <v>0.35204761264712736</v>
      </c>
      <c r="F25">
        <v>0.86343655671740549</v>
      </c>
      <c r="G25">
        <v>0.29548038969369295</v>
      </c>
      <c r="W25" t="s">
        <v>593</v>
      </c>
      <c r="X25">
        <v>7.6809165582848353E-3</v>
      </c>
      <c r="Y25">
        <v>0.30504689128541995</v>
      </c>
      <c r="Z25">
        <v>1.2047761163134923E-2</v>
      </c>
      <c r="AA25">
        <v>0.33386152738998398</v>
      </c>
      <c r="AC25" t="s">
        <v>593</v>
      </c>
      <c r="AD25" t="s">
        <v>91</v>
      </c>
      <c r="AE25" t="s">
        <v>92</v>
      </c>
      <c r="AF25">
        <v>0.33386152738998398</v>
      </c>
    </row>
    <row r="26" spans="2:32" x14ac:dyDescent="0.45">
      <c r="B26" t="s">
        <v>594</v>
      </c>
      <c r="C26" t="s">
        <v>87</v>
      </c>
      <c r="D26">
        <v>0.9171188623734694</v>
      </c>
      <c r="E26">
        <v>0.37549168005160122</v>
      </c>
      <c r="F26">
        <v>0.87319376606397592</v>
      </c>
      <c r="G26">
        <v>0.32360278903055367</v>
      </c>
      <c r="W26" t="s">
        <v>594</v>
      </c>
      <c r="X26">
        <v>4.7446374336650261E-3</v>
      </c>
      <c r="Y26">
        <v>0.2605145626286634</v>
      </c>
      <c r="Z26">
        <v>8.8696345911281234E-3</v>
      </c>
      <c r="AA26">
        <v>0.29923083628194452</v>
      </c>
      <c r="AC26" t="s">
        <v>594</v>
      </c>
      <c r="AD26" t="s">
        <v>91</v>
      </c>
      <c r="AE26" t="s">
        <v>92</v>
      </c>
      <c r="AF26">
        <v>0.29923083628194452</v>
      </c>
    </row>
    <row r="27" spans="2:32" x14ac:dyDescent="0.45">
      <c r="B27" t="s">
        <v>595</v>
      </c>
      <c r="C27" t="s">
        <v>87</v>
      </c>
      <c r="D27">
        <v>0.91682171621911213</v>
      </c>
      <c r="E27">
        <v>0.34791616724529406</v>
      </c>
      <c r="F27">
        <v>0.87452751954220498</v>
      </c>
      <c r="G27">
        <v>0.3099818362581796</v>
      </c>
      <c r="W27" t="s">
        <v>595</v>
      </c>
      <c r="X27">
        <v>5.1196288792660603E-3</v>
      </c>
      <c r="Y27">
        <v>0.29984779943738565</v>
      </c>
      <c r="Z27">
        <v>8.4885227799448744E-3</v>
      </c>
      <c r="AA27">
        <v>0.31695157389745215</v>
      </c>
      <c r="AC27" t="s">
        <v>595</v>
      </c>
      <c r="AD27" t="s">
        <v>91</v>
      </c>
      <c r="AE27" t="s">
        <v>92</v>
      </c>
      <c r="AF27">
        <v>0.31695157389745215</v>
      </c>
    </row>
    <row r="28" spans="2:32" x14ac:dyDescent="0.45">
      <c r="B28" t="s">
        <v>596</v>
      </c>
      <c r="C28" t="s">
        <v>87</v>
      </c>
      <c r="D28">
        <v>0.93050972562860801</v>
      </c>
      <c r="E28">
        <v>0.38142028610088213</v>
      </c>
      <c r="F28">
        <v>0.88514175979411425</v>
      </c>
      <c r="G28">
        <v>0.32232984331877923</v>
      </c>
      <c r="W28" t="s">
        <v>596</v>
      </c>
      <c r="X28">
        <v>3.411267828304219E-3</v>
      </c>
      <c r="Y28">
        <v>0.24138699111160525</v>
      </c>
      <c r="Z28">
        <v>7.3906334501358919E-3</v>
      </c>
      <c r="AA28">
        <v>0.30603262201583176</v>
      </c>
      <c r="AC28" t="s">
        <v>596</v>
      </c>
      <c r="AD28" t="s">
        <v>91</v>
      </c>
      <c r="AE28" t="s">
        <v>92</v>
      </c>
      <c r="AF28">
        <v>0.30603262201583176</v>
      </c>
    </row>
    <row r="29" spans="2:32" x14ac:dyDescent="0.45">
      <c r="B29" t="s">
        <v>597</v>
      </c>
      <c r="C29" t="s">
        <v>87</v>
      </c>
      <c r="D29">
        <v>0.92377139818452647</v>
      </c>
      <c r="E29">
        <v>0.37256935579533629</v>
      </c>
      <c r="F29">
        <v>0.88064216478595658</v>
      </c>
      <c r="G29">
        <v>0.31306127570494768</v>
      </c>
      <c r="W29" t="s">
        <v>597</v>
      </c>
      <c r="X29">
        <v>3.972319529452345E-3</v>
      </c>
      <c r="Y29">
        <v>0.24550409371537685</v>
      </c>
      <c r="Z29">
        <v>8.1614359980288678E-3</v>
      </c>
      <c r="AA29">
        <v>0.307372368047652</v>
      </c>
      <c r="AC29" t="s">
        <v>597</v>
      </c>
      <c r="AD29" t="s">
        <v>91</v>
      </c>
      <c r="AE29" t="s">
        <v>92</v>
      </c>
      <c r="AF29">
        <v>0.307372368047652</v>
      </c>
    </row>
    <row r="30" spans="2:32" x14ac:dyDescent="0.45">
      <c r="B30" t="s">
        <v>598</v>
      </c>
      <c r="C30" t="s">
        <v>87</v>
      </c>
      <c r="D30">
        <v>0.925613726387715</v>
      </c>
      <c r="E30">
        <v>0.37078880422308741</v>
      </c>
      <c r="F30">
        <v>0.88428793037539088</v>
      </c>
      <c r="G30">
        <v>0.30833521169325945</v>
      </c>
      <c r="W30" t="s">
        <v>598</v>
      </c>
      <c r="X30">
        <v>4.2727942451431184E-3</v>
      </c>
      <c r="Y30">
        <v>0.25633599427584336</v>
      </c>
      <c r="Z30">
        <v>8.3118228990473903E-3</v>
      </c>
      <c r="AA30">
        <v>0.32257860583361397</v>
      </c>
      <c r="AC30" t="s">
        <v>598</v>
      </c>
      <c r="AD30" t="s">
        <v>91</v>
      </c>
      <c r="AE30" t="s">
        <v>92</v>
      </c>
      <c r="AF30">
        <v>0.32257860583361397</v>
      </c>
    </row>
    <row r="31" spans="2:32" x14ac:dyDescent="0.45">
      <c r="B31" t="s">
        <v>599</v>
      </c>
      <c r="C31" t="s">
        <v>87</v>
      </c>
      <c r="D31">
        <v>0.9193903100521984</v>
      </c>
      <c r="E31">
        <v>0.37894539429918955</v>
      </c>
      <c r="F31">
        <v>0.87661746647711725</v>
      </c>
      <c r="G31">
        <v>0.31831893070656803</v>
      </c>
      <c r="W31" t="s">
        <v>599</v>
      </c>
      <c r="X31">
        <v>4.6846211587604084E-3</v>
      </c>
      <c r="Y31">
        <v>0.24835332845860919</v>
      </c>
      <c r="Z31">
        <v>9.0655631352800706E-3</v>
      </c>
      <c r="AA31">
        <v>0.31289938697010511</v>
      </c>
      <c r="AC31" t="s">
        <v>599</v>
      </c>
      <c r="AD31" t="s">
        <v>91</v>
      </c>
      <c r="AE31" t="s">
        <v>92</v>
      </c>
      <c r="AF31">
        <v>0.31289938697010511</v>
      </c>
    </row>
    <row r="32" spans="2:32" x14ac:dyDescent="0.45">
      <c r="B32" t="s">
        <v>600</v>
      </c>
      <c r="C32" t="s">
        <v>87</v>
      </c>
      <c r="D32">
        <v>0.92458782283814089</v>
      </c>
      <c r="E32">
        <v>0.3517923893095653</v>
      </c>
      <c r="F32">
        <v>0.88852435618778369</v>
      </c>
      <c r="G32">
        <v>0.29362614212794824</v>
      </c>
      <c r="W32" t="s">
        <v>600</v>
      </c>
      <c r="X32">
        <v>4.4247294129384175E-3</v>
      </c>
      <c r="Y32">
        <v>0.27097487474891191</v>
      </c>
      <c r="Z32">
        <v>8.0808942129222874E-3</v>
      </c>
      <c r="AA32">
        <v>0.33812660197642452</v>
      </c>
      <c r="AC32" t="s">
        <v>600</v>
      </c>
      <c r="AD32" t="s">
        <v>91</v>
      </c>
      <c r="AE32" t="s">
        <v>92</v>
      </c>
      <c r="AF32">
        <v>0.33812660197642452</v>
      </c>
    </row>
    <row r="33" spans="2:32" x14ac:dyDescent="0.45">
      <c r="B33" t="s">
        <v>601</v>
      </c>
      <c r="C33" t="s">
        <v>87</v>
      </c>
      <c r="D33">
        <v>0.91974521265942</v>
      </c>
      <c r="E33">
        <v>0.36226221154149069</v>
      </c>
      <c r="F33">
        <v>0.88106251763986054</v>
      </c>
      <c r="G33">
        <v>0.3037033702290316</v>
      </c>
      <c r="W33" t="s">
        <v>601</v>
      </c>
      <c r="X33">
        <v>5.2494968540755466E-3</v>
      </c>
      <c r="Y33">
        <v>0.26890676391115698</v>
      </c>
      <c r="Z33">
        <v>9.4175395521894131E-3</v>
      </c>
      <c r="AA33">
        <v>0.33307303587820941</v>
      </c>
      <c r="AC33" t="s">
        <v>601</v>
      </c>
      <c r="AD33" t="s">
        <v>91</v>
      </c>
      <c r="AE33" t="s">
        <v>92</v>
      </c>
      <c r="AF33">
        <v>0.33307303587820941</v>
      </c>
    </row>
    <row r="34" spans="2:32" x14ac:dyDescent="0.45">
      <c r="B34" t="s">
        <v>602</v>
      </c>
      <c r="C34" t="s">
        <v>87</v>
      </c>
      <c r="D34">
        <v>0.92100275153517197</v>
      </c>
      <c r="E34">
        <v>0.34553167839595555</v>
      </c>
      <c r="F34">
        <v>0.88474355518750269</v>
      </c>
      <c r="G34">
        <v>0.2873272089712367</v>
      </c>
      <c r="W34" t="s">
        <v>602</v>
      </c>
      <c r="X34">
        <v>5.4572346444525591E-3</v>
      </c>
      <c r="Y34">
        <v>0.29365419932495324</v>
      </c>
      <c r="Z34">
        <v>9.3224984442920877E-3</v>
      </c>
      <c r="AA34">
        <v>0.35123814814281329</v>
      </c>
      <c r="AC34" t="s">
        <v>602</v>
      </c>
      <c r="AD34" t="s">
        <v>91</v>
      </c>
      <c r="AE34" t="s">
        <v>92</v>
      </c>
      <c r="AF34">
        <v>0.35123814814281329</v>
      </c>
    </row>
    <row r="35" spans="2:32" x14ac:dyDescent="0.45">
      <c r="B35" t="s">
        <v>603</v>
      </c>
      <c r="C35" t="s">
        <v>87</v>
      </c>
      <c r="D35">
        <v>0.35896325774497717</v>
      </c>
      <c r="E35">
        <v>0.36137541440054072</v>
      </c>
      <c r="F35">
        <v>0.35897661970586303</v>
      </c>
      <c r="G35">
        <v>0.42261935026402225</v>
      </c>
      <c r="W35" t="s">
        <v>603</v>
      </c>
      <c r="X35">
        <v>0.30494141163198607</v>
      </c>
      <c r="Y35">
        <v>0.30400153882265013</v>
      </c>
      <c r="Z35">
        <v>0.18077443313578065</v>
      </c>
      <c r="AA35">
        <v>0.16189505688846531</v>
      </c>
      <c r="AC35" t="s">
        <v>604</v>
      </c>
      <c r="AD35" t="s">
        <v>91</v>
      </c>
      <c r="AE35" t="s">
        <v>92</v>
      </c>
      <c r="AF35">
        <v>0.1177575084679105</v>
      </c>
    </row>
    <row r="36" spans="2:32" x14ac:dyDescent="0.45">
      <c r="B36" t="s">
        <v>605</v>
      </c>
      <c r="C36" t="s">
        <v>87</v>
      </c>
      <c r="D36">
        <v>0.35894572547261971</v>
      </c>
      <c r="E36">
        <v>0.3828649124654292</v>
      </c>
      <c r="F36">
        <v>0.392653899083302</v>
      </c>
      <c r="G36">
        <v>0.38552594700385279</v>
      </c>
      <c r="W36" t="s">
        <v>605</v>
      </c>
      <c r="X36">
        <v>0.38086988496908825</v>
      </c>
      <c r="Y36">
        <v>0.34478651055354059</v>
      </c>
      <c r="Z36">
        <v>0.25925491612238122</v>
      </c>
      <c r="AA36">
        <v>0.23476922991783447</v>
      </c>
      <c r="AC36" t="s">
        <v>606</v>
      </c>
      <c r="AD36" t="s">
        <v>91</v>
      </c>
      <c r="AE36" t="s">
        <v>92</v>
      </c>
      <c r="AF36">
        <v>0.14168064318097942</v>
      </c>
    </row>
    <row r="37" spans="2:32" x14ac:dyDescent="0.45">
      <c r="B37" t="s">
        <v>607</v>
      </c>
      <c r="C37" t="s">
        <v>87</v>
      </c>
      <c r="D37">
        <v>0.4086821601470555</v>
      </c>
      <c r="E37">
        <v>0.41592415507747105</v>
      </c>
      <c r="F37">
        <v>0.41432703637200136</v>
      </c>
      <c r="G37">
        <v>0.4079528731279547</v>
      </c>
      <c r="W37" t="s">
        <v>607</v>
      </c>
      <c r="X37">
        <v>0.30367271134406221</v>
      </c>
      <c r="Y37">
        <v>0.28068117545221738</v>
      </c>
      <c r="Z37">
        <v>0.22664214893784587</v>
      </c>
      <c r="AA37">
        <v>0.2038132164313462</v>
      </c>
      <c r="AC37" t="s">
        <v>608</v>
      </c>
      <c r="AD37" t="s">
        <v>91</v>
      </c>
      <c r="AE37" t="s">
        <v>92</v>
      </c>
      <c r="AF37">
        <v>0.15362470356889099</v>
      </c>
    </row>
    <row r="38" spans="2:32" x14ac:dyDescent="0.45">
      <c r="B38" t="s">
        <v>609</v>
      </c>
      <c r="C38" t="s">
        <v>87</v>
      </c>
      <c r="D38">
        <v>0.35509278349221679</v>
      </c>
      <c r="E38">
        <v>0.37005635368349143</v>
      </c>
      <c r="F38">
        <v>0.36567952634923007</v>
      </c>
      <c r="G38">
        <v>0.36604887779036821</v>
      </c>
      <c r="W38" t="s">
        <v>609</v>
      </c>
      <c r="X38">
        <v>0.36457732008211047</v>
      </c>
      <c r="Y38">
        <v>0.32264008844781761</v>
      </c>
      <c r="Z38">
        <v>0.27304106852864535</v>
      </c>
      <c r="AA38">
        <v>0.24785617522813774</v>
      </c>
      <c r="AC38" t="s">
        <v>610</v>
      </c>
      <c r="AD38" t="s">
        <v>91</v>
      </c>
      <c r="AE38" t="s">
        <v>92</v>
      </c>
      <c r="AF38">
        <v>0.22973557127585897</v>
      </c>
    </row>
    <row r="39" spans="2:32" x14ac:dyDescent="0.45">
      <c r="B39" t="s">
        <v>611</v>
      </c>
      <c r="C39" t="s">
        <v>87</v>
      </c>
      <c r="D39">
        <v>0.40586047513923545</v>
      </c>
      <c r="E39">
        <v>0.42085648805716058</v>
      </c>
      <c r="F39">
        <v>0.41488404504835813</v>
      </c>
      <c r="G39">
        <v>0.42940882903970001</v>
      </c>
      <c r="W39" t="s">
        <v>611</v>
      </c>
      <c r="X39">
        <v>0.25872748980094562</v>
      </c>
      <c r="Y39">
        <v>0.24279801065834761</v>
      </c>
      <c r="Z39">
        <v>0.19238355481626962</v>
      </c>
      <c r="AA39">
        <v>0.17737164486820906</v>
      </c>
      <c r="AC39" t="s">
        <v>612</v>
      </c>
      <c r="AD39" t="s">
        <v>91</v>
      </c>
      <c r="AE39" t="s">
        <v>92</v>
      </c>
      <c r="AF39">
        <v>0.14380845022354821</v>
      </c>
    </row>
    <row r="40" spans="2:32" x14ac:dyDescent="0.45">
      <c r="B40" t="s">
        <v>613</v>
      </c>
      <c r="C40" t="s">
        <v>87</v>
      </c>
      <c r="D40">
        <v>0.41231182913364561</v>
      </c>
      <c r="E40">
        <v>0.41919251364188259</v>
      </c>
      <c r="F40">
        <v>0.45674730563718341</v>
      </c>
      <c r="G40">
        <v>0.48238791540664405</v>
      </c>
      <c r="W40" t="s">
        <v>613</v>
      </c>
      <c r="X40">
        <v>0.27437317343822626</v>
      </c>
      <c r="Y40">
        <v>0.28696018815448643</v>
      </c>
      <c r="Z40">
        <v>0.19430450252436607</v>
      </c>
      <c r="AA40">
        <v>0.18048697839239</v>
      </c>
      <c r="AC40" t="s">
        <v>614</v>
      </c>
      <c r="AD40" t="s">
        <v>91</v>
      </c>
      <c r="AE40" t="s">
        <v>92</v>
      </c>
      <c r="AF40">
        <v>0.14182461896849849</v>
      </c>
    </row>
    <row r="41" spans="2:32" x14ac:dyDescent="0.45">
      <c r="B41" t="s">
        <v>615</v>
      </c>
      <c r="C41" t="s">
        <v>87</v>
      </c>
      <c r="D41">
        <v>0.36250197492533309</v>
      </c>
      <c r="E41">
        <v>0.38704426834102773</v>
      </c>
      <c r="F41">
        <v>0.44977007048545242</v>
      </c>
      <c r="G41">
        <v>0.46415406285148547</v>
      </c>
      <c r="W41" t="s">
        <v>615</v>
      </c>
      <c r="X41">
        <v>0.34928321589591033</v>
      </c>
      <c r="Y41">
        <v>0.34223874419794625</v>
      </c>
      <c r="Z41">
        <v>0.22359664534086002</v>
      </c>
      <c r="AA41">
        <v>0.20355851629112806</v>
      </c>
      <c r="AC41" t="s">
        <v>616</v>
      </c>
      <c r="AD41" t="s">
        <v>91</v>
      </c>
      <c r="AE41" t="s">
        <v>92</v>
      </c>
      <c r="AF41">
        <v>0.15512194406589006</v>
      </c>
    </row>
    <row r="42" spans="2:32" x14ac:dyDescent="0.45">
      <c r="B42" t="s">
        <v>617</v>
      </c>
      <c r="C42" t="s">
        <v>87</v>
      </c>
      <c r="D42">
        <v>0.46735901903765503</v>
      </c>
      <c r="E42">
        <v>0.45185523634730979</v>
      </c>
      <c r="F42">
        <v>0.51824751570149108</v>
      </c>
      <c r="G42">
        <v>0.50313112185448583</v>
      </c>
      <c r="W42" t="s">
        <v>617</v>
      </c>
      <c r="X42">
        <v>0.28229212414216398</v>
      </c>
      <c r="Y42">
        <v>0.28810094354483623</v>
      </c>
      <c r="Z42">
        <v>0.19173941800352023</v>
      </c>
      <c r="AA42">
        <v>0.19968951403203419</v>
      </c>
      <c r="AC42" t="s">
        <v>618</v>
      </c>
      <c r="AD42" t="s">
        <v>91</v>
      </c>
      <c r="AE42" t="s">
        <v>92</v>
      </c>
      <c r="AF42">
        <v>9.9883211450543533E-2</v>
      </c>
    </row>
    <row r="43" spans="2:32" x14ac:dyDescent="0.45">
      <c r="B43" t="s">
        <v>619</v>
      </c>
      <c r="C43" t="s">
        <v>87</v>
      </c>
      <c r="D43">
        <v>0.43611288079985733</v>
      </c>
      <c r="E43">
        <v>0.42666913144422025</v>
      </c>
      <c r="F43">
        <v>0.47842691308871482</v>
      </c>
      <c r="G43">
        <v>0.48950515597370181</v>
      </c>
      <c r="W43" t="s">
        <v>619</v>
      </c>
      <c r="X43">
        <v>0.26135340271108282</v>
      </c>
      <c r="Y43">
        <v>0.27073560965595389</v>
      </c>
      <c r="Z43">
        <v>0.20441245113424836</v>
      </c>
      <c r="AA43">
        <v>0.18474754962209863</v>
      </c>
      <c r="AC43" t="s">
        <v>620</v>
      </c>
      <c r="AD43" t="s">
        <v>91</v>
      </c>
      <c r="AE43" t="s">
        <v>92</v>
      </c>
      <c r="AF43">
        <v>0.14444747802059477</v>
      </c>
    </row>
    <row r="44" spans="2:32" x14ac:dyDescent="0.45">
      <c r="B44" t="s">
        <v>621</v>
      </c>
      <c r="C44" t="s">
        <v>87</v>
      </c>
      <c r="D44">
        <v>0.38728793308033582</v>
      </c>
      <c r="E44">
        <v>0.37390684347510766</v>
      </c>
      <c r="F44">
        <v>0.49122218959994901</v>
      </c>
      <c r="G44">
        <v>0.47786688105631198</v>
      </c>
      <c r="W44" t="s">
        <v>621</v>
      </c>
      <c r="X44">
        <v>0.38979190506976213</v>
      </c>
      <c r="Y44">
        <v>0.40511205954678564</v>
      </c>
      <c r="Z44">
        <v>0.16947289841559021</v>
      </c>
      <c r="AA44">
        <v>0.18188496431213583</v>
      </c>
      <c r="AC44" t="s">
        <v>622</v>
      </c>
      <c r="AD44" t="s">
        <v>91</v>
      </c>
      <c r="AE44" t="s">
        <v>92</v>
      </c>
      <c r="AF44">
        <v>0.25327337870084349</v>
      </c>
    </row>
    <row r="45" spans="2:32" x14ac:dyDescent="0.45">
      <c r="B45" t="s">
        <v>623</v>
      </c>
      <c r="C45" t="s">
        <v>87</v>
      </c>
      <c r="D45">
        <v>0.40421585300197999</v>
      </c>
      <c r="E45">
        <v>0.41277289399801681</v>
      </c>
      <c r="F45">
        <v>0.52572951685263292</v>
      </c>
      <c r="G45">
        <v>0.53671195344705247</v>
      </c>
      <c r="W45" t="s">
        <v>623</v>
      </c>
      <c r="X45">
        <v>0.33853394844056733</v>
      </c>
      <c r="Y45">
        <v>0.32355963913034108</v>
      </c>
      <c r="Z45">
        <v>0.124714789643249</v>
      </c>
      <c r="AA45">
        <v>0.13017892927993216</v>
      </c>
      <c r="AC45" t="s">
        <v>624</v>
      </c>
      <c r="AD45" t="s">
        <v>91</v>
      </c>
      <c r="AE45" t="s">
        <v>92</v>
      </c>
      <c r="AF45">
        <v>0.17689635362252346</v>
      </c>
    </row>
    <row r="46" spans="2:32" x14ac:dyDescent="0.45">
      <c r="B46" t="s">
        <v>625</v>
      </c>
      <c r="C46" t="s">
        <v>87</v>
      </c>
      <c r="D46">
        <v>0.42314998651309121</v>
      </c>
      <c r="E46">
        <v>0.44677242603865086</v>
      </c>
      <c r="F46">
        <v>0.48717517353249734</v>
      </c>
      <c r="G46">
        <v>0.47581553948037436</v>
      </c>
      <c r="W46" t="s">
        <v>625</v>
      </c>
      <c r="X46">
        <v>0.28210654514365119</v>
      </c>
      <c r="Y46">
        <v>0.28567184467720325</v>
      </c>
      <c r="Z46">
        <v>0.14823859243871551</v>
      </c>
      <c r="AA46">
        <v>0.14745034297220083</v>
      </c>
      <c r="AC46" t="s">
        <v>626</v>
      </c>
      <c r="AD46" t="s">
        <v>91</v>
      </c>
      <c r="AE46" t="s">
        <v>92</v>
      </c>
      <c r="AF46">
        <v>0.18928908000529274</v>
      </c>
    </row>
    <row r="47" spans="2:32" x14ac:dyDescent="0.45">
      <c r="B47" t="s">
        <v>627</v>
      </c>
      <c r="C47" t="s">
        <v>87</v>
      </c>
      <c r="D47">
        <v>0.42769132183891173</v>
      </c>
      <c r="E47">
        <v>0.44965385097749994</v>
      </c>
      <c r="F47">
        <v>0.50947742778203031</v>
      </c>
      <c r="G47">
        <v>0.50511230423597719</v>
      </c>
      <c r="W47" t="s">
        <v>627</v>
      </c>
      <c r="X47">
        <v>0.30261843962769175</v>
      </c>
      <c r="Y47">
        <v>0.28541631972295317</v>
      </c>
      <c r="Z47">
        <v>0.14425594432851099</v>
      </c>
      <c r="AA47">
        <v>0.12496589065365327</v>
      </c>
      <c r="AC47" t="s">
        <v>628</v>
      </c>
      <c r="AD47" t="s">
        <v>91</v>
      </c>
      <c r="AE47" t="s">
        <v>92</v>
      </c>
      <c r="AF47">
        <v>0.15098390894984109</v>
      </c>
    </row>
    <row r="48" spans="2:32" x14ac:dyDescent="0.45">
      <c r="B48" t="s">
        <v>629</v>
      </c>
      <c r="C48" t="s">
        <v>87</v>
      </c>
      <c r="D48">
        <v>0.31850879801958748</v>
      </c>
      <c r="E48">
        <v>0.30464663606962999</v>
      </c>
      <c r="F48">
        <v>0.49254268354423875</v>
      </c>
      <c r="G48">
        <v>0.48686786438579505</v>
      </c>
      <c r="W48" t="s">
        <v>629</v>
      </c>
      <c r="X48">
        <v>0.46093377799908958</v>
      </c>
      <c r="Y48">
        <v>0.4714757276072527</v>
      </c>
      <c r="Z48">
        <v>0.20135175683026768</v>
      </c>
      <c r="AA48">
        <v>0.20210470076894838</v>
      </c>
      <c r="AC48" t="s">
        <v>630</v>
      </c>
      <c r="AD48" t="s">
        <v>91</v>
      </c>
      <c r="AE48" t="s">
        <v>92</v>
      </c>
      <c r="AF48">
        <v>0.33065960471084793</v>
      </c>
    </row>
    <row r="49" spans="2:32" x14ac:dyDescent="0.45">
      <c r="B49" t="s">
        <v>631</v>
      </c>
      <c r="C49" t="s">
        <v>87</v>
      </c>
      <c r="D49">
        <v>0.30754984432420074</v>
      </c>
      <c r="E49">
        <v>0.30378178285422802</v>
      </c>
      <c r="F49">
        <v>0.43300279207655273</v>
      </c>
      <c r="G49">
        <v>0.45104372340425525</v>
      </c>
      <c r="W49" t="s">
        <v>631</v>
      </c>
      <c r="X49">
        <v>0.50810696219848139</v>
      </c>
      <c r="Y49">
        <v>0.50361032331228395</v>
      </c>
      <c r="Z49">
        <v>0.28329065559790129</v>
      </c>
      <c r="AA49">
        <v>0.25688986813710529</v>
      </c>
      <c r="AC49" t="s">
        <v>632</v>
      </c>
      <c r="AD49" t="s">
        <v>91</v>
      </c>
      <c r="AE49" t="s">
        <v>92</v>
      </c>
      <c r="AF49">
        <v>0.2740321329129064</v>
      </c>
    </row>
    <row r="50" spans="2:32" x14ac:dyDescent="0.45">
      <c r="B50" t="s">
        <v>633</v>
      </c>
      <c r="C50" t="s">
        <v>87</v>
      </c>
      <c r="D50">
        <v>0.34696930789297081</v>
      </c>
      <c r="E50">
        <v>0.33443494510873267</v>
      </c>
      <c r="F50">
        <v>0.42790097756906187</v>
      </c>
      <c r="G50">
        <v>0.44228467302545149</v>
      </c>
      <c r="W50" t="s">
        <v>633</v>
      </c>
      <c r="X50">
        <v>0.42418101410632952</v>
      </c>
      <c r="Y50">
        <v>0.4405678073281557</v>
      </c>
      <c r="Z50">
        <v>0.23530345533918906</v>
      </c>
      <c r="AA50">
        <v>0.23893209123383707</v>
      </c>
      <c r="AC50" t="s">
        <v>634</v>
      </c>
      <c r="AD50" t="s">
        <v>91</v>
      </c>
      <c r="AE50" t="s">
        <v>92</v>
      </c>
      <c r="AF50">
        <v>0.35519698150017698</v>
      </c>
    </row>
    <row r="51" spans="2:32" x14ac:dyDescent="0.45">
      <c r="B51" t="s">
        <v>635</v>
      </c>
      <c r="C51" t="s">
        <v>87</v>
      </c>
      <c r="D51">
        <v>0.30523987320927209</v>
      </c>
      <c r="E51">
        <v>0.31459718076037579</v>
      </c>
      <c r="F51">
        <v>0.39804920785629905</v>
      </c>
      <c r="G51">
        <v>0.40437987661186797</v>
      </c>
      <c r="W51" t="s">
        <v>635</v>
      </c>
      <c r="X51">
        <v>0.49800356999059925</v>
      </c>
      <c r="Y51">
        <v>0.49165346093662915</v>
      </c>
      <c r="Z51">
        <v>0.29243610675624854</v>
      </c>
      <c r="AA51">
        <v>0.27269047120976292</v>
      </c>
      <c r="AC51" t="s">
        <v>636</v>
      </c>
      <c r="AD51" t="s">
        <v>91</v>
      </c>
      <c r="AE51" t="s">
        <v>92</v>
      </c>
      <c r="AF51">
        <v>0.22784049171537471</v>
      </c>
    </row>
    <row r="52" spans="2:32" x14ac:dyDescent="0.45">
      <c r="B52" t="s">
        <v>637</v>
      </c>
      <c r="C52" t="s">
        <v>87</v>
      </c>
      <c r="D52">
        <v>0.30376535230984536</v>
      </c>
      <c r="E52">
        <v>0.31745527714852295</v>
      </c>
      <c r="F52">
        <v>0.39628914490699296</v>
      </c>
      <c r="G52">
        <v>0.41209361338957406</v>
      </c>
      <c r="W52" t="s">
        <v>637</v>
      </c>
      <c r="X52">
        <v>0.4684301013679294</v>
      </c>
      <c r="Y52">
        <v>0.45990159320355589</v>
      </c>
      <c r="Z52">
        <v>0.29283416366874476</v>
      </c>
      <c r="AA52">
        <v>0.27586641882310309</v>
      </c>
      <c r="AC52" t="s">
        <v>638</v>
      </c>
      <c r="AD52" t="s">
        <v>91</v>
      </c>
      <c r="AE52" t="s">
        <v>92</v>
      </c>
      <c r="AF52">
        <v>0.20658182207682751</v>
      </c>
    </row>
    <row r="53" spans="2:32" x14ac:dyDescent="0.45">
      <c r="B53" t="s">
        <v>639</v>
      </c>
      <c r="C53" t="s">
        <v>87</v>
      </c>
      <c r="D53">
        <v>0.36863097779414428</v>
      </c>
      <c r="E53">
        <v>0.37228679557380595</v>
      </c>
      <c r="F53">
        <v>0.44582111601011243</v>
      </c>
      <c r="G53">
        <v>0.4608285184056834</v>
      </c>
      <c r="W53" t="s">
        <v>639</v>
      </c>
      <c r="X53">
        <v>0.3812425781563778</v>
      </c>
      <c r="Y53">
        <v>0.36929591816701002</v>
      </c>
      <c r="Z53">
        <v>0.25962289050909959</v>
      </c>
      <c r="AA53">
        <v>0.24572895028475142</v>
      </c>
      <c r="AC53" t="s">
        <v>640</v>
      </c>
      <c r="AD53" t="s">
        <v>91</v>
      </c>
      <c r="AE53" t="s">
        <v>92</v>
      </c>
      <c r="AF53">
        <v>0.18164334046554201</v>
      </c>
    </row>
    <row r="54" spans="2:32" x14ac:dyDescent="0.45">
      <c r="B54" t="s">
        <v>641</v>
      </c>
      <c r="C54" t="s">
        <v>87</v>
      </c>
      <c r="D54">
        <v>0.36614252321160246</v>
      </c>
      <c r="E54">
        <v>0.36453249530269011</v>
      </c>
      <c r="F54">
        <v>0.43336257981154691</v>
      </c>
      <c r="G54">
        <v>0.43708699881876767</v>
      </c>
      <c r="W54" t="s">
        <v>641</v>
      </c>
      <c r="X54">
        <v>0.37387398564099039</v>
      </c>
      <c r="Y54">
        <v>0.38115318471745752</v>
      </c>
      <c r="Z54">
        <v>0.21849134257522101</v>
      </c>
      <c r="AA54">
        <v>0.21692600937308648</v>
      </c>
      <c r="AC54" t="s">
        <v>603</v>
      </c>
      <c r="AD54" t="s">
        <v>91</v>
      </c>
      <c r="AE54" t="s">
        <v>92</v>
      </c>
      <c r="AF54">
        <v>0.30226913562073104</v>
      </c>
    </row>
    <row r="55" spans="2:32" x14ac:dyDescent="0.45">
      <c r="B55" t="s">
        <v>604</v>
      </c>
      <c r="C55" t="s">
        <v>87</v>
      </c>
      <c r="D55">
        <v>0.46975946701248872</v>
      </c>
      <c r="E55">
        <v>0.49308168854785817</v>
      </c>
      <c r="F55">
        <v>0.48110338464398195</v>
      </c>
      <c r="G55">
        <v>0.47850895207803296</v>
      </c>
      <c r="W55" t="s">
        <v>604</v>
      </c>
      <c r="X55">
        <v>0.12067823307630664</v>
      </c>
      <c r="Y55">
        <v>0.11036453100092485</v>
      </c>
      <c r="Z55">
        <v>0.1003529188889417</v>
      </c>
      <c r="AA55">
        <v>9.2365784601329562E-2</v>
      </c>
      <c r="AC55" t="s">
        <v>605</v>
      </c>
      <c r="AD55" t="s">
        <v>91</v>
      </c>
      <c r="AE55" t="s">
        <v>92</v>
      </c>
      <c r="AF55">
        <v>0.37907310801109112</v>
      </c>
    </row>
    <row r="56" spans="2:32" x14ac:dyDescent="0.45">
      <c r="B56" t="s">
        <v>606</v>
      </c>
      <c r="C56" t="s">
        <v>87</v>
      </c>
      <c r="D56">
        <v>0.40110726224056703</v>
      </c>
      <c r="E56">
        <v>0.48306169906415247</v>
      </c>
      <c r="F56">
        <v>0.37755289200508602</v>
      </c>
      <c r="G56">
        <v>0.4663180337681479</v>
      </c>
      <c r="W56" t="s">
        <v>606</v>
      </c>
      <c r="X56">
        <v>0.14381084964902535</v>
      </c>
      <c r="Y56">
        <v>0.11379109290950176</v>
      </c>
      <c r="Z56">
        <v>0.11825993041581488</v>
      </c>
      <c r="AA56">
        <v>8.2336978702406416E-2</v>
      </c>
      <c r="AC56" t="s">
        <v>607</v>
      </c>
      <c r="AD56" t="s">
        <v>91</v>
      </c>
      <c r="AE56" t="s">
        <v>92</v>
      </c>
      <c r="AF56">
        <v>0.30208563495256019</v>
      </c>
    </row>
    <row r="57" spans="2:32" x14ac:dyDescent="0.45">
      <c r="B57" t="s">
        <v>608</v>
      </c>
      <c r="C57" t="s">
        <v>87</v>
      </c>
      <c r="D57">
        <v>0.43034655787698722</v>
      </c>
      <c r="E57">
        <v>0.45213367855917569</v>
      </c>
      <c r="F57">
        <v>0.47035298234016237</v>
      </c>
      <c r="G57">
        <v>0.44288487426142809</v>
      </c>
      <c r="W57" t="s">
        <v>608</v>
      </c>
      <c r="X57">
        <v>0.13896569516807869</v>
      </c>
      <c r="Y57">
        <v>0.15516439986894232</v>
      </c>
      <c r="Z57">
        <v>7.6272472054767393E-2</v>
      </c>
      <c r="AA57">
        <v>8.5106972537946024E-2</v>
      </c>
      <c r="AC57" t="s">
        <v>609</v>
      </c>
      <c r="AD57" t="s">
        <v>91</v>
      </c>
      <c r="AE57" t="s">
        <v>92</v>
      </c>
      <c r="AF57">
        <v>0.36123094934274019</v>
      </c>
    </row>
    <row r="58" spans="2:32" x14ac:dyDescent="0.45">
      <c r="B58" t="s">
        <v>610</v>
      </c>
      <c r="C58" t="s">
        <v>87</v>
      </c>
      <c r="D58">
        <v>0.42596732575200141</v>
      </c>
      <c r="E58">
        <v>0.42660706856506014</v>
      </c>
      <c r="F58">
        <v>0.4571571466255116</v>
      </c>
      <c r="G58">
        <v>0.44498217703956722</v>
      </c>
      <c r="W58" t="s">
        <v>610</v>
      </c>
      <c r="X58">
        <v>0.21104791906887707</v>
      </c>
      <c r="Y58">
        <v>0.23135209745495933</v>
      </c>
      <c r="Z58">
        <v>0.14880066565221986</v>
      </c>
      <c r="AA58">
        <v>0.14928789406463533</v>
      </c>
      <c r="AC58" t="s">
        <v>611</v>
      </c>
      <c r="AD58" t="s">
        <v>91</v>
      </c>
      <c r="AE58" t="s">
        <v>92</v>
      </c>
      <c r="AF58">
        <v>0.25642083712640001</v>
      </c>
    </row>
    <row r="59" spans="2:32" x14ac:dyDescent="0.45">
      <c r="B59" t="s">
        <v>612</v>
      </c>
      <c r="C59" t="s">
        <v>87</v>
      </c>
      <c r="D59">
        <v>0.46334858021431152</v>
      </c>
      <c r="E59">
        <v>0.44887120102545469</v>
      </c>
      <c r="F59">
        <v>0.49279747155021569</v>
      </c>
      <c r="G59">
        <v>0.47383614810050417</v>
      </c>
      <c r="W59" t="s">
        <v>612</v>
      </c>
      <c r="X59">
        <v>0.14542697845510466</v>
      </c>
      <c r="Y59">
        <v>0.14583559788740014</v>
      </c>
      <c r="Z59">
        <v>9.5121079487501842E-2</v>
      </c>
      <c r="AA59">
        <v>9.9701768813472216E-2</v>
      </c>
      <c r="AC59" t="s">
        <v>613</v>
      </c>
      <c r="AD59" t="s">
        <v>91</v>
      </c>
      <c r="AE59" t="s">
        <v>92</v>
      </c>
      <c r="AF59">
        <v>0.28534334604914663</v>
      </c>
    </row>
    <row r="60" spans="2:32" x14ac:dyDescent="0.45">
      <c r="B60" t="s">
        <v>614</v>
      </c>
      <c r="C60" t="s">
        <v>87</v>
      </c>
      <c r="D60">
        <v>0.49529105659139122</v>
      </c>
      <c r="E60">
        <v>0.47915255503359128</v>
      </c>
      <c r="F60">
        <v>0.48710424053863449</v>
      </c>
      <c r="G60">
        <v>0.47830004955526911</v>
      </c>
      <c r="W60" t="s">
        <v>614</v>
      </c>
      <c r="X60">
        <v>0.12171391910176727</v>
      </c>
      <c r="Y60">
        <v>0.14317891356401216</v>
      </c>
      <c r="Z60">
        <v>9.4865238373719185E-2</v>
      </c>
      <c r="AA60">
        <v>9.8860375092381617E-2</v>
      </c>
      <c r="AC60" t="s">
        <v>615</v>
      </c>
      <c r="AD60" t="s">
        <v>91</v>
      </c>
      <c r="AE60" t="s">
        <v>92</v>
      </c>
      <c r="AF60">
        <v>0.34750710265688617</v>
      </c>
    </row>
    <row r="61" spans="2:32" x14ac:dyDescent="0.45">
      <c r="B61" t="s">
        <v>616</v>
      </c>
      <c r="C61" t="s">
        <v>87</v>
      </c>
      <c r="D61">
        <v>0.39745976484410339</v>
      </c>
      <c r="E61">
        <v>0.42240975665208491</v>
      </c>
      <c r="F61">
        <v>0.42365009723027902</v>
      </c>
      <c r="G61">
        <v>0.4135857976351795</v>
      </c>
      <c r="W61" t="s">
        <v>616</v>
      </c>
      <c r="X61">
        <v>0.15059733122932234</v>
      </c>
      <c r="Y61">
        <v>0.1576876172406444</v>
      </c>
      <c r="Z61">
        <v>0.10094676256004598</v>
      </c>
      <c r="AA61">
        <v>9.8543159369952574E-2</v>
      </c>
      <c r="AC61" t="s">
        <v>617</v>
      </c>
      <c r="AD61" t="s">
        <v>91</v>
      </c>
      <c r="AE61" t="s">
        <v>92</v>
      </c>
      <c r="AF61">
        <v>0.28658718448240911</v>
      </c>
    </row>
    <row r="62" spans="2:32" x14ac:dyDescent="0.45">
      <c r="B62" t="s">
        <v>618</v>
      </c>
      <c r="C62" t="s">
        <v>87</v>
      </c>
      <c r="D62">
        <v>0.50743590591572996</v>
      </c>
      <c r="E62">
        <v>0.5110205588957375</v>
      </c>
      <c r="F62">
        <v>0.50783359900236236</v>
      </c>
      <c r="G62">
        <v>0.49109659976473075</v>
      </c>
      <c r="W62" t="s">
        <v>618</v>
      </c>
      <c r="X62">
        <v>8.8013071331637216E-2</v>
      </c>
      <c r="Y62">
        <v>0.10106299769346654</v>
      </c>
      <c r="Z62">
        <v>7.2819890479410107E-2</v>
      </c>
      <c r="AA62">
        <v>7.8414207065961403E-2</v>
      </c>
      <c r="AC62" t="s">
        <v>619</v>
      </c>
      <c r="AD62" t="s">
        <v>91</v>
      </c>
      <c r="AE62" t="s">
        <v>92</v>
      </c>
      <c r="AF62">
        <v>0.26900534499464235</v>
      </c>
    </row>
    <row r="63" spans="2:32" x14ac:dyDescent="0.45">
      <c r="B63" t="s">
        <v>620</v>
      </c>
      <c r="C63" t="s">
        <v>87</v>
      </c>
      <c r="D63">
        <v>0.4491835714795287</v>
      </c>
      <c r="E63">
        <v>0.48542786998599435</v>
      </c>
      <c r="F63">
        <v>0.46134058691911783</v>
      </c>
      <c r="G63">
        <v>0.4840536306387983</v>
      </c>
      <c r="W63" t="s">
        <v>620</v>
      </c>
      <c r="X63">
        <v>0.1225032764256254</v>
      </c>
      <c r="Y63">
        <v>0.14594965947551383</v>
      </c>
      <c r="Z63">
        <v>8.306779633584685E-2</v>
      </c>
      <c r="AA63">
        <v>9.4612091123378358E-2</v>
      </c>
      <c r="AC63" t="s">
        <v>621</v>
      </c>
      <c r="AD63" t="s">
        <v>91</v>
      </c>
      <c r="AE63" t="s">
        <v>92</v>
      </c>
      <c r="AF63">
        <v>0.40330289908569367</v>
      </c>
    </row>
    <row r="64" spans="2:32" x14ac:dyDescent="0.45">
      <c r="B64" t="s">
        <v>622</v>
      </c>
      <c r="C64" t="s">
        <v>87</v>
      </c>
      <c r="D64">
        <v>0.35146493536332335</v>
      </c>
      <c r="E64">
        <v>0.35861221189248621</v>
      </c>
      <c r="F64">
        <v>0.38791011262915376</v>
      </c>
      <c r="G64">
        <v>0.37901503780257445</v>
      </c>
      <c r="W64" t="s">
        <v>622</v>
      </c>
      <c r="X64">
        <v>0.25790711334585664</v>
      </c>
      <c r="Y64">
        <v>0.24957553427585891</v>
      </c>
      <c r="Z64">
        <v>0.1687639961819962</v>
      </c>
      <c r="AA64">
        <v>0.16477882569215999</v>
      </c>
      <c r="AC64" t="s">
        <v>623</v>
      </c>
      <c r="AD64" t="s">
        <v>91</v>
      </c>
      <c r="AE64" t="s">
        <v>92</v>
      </c>
      <c r="AF64">
        <v>0.33578357878865173</v>
      </c>
    </row>
    <row r="65" spans="2:32" x14ac:dyDescent="0.45">
      <c r="B65" t="s">
        <v>624</v>
      </c>
      <c r="C65" t="s">
        <v>87</v>
      </c>
      <c r="D65">
        <v>0.4212199522781705</v>
      </c>
      <c r="E65">
        <v>0.43002369956781994</v>
      </c>
      <c r="F65">
        <v>0.47310221761384602</v>
      </c>
      <c r="G65">
        <v>0.42405366719040061</v>
      </c>
      <c r="W65" t="s">
        <v>624</v>
      </c>
      <c r="X65">
        <v>0.17118983295866</v>
      </c>
      <c r="Y65">
        <v>0.17953250124861209</v>
      </c>
      <c r="Z65">
        <v>8.0468702565394665E-2</v>
      </c>
      <c r="AA65">
        <v>8.4145362643313043E-2</v>
      </c>
      <c r="AC65" t="s">
        <v>625</v>
      </c>
      <c r="AD65" t="s">
        <v>91</v>
      </c>
      <c r="AE65" t="s">
        <v>92</v>
      </c>
      <c r="AF65">
        <v>0.28432120382338427</v>
      </c>
    </row>
    <row r="66" spans="2:32" x14ac:dyDescent="0.45">
      <c r="B66" t="s">
        <v>626</v>
      </c>
      <c r="C66" t="s">
        <v>87</v>
      </c>
      <c r="D66">
        <v>0.41890462274053614</v>
      </c>
      <c r="E66">
        <v>0.41247181547317596</v>
      </c>
      <c r="F66">
        <v>0.48074910433054302</v>
      </c>
      <c r="G66">
        <v>0.42091656330043226</v>
      </c>
      <c r="W66" t="s">
        <v>626</v>
      </c>
      <c r="X66">
        <v>0.17858035494740829</v>
      </c>
      <c r="Y66">
        <v>0.19119167146438312</v>
      </c>
      <c r="Z66">
        <v>0.11200010431029943</v>
      </c>
      <c r="AA66">
        <v>0.12759471424206836</v>
      </c>
      <c r="AC66" t="s">
        <v>627</v>
      </c>
      <c r="AD66" t="s">
        <v>91</v>
      </c>
      <c r="AE66" t="s">
        <v>92</v>
      </c>
      <c r="AF66">
        <v>0.3010317290169458</v>
      </c>
    </row>
    <row r="67" spans="2:32" x14ac:dyDescent="0.45">
      <c r="B67" t="s">
        <v>628</v>
      </c>
      <c r="C67" t="s">
        <v>87</v>
      </c>
      <c r="D67">
        <v>0.41221610268024711</v>
      </c>
      <c r="E67">
        <v>0.44204677930932029</v>
      </c>
      <c r="F67">
        <v>0.43689087463345544</v>
      </c>
      <c r="G67">
        <v>0.45150163374375224</v>
      </c>
      <c r="W67" t="s">
        <v>628</v>
      </c>
      <c r="X67">
        <v>0.12480983457966735</v>
      </c>
      <c r="Y67">
        <v>0.15355957513719687</v>
      </c>
      <c r="Z67">
        <v>7.1641335779869378E-2</v>
      </c>
      <c r="AA67">
        <v>8.6449757418025547E-2</v>
      </c>
      <c r="AC67" t="s">
        <v>629</v>
      </c>
      <c r="AD67" t="s">
        <v>91</v>
      </c>
      <c r="AE67" t="s">
        <v>92</v>
      </c>
      <c r="AF67">
        <v>0.4681944811321303</v>
      </c>
    </row>
    <row r="68" spans="2:32" x14ac:dyDescent="0.45">
      <c r="B68" t="s">
        <v>630</v>
      </c>
      <c r="C68" t="s">
        <v>87</v>
      </c>
      <c r="D68">
        <v>0.385235532315717</v>
      </c>
      <c r="E68">
        <v>0.38884714647975105</v>
      </c>
      <c r="F68">
        <v>0.45713468476024682</v>
      </c>
      <c r="G68">
        <v>0.44720780499019752</v>
      </c>
      <c r="W68" t="s">
        <v>630</v>
      </c>
      <c r="X68">
        <v>0.31888924022609799</v>
      </c>
      <c r="Y68">
        <v>0.33336859705444577</v>
      </c>
      <c r="Z68">
        <v>0.18057756577342135</v>
      </c>
      <c r="AA68">
        <v>0.19994189909418261</v>
      </c>
      <c r="AC68" t="s">
        <v>631</v>
      </c>
      <c r="AD68" t="s">
        <v>91</v>
      </c>
      <c r="AE68" t="s">
        <v>92</v>
      </c>
      <c r="AF68">
        <v>0.50197480547230122</v>
      </c>
    </row>
    <row r="69" spans="2:32" x14ac:dyDescent="0.45">
      <c r="B69" t="s">
        <v>632</v>
      </c>
      <c r="C69" t="s">
        <v>87</v>
      </c>
      <c r="D69">
        <v>0.39838987496767697</v>
      </c>
      <c r="E69">
        <v>0.39741009928264148</v>
      </c>
      <c r="F69">
        <v>0.46092924188936352</v>
      </c>
      <c r="G69">
        <v>0.44473549566088916</v>
      </c>
      <c r="W69" t="s">
        <v>632</v>
      </c>
      <c r="X69">
        <v>0.24784150928028442</v>
      </c>
      <c r="Y69">
        <v>0.27607598602492067</v>
      </c>
      <c r="Z69">
        <v>0.13551175183060826</v>
      </c>
      <c r="AA69">
        <v>0.16069301668751673</v>
      </c>
      <c r="AC69" t="s">
        <v>633</v>
      </c>
      <c r="AD69" t="s">
        <v>91</v>
      </c>
      <c r="AE69" t="s">
        <v>92</v>
      </c>
      <c r="AF69">
        <v>0.43434515801429818</v>
      </c>
    </row>
    <row r="70" spans="2:32" x14ac:dyDescent="0.45">
      <c r="B70" t="s">
        <v>634</v>
      </c>
      <c r="C70" t="s">
        <v>87</v>
      </c>
      <c r="D70">
        <v>0.3377642025883375</v>
      </c>
      <c r="E70">
        <v>0.32468014362587039</v>
      </c>
      <c r="F70">
        <v>0.36669250833620542</v>
      </c>
      <c r="G70">
        <v>0.38054191527123021</v>
      </c>
      <c r="W70" t="s">
        <v>634</v>
      </c>
      <c r="X70">
        <v>0.34561507301312439</v>
      </c>
      <c r="Y70">
        <v>0.36346333138422993</v>
      </c>
      <c r="Z70">
        <v>0.19959674711024031</v>
      </c>
      <c r="AA70">
        <v>0.21131305516990995</v>
      </c>
      <c r="AC70" t="s">
        <v>635</v>
      </c>
      <c r="AD70" t="s">
        <v>91</v>
      </c>
      <c r="AE70" t="s">
        <v>92</v>
      </c>
      <c r="AF70">
        <v>0.49426668335660207</v>
      </c>
    </row>
    <row r="71" spans="2:32" x14ac:dyDescent="0.45">
      <c r="B71" t="s">
        <v>636</v>
      </c>
      <c r="C71" t="s">
        <v>87</v>
      </c>
      <c r="D71">
        <v>0.39567553053331739</v>
      </c>
      <c r="E71">
        <v>0.38062622981063376</v>
      </c>
      <c r="F71">
        <v>0.46453894262442297</v>
      </c>
      <c r="G71">
        <v>0.45053632447417646</v>
      </c>
      <c r="W71" t="s">
        <v>636</v>
      </c>
      <c r="X71">
        <v>0.20907811563119419</v>
      </c>
      <c r="Y71">
        <v>0.2321670758475686</v>
      </c>
      <c r="Z71">
        <v>7.8127205618713141E-2</v>
      </c>
      <c r="AA71">
        <v>0.10232357992371652</v>
      </c>
      <c r="AC71" t="s">
        <v>637</v>
      </c>
      <c r="AD71" t="s">
        <v>91</v>
      </c>
      <c r="AE71" t="s">
        <v>92</v>
      </c>
      <c r="AF71">
        <v>0.4654976315664956</v>
      </c>
    </row>
    <row r="72" spans="2:32" x14ac:dyDescent="0.45">
      <c r="B72" t="s">
        <v>638</v>
      </c>
      <c r="C72" t="s">
        <v>87</v>
      </c>
      <c r="D72">
        <v>0.41605664800728404</v>
      </c>
      <c r="E72">
        <v>0.40444315650182672</v>
      </c>
      <c r="F72">
        <v>0.41090399339203815</v>
      </c>
      <c r="G72">
        <v>0.44830013468745422</v>
      </c>
      <c r="W72" t="s">
        <v>638</v>
      </c>
      <c r="X72">
        <v>0.20615481694791693</v>
      </c>
      <c r="Y72">
        <v>0.20937155198696963</v>
      </c>
      <c r="Z72">
        <v>0.10366798144243702</v>
      </c>
      <c r="AA72">
        <v>0.10031338485280604</v>
      </c>
      <c r="AC72" t="s">
        <v>639</v>
      </c>
      <c r="AD72" t="s">
        <v>91</v>
      </c>
      <c r="AE72" t="s">
        <v>92</v>
      </c>
      <c r="AF72">
        <v>0.37940457046976706</v>
      </c>
    </row>
    <row r="73" spans="2:32" x14ac:dyDescent="0.45">
      <c r="B73" t="s">
        <v>640</v>
      </c>
      <c r="C73" t="s">
        <v>87</v>
      </c>
      <c r="D73">
        <v>0.4003541561822106</v>
      </c>
      <c r="E73">
        <v>0.41948575484993145</v>
      </c>
      <c r="F73">
        <v>0.38628419533375935</v>
      </c>
      <c r="G73">
        <v>0.46107914650851917</v>
      </c>
      <c r="W73" t="s">
        <v>640</v>
      </c>
      <c r="X73">
        <v>0.17442366179524249</v>
      </c>
      <c r="Y73">
        <v>0.1849610041645057</v>
      </c>
      <c r="Z73">
        <v>7.7932861492861771E-2</v>
      </c>
      <c r="AA73">
        <v>7.6900933296128571E-2</v>
      </c>
      <c r="AC73" t="s">
        <v>641</v>
      </c>
      <c r="AD73" t="s">
        <v>91</v>
      </c>
      <c r="AE73" t="s">
        <v>92</v>
      </c>
      <c r="AF73">
        <v>0.37873222324537859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FB74-3A38-4C7A-8F34-3217491A447B}">
  <dimension ref="A9:S68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region=ITA")</f>
        <v>~TFM_DINS-AT: region=ITA</v>
      </c>
      <c r="H9" t="str">
        <f>IF(A11="x","DeActivated","~TFM_DINS-AT: region=ITA")</f>
        <v>~TFM_DINS-AT: region=ITA</v>
      </c>
      <c r="L9" t="str">
        <f>IF(A11="x","DeActivated","~TFM_DINS-AT: region=ITA")</f>
        <v>~TFM_DINS-AT: region=ITA</v>
      </c>
      <c r="P9" t="str">
        <f>IF(A11="x","DeActivated","~TFM_INS-AT: region=ITA")</f>
        <v>~TFM_INS-AT: region=ITA</v>
      </c>
    </row>
    <row r="10" spans="1:19" x14ac:dyDescent="0.45">
      <c r="A10" t="s">
        <v>169</v>
      </c>
      <c r="C10" t="s">
        <v>170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171</v>
      </c>
      <c r="P10" t="s">
        <v>172</v>
      </c>
      <c r="Q10" t="s">
        <v>1</v>
      </c>
      <c r="R10" t="s">
        <v>173</v>
      </c>
      <c r="S10" t="s">
        <v>174</v>
      </c>
    </row>
    <row r="11" spans="1:19" x14ac:dyDescent="0.45">
      <c r="C11">
        <v>0.24931506849315069</v>
      </c>
      <c r="D11">
        <v>0.13646719538572463</v>
      </c>
      <c r="E11" t="s">
        <v>5</v>
      </c>
      <c r="F11" t="s">
        <v>175</v>
      </c>
      <c r="H11" t="s">
        <v>176</v>
      </c>
      <c r="I11" t="s">
        <v>5</v>
      </c>
      <c r="L11" t="s">
        <v>177</v>
      </c>
      <c r="M11" t="s">
        <v>5</v>
      </c>
      <c r="N11">
        <v>0.35393413029629217</v>
      </c>
      <c r="P11">
        <v>2020</v>
      </c>
      <c r="Q11" t="s">
        <v>178</v>
      </c>
      <c r="R11">
        <v>0.2375666666666667</v>
      </c>
      <c r="S11" t="s">
        <v>179</v>
      </c>
    </row>
    <row r="12" spans="1:19" x14ac:dyDescent="0.45">
      <c r="C12">
        <v>0.24931506849315069</v>
      </c>
      <c r="D12">
        <v>0.36216294160057688</v>
      </c>
      <c r="E12" t="s">
        <v>9</v>
      </c>
      <c r="F12" t="s">
        <v>175</v>
      </c>
      <c r="H12" t="s">
        <v>176</v>
      </c>
      <c r="I12" t="s">
        <v>9</v>
      </c>
      <c r="L12" t="s">
        <v>177</v>
      </c>
      <c r="M12" t="s">
        <v>9</v>
      </c>
      <c r="N12">
        <v>0.18604578773163416</v>
      </c>
      <c r="P12">
        <v>2020</v>
      </c>
      <c r="Q12" t="s">
        <v>180</v>
      </c>
      <c r="R12">
        <v>0.29275000000000001</v>
      </c>
      <c r="S12" t="s">
        <v>179</v>
      </c>
    </row>
    <row r="13" spans="1:19" x14ac:dyDescent="0.45">
      <c r="C13">
        <v>0.25068493150684934</v>
      </c>
      <c r="D13">
        <v>0.13721701514059123</v>
      </c>
      <c r="E13" t="s">
        <v>10</v>
      </c>
      <c r="F13" t="s">
        <v>175</v>
      </c>
      <c r="H13" t="s">
        <v>176</v>
      </c>
      <c r="I13" t="s">
        <v>10</v>
      </c>
      <c r="L13" t="s">
        <v>177</v>
      </c>
      <c r="M13" t="s">
        <v>10</v>
      </c>
      <c r="N13">
        <v>0.33984525188621295</v>
      </c>
      <c r="P13">
        <v>2021</v>
      </c>
      <c r="Q13" t="s">
        <v>178</v>
      </c>
      <c r="R13">
        <v>0.23141666666666669</v>
      </c>
      <c r="S13" t="s">
        <v>179</v>
      </c>
    </row>
    <row r="14" spans="1:19" x14ac:dyDescent="0.45">
      <c r="C14">
        <v>0.25068493150684934</v>
      </c>
      <c r="D14">
        <v>0.36415284787310753</v>
      </c>
      <c r="E14" t="s">
        <v>11</v>
      </c>
      <c r="F14" t="s">
        <v>175</v>
      </c>
      <c r="H14" t="s">
        <v>176</v>
      </c>
      <c r="I14" t="s">
        <v>11</v>
      </c>
      <c r="L14" t="s">
        <v>177</v>
      </c>
      <c r="M14" t="s">
        <v>11</v>
      </c>
      <c r="N14">
        <v>0.18929164966518908</v>
      </c>
      <c r="P14">
        <v>2021</v>
      </c>
      <c r="Q14" t="s">
        <v>180</v>
      </c>
      <c r="R14">
        <v>0.26596666666666668</v>
      </c>
      <c r="S14" t="s">
        <v>179</v>
      </c>
    </row>
    <row r="15" spans="1:19" x14ac:dyDescent="0.45">
      <c r="H15" t="s">
        <v>181</v>
      </c>
      <c r="I15" t="s">
        <v>5</v>
      </c>
      <c r="P15">
        <v>2022</v>
      </c>
      <c r="Q15" t="s">
        <v>178</v>
      </c>
      <c r="R15">
        <v>0.14429999999999998</v>
      </c>
      <c r="S15" t="s">
        <v>179</v>
      </c>
    </row>
    <row r="16" spans="1:19" x14ac:dyDescent="0.45">
      <c r="H16" t="s">
        <v>181</v>
      </c>
      <c r="I16" t="s">
        <v>9</v>
      </c>
      <c r="P16">
        <v>2022</v>
      </c>
      <c r="Q16" t="s">
        <v>180</v>
      </c>
      <c r="R16">
        <v>0.17311666666666667</v>
      </c>
      <c r="S16" t="s">
        <v>179</v>
      </c>
    </row>
    <row r="17" spans="8:19" x14ac:dyDescent="0.45">
      <c r="H17" t="s">
        <v>181</v>
      </c>
      <c r="I17" t="s">
        <v>10</v>
      </c>
      <c r="P17">
        <v>2025</v>
      </c>
      <c r="Q17" t="s">
        <v>178</v>
      </c>
      <c r="R17">
        <v>0.20866666666666667</v>
      </c>
      <c r="S17" t="s">
        <v>179</v>
      </c>
    </row>
    <row r="18" spans="8:19" x14ac:dyDescent="0.45">
      <c r="H18" t="s">
        <v>181</v>
      </c>
      <c r="I18" t="s">
        <v>11</v>
      </c>
      <c r="P18">
        <v>2025</v>
      </c>
      <c r="Q18" t="s">
        <v>180</v>
      </c>
      <c r="R18">
        <v>0.28293333333333331</v>
      </c>
      <c r="S18" t="s">
        <v>179</v>
      </c>
    </row>
    <row r="19" spans="8:19" x14ac:dyDescent="0.45">
      <c r="P19">
        <v>2026</v>
      </c>
      <c r="Q19" t="s">
        <v>178</v>
      </c>
      <c r="R19">
        <v>0.28516666666666662</v>
      </c>
      <c r="S19" t="s">
        <v>179</v>
      </c>
    </row>
    <row r="20" spans="8:19" x14ac:dyDescent="0.45">
      <c r="P20">
        <v>2026</v>
      </c>
      <c r="Q20" t="s">
        <v>180</v>
      </c>
      <c r="R20">
        <v>0.36970000000000008</v>
      </c>
      <c r="S20" t="s">
        <v>179</v>
      </c>
    </row>
    <row r="21" spans="8:19" x14ac:dyDescent="0.45">
      <c r="P21">
        <v>2027</v>
      </c>
      <c r="Q21" t="s">
        <v>178</v>
      </c>
      <c r="R21">
        <v>0.29135</v>
      </c>
      <c r="S21" t="s">
        <v>179</v>
      </c>
    </row>
    <row r="22" spans="8:19" x14ac:dyDescent="0.45">
      <c r="P22">
        <v>2027</v>
      </c>
      <c r="Q22" t="s">
        <v>180</v>
      </c>
      <c r="R22">
        <v>0.35103333333333336</v>
      </c>
      <c r="S22" t="s">
        <v>179</v>
      </c>
    </row>
    <row r="23" spans="8:19" x14ac:dyDescent="0.45">
      <c r="P23">
        <v>2028</v>
      </c>
      <c r="Q23" t="s">
        <v>178</v>
      </c>
      <c r="R23">
        <v>0.28518333333333334</v>
      </c>
      <c r="S23" t="s">
        <v>179</v>
      </c>
    </row>
    <row r="24" spans="8:19" x14ac:dyDescent="0.45">
      <c r="P24">
        <v>2028</v>
      </c>
      <c r="Q24" t="s">
        <v>180</v>
      </c>
      <c r="R24">
        <v>0.34466666666666662</v>
      </c>
      <c r="S24" t="s">
        <v>179</v>
      </c>
    </row>
    <row r="25" spans="8:19" x14ac:dyDescent="0.45">
      <c r="P25">
        <v>2029</v>
      </c>
      <c r="Q25" t="s">
        <v>178</v>
      </c>
      <c r="R25">
        <v>0.28071666666666667</v>
      </c>
      <c r="S25" t="s">
        <v>179</v>
      </c>
    </row>
    <row r="26" spans="8:19" x14ac:dyDescent="0.45">
      <c r="P26">
        <v>2029</v>
      </c>
      <c r="Q26" t="s">
        <v>180</v>
      </c>
      <c r="R26">
        <v>0.32903333333333329</v>
      </c>
      <c r="S26" t="s">
        <v>179</v>
      </c>
    </row>
    <row r="27" spans="8:19" x14ac:dyDescent="0.45">
      <c r="P27">
        <v>2030</v>
      </c>
      <c r="Q27" t="s">
        <v>178</v>
      </c>
      <c r="R27">
        <v>0.23970000000000002</v>
      </c>
      <c r="S27" t="s">
        <v>179</v>
      </c>
    </row>
    <row r="28" spans="8:19" x14ac:dyDescent="0.45">
      <c r="P28">
        <v>2030</v>
      </c>
      <c r="Q28" t="s">
        <v>180</v>
      </c>
      <c r="R28">
        <v>0.33431666666666665</v>
      </c>
      <c r="S28" t="s">
        <v>179</v>
      </c>
    </row>
    <row r="29" spans="8:19" x14ac:dyDescent="0.45">
      <c r="P29">
        <v>2031</v>
      </c>
      <c r="Q29" t="s">
        <v>178</v>
      </c>
      <c r="R29">
        <v>0.22005</v>
      </c>
      <c r="S29" t="s">
        <v>179</v>
      </c>
    </row>
    <row r="30" spans="8:19" x14ac:dyDescent="0.45">
      <c r="P30">
        <v>2031</v>
      </c>
      <c r="Q30" t="s">
        <v>180</v>
      </c>
      <c r="R30">
        <v>0.29046666666666671</v>
      </c>
      <c r="S30" t="s">
        <v>179</v>
      </c>
    </row>
    <row r="31" spans="8:19" x14ac:dyDescent="0.45">
      <c r="P31">
        <v>2032</v>
      </c>
      <c r="Q31" t="s">
        <v>178</v>
      </c>
      <c r="R31">
        <v>0.25869999999999999</v>
      </c>
      <c r="S31" t="s">
        <v>179</v>
      </c>
    </row>
    <row r="32" spans="8:19" x14ac:dyDescent="0.45">
      <c r="P32">
        <v>2032</v>
      </c>
      <c r="Q32" t="s">
        <v>180</v>
      </c>
      <c r="R32">
        <v>0.28755000000000003</v>
      </c>
      <c r="S32" t="s">
        <v>179</v>
      </c>
    </row>
    <row r="33" spans="16:19" x14ac:dyDescent="0.45">
      <c r="P33">
        <v>2033</v>
      </c>
      <c r="Q33" t="s">
        <v>178</v>
      </c>
      <c r="R33">
        <v>0.22696666666666665</v>
      </c>
      <c r="S33" t="s">
        <v>179</v>
      </c>
    </row>
    <row r="34" spans="16:19" x14ac:dyDescent="0.45">
      <c r="P34">
        <v>2033</v>
      </c>
      <c r="Q34" t="s">
        <v>180</v>
      </c>
      <c r="R34">
        <v>0.29616666666666669</v>
      </c>
      <c r="S34" t="s">
        <v>179</v>
      </c>
    </row>
    <row r="35" spans="16:19" x14ac:dyDescent="0.45">
      <c r="P35">
        <v>2034</v>
      </c>
      <c r="Q35" t="s">
        <v>178</v>
      </c>
      <c r="R35">
        <v>0.25191666666666668</v>
      </c>
      <c r="S35" t="s">
        <v>179</v>
      </c>
    </row>
    <row r="36" spans="16:19" x14ac:dyDescent="0.45">
      <c r="P36">
        <v>2034</v>
      </c>
      <c r="Q36" t="s">
        <v>180</v>
      </c>
      <c r="R36">
        <v>0.3288166666666667</v>
      </c>
      <c r="S36" t="s">
        <v>179</v>
      </c>
    </row>
    <row r="37" spans="16:19" x14ac:dyDescent="0.45">
      <c r="P37">
        <v>2035</v>
      </c>
      <c r="Q37" t="s">
        <v>178</v>
      </c>
      <c r="R37">
        <v>0.20521666666666669</v>
      </c>
      <c r="S37" t="s">
        <v>179</v>
      </c>
    </row>
    <row r="38" spans="16:19" x14ac:dyDescent="0.45">
      <c r="P38">
        <v>2035</v>
      </c>
      <c r="Q38" t="s">
        <v>180</v>
      </c>
      <c r="R38">
        <v>0.28286666666666666</v>
      </c>
      <c r="S38" t="s">
        <v>179</v>
      </c>
    </row>
    <row r="39" spans="16:19" x14ac:dyDescent="0.45">
      <c r="P39">
        <v>2036</v>
      </c>
      <c r="Q39" t="s">
        <v>178</v>
      </c>
      <c r="R39">
        <v>0.27718333333333334</v>
      </c>
      <c r="S39" t="s">
        <v>179</v>
      </c>
    </row>
    <row r="40" spans="16:19" x14ac:dyDescent="0.45">
      <c r="P40">
        <v>2036</v>
      </c>
      <c r="Q40" t="s">
        <v>180</v>
      </c>
      <c r="R40">
        <v>0.30681666666666668</v>
      </c>
      <c r="S40" t="s">
        <v>179</v>
      </c>
    </row>
    <row r="41" spans="16:19" x14ac:dyDescent="0.45">
      <c r="P41">
        <v>2037</v>
      </c>
      <c r="Q41" t="s">
        <v>178</v>
      </c>
      <c r="R41">
        <v>0.22624999999999998</v>
      </c>
      <c r="S41" t="s">
        <v>179</v>
      </c>
    </row>
    <row r="42" spans="16:19" x14ac:dyDescent="0.45">
      <c r="P42">
        <v>2037</v>
      </c>
      <c r="Q42" t="s">
        <v>180</v>
      </c>
      <c r="R42">
        <v>0.28496666666666665</v>
      </c>
      <c r="S42" t="s">
        <v>179</v>
      </c>
    </row>
    <row r="43" spans="16:19" x14ac:dyDescent="0.45">
      <c r="P43">
        <v>2038</v>
      </c>
      <c r="Q43" t="s">
        <v>178</v>
      </c>
      <c r="R43">
        <v>0.24838333333333332</v>
      </c>
      <c r="S43" t="s">
        <v>179</v>
      </c>
    </row>
    <row r="44" spans="16:19" x14ac:dyDescent="0.45">
      <c r="P44">
        <v>2038</v>
      </c>
      <c r="Q44" t="s">
        <v>180</v>
      </c>
      <c r="R44">
        <v>0.31986666666666669</v>
      </c>
      <c r="S44" t="s">
        <v>179</v>
      </c>
    </row>
    <row r="45" spans="16:19" x14ac:dyDescent="0.45">
      <c r="P45">
        <v>2039</v>
      </c>
      <c r="Q45" t="s">
        <v>178</v>
      </c>
      <c r="R45">
        <v>0.2708666666666667</v>
      </c>
      <c r="S45" t="s">
        <v>179</v>
      </c>
    </row>
    <row r="46" spans="16:19" x14ac:dyDescent="0.45">
      <c r="P46">
        <v>2039</v>
      </c>
      <c r="Q46" t="s">
        <v>180</v>
      </c>
      <c r="R46">
        <v>0.30814999999999998</v>
      </c>
      <c r="S46" t="s">
        <v>179</v>
      </c>
    </row>
    <row r="47" spans="16:19" x14ac:dyDescent="0.45">
      <c r="P47">
        <v>2040</v>
      </c>
      <c r="Q47" t="s">
        <v>178</v>
      </c>
      <c r="R47">
        <v>0.22526666666666664</v>
      </c>
      <c r="S47" t="s">
        <v>179</v>
      </c>
    </row>
    <row r="48" spans="16:19" x14ac:dyDescent="0.45">
      <c r="P48">
        <v>2040</v>
      </c>
      <c r="Q48" t="s">
        <v>180</v>
      </c>
      <c r="R48">
        <v>0.31336666666666668</v>
      </c>
      <c r="S48" t="s">
        <v>179</v>
      </c>
    </row>
    <row r="49" spans="16:19" x14ac:dyDescent="0.45">
      <c r="P49">
        <v>2041</v>
      </c>
      <c r="Q49" t="s">
        <v>178</v>
      </c>
      <c r="R49">
        <v>0.23861666666666662</v>
      </c>
      <c r="S49" t="s">
        <v>179</v>
      </c>
    </row>
    <row r="50" spans="16:19" x14ac:dyDescent="0.45">
      <c r="P50">
        <v>2041</v>
      </c>
      <c r="Q50" t="s">
        <v>180</v>
      </c>
      <c r="R50">
        <v>0.32151666666666667</v>
      </c>
      <c r="S50" t="s">
        <v>179</v>
      </c>
    </row>
    <row r="51" spans="16:19" x14ac:dyDescent="0.45">
      <c r="P51">
        <v>2042</v>
      </c>
      <c r="Q51" t="s">
        <v>178</v>
      </c>
      <c r="R51">
        <v>0.26766666666666666</v>
      </c>
      <c r="S51" t="s">
        <v>179</v>
      </c>
    </row>
    <row r="52" spans="16:19" x14ac:dyDescent="0.45">
      <c r="P52">
        <v>2042</v>
      </c>
      <c r="Q52" t="s">
        <v>180</v>
      </c>
      <c r="R52">
        <v>0.31853333333333339</v>
      </c>
      <c r="S52" t="s">
        <v>179</v>
      </c>
    </row>
    <row r="53" spans="16:19" x14ac:dyDescent="0.45">
      <c r="P53">
        <v>2043</v>
      </c>
      <c r="Q53" t="s">
        <v>178</v>
      </c>
      <c r="R53">
        <v>0.21006666666666665</v>
      </c>
      <c r="S53" t="s">
        <v>179</v>
      </c>
    </row>
    <row r="54" spans="16:19" x14ac:dyDescent="0.45">
      <c r="P54">
        <v>2043</v>
      </c>
      <c r="Q54" t="s">
        <v>180</v>
      </c>
      <c r="R54">
        <v>0.29258333333333336</v>
      </c>
      <c r="S54" t="s">
        <v>179</v>
      </c>
    </row>
    <row r="55" spans="16:19" x14ac:dyDescent="0.45">
      <c r="P55">
        <v>2044</v>
      </c>
      <c r="Q55" t="s">
        <v>178</v>
      </c>
      <c r="R55">
        <v>0.18138333333333334</v>
      </c>
      <c r="S55" t="s">
        <v>179</v>
      </c>
    </row>
    <row r="56" spans="16:19" x14ac:dyDescent="0.45">
      <c r="P56">
        <v>2044</v>
      </c>
      <c r="Q56" t="s">
        <v>180</v>
      </c>
      <c r="R56">
        <v>0.3115</v>
      </c>
      <c r="S56" t="s">
        <v>179</v>
      </c>
    </row>
    <row r="57" spans="16:19" x14ac:dyDescent="0.45">
      <c r="P57">
        <v>2045</v>
      </c>
      <c r="Q57" t="s">
        <v>178</v>
      </c>
      <c r="R57">
        <v>0.22356666666666666</v>
      </c>
      <c r="S57" t="s">
        <v>179</v>
      </c>
    </row>
    <row r="58" spans="16:19" x14ac:dyDescent="0.45">
      <c r="P58">
        <v>2045</v>
      </c>
      <c r="Q58" t="s">
        <v>180</v>
      </c>
      <c r="R58">
        <v>0.29798333333333332</v>
      </c>
      <c r="S58" t="s">
        <v>179</v>
      </c>
    </row>
    <row r="59" spans="16:19" x14ac:dyDescent="0.45">
      <c r="P59">
        <v>2046</v>
      </c>
      <c r="Q59" t="s">
        <v>178</v>
      </c>
      <c r="R59">
        <v>0.23073333333333335</v>
      </c>
      <c r="S59" t="s">
        <v>179</v>
      </c>
    </row>
    <row r="60" spans="16:19" x14ac:dyDescent="0.45">
      <c r="P60">
        <v>2046</v>
      </c>
      <c r="Q60" t="s">
        <v>180</v>
      </c>
      <c r="R60">
        <v>0.26423333333333338</v>
      </c>
      <c r="S60" t="s">
        <v>179</v>
      </c>
    </row>
    <row r="61" spans="16:19" x14ac:dyDescent="0.45">
      <c r="P61">
        <v>2047</v>
      </c>
      <c r="Q61" t="s">
        <v>178</v>
      </c>
      <c r="R61">
        <v>0.26291666666666669</v>
      </c>
      <c r="S61" t="s">
        <v>179</v>
      </c>
    </row>
    <row r="62" spans="16:19" x14ac:dyDescent="0.45">
      <c r="P62">
        <v>2047</v>
      </c>
      <c r="Q62" t="s">
        <v>180</v>
      </c>
      <c r="R62">
        <v>0.27383333333333337</v>
      </c>
      <c r="S62" t="s">
        <v>179</v>
      </c>
    </row>
    <row r="63" spans="16:19" x14ac:dyDescent="0.45">
      <c r="P63">
        <v>2048</v>
      </c>
      <c r="Q63" t="s">
        <v>178</v>
      </c>
      <c r="R63">
        <v>0.25840000000000002</v>
      </c>
      <c r="S63" t="s">
        <v>179</v>
      </c>
    </row>
    <row r="64" spans="16:19" x14ac:dyDescent="0.45">
      <c r="P64">
        <v>2048</v>
      </c>
      <c r="Q64" t="s">
        <v>180</v>
      </c>
      <c r="R64">
        <v>0.38784999999999997</v>
      </c>
      <c r="S64" t="s">
        <v>179</v>
      </c>
    </row>
    <row r="65" spans="16:19" x14ac:dyDescent="0.45">
      <c r="P65">
        <v>2049</v>
      </c>
      <c r="Q65" t="s">
        <v>178</v>
      </c>
      <c r="R65">
        <v>0.25191666666666668</v>
      </c>
      <c r="S65" t="s">
        <v>179</v>
      </c>
    </row>
    <row r="66" spans="16:19" x14ac:dyDescent="0.45">
      <c r="P66">
        <v>2049</v>
      </c>
      <c r="Q66" t="s">
        <v>180</v>
      </c>
      <c r="R66">
        <v>0.35263333333333335</v>
      </c>
      <c r="S66" t="s">
        <v>179</v>
      </c>
    </row>
    <row r="67" spans="16:19" x14ac:dyDescent="0.45">
      <c r="P67">
        <v>2050</v>
      </c>
      <c r="Q67" t="s">
        <v>178</v>
      </c>
      <c r="R67">
        <v>0.22486666666666666</v>
      </c>
      <c r="S67" t="s">
        <v>179</v>
      </c>
    </row>
    <row r="68" spans="16:19" x14ac:dyDescent="0.45">
      <c r="P68">
        <v>2050</v>
      </c>
      <c r="Q68" t="s">
        <v>180</v>
      </c>
      <c r="R68">
        <v>0.33913333333333334</v>
      </c>
      <c r="S68" t="s">
        <v>179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ACEB-AF01-4882-883E-0AB8CA77733C}">
  <dimension ref="B9:O114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region=ESP")</f>
        <v>~TFM_DINS-AT: region=ESP</v>
      </c>
      <c r="G9" t="str">
        <f>IF(A11="x","DeActivated","~TFM_DINS-AT: region=ESP")</f>
        <v>~TFM_DINS-AT: region=ESP</v>
      </c>
      <c r="L9" t="str">
        <f>IF(A11="x","DeActivated","~TFM_DINS-AT: region=ESP")</f>
        <v>~TFM_DINS-AT: region=ESP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642</v>
      </c>
      <c r="C11" t="s">
        <v>5</v>
      </c>
      <c r="D11">
        <v>2.3995020143845198E-2</v>
      </c>
      <c r="E11" t="s">
        <v>6</v>
      </c>
      <c r="G11" t="s">
        <v>643</v>
      </c>
      <c r="H11" t="s">
        <v>5</v>
      </c>
      <c r="I11">
        <v>0.32260698606019023</v>
      </c>
      <c r="J11" t="s">
        <v>6</v>
      </c>
      <c r="L11" t="s">
        <v>644</v>
      </c>
      <c r="M11" t="s">
        <v>5</v>
      </c>
      <c r="N11">
        <v>0.35116241994826425</v>
      </c>
      <c r="O11" t="s">
        <v>6</v>
      </c>
    </row>
    <row r="12" spans="2:15" x14ac:dyDescent="0.45">
      <c r="B12" t="s">
        <v>642</v>
      </c>
      <c r="C12" t="s">
        <v>9</v>
      </c>
      <c r="D12">
        <v>0.42448351459944084</v>
      </c>
      <c r="E12" t="s">
        <v>6</v>
      </c>
      <c r="G12" t="s">
        <v>643</v>
      </c>
      <c r="H12" t="s">
        <v>9</v>
      </c>
      <c r="I12">
        <v>0.33021400720227267</v>
      </c>
      <c r="J12" t="s">
        <v>6</v>
      </c>
      <c r="L12" t="s">
        <v>644</v>
      </c>
      <c r="M12" t="s">
        <v>9</v>
      </c>
      <c r="N12">
        <v>0.33591731524230417</v>
      </c>
      <c r="O12" t="s">
        <v>6</v>
      </c>
    </row>
    <row r="13" spans="2:15" x14ac:dyDescent="0.45">
      <c r="B13" t="s">
        <v>642</v>
      </c>
      <c r="C13" t="s">
        <v>10</v>
      </c>
      <c r="D13">
        <v>3.6857319365341167E-2</v>
      </c>
      <c r="E13" t="s">
        <v>6</v>
      </c>
      <c r="G13" t="s">
        <v>643</v>
      </c>
      <c r="H13" t="s">
        <v>10</v>
      </c>
      <c r="I13">
        <v>0.16861625165165881</v>
      </c>
      <c r="J13" t="s">
        <v>6</v>
      </c>
      <c r="L13" t="s">
        <v>644</v>
      </c>
      <c r="M13" t="s">
        <v>10</v>
      </c>
      <c r="N13">
        <v>0.15787807120802269</v>
      </c>
      <c r="O13" t="s">
        <v>6</v>
      </c>
    </row>
    <row r="14" spans="2:15" x14ac:dyDescent="0.45">
      <c r="B14" t="s">
        <v>642</v>
      </c>
      <c r="C14" t="s">
        <v>11</v>
      </c>
      <c r="D14">
        <v>0.51466414589137266</v>
      </c>
      <c r="E14" t="s">
        <v>6</v>
      </c>
      <c r="G14" t="s">
        <v>643</v>
      </c>
      <c r="H14" t="s">
        <v>11</v>
      </c>
      <c r="I14">
        <v>0.17856275508587519</v>
      </c>
      <c r="J14" t="s">
        <v>6</v>
      </c>
      <c r="L14" t="s">
        <v>644</v>
      </c>
      <c r="M14" t="s">
        <v>11</v>
      </c>
      <c r="N14">
        <v>0.15504219360141144</v>
      </c>
      <c r="O14" t="s">
        <v>6</v>
      </c>
    </row>
    <row r="15" spans="2:15" x14ac:dyDescent="0.45">
      <c r="B15" t="s">
        <v>645</v>
      </c>
      <c r="C15" t="s">
        <v>5</v>
      </c>
      <c r="D15">
        <v>2.7799534050624866E-2</v>
      </c>
      <c r="E15" t="s">
        <v>6</v>
      </c>
      <c r="G15" t="s">
        <v>646</v>
      </c>
      <c r="H15" t="s">
        <v>5</v>
      </c>
      <c r="I15">
        <v>0.33185934712264442</v>
      </c>
      <c r="J15" t="s">
        <v>6</v>
      </c>
      <c r="L15" t="s">
        <v>647</v>
      </c>
      <c r="M15" t="s">
        <v>5</v>
      </c>
      <c r="N15">
        <v>0.33102130940935492</v>
      </c>
      <c r="O15" t="s">
        <v>6</v>
      </c>
    </row>
    <row r="16" spans="2:15" x14ac:dyDescent="0.45">
      <c r="B16" t="s">
        <v>645</v>
      </c>
      <c r="C16" t="s">
        <v>9</v>
      </c>
      <c r="D16">
        <v>0.40824093239627657</v>
      </c>
      <c r="E16" t="s">
        <v>6</v>
      </c>
      <c r="G16" t="s">
        <v>646</v>
      </c>
      <c r="H16" t="s">
        <v>9</v>
      </c>
      <c r="I16">
        <v>0.2879690075175243</v>
      </c>
      <c r="J16" t="s">
        <v>6</v>
      </c>
      <c r="L16" t="s">
        <v>647</v>
      </c>
      <c r="M16" t="s">
        <v>9</v>
      </c>
      <c r="N16">
        <v>0.32635073525734087</v>
      </c>
      <c r="O16" t="s">
        <v>6</v>
      </c>
    </row>
    <row r="17" spans="2:15" x14ac:dyDescent="0.45">
      <c r="B17" t="s">
        <v>645</v>
      </c>
      <c r="C17" t="s">
        <v>10</v>
      </c>
      <c r="D17">
        <v>4.3001325834921507E-2</v>
      </c>
      <c r="E17" t="s">
        <v>6</v>
      </c>
      <c r="G17" t="s">
        <v>646</v>
      </c>
      <c r="H17" t="s">
        <v>10</v>
      </c>
      <c r="I17">
        <v>0.22633083514143804</v>
      </c>
      <c r="J17" t="s">
        <v>6</v>
      </c>
      <c r="L17" t="s">
        <v>647</v>
      </c>
      <c r="M17" t="s">
        <v>10</v>
      </c>
      <c r="N17">
        <v>0.16435606391232271</v>
      </c>
      <c r="O17" t="s">
        <v>6</v>
      </c>
    </row>
    <row r="18" spans="2:15" x14ac:dyDescent="0.45">
      <c r="B18" t="s">
        <v>645</v>
      </c>
      <c r="C18" t="s">
        <v>11</v>
      </c>
      <c r="D18">
        <v>0.52095820771817547</v>
      </c>
      <c r="E18" t="s">
        <v>6</v>
      </c>
      <c r="G18" t="s">
        <v>646</v>
      </c>
      <c r="H18" t="s">
        <v>11</v>
      </c>
      <c r="I18">
        <v>0.15384081021839471</v>
      </c>
      <c r="J18" t="s">
        <v>6</v>
      </c>
      <c r="L18" t="s">
        <v>647</v>
      </c>
      <c r="M18" t="s">
        <v>11</v>
      </c>
      <c r="N18">
        <v>0.17827189142097855</v>
      </c>
      <c r="O18" t="s">
        <v>6</v>
      </c>
    </row>
    <row r="19" spans="2:15" x14ac:dyDescent="0.45">
      <c r="B19" t="s">
        <v>648</v>
      </c>
      <c r="C19" t="s">
        <v>5</v>
      </c>
      <c r="D19">
        <v>2.6323185630292761E-2</v>
      </c>
      <c r="E19" t="s">
        <v>6</v>
      </c>
      <c r="G19" t="s">
        <v>649</v>
      </c>
      <c r="H19" t="s">
        <v>5</v>
      </c>
      <c r="I19">
        <v>0.3503599303508218</v>
      </c>
      <c r="J19" t="s">
        <v>6</v>
      </c>
      <c r="L19" t="s">
        <v>650</v>
      </c>
      <c r="M19" t="s">
        <v>5</v>
      </c>
      <c r="N19">
        <v>0.35624379394359929</v>
      </c>
      <c r="O19" t="s">
        <v>6</v>
      </c>
    </row>
    <row r="20" spans="2:15" x14ac:dyDescent="0.45">
      <c r="B20" t="s">
        <v>648</v>
      </c>
      <c r="C20" t="s">
        <v>9</v>
      </c>
      <c r="D20">
        <v>0.42133150091199284</v>
      </c>
      <c r="E20" t="s">
        <v>6</v>
      </c>
      <c r="G20" t="s">
        <v>649</v>
      </c>
      <c r="H20" t="s">
        <v>9</v>
      </c>
      <c r="I20">
        <v>0.30247953974356045</v>
      </c>
      <c r="J20" t="s">
        <v>6</v>
      </c>
      <c r="L20" t="s">
        <v>650</v>
      </c>
      <c r="M20" t="s">
        <v>9</v>
      </c>
      <c r="N20">
        <v>0.33891136936647975</v>
      </c>
      <c r="O20" t="s">
        <v>6</v>
      </c>
    </row>
    <row r="21" spans="2:15" x14ac:dyDescent="0.45">
      <c r="B21" t="s">
        <v>648</v>
      </c>
      <c r="C21" t="s">
        <v>10</v>
      </c>
      <c r="D21">
        <v>4.1608362228030792E-2</v>
      </c>
      <c r="E21" t="s">
        <v>6</v>
      </c>
      <c r="G21" t="s">
        <v>649</v>
      </c>
      <c r="H21" t="s">
        <v>10</v>
      </c>
      <c r="I21">
        <v>0.21533385633926194</v>
      </c>
      <c r="J21" t="s">
        <v>6</v>
      </c>
      <c r="L21" t="s">
        <v>650</v>
      </c>
      <c r="M21" t="s">
        <v>10</v>
      </c>
      <c r="N21">
        <v>0.1560030566222847</v>
      </c>
      <c r="O21" t="s">
        <v>6</v>
      </c>
    </row>
    <row r="22" spans="2:15" x14ac:dyDescent="0.45">
      <c r="B22" t="s">
        <v>648</v>
      </c>
      <c r="C22" t="s">
        <v>11</v>
      </c>
      <c r="D22">
        <v>0.51073695122968432</v>
      </c>
      <c r="E22" t="s">
        <v>6</v>
      </c>
      <c r="G22" t="s">
        <v>649</v>
      </c>
      <c r="H22" t="s">
        <v>11</v>
      </c>
      <c r="I22">
        <v>0.13182667356635508</v>
      </c>
      <c r="J22" t="s">
        <v>6</v>
      </c>
      <c r="L22" t="s">
        <v>650</v>
      </c>
      <c r="M22" t="s">
        <v>11</v>
      </c>
      <c r="N22">
        <v>0.14884178006763332</v>
      </c>
      <c r="O22" t="s">
        <v>6</v>
      </c>
    </row>
    <row r="23" spans="2:15" x14ac:dyDescent="0.45">
      <c r="B23" t="s">
        <v>651</v>
      </c>
      <c r="C23" t="s">
        <v>5</v>
      </c>
      <c r="D23">
        <v>3.6577030630085661E-2</v>
      </c>
      <c r="E23" t="s">
        <v>6</v>
      </c>
      <c r="G23" t="s">
        <v>652</v>
      </c>
      <c r="H23" t="s">
        <v>5</v>
      </c>
      <c r="I23">
        <v>0.35633333180011401</v>
      </c>
      <c r="J23" t="s">
        <v>6</v>
      </c>
      <c r="L23" t="s">
        <v>653</v>
      </c>
      <c r="M23" t="s">
        <v>5</v>
      </c>
      <c r="N23">
        <v>0.34611183732563305</v>
      </c>
      <c r="O23" t="s">
        <v>6</v>
      </c>
    </row>
    <row r="24" spans="2:15" x14ac:dyDescent="0.45">
      <c r="B24" t="s">
        <v>651</v>
      </c>
      <c r="C24" t="s">
        <v>9</v>
      </c>
      <c r="D24">
        <v>0.38582820164920417</v>
      </c>
      <c r="E24" t="s">
        <v>6</v>
      </c>
      <c r="G24" t="s">
        <v>652</v>
      </c>
      <c r="H24" t="s">
        <v>9</v>
      </c>
      <c r="I24">
        <v>0.31300848356524036</v>
      </c>
      <c r="J24" t="s">
        <v>6</v>
      </c>
      <c r="L24" t="s">
        <v>653</v>
      </c>
      <c r="M24" t="s">
        <v>9</v>
      </c>
      <c r="N24">
        <v>0.33884468011529673</v>
      </c>
      <c r="O24" t="s">
        <v>6</v>
      </c>
    </row>
    <row r="25" spans="2:15" x14ac:dyDescent="0.45">
      <c r="B25" t="s">
        <v>651</v>
      </c>
      <c r="C25" t="s">
        <v>10</v>
      </c>
      <c r="D25">
        <v>5.7177892507127889E-2</v>
      </c>
      <c r="E25" t="s">
        <v>6</v>
      </c>
      <c r="G25" t="s">
        <v>652</v>
      </c>
      <c r="H25" t="s">
        <v>10</v>
      </c>
      <c r="I25">
        <v>0.20761442374408531</v>
      </c>
      <c r="J25" t="s">
        <v>6</v>
      </c>
      <c r="L25" t="s">
        <v>653</v>
      </c>
      <c r="M25" t="s">
        <v>10</v>
      </c>
      <c r="N25">
        <v>0.1591693466339999</v>
      </c>
      <c r="O25" t="s">
        <v>6</v>
      </c>
    </row>
    <row r="26" spans="2:15" x14ac:dyDescent="0.45">
      <c r="B26" t="s">
        <v>651</v>
      </c>
      <c r="C26" t="s">
        <v>11</v>
      </c>
      <c r="D26">
        <v>0.52041687521358249</v>
      </c>
      <c r="E26" t="s">
        <v>6</v>
      </c>
      <c r="G26" t="s">
        <v>652</v>
      </c>
      <c r="H26" t="s">
        <v>11</v>
      </c>
      <c r="I26">
        <v>0.12304376089055975</v>
      </c>
      <c r="J26" t="s">
        <v>6</v>
      </c>
      <c r="L26" t="s">
        <v>653</v>
      </c>
      <c r="M26" t="s">
        <v>11</v>
      </c>
      <c r="N26">
        <v>0.15587413592506993</v>
      </c>
      <c r="O26" t="s">
        <v>6</v>
      </c>
    </row>
    <row r="27" spans="2:15" x14ac:dyDescent="0.45">
      <c r="B27" t="s">
        <v>654</v>
      </c>
      <c r="C27" t="s">
        <v>5</v>
      </c>
      <c r="D27">
        <v>2.7300707149776546E-2</v>
      </c>
      <c r="E27" t="s">
        <v>6</v>
      </c>
      <c r="G27" t="s">
        <v>655</v>
      </c>
      <c r="H27" t="s">
        <v>5</v>
      </c>
      <c r="I27">
        <v>0.34897847960295181</v>
      </c>
      <c r="J27" t="s">
        <v>6</v>
      </c>
      <c r="L27" t="s">
        <v>656</v>
      </c>
      <c r="M27" t="s">
        <v>5</v>
      </c>
      <c r="N27">
        <v>0.2691740382309124</v>
      </c>
      <c r="O27" t="s">
        <v>6</v>
      </c>
    </row>
    <row r="28" spans="2:15" x14ac:dyDescent="0.45">
      <c r="B28" t="s">
        <v>654</v>
      </c>
      <c r="C28" t="s">
        <v>9</v>
      </c>
      <c r="D28">
        <v>0.41107137757422124</v>
      </c>
      <c r="E28" t="s">
        <v>6</v>
      </c>
      <c r="G28" t="s">
        <v>655</v>
      </c>
      <c r="H28" t="s">
        <v>9</v>
      </c>
      <c r="I28">
        <v>0.30897439579703262</v>
      </c>
      <c r="J28" t="s">
        <v>6</v>
      </c>
      <c r="L28" t="s">
        <v>656</v>
      </c>
      <c r="M28" t="s">
        <v>9</v>
      </c>
      <c r="N28">
        <v>0.25622016922356938</v>
      </c>
      <c r="O28" t="s">
        <v>6</v>
      </c>
    </row>
    <row r="29" spans="2:15" x14ac:dyDescent="0.45">
      <c r="B29" t="s">
        <v>654</v>
      </c>
      <c r="C29" t="s">
        <v>10</v>
      </c>
      <c r="D29">
        <v>4.0042521266958279E-2</v>
      </c>
      <c r="E29" t="s">
        <v>6</v>
      </c>
      <c r="G29" t="s">
        <v>655</v>
      </c>
      <c r="H29" t="s">
        <v>10</v>
      </c>
      <c r="I29">
        <v>0.21309889732368376</v>
      </c>
      <c r="J29" t="s">
        <v>6</v>
      </c>
      <c r="L29" t="s">
        <v>656</v>
      </c>
      <c r="M29" t="s">
        <v>10</v>
      </c>
      <c r="N29">
        <v>0.24682865534047907</v>
      </c>
      <c r="O29" t="s">
        <v>6</v>
      </c>
    </row>
    <row r="30" spans="2:15" x14ac:dyDescent="0.45">
      <c r="B30" t="s">
        <v>654</v>
      </c>
      <c r="C30" t="s">
        <v>11</v>
      </c>
      <c r="D30">
        <v>0.52158539400904214</v>
      </c>
      <c r="E30" t="s">
        <v>6</v>
      </c>
      <c r="G30" t="s">
        <v>655</v>
      </c>
      <c r="H30" t="s">
        <v>11</v>
      </c>
      <c r="I30">
        <v>0.12894822727633098</v>
      </c>
      <c r="J30" t="s">
        <v>6</v>
      </c>
      <c r="L30" t="s">
        <v>656</v>
      </c>
      <c r="M30" t="s">
        <v>11</v>
      </c>
      <c r="N30">
        <v>0.22777713720503967</v>
      </c>
      <c r="O30" t="s">
        <v>6</v>
      </c>
    </row>
    <row r="31" spans="2:15" x14ac:dyDescent="0.45">
      <c r="B31" t="s">
        <v>657</v>
      </c>
      <c r="C31" t="s">
        <v>5</v>
      </c>
      <c r="D31">
        <v>2.9644250566130907E-2</v>
      </c>
      <c r="E31" t="s">
        <v>6</v>
      </c>
      <c r="G31" t="s">
        <v>658</v>
      </c>
      <c r="H31" t="s">
        <v>5</v>
      </c>
      <c r="I31">
        <v>0.34315400743295021</v>
      </c>
      <c r="J31" t="s">
        <v>6</v>
      </c>
      <c r="L31" t="s">
        <v>659</v>
      </c>
      <c r="M31" t="s">
        <v>5</v>
      </c>
      <c r="N31">
        <v>0.32088951612110622</v>
      </c>
      <c r="O31" t="s">
        <v>6</v>
      </c>
    </row>
    <row r="32" spans="2:15" x14ac:dyDescent="0.45">
      <c r="B32" t="s">
        <v>657</v>
      </c>
      <c r="C32" t="s">
        <v>9</v>
      </c>
      <c r="D32">
        <v>0.3977285850336163</v>
      </c>
      <c r="E32" t="s">
        <v>6</v>
      </c>
      <c r="G32" t="s">
        <v>658</v>
      </c>
      <c r="H32" t="s">
        <v>9</v>
      </c>
      <c r="I32">
        <v>0.32079678859778821</v>
      </c>
      <c r="J32" t="s">
        <v>6</v>
      </c>
      <c r="L32" t="s">
        <v>659</v>
      </c>
      <c r="M32" t="s">
        <v>9</v>
      </c>
      <c r="N32">
        <v>0.34361752402757018</v>
      </c>
      <c r="O32" t="s">
        <v>6</v>
      </c>
    </row>
    <row r="33" spans="2:15" x14ac:dyDescent="0.45">
      <c r="B33" t="s">
        <v>657</v>
      </c>
      <c r="C33" t="s">
        <v>10</v>
      </c>
      <c r="D33">
        <v>4.5245141439853566E-2</v>
      </c>
      <c r="E33" t="s">
        <v>6</v>
      </c>
      <c r="G33" t="s">
        <v>658</v>
      </c>
      <c r="H33" t="s">
        <v>10</v>
      </c>
      <c r="I33">
        <v>0.18563502453805839</v>
      </c>
      <c r="J33" t="s">
        <v>6</v>
      </c>
      <c r="L33" t="s">
        <v>659</v>
      </c>
      <c r="M33" t="s">
        <v>10</v>
      </c>
      <c r="N33">
        <v>0.16459096667347184</v>
      </c>
      <c r="O33" t="s">
        <v>6</v>
      </c>
    </row>
    <row r="34" spans="2:15" x14ac:dyDescent="0.45">
      <c r="B34" t="s">
        <v>657</v>
      </c>
      <c r="C34" t="s">
        <v>11</v>
      </c>
      <c r="D34">
        <v>0.52738202296039849</v>
      </c>
      <c r="E34" t="s">
        <v>6</v>
      </c>
      <c r="G34" t="s">
        <v>658</v>
      </c>
      <c r="H34" t="s">
        <v>11</v>
      </c>
      <c r="I34">
        <v>0.15041417943120611</v>
      </c>
      <c r="J34" t="s">
        <v>6</v>
      </c>
      <c r="L34" t="s">
        <v>659</v>
      </c>
      <c r="M34" t="s">
        <v>11</v>
      </c>
      <c r="N34">
        <v>0.17090199317785348</v>
      </c>
      <c r="O34" t="s">
        <v>6</v>
      </c>
    </row>
    <row r="35" spans="2:15" x14ac:dyDescent="0.45">
      <c r="B35" t="s">
        <v>660</v>
      </c>
      <c r="C35" t="s">
        <v>5</v>
      </c>
      <c r="D35">
        <v>3.0368602999361834E-2</v>
      </c>
      <c r="E35" t="s">
        <v>6</v>
      </c>
      <c r="G35" t="s">
        <v>661</v>
      </c>
      <c r="H35" t="s">
        <v>5</v>
      </c>
      <c r="I35">
        <v>0.35633427081680114</v>
      </c>
      <c r="J35" t="s">
        <v>6</v>
      </c>
      <c r="L35" t="s">
        <v>662</v>
      </c>
      <c r="M35" t="s">
        <v>5</v>
      </c>
      <c r="N35">
        <v>0.33308139495839917</v>
      </c>
      <c r="O35" t="s">
        <v>6</v>
      </c>
    </row>
    <row r="36" spans="2:15" x14ac:dyDescent="0.45">
      <c r="B36" t="s">
        <v>660</v>
      </c>
      <c r="C36" t="s">
        <v>9</v>
      </c>
      <c r="D36">
        <v>0.40585917798466659</v>
      </c>
      <c r="E36" t="s">
        <v>6</v>
      </c>
      <c r="G36" t="s">
        <v>661</v>
      </c>
      <c r="H36" t="s">
        <v>9</v>
      </c>
      <c r="I36">
        <v>0.31956587784079582</v>
      </c>
      <c r="J36" t="s">
        <v>6</v>
      </c>
      <c r="L36" t="s">
        <v>662</v>
      </c>
      <c r="M36" t="s">
        <v>9</v>
      </c>
      <c r="N36">
        <v>0.32932057667465958</v>
      </c>
      <c r="O36" t="s">
        <v>6</v>
      </c>
    </row>
    <row r="37" spans="2:15" x14ac:dyDescent="0.45">
      <c r="B37" t="s">
        <v>660</v>
      </c>
      <c r="C37" t="s">
        <v>10</v>
      </c>
      <c r="D37">
        <v>4.4415260643977487E-2</v>
      </c>
      <c r="E37" t="s">
        <v>6</v>
      </c>
      <c r="G37" t="s">
        <v>661</v>
      </c>
      <c r="H37" t="s">
        <v>10</v>
      </c>
      <c r="I37">
        <v>0.19131807416443336</v>
      </c>
      <c r="J37" t="s">
        <v>6</v>
      </c>
      <c r="L37" t="s">
        <v>662</v>
      </c>
      <c r="M37" t="s">
        <v>10</v>
      </c>
      <c r="N37">
        <v>0.1721049561233722</v>
      </c>
      <c r="O37" t="s">
        <v>6</v>
      </c>
    </row>
    <row r="38" spans="2:15" x14ac:dyDescent="0.45">
      <c r="B38" t="s">
        <v>660</v>
      </c>
      <c r="C38" t="s">
        <v>11</v>
      </c>
      <c r="D38">
        <v>0.51935695837199425</v>
      </c>
      <c r="E38" t="s">
        <v>6</v>
      </c>
      <c r="G38" t="s">
        <v>661</v>
      </c>
      <c r="H38" t="s">
        <v>11</v>
      </c>
      <c r="I38">
        <v>0.13278177717797326</v>
      </c>
      <c r="J38" t="s">
        <v>6</v>
      </c>
      <c r="L38" t="s">
        <v>662</v>
      </c>
      <c r="M38" t="s">
        <v>11</v>
      </c>
      <c r="N38">
        <v>0.16549307224356763</v>
      </c>
      <c r="O38" t="s">
        <v>6</v>
      </c>
    </row>
    <row r="39" spans="2:15" x14ac:dyDescent="0.45">
      <c r="B39" t="s">
        <v>663</v>
      </c>
      <c r="C39" t="s">
        <v>5</v>
      </c>
      <c r="D39">
        <v>3.339346677026548E-2</v>
      </c>
      <c r="E39" t="s">
        <v>6</v>
      </c>
      <c r="G39" t="s">
        <v>664</v>
      </c>
      <c r="H39" t="s">
        <v>5</v>
      </c>
      <c r="I39">
        <v>0.2739345320089101</v>
      </c>
      <c r="J39" t="s">
        <v>6</v>
      </c>
      <c r="L39" t="s">
        <v>665</v>
      </c>
      <c r="M39" t="s">
        <v>5</v>
      </c>
      <c r="N39">
        <v>0.31054265912546741</v>
      </c>
      <c r="O39" t="s">
        <v>6</v>
      </c>
    </row>
    <row r="40" spans="2:15" x14ac:dyDescent="0.45">
      <c r="B40" t="s">
        <v>663</v>
      </c>
      <c r="C40" t="s">
        <v>9</v>
      </c>
      <c r="D40">
        <v>0.39108123472358663</v>
      </c>
      <c r="E40" t="s">
        <v>6</v>
      </c>
      <c r="G40" t="s">
        <v>664</v>
      </c>
      <c r="H40" t="s">
        <v>9</v>
      </c>
      <c r="I40">
        <v>0.26614194849583189</v>
      </c>
      <c r="J40" t="s">
        <v>6</v>
      </c>
      <c r="L40" t="s">
        <v>665</v>
      </c>
      <c r="M40" t="s">
        <v>9</v>
      </c>
      <c r="N40">
        <v>0.30115098942357349</v>
      </c>
      <c r="O40" t="s">
        <v>6</v>
      </c>
    </row>
    <row r="41" spans="2:15" x14ac:dyDescent="0.45">
      <c r="B41" t="s">
        <v>663</v>
      </c>
      <c r="C41" t="s">
        <v>10</v>
      </c>
      <c r="D41">
        <v>5.0221525827265218E-2</v>
      </c>
      <c r="E41" t="s">
        <v>6</v>
      </c>
      <c r="G41" t="s">
        <v>664</v>
      </c>
      <c r="H41" t="s">
        <v>10</v>
      </c>
      <c r="I41">
        <v>0.23938871952684845</v>
      </c>
      <c r="J41" t="s">
        <v>6</v>
      </c>
      <c r="L41" t="s">
        <v>665</v>
      </c>
      <c r="M41" t="s">
        <v>10</v>
      </c>
      <c r="N41">
        <v>0.19656479522007989</v>
      </c>
      <c r="O41" t="s">
        <v>6</v>
      </c>
    </row>
    <row r="42" spans="2:15" x14ac:dyDescent="0.45">
      <c r="B42" t="s">
        <v>663</v>
      </c>
      <c r="C42" t="s">
        <v>11</v>
      </c>
      <c r="D42">
        <v>0.52530377267888528</v>
      </c>
      <c r="E42" t="s">
        <v>6</v>
      </c>
      <c r="G42" t="s">
        <v>664</v>
      </c>
      <c r="H42" t="s">
        <v>11</v>
      </c>
      <c r="I42">
        <v>0.22053479996841244</v>
      </c>
      <c r="J42" t="s">
        <v>6</v>
      </c>
      <c r="L42" t="s">
        <v>665</v>
      </c>
      <c r="M42" t="s">
        <v>11</v>
      </c>
      <c r="N42">
        <v>0.19174155623087902</v>
      </c>
      <c r="O42" t="s">
        <v>6</v>
      </c>
    </row>
    <row r="43" spans="2:15" x14ac:dyDescent="0.45">
      <c r="B43" t="s">
        <v>666</v>
      </c>
      <c r="C43" t="s">
        <v>5</v>
      </c>
      <c r="D43">
        <v>3.2650914383688938E-2</v>
      </c>
      <c r="E43" t="s">
        <v>6</v>
      </c>
      <c r="G43" t="s">
        <v>667</v>
      </c>
      <c r="H43" t="s">
        <v>5</v>
      </c>
      <c r="I43">
        <v>0.3096815949770626</v>
      </c>
      <c r="J43" t="s">
        <v>6</v>
      </c>
      <c r="L43" t="s">
        <v>668</v>
      </c>
      <c r="M43" t="s">
        <v>5</v>
      </c>
      <c r="N43">
        <v>0.30374894452866591</v>
      </c>
      <c r="O43" t="s">
        <v>6</v>
      </c>
    </row>
    <row r="44" spans="2:15" x14ac:dyDescent="0.45">
      <c r="B44" t="s">
        <v>666</v>
      </c>
      <c r="C44" t="s">
        <v>9</v>
      </c>
      <c r="D44">
        <v>0.39231962572440193</v>
      </c>
      <c r="E44" t="s">
        <v>6</v>
      </c>
      <c r="G44" t="s">
        <v>667</v>
      </c>
      <c r="H44" t="s">
        <v>9</v>
      </c>
      <c r="I44">
        <v>0.33319997907273141</v>
      </c>
      <c r="J44" t="s">
        <v>6</v>
      </c>
      <c r="L44" t="s">
        <v>668</v>
      </c>
      <c r="M44" t="s">
        <v>9</v>
      </c>
      <c r="N44">
        <v>0.29794317347204269</v>
      </c>
      <c r="O44" t="s">
        <v>6</v>
      </c>
    </row>
    <row r="45" spans="2:15" x14ac:dyDescent="0.45">
      <c r="B45" t="s">
        <v>666</v>
      </c>
      <c r="C45" t="s">
        <v>10</v>
      </c>
      <c r="D45">
        <v>4.9078335206552137E-2</v>
      </c>
      <c r="E45" t="s">
        <v>6</v>
      </c>
      <c r="G45" t="s">
        <v>667</v>
      </c>
      <c r="H45" t="s">
        <v>10</v>
      </c>
      <c r="I45">
        <v>0.16961728217232463</v>
      </c>
      <c r="J45" t="s">
        <v>6</v>
      </c>
      <c r="L45" t="s">
        <v>668</v>
      </c>
      <c r="M45" t="s">
        <v>10</v>
      </c>
      <c r="N45">
        <v>0.19239118116627041</v>
      </c>
      <c r="O45" t="s">
        <v>6</v>
      </c>
    </row>
    <row r="46" spans="2:15" x14ac:dyDescent="0.45">
      <c r="B46" t="s">
        <v>666</v>
      </c>
      <c r="C46" t="s">
        <v>11</v>
      </c>
      <c r="D46">
        <v>0.52595112468535488</v>
      </c>
      <c r="E46" t="s">
        <v>6</v>
      </c>
      <c r="G46" t="s">
        <v>667</v>
      </c>
      <c r="H46" t="s">
        <v>11</v>
      </c>
      <c r="I46">
        <v>0.18750114377788463</v>
      </c>
      <c r="J46" t="s">
        <v>6</v>
      </c>
      <c r="L46" t="s">
        <v>668</v>
      </c>
      <c r="M46" t="s">
        <v>11</v>
      </c>
      <c r="N46">
        <v>0.20591670083302091</v>
      </c>
      <c r="O46" t="s">
        <v>6</v>
      </c>
    </row>
    <row r="47" spans="2:15" x14ac:dyDescent="0.45">
      <c r="B47" t="s">
        <v>669</v>
      </c>
      <c r="C47" t="s">
        <v>5</v>
      </c>
      <c r="D47">
        <v>3.1624429875483612E-2</v>
      </c>
      <c r="E47" t="s">
        <v>6</v>
      </c>
      <c r="G47" t="s">
        <v>670</v>
      </c>
      <c r="H47" t="s">
        <v>5</v>
      </c>
      <c r="I47">
        <v>0.30611549705471947</v>
      </c>
      <c r="J47" t="s">
        <v>6</v>
      </c>
      <c r="L47" t="s">
        <v>671</v>
      </c>
      <c r="M47" t="s">
        <v>5</v>
      </c>
      <c r="N47">
        <v>0.31202913771741475</v>
      </c>
      <c r="O47" t="s">
        <v>6</v>
      </c>
    </row>
    <row r="48" spans="2:15" x14ac:dyDescent="0.45">
      <c r="B48" t="s">
        <v>669</v>
      </c>
      <c r="C48" t="s">
        <v>9</v>
      </c>
      <c r="D48">
        <v>0.41448055078521961</v>
      </c>
      <c r="E48" t="s">
        <v>6</v>
      </c>
      <c r="G48" t="s">
        <v>670</v>
      </c>
      <c r="H48" t="s">
        <v>9</v>
      </c>
      <c r="I48">
        <v>0.35288932565790926</v>
      </c>
      <c r="J48" t="s">
        <v>6</v>
      </c>
      <c r="L48" t="s">
        <v>671</v>
      </c>
      <c r="M48" t="s">
        <v>9</v>
      </c>
      <c r="N48">
        <v>0.30771410820184142</v>
      </c>
      <c r="O48" t="s">
        <v>6</v>
      </c>
    </row>
    <row r="49" spans="2:15" x14ac:dyDescent="0.45">
      <c r="B49" t="s">
        <v>669</v>
      </c>
      <c r="C49" t="s">
        <v>10</v>
      </c>
      <c r="D49">
        <v>4.3791121972106418E-2</v>
      </c>
      <c r="E49" t="s">
        <v>6</v>
      </c>
      <c r="G49" t="s">
        <v>670</v>
      </c>
      <c r="H49" t="s">
        <v>10</v>
      </c>
      <c r="I49">
        <v>0.16064924917675505</v>
      </c>
      <c r="J49" t="s">
        <v>6</v>
      </c>
      <c r="L49" t="s">
        <v>671</v>
      </c>
      <c r="M49" t="s">
        <v>10</v>
      </c>
      <c r="N49">
        <v>0.1816236969942939</v>
      </c>
      <c r="O49" t="s">
        <v>6</v>
      </c>
    </row>
    <row r="50" spans="2:15" x14ac:dyDescent="0.45">
      <c r="B50" t="s">
        <v>669</v>
      </c>
      <c r="C50" t="s">
        <v>11</v>
      </c>
      <c r="D50">
        <v>0.51010389736719042</v>
      </c>
      <c r="E50" t="s">
        <v>6</v>
      </c>
      <c r="G50" t="s">
        <v>670</v>
      </c>
      <c r="H50" t="s">
        <v>11</v>
      </c>
      <c r="I50">
        <v>0.1803459281106175</v>
      </c>
      <c r="J50" t="s">
        <v>6</v>
      </c>
      <c r="L50" t="s">
        <v>671</v>
      </c>
      <c r="M50" t="s">
        <v>11</v>
      </c>
      <c r="N50">
        <v>0.19863305708645124</v>
      </c>
      <c r="O50" t="s">
        <v>6</v>
      </c>
    </row>
    <row r="51" spans="2:15" x14ac:dyDescent="0.45">
      <c r="B51" t="s">
        <v>672</v>
      </c>
      <c r="C51" t="s">
        <v>5</v>
      </c>
      <c r="D51">
        <v>2.794623290014429E-2</v>
      </c>
      <c r="E51" t="s">
        <v>6</v>
      </c>
      <c r="G51" t="s">
        <v>673</v>
      </c>
      <c r="H51" t="s">
        <v>5</v>
      </c>
      <c r="I51">
        <v>0.29926706224900074</v>
      </c>
      <c r="J51" t="s">
        <v>6</v>
      </c>
      <c r="L51" t="s">
        <v>674</v>
      </c>
      <c r="M51" t="s">
        <v>5</v>
      </c>
      <c r="N51">
        <v>0.30533922550108356</v>
      </c>
      <c r="O51" t="s">
        <v>6</v>
      </c>
    </row>
    <row r="52" spans="2:15" x14ac:dyDescent="0.45">
      <c r="B52" t="s">
        <v>672</v>
      </c>
      <c r="C52" t="s">
        <v>9</v>
      </c>
      <c r="D52">
        <v>0.41457063357042229</v>
      </c>
      <c r="E52" t="s">
        <v>6</v>
      </c>
      <c r="G52" t="s">
        <v>673</v>
      </c>
      <c r="H52" t="s">
        <v>9</v>
      </c>
      <c r="I52">
        <v>0.33576617602269809</v>
      </c>
      <c r="J52" t="s">
        <v>6</v>
      </c>
      <c r="L52" t="s">
        <v>674</v>
      </c>
      <c r="M52" t="s">
        <v>9</v>
      </c>
      <c r="N52">
        <v>0.29781465633010012</v>
      </c>
      <c r="O52" t="s">
        <v>6</v>
      </c>
    </row>
    <row r="53" spans="2:15" x14ac:dyDescent="0.45">
      <c r="B53" t="s">
        <v>672</v>
      </c>
      <c r="C53" t="s">
        <v>10</v>
      </c>
      <c r="D53">
        <v>3.9934807229962455E-2</v>
      </c>
      <c r="E53" t="s">
        <v>6</v>
      </c>
      <c r="G53" t="s">
        <v>673</v>
      </c>
      <c r="H53" t="s">
        <v>10</v>
      </c>
      <c r="I53">
        <v>0.17270205120347085</v>
      </c>
      <c r="J53" t="s">
        <v>6</v>
      </c>
      <c r="L53" t="s">
        <v>674</v>
      </c>
      <c r="M53" t="s">
        <v>10</v>
      </c>
      <c r="N53">
        <v>0.19413063923297835</v>
      </c>
      <c r="O53" t="s">
        <v>6</v>
      </c>
    </row>
    <row r="54" spans="2:15" x14ac:dyDescent="0.45">
      <c r="B54" t="s">
        <v>672</v>
      </c>
      <c r="C54" t="s">
        <v>11</v>
      </c>
      <c r="D54">
        <v>0.51754832629947289</v>
      </c>
      <c r="E54" t="s">
        <v>6</v>
      </c>
      <c r="G54" t="s">
        <v>673</v>
      </c>
      <c r="H54" t="s">
        <v>11</v>
      </c>
      <c r="I54">
        <v>0.19226471052483035</v>
      </c>
      <c r="J54" t="s">
        <v>6</v>
      </c>
      <c r="L54" t="s">
        <v>674</v>
      </c>
      <c r="M54" t="s">
        <v>11</v>
      </c>
      <c r="N54">
        <v>0.20271547893584049</v>
      </c>
      <c r="O54" t="s">
        <v>6</v>
      </c>
    </row>
    <row r="55" spans="2:15" x14ac:dyDescent="0.45">
      <c r="B55" t="s">
        <v>675</v>
      </c>
      <c r="C55" t="s">
        <v>5</v>
      </c>
      <c r="D55">
        <v>3.4726595284277191E-2</v>
      </c>
      <c r="E55" t="s">
        <v>6</v>
      </c>
      <c r="G55" t="s">
        <v>676</v>
      </c>
      <c r="H55" t="s">
        <v>5</v>
      </c>
      <c r="I55">
        <v>0.31189715330912982</v>
      </c>
      <c r="J55" t="s">
        <v>6</v>
      </c>
      <c r="L55" t="s">
        <v>677</v>
      </c>
      <c r="M55" t="s">
        <v>5</v>
      </c>
      <c r="N55">
        <v>0.31440071765656763</v>
      </c>
      <c r="O55" t="s">
        <v>6</v>
      </c>
    </row>
    <row r="56" spans="2:15" x14ac:dyDescent="0.45">
      <c r="B56" t="s">
        <v>675</v>
      </c>
      <c r="C56" t="s">
        <v>9</v>
      </c>
      <c r="D56">
        <v>0.4228525917007781</v>
      </c>
      <c r="E56" t="s">
        <v>6</v>
      </c>
      <c r="G56" t="s">
        <v>676</v>
      </c>
      <c r="H56" t="s">
        <v>9</v>
      </c>
      <c r="I56">
        <v>0.29635864770749737</v>
      </c>
      <c r="J56" t="s">
        <v>6</v>
      </c>
      <c r="L56" t="s">
        <v>677</v>
      </c>
      <c r="M56" t="s">
        <v>9</v>
      </c>
      <c r="N56">
        <v>0.30399876648331231</v>
      </c>
      <c r="O56" t="s">
        <v>6</v>
      </c>
    </row>
    <row r="57" spans="2:15" x14ac:dyDescent="0.45">
      <c r="B57" t="s">
        <v>675</v>
      </c>
      <c r="C57" t="s">
        <v>10</v>
      </c>
      <c r="D57">
        <v>4.5185398945995277E-2</v>
      </c>
      <c r="E57" t="s">
        <v>6</v>
      </c>
      <c r="G57" t="s">
        <v>676</v>
      </c>
      <c r="H57" t="s">
        <v>10</v>
      </c>
      <c r="I57">
        <v>0.23162907465255658</v>
      </c>
      <c r="J57" t="s">
        <v>6</v>
      </c>
      <c r="L57" t="s">
        <v>677</v>
      </c>
      <c r="M57" t="s">
        <v>10</v>
      </c>
      <c r="N57">
        <v>0.1882053122426014</v>
      </c>
      <c r="O57" t="s">
        <v>6</v>
      </c>
    </row>
    <row r="58" spans="2:15" x14ac:dyDescent="0.45">
      <c r="B58" t="s">
        <v>675</v>
      </c>
      <c r="C58" t="s">
        <v>11</v>
      </c>
      <c r="D58">
        <v>0.49723541406895139</v>
      </c>
      <c r="E58" t="s">
        <v>6</v>
      </c>
      <c r="G58" t="s">
        <v>676</v>
      </c>
      <c r="H58" t="s">
        <v>11</v>
      </c>
      <c r="I58">
        <v>0.16011512433081845</v>
      </c>
      <c r="J58" t="s">
        <v>6</v>
      </c>
      <c r="L58" t="s">
        <v>677</v>
      </c>
      <c r="M58" t="s">
        <v>11</v>
      </c>
      <c r="N58">
        <v>0.19339520361752288</v>
      </c>
      <c r="O58" t="s">
        <v>6</v>
      </c>
    </row>
    <row r="59" spans="2:15" x14ac:dyDescent="0.45">
      <c r="B59" t="s">
        <v>678</v>
      </c>
      <c r="C59" t="s">
        <v>5</v>
      </c>
      <c r="D59">
        <v>3.5284624582557912E-2</v>
      </c>
      <c r="E59" t="s">
        <v>6</v>
      </c>
      <c r="G59" t="s">
        <v>679</v>
      </c>
      <c r="H59" t="s">
        <v>5</v>
      </c>
      <c r="I59">
        <v>0.32739315154021276</v>
      </c>
      <c r="J59" t="s">
        <v>6</v>
      </c>
      <c r="L59" t="s">
        <v>680</v>
      </c>
      <c r="M59" t="s">
        <v>5</v>
      </c>
      <c r="N59">
        <v>0.33221537687117852</v>
      </c>
      <c r="O59" t="s">
        <v>6</v>
      </c>
    </row>
    <row r="60" spans="2:15" x14ac:dyDescent="0.45">
      <c r="B60" t="s">
        <v>678</v>
      </c>
      <c r="C60" t="s">
        <v>9</v>
      </c>
      <c r="D60">
        <v>0.41639794759120108</v>
      </c>
      <c r="E60" t="s">
        <v>6</v>
      </c>
      <c r="G60" t="s">
        <v>679</v>
      </c>
      <c r="H60" t="s">
        <v>9</v>
      </c>
      <c r="I60">
        <v>0.30786693003546306</v>
      </c>
      <c r="J60" t="s">
        <v>6</v>
      </c>
      <c r="L60" t="s">
        <v>680</v>
      </c>
      <c r="M60" t="s">
        <v>9</v>
      </c>
      <c r="N60">
        <v>0.28278718063244029</v>
      </c>
      <c r="O60" t="s">
        <v>6</v>
      </c>
    </row>
    <row r="61" spans="2:15" x14ac:dyDescent="0.45">
      <c r="B61" t="s">
        <v>678</v>
      </c>
      <c r="C61" t="s">
        <v>10</v>
      </c>
      <c r="D61">
        <v>4.6965957106116896E-2</v>
      </c>
      <c r="E61" t="s">
        <v>6</v>
      </c>
      <c r="G61" t="s">
        <v>679</v>
      </c>
      <c r="H61" t="s">
        <v>10</v>
      </c>
      <c r="I61">
        <v>0.21515700362196913</v>
      </c>
      <c r="J61" t="s">
        <v>6</v>
      </c>
      <c r="L61" t="s">
        <v>680</v>
      </c>
      <c r="M61" t="s">
        <v>10</v>
      </c>
      <c r="N61">
        <v>0.22635342775618814</v>
      </c>
      <c r="O61" t="s">
        <v>6</v>
      </c>
    </row>
    <row r="62" spans="2:15" x14ac:dyDescent="0.45">
      <c r="B62" t="s">
        <v>678</v>
      </c>
      <c r="C62" t="s">
        <v>11</v>
      </c>
      <c r="D62">
        <v>0.50135147072012487</v>
      </c>
      <c r="E62" t="s">
        <v>6</v>
      </c>
      <c r="G62" t="s">
        <v>679</v>
      </c>
      <c r="H62" t="s">
        <v>11</v>
      </c>
      <c r="I62">
        <v>0.14958291480234981</v>
      </c>
      <c r="J62" t="s">
        <v>6</v>
      </c>
      <c r="L62" t="s">
        <v>680</v>
      </c>
      <c r="M62" t="s">
        <v>11</v>
      </c>
      <c r="N62">
        <v>0.15864401474019146</v>
      </c>
      <c r="O62" t="s">
        <v>6</v>
      </c>
    </row>
    <row r="63" spans="2:15" x14ac:dyDescent="0.45">
      <c r="B63" t="s">
        <v>681</v>
      </c>
      <c r="C63" t="s">
        <v>5</v>
      </c>
      <c r="D63">
        <v>3.2924383783280574E-2</v>
      </c>
      <c r="E63" t="s">
        <v>6</v>
      </c>
      <c r="G63" t="s">
        <v>682</v>
      </c>
      <c r="H63" t="s">
        <v>5</v>
      </c>
      <c r="I63">
        <v>0.30489759194332727</v>
      </c>
      <c r="J63" t="s">
        <v>6</v>
      </c>
      <c r="L63" t="s">
        <v>683</v>
      </c>
      <c r="M63" t="s">
        <v>5</v>
      </c>
      <c r="N63">
        <v>0.28366466997854806</v>
      </c>
      <c r="O63" t="s">
        <v>6</v>
      </c>
    </row>
    <row r="64" spans="2:15" x14ac:dyDescent="0.45">
      <c r="B64" t="s">
        <v>681</v>
      </c>
      <c r="C64" t="s">
        <v>9</v>
      </c>
      <c r="D64">
        <v>0.40020055333734561</v>
      </c>
      <c r="E64" t="s">
        <v>6</v>
      </c>
      <c r="G64" t="s">
        <v>682</v>
      </c>
      <c r="H64" t="s">
        <v>9</v>
      </c>
      <c r="I64">
        <v>0.28131586877282633</v>
      </c>
      <c r="J64" t="s">
        <v>6</v>
      </c>
      <c r="L64" t="s">
        <v>683</v>
      </c>
      <c r="M64" t="s">
        <v>9</v>
      </c>
      <c r="N64">
        <v>0.25717502520811208</v>
      </c>
      <c r="O64" t="s">
        <v>6</v>
      </c>
    </row>
    <row r="65" spans="2:15" x14ac:dyDescent="0.45">
      <c r="B65" t="s">
        <v>681</v>
      </c>
      <c r="C65" t="s">
        <v>10</v>
      </c>
      <c r="D65">
        <v>4.8368169092990972E-2</v>
      </c>
      <c r="E65" t="s">
        <v>6</v>
      </c>
      <c r="G65" t="s">
        <v>682</v>
      </c>
      <c r="H65" t="s">
        <v>10</v>
      </c>
      <c r="I65">
        <v>0.24599008826442217</v>
      </c>
      <c r="J65" t="s">
        <v>6</v>
      </c>
      <c r="L65" t="s">
        <v>683</v>
      </c>
      <c r="M65" t="s">
        <v>10</v>
      </c>
      <c r="N65">
        <v>0.2466548411698985</v>
      </c>
      <c r="O65" t="s">
        <v>6</v>
      </c>
    </row>
    <row r="66" spans="2:15" x14ac:dyDescent="0.45">
      <c r="B66" t="s">
        <v>681</v>
      </c>
      <c r="C66" t="s">
        <v>11</v>
      </c>
      <c r="D66">
        <v>0.51850689378638504</v>
      </c>
      <c r="E66" t="s">
        <v>6</v>
      </c>
      <c r="G66" t="s">
        <v>682</v>
      </c>
      <c r="H66" t="s">
        <v>11</v>
      </c>
      <c r="I66">
        <v>0.16779645101942064</v>
      </c>
      <c r="J66" t="s">
        <v>6</v>
      </c>
      <c r="L66" t="s">
        <v>683</v>
      </c>
      <c r="M66" t="s">
        <v>11</v>
      </c>
      <c r="N66">
        <v>0.21250546364344125</v>
      </c>
      <c r="O66" t="s">
        <v>6</v>
      </c>
    </row>
    <row r="67" spans="2:15" x14ac:dyDescent="0.45">
      <c r="B67" t="s">
        <v>684</v>
      </c>
      <c r="C67" t="s">
        <v>5</v>
      </c>
      <c r="D67">
        <v>3.3992642869358144E-2</v>
      </c>
      <c r="E67" t="s">
        <v>6</v>
      </c>
      <c r="G67" t="s">
        <v>685</v>
      </c>
      <c r="H67" t="s">
        <v>5</v>
      </c>
      <c r="I67">
        <v>0.28300686678654158</v>
      </c>
      <c r="J67" t="s">
        <v>6</v>
      </c>
      <c r="L67" t="s">
        <v>686</v>
      </c>
      <c r="M67" t="s">
        <v>5</v>
      </c>
      <c r="N67">
        <v>0.27708026201484953</v>
      </c>
      <c r="O67" t="s">
        <v>6</v>
      </c>
    </row>
    <row r="68" spans="2:15" x14ac:dyDescent="0.45">
      <c r="B68" t="s">
        <v>684</v>
      </c>
      <c r="C68" t="s">
        <v>9</v>
      </c>
      <c r="D68">
        <v>0.40923684659178278</v>
      </c>
      <c r="E68" t="s">
        <v>6</v>
      </c>
      <c r="G68" t="s">
        <v>685</v>
      </c>
      <c r="H68" t="s">
        <v>9</v>
      </c>
      <c r="I68">
        <v>0.27978514324609527</v>
      </c>
      <c r="J68" t="s">
        <v>6</v>
      </c>
      <c r="L68" t="s">
        <v>686</v>
      </c>
      <c r="M68" t="s">
        <v>9</v>
      </c>
      <c r="N68">
        <v>0.26330087773391708</v>
      </c>
      <c r="O68" t="s">
        <v>6</v>
      </c>
    </row>
    <row r="69" spans="2:15" x14ac:dyDescent="0.45">
      <c r="B69" t="s">
        <v>684</v>
      </c>
      <c r="C69" t="s">
        <v>10</v>
      </c>
      <c r="D69">
        <v>4.8422759470850285E-2</v>
      </c>
      <c r="E69" t="s">
        <v>6</v>
      </c>
      <c r="G69" t="s">
        <v>685</v>
      </c>
      <c r="H69" t="s">
        <v>10</v>
      </c>
      <c r="I69">
        <v>0.21751573224641929</v>
      </c>
      <c r="J69" t="s">
        <v>6</v>
      </c>
      <c r="L69" t="s">
        <v>686</v>
      </c>
      <c r="M69" t="s">
        <v>10</v>
      </c>
      <c r="N69">
        <v>0.24220011096560976</v>
      </c>
      <c r="O69" t="s">
        <v>6</v>
      </c>
    </row>
    <row r="70" spans="2:15" x14ac:dyDescent="0.45">
      <c r="B70" t="s">
        <v>684</v>
      </c>
      <c r="C70" t="s">
        <v>11</v>
      </c>
      <c r="D70">
        <v>0.508347751068008</v>
      </c>
      <c r="E70" t="s">
        <v>6</v>
      </c>
      <c r="G70" t="s">
        <v>685</v>
      </c>
      <c r="H70" t="s">
        <v>11</v>
      </c>
      <c r="I70">
        <v>0.21969225772094397</v>
      </c>
      <c r="J70" t="s">
        <v>6</v>
      </c>
      <c r="L70" t="s">
        <v>686</v>
      </c>
      <c r="M70" t="s">
        <v>11</v>
      </c>
      <c r="N70">
        <v>0.21741874928562266</v>
      </c>
      <c r="O70" t="s">
        <v>6</v>
      </c>
    </row>
    <row r="71" spans="2:15" x14ac:dyDescent="0.45">
      <c r="B71" t="s">
        <v>687</v>
      </c>
      <c r="C71" t="s">
        <v>5</v>
      </c>
      <c r="D71">
        <v>2.6975593466955047E-2</v>
      </c>
      <c r="E71" t="s">
        <v>6</v>
      </c>
      <c r="G71" t="s">
        <v>688</v>
      </c>
      <c r="H71" t="s">
        <v>5</v>
      </c>
      <c r="I71">
        <v>0.29822170009600912</v>
      </c>
      <c r="J71" t="s">
        <v>6</v>
      </c>
      <c r="L71" t="s">
        <v>689</v>
      </c>
      <c r="M71" t="s">
        <v>5</v>
      </c>
      <c r="N71">
        <v>0.27885798326238875</v>
      </c>
      <c r="O71" t="s">
        <v>6</v>
      </c>
    </row>
    <row r="72" spans="2:15" x14ac:dyDescent="0.45">
      <c r="B72" t="s">
        <v>687</v>
      </c>
      <c r="C72" t="s">
        <v>9</v>
      </c>
      <c r="D72">
        <v>0.41909366531530778</v>
      </c>
      <c r="E72" t="s">
        <v>6</v>
      </c>
      <c r="G72" t="s">
        <v>688</v>
      </c>
      <c r="H72" t="s">
        <v>9</v>
      </c>
      <c r="I72">
        <v>0.32330880513942312</v>
      </c>
      <c r="J72" t="s">
        <v>6</v>
      </c>
      <c r="L72" t="s">
        <v>689</v>
      </c>
      <c r="M72" t="s">
        <v>9</v>
      </c>
      <c r="N72">
        <v>0.27591146717014825</v>
      </c>
      <c r="O72" t="s">
        <v>6</v>
      </c>
    </row>
    <row r="73" spans="2:15" x14ac:dyDescent="0.45">
      <c r="B73" t="s">
        <v>687</v>
      </c>
      <c r="C73" t="s">
        <v>10</v>
      </c>
      <c r="D73">
        <v>3.8678610475375741E-2</v>
      </c>
      <c r="E73" t="s">
        <v>6</v>
      </c>
      <c r="G73" t="s">
        <v>688</v>
      </c>
      <c r="H73" t="s">
        <v>10</v>
      </c>
      <c r="I73">
        <v>0.1723992163546621</v>
      </c>
      <c r="J73" t="s">
        <v>6</v>
      </c>
      <c r="L73" t="s">
        <v>689</v>
      </c>
      <c r="M73" t="s">
        <v>10</v>
      </c>
      <c r="N73">
        <v>0.21877116962403304</v>
      </c>
      <c r="O73" t="s">
        <v>6</v>
      </c>
    </row>
    <row r="74" spans="2:15" x14ac:dyDescent="0.45">
      <c r="B74" t="s">
        <v>687</v>
      </c>
      <c r="C74" t="s">
        <v>11</v>
      </c>
      <c r="D74">
        <v>0.51525213074236376</v>
      </c>
      <c r="E74" t="s">
        <v>6</v>
      </c>
      <c r="G74" t="s">
        <v>688</v>
      </c>
      <c r="H74" t="s">
        <v>11</v>
      </c>
      <c r="I74">
        <v>0.20607027840990566</v>
      </c>
      <c r="J74" t="s">
        <v>6</v>
      </c>
      <c r="L74" t="s">
        <v>689</v>
      </c>
      <c r="M74" t="s">
        <v>11</v>
      </c>
      <c r="N74">
        <v>0.22645937994343518</v>
      </c>
      <c r="O74" t="s">
        <v>6</v>
      </c>
    </row>
    <row r="75" spans="2:15" x14ac:dyDescent="0.45">
      <c r="B75" t="s">
        <v>690</v>
      </c>
      <c r="C75" t="s">
        <v>5</v>
      </c>
      <c r="D75">
        <v>3.0038284396802145E-2</v>
      </c>
      <c r="E75" t="s">
        <v>6</v>
      </c>
      <c r="G75" t="s">
        <v>691</v>
      </c>
      <c r="H75" t="s">
        <v>5</v>
      </c>
      <c r="I75">
        <v>0.31071972935711234</v>
      </c>
      <c r="J75" t="s">
        <v>6</v>
      </c>
      <c r="L75" t="s">
        <v>692</v>
      </c>
      <c r="M75" t="s">
        <v>5</v>
      </c>
      <c r="N75">
        <v>0.26026165459102513</v>
      </c>
      <c r="O75" t="s">
        <v>6</v>
      </c>
    </row>
    <row r="76" spans="2:15" x14ac:dyDescent="0.45">
      <c r="B76" t="s">
        <v>690</v>
      </c>
      <c r="C76" t="s">
        <v>9</v>
      </c>
      <c r="D76">
        <v>0.41288875246530787</v>
      </c>
      <c r="E76" t="s">
        <v>6</v>
      </c>
      <c r="G76" t="s">
        <v>691</v>
      </c>
      <c r="H76" t="s">
        <v>9</v>
      </c>
      <c r="I76">
        <v>0.31368969644523254</v>
      </c>
      <c r="J76" t="s">
        <v>6</v>
      </c>
      <c r="L76" t="s">
        <v>692</v>
      </c>
      <c r="M76" t="s">
        <v>9</v>
      </c>
      <c r="N76">
        <v>0.24879999175795942</v>
      </c>
      <c r="O76" t="s">
        <v>6</v>
      </c>
    </row>
    <row r="77" spans="2:15" x14ac:dyDescent="0.45">
      <c r="B77" t="s">
        <v>690</v>
      </c>
      <c r="C77" t="s">
        <v>10</v>
      </c>
      <c r="D77">
        <v>4.3290072421006319E-2</v>
      </c>
      <c r="E77" t="s">
        <v>6</v>
      </c>
      <c r="G77" t="s">
        <v>691</v>
      </c>
      <c r="H77" t="s">
        <v>10</v>
      </c>
      <c r="I77">
        <v>0.219576196299862</v>
      </c>
      <c r="J77" t="s">
        <v>6</v>
      </c>
      <c r="L77" t="s">
        <v>692</v>
      </c>
      <c r="M77" t="s">
        <v>10</v>
      </c>
      <c r="N77">
        <v>0.24413777213978788</v>
      </c>
      <c r="O77" t="s">
        <v>6</v>
      </c>
    </row>
    <row r="78" spans="2:15" x14ac:dyDescent="0.45">
      <c r="B78" t="s">
        <v>690</v>
      </c>
      <c r="C78" t="s">
        <v>11</v>
      </c>
      <c r="D78">
        <v>0.51378289071688377</v>
      </c>
      <c r="E78" t="s">
        <v>6</v>
      </c>
      <c r="G78" t="s">
        <v>691</v>
      </c>
      <c r="H78" t="s">
        <v>11</v>
      </c>
      <c r="I78">
        <v>0.15601437789779499</v>
      </c>
      <c r="J78" t="s">
        <v>6</v>
      </c>
      <c r="L78" t="s">
        <v>692</v>
      </c>
      <c r="M78" t="s">
        <v>11</v>
      </c>
      <c r="N78">
        <v>0.24680058151122572</v>
      </c>
      <c r="O78" t="s">
        <v>6</v>
      </c>
    </row>
    <row r="79" spans="2:15" x14ac:dyDescent="0.45">
      <c r="B79" t="s">
        <v>693</v>
      </c>
      <c r="C79" t="s">
        <v>5</v>
      </c>
      <c r="D79">
        <v>2.5878645144745284E-2</v>
      </c>
      <c r="E79" t="s">
        <v>6</v>
      </c>
      <c r="G79" t="s">
        <v>694</v>
      </c>
      <c r="H79" t="s">
        <v>5</v>
      </c>
      <c r="I79">
        <v>0.3064795088065958</v>
      </c>
      <c r="J79" t="s">
        <v>6</v>
      </c>
      <c r="L79" t="s">
        <v>695</v>
      </c>
      <c r="M79" t="s">
        <v>5</v>
      </c>
      <c r="N79">
        <v>0.30000418031375869</v>
      </c>
      <c r="O79" t="s">
        <v>6</v>
      </c>
    </row>
    <row r="80" spans="2:15" x14ac:dyDescent="0.45">
      <c r="B80" t="s">
        <v>693</v>
      </c>
      <c r="C80" t="s">
        <v>9</v>
      </c>
      <c r="D80">
        <v>0.43001391714755166</v>
      </c>
      <c r="E80" t="s">
        <v>6</v>
      </c>
      <c r="G80" t="s">
        <v>694</v>
      </c>
      <c r="H80" t="s">
        <v>9</v>
      </c>
      <c r="I80">
        <v>0.3314857030716965</v>
      </c>
      <c r="J80" t="s">
        <v>6</v>
      </c>
      <c r="L80" t="s">
        <v>695</v>
      </c>
      <c r="M80" t="s">
        <v>9</v>
      </c>
      <c r="N80">
        <v>0.29393427230821806</v>
      </c>
      <c r="O80" t="s">
        <v>6</v>
      </c>
    </row>
    <row r="81" spans="2:15" x14ac:dyDescent="0.45">
      <c r="B81" t="s">
        <v>693</v>
      </c>
      <c r="C81" t="s">
        <v>10</v>
      </c>
      <c r="D81">
        <v>3.4288889932198495E-2</v>
      </c>
      <c r="E81" t="s">
        <v>6</v>
      </c>
      <c r="G81" t="s">
        <v>694</v>
      </c>
      <c r="H81" t="s">
        <v>10</v>
      </c>
      <c r="I81">
        <v>0.19034411547288016</v>
      </c>
      <c r="J81" t="s">
        <v>6</v>
      </c>
      <c r="L81" t="s">
        <v>695</v>
      </c>
      <c r="M81" t="s">
        <v>10</v>
      </c>
      <c r="N81">
        <v>0.19628803783813456</v>
      </c>
      <c r="O81" t="s">
        <v>6</v>
      </c>
    </row>
    <row r="82" spans="2:15" x14ac:dyDescent="0.45">
      <c r="B82" t="s">
        <v>693</v>
      </c>
      <c r="C82" t="s">
        <v>11</v>
      </c>
      <c r="D82">
        <v>0.50981854777550373</v>
      </c>
      <c r="E82" t="s">
        <v>6</v>
      </c>
      <c r="G82" t="s">
        <v>694</v>
      </c>
      <c r="H82" t="s">
        <v>11</v>
      </c>
      <c r="I82">
        <v>0.1716906726488299</v>
      </c>
      <c r="J82" t="s">
        <v>6</v>
      </c>
      <c r="L82" t="s">
        <v>695</v>
      </c>
      <c r="M82" t="s">
        <v>11</v>
      </c>
      <c r="N82">
        <v>0.20977350953988888</v>
      </c>
      <c r="O82" t="s">
        <v>6</v>
      </c>
    </row>
    <row r="83" spans="2:15" x14ac:dyDescent="0.45">
      <c r="B83" t="s">
        <v>696</v>
      </c>
      <c r="C83" t="s">
        <v>5</v>
      </c>
      <c r="D83">
        <v>2.8380087883273855E-2</v>
      </c>
      <c r="E83" t="s">
        <v>6</v>
      </c>
      <c r="G83" t="s">
        <v>697</v>
      </c>
      <c r="H83" t="s">
        <v>5</v>
      </c>
      <c r="I83">
        <v>0.37184478769255441</v>
      </c>
      <c r="J83" t="s">
        <v>6</v>
      </c>
      <c r="L83" t="s">
        <v>698</v>
      </c>
      <c r="M83" t="s">
        <v>5</v>
      </c>
      <c r="N83">
        <v>0.30200010004974032</v>
      </c>
      <c r="O83" t="s">
        <v>6</v>
      </c>
    </row>
    <row r="84" spans="2:15" x14ac:dyDescent="0.45">
      <c r="B84" t="s">
        <v>696</v>
      </c>
      <c r="C84" t="s">
        <v>9</v>
      </c>
      <c r="D84">
        <v>0.43707445053377042</v>
      </c>
      <c r="E84" t="s">
        <v>6</v>
      </c>
      <c r="G84" t="s">
        <v>697</v>
      </c>
      <c r="H84" t="s">
        <v>9</v>
      </c>
      <c r="I84">
        <v>0.38261130432946383</v>
      </c>
      <c r="J84" t="s">
        <v>6</v>
      </c>
      <c r="L84" t="s">
        <v>698</v>
      </c>
      <c r="M84" t="s">
        <v>9</v>
      </c>
      <c r="N84">
        <v>0.29684640212553048</v>
      </c>
      <c r="O84" t="s">
        <v>6</v>
      </c>
    </row>
    <row r="85" spans="2:15" x14ac:dyDescent="0.45">
      <c r="B85" t="s">
        <v>696</v>
      </c>
      <c r="C85" t="s">
        <v>10</v>
      </c>
      <c r="D85">
        <v>3.4970518046186533E-2</v>
      </c>
      <c r="E85" t="s">
        <v>6</v>
      </c>
      <c r="G85" t="s">
        <v>697</v>
      </c>
      <c r="H85" t="s">
        <v>10</v>
      </c>
      <c r="I85">
        <v>0.12468746227352764</v>
      </c>
      <c r="J85" t="s">
        <v>6</v>
      </c>
      <c r="L85" t="s">
        <v>698</v>
      </c>
      <c r="M85" t="s">
        <v>10</v>
      </c>
      <c r="N85">
        <v>0.20488151122220272</v>
      </c>
      <c r="O85" t="s">
        <v>6</v>
      </c>
    </row>
    <row r="86" spans="2:15" x14ac:dyDescent="0.45">
      <c r="B86" t="s">
        <v>696</v>
      </c>
      <c r="C86" t="s">
        <v>11</v>
      </c>
      <c r="D86">
        <v>0.49957494353677023</v>
      </c>
      <c r="E86" t="s">
        <v>6</v>
      </c>
      <c r="G86" t="s">
        <v>697</v>
      </c>
      <c r="H86" t="s">
        <v>11</v>
      </c>
      <c r="I86">
        <v>0.1208564457044531</v>
      </c>
      <c r="J86" t="s">
        <v>6</v>
      </c>
      <c r="L86" t="s">
        <v>698</v>
      </c>
      <c r="M86" t="s">
        <v>11</v>
      </c>
      <c r="N86">
        <v>0.19627198660253106</v>
      </c>
      <c r="O86" t="s">
        <v>6</v>
      </c>
    </row>
    <row r="87" spans="2:15" x14ac:dyDescent="0.45">
      <c r="B87" t="s">
        <v>699</v>
      </c>
      <c r="C87" t="s">
        <v>5</v>
      </c>
      <c r="D87">
        <v>2.4861087555670736E-2</v>
      </c>
      <c r="E87" t="s">
        <v>6</v>
      </c>
      <c r="G87" t="s">
        <v>700</v>
      </c>
      <c r="H87" t="s">
        <v>5</v>
      </c>
      <c r="I87">
        <v>0.35764788061294461</v>
      </c>
      <c r="J87" t="s">
        <v>6</v>
      </c>
    </row>
    <row r="88" spans="2:15" x14ac:dyDescent="0.45">
      <c r="B88" t="s">
        <v>699</v>
      </c>
      <c r="C88" t="s">
        <v>9</v>
      </c>
      <c r="D88">
        <v>0.44628878712039827</v>
      </c>
      <c r="E88" t="s">
        <v>6</v>
      </c>
      <c r="G88" t="s">
        <v>700</v>
      </c>
      <c r="H88" t="s">
        <v>9</v>
      </c>
      <c r="I88">
        <v>0.38408093583349384</v>
      </c>
      <c r="J88" t="s">
        <v>6</v>
      </c>
    </row>
    <row r="89" spans="2:15" x14ac:dyDescent="0.45">
      <c r="B89" t="s">
        <v>699</v>
      </c>
      <c r="C89" t="s">
        <v>10</v>
      </c>
      <c r="D89">
        <v>3.1384973532503739E-2</v>
      </c>
      <c r="E89" t="s">
        <v>6</v>
      </c>
      <c r="G89" t="s">
        <v>700</v>
      </c>
      <c r="H89" t="s">
        <v>10</v>
      </c>
      <c r="I89">
        <v>0.12948059513535046</v>
      </c>
      <c r="J89" t="s">
        <v>6</v>
      </c>
    </row>
    <row r="90" spans="2:15" x14ac:dyDescent="0.45">
      <c r="B90" t="s">
        <v>699</v>
      </c>
      <c r="C90" t="s">
        <v>11</v>
      </c>
      <c r="D90">
        <v>0.49746515179142847</v>
      </c>
      <c r="E90" t="s">
        <v>6</v>
      </c>
      <c r="G90" t="s">
        <v>700</v>
      </c>
      <c r="H90" t="s">
        <v>11</v>
      </c>
      <c r="I90">
        <v>0.12879058841821797</v>
      </c>
      <c r="J90" t="s">
        <v>6</v>
      </c>
    </row>
    <row r="91" spans="2:15" x14ac:dyDescent="0.45">
      <c r="B91" t="s">
        <v>701</v>
      </c>
      <c r="C91" t="s">
        <v>5</v>
      </c>
      <c r="D91">
        <v>2.3528431635384948E-2</v>
      </c>
      <c r="E91" t="s">
        <v>6</v>
      </c>
      <c r="G91" t="s">
        <v>702</v>
      </c>
      <c r="H91" t="s">
        <v>5</v>
      </c>
      <c r="I91">
        <v>0.33533145912599438</v>
      </c>
      <c r="J91" t="s">
        <v>6</v>
      </c>
    </row>
    <row r="92" spans="2:15" x14ac:dyDescent="0.45">
      <c r="B92" t="s">
        <v>701</v>
      </c>
      <c r="C92" t="s">
        <v>9</v>
      </c>
      <c r="D92">
        <v>0.44459614605016029</v>
      </c>
      <c r="E92" t="s">
        <v>6</v>
      </c>
      <c r="G92" t="s">
        <v>702</v>
      </c>
      <c r="H92" t="s">
        <v>9</v>
      </c>
      <c r="I92">
        <v>0.36317268555824017</v>
      </c>
      <c r="J92" t="s">
        <v>6</v>
      </c>
    </row>
    <row r="93" spans="2:15" x14ac:dyDescent="0.45">
      <c r="B93" t="s">
        <v>701</v>
      </c>
      <c r="C93" t="s">
        <v>10</v>
      </c>
      <c r="D93">
        <v>3.1000984920556619E-2</v>
      </c>
      <c r="E93" t="s">
        <v>6</v>
      </c>
      <c r="G93" t="s">
        <v>702</v>
      </c>
      <c r="H93" t="s">
        <v>10</v>
      </c>
      <c r="I93">
        <v>0.14401919422501633</v>
      </c>
      <c r="J93" t="s">
        <v>6</v>
      </c>
    </row>
    <row r="94" spans="2:15" x14ac:dyDescent="0.45">
      <c r="B94" t="s">
        <v>701</v>
      </c>
      <c r="C94" t="s">
        <v>11</v>
      </c>
      <c r="D94">
        <v>0.50087443739389803</v>
      </c>
      <c r="E94" t="s">
        <v>6</v>
      </c>
      <c r="G94" t="s">
        <v>702</v>
      </c>
      <c r="H94" t="s">
        <v>11</v>
      </c>
      <c r="I94">
        <v>0.1574766610907519</v>
      </c>
      <c r="J94" t="s">
        <v>6</v>
      </c>
    </row>
    <row r="95" spans="2:15" x14ac:dyDescent="0.45">
      <c r="B95" t="s">
        <v>703</v>
      </c>
      <c r="C95" t="s">
        <v>5</v>
      </c>
      <c r="D95">
        <v>2.330582836061984E-2</v>
      </c>
      <c r="E95" t="s">
        <v>6</v>
      </c>
      <c r="G95" t="s">
        <v>704</v>
      </c>
      <c r="H95" t="s">
        <v>5</v>
      </c>
      <c r="I95">
        <v>0.27574743865861484</v>
      </c>
      <c r="J95" t="s">
        <v>6</v>
      </c>
    </row>
    <row r="96" spans="2:15" x14ac:dyDescent="0.45">
      <c r="B96" t="s">
        <v>703</v>
      </c>
      <c r="C96" t="s">
        <v>9</v>
      </c>
      <c r="D96">
        <v>0.43231574961810643</v>
      </c>
      <c r="E96" t="s">
        <v>6</v>
      </c>
      <c r="G96" t="s">
        <v>704</v>
      </c>
      <c r="H96" t="s">
        <v>9</v>
      </c>
      <c r="I96">
        <v>0.29203795968242235</v>
      </c>
      <c r="J96" t="s">
        <v>6</v>
      </c>
    </row>
    <row r="97" spans="2:10" x14ac:dyDescent="0.45">
      <c r="B97" t="s">
        <v>703</v>
      </c>
      <c r="C97" t="s">
        <v>10</v>
      </c>
      <c r="D97">
        <v>3.3297784194041509E-2</v>
      </c>
      <c r="E97" t="s">
        <v>6</v>
      </c>
      <c r="G97" t="s">
        <v>704</v>
      </c>
      <c r="H97" t="s">
        <v>10</v>
      </c>
      <c r="I97">
        <v>0.24307878285987483</v>
      </c>
      <c r="J97" t="s">
        <v>6</v>
      </c>
    </row>
    <row r="98" spans="2:10" x14ac:dyDescent="0.45">
      <c r="B98" t="s">
        <v>703</v>
      </c>
      <c r="C98" t="s">
        <v>11</v>
      </c>
      <c r="D98">
        <v>0.51108063782723168</v>
      </c>
      <c r="E98" t="s">
        <v>6</v>
      </c>
      <c r="G98" t="s">
        <v>704</v>
      </c>
      <c r="H98" t="s">
        <v>11</v>
      </c>
      <c r="I98">
        <v>0.18913581879908756</v>
      </c>
      <c r="J98" t="s">
        <v>6</v>
      </c>
    </row>
    <row r="99" spans="2:10" x14ac:dyDescent="0.45">
      <c r="B99" t="s">
        <v>705</v>
      </c>
      <c r="C99" t="s">
        <v>5</v>
      </c>
      <c r="D99">
        <v>1.7378010373178446E-2</v>
      </c>
      <c r="E99" t="s">
        <v>6</v>
      </c>
      <c r="G99" t="s">
        <v>706</v>
      </c>
      <c r="H99" t="s">
        <v>5</v>
      </c>
      <c r="I99">
        <v>0.25848710512563322</v>
      </c>
      <c r="J99" t="s">
        <v>6</v>
      </c>
    </row>
    <row r="100" spans="2:10" x14ac:dyDescent="0.45">
      <c r="B100" t="s">
        <v>705</v>
      </c>
      <c r="C100" t="s">
        <v>9</v>
      </c>
      <c r="D100">
        <v>0.44895124861541902</v>
      </c>
      <c r="E100" t="s">
        <v>6</v>
      </c>
      <c r="G100" t="s">
        <v>706</v>
      </c>
      <c r="H100" t="s">
        <v>9</v>
      </c>
      <c r="I100">
        <v>0.29624084366545683</v>
      </c>
      <c r="J100" t="s">
        <v>6</v>
      </c>
    </row>
    <row r="101" spans="2:10" x14ac:dyDescent="0.45">
      <c r="B101" t="s">
        <v>705</v>
      </c>
      <c r="C101" t="s">
        <v>10</v>
      </c>
      <c r="D101">
        <v>2.5818781777509917E-2</v>
      </c>
      <c r="E101" t="s">
        <v>6</v>
      </c>
      <c r="G101" t="s">
        <v>706</v>
      </c>
      <c r="H101" t="s">
        <v>10</v>
      </c>
      <c r="I101">
        <v>0.22817707069535645</v>
      </c>
      <c r="J101" t="s">
        <v>6</v>
      </c>
    </row>
    <row r="102" spans="2:10" x14ac:dyDescent="0.45">
      <c r="B102" t="s">
        <v>705</v>
      </c>
      <c r="C102" t="s">
        <v>11</v>
      </c>
      <c r="D102">
        <v>0.50785195923389304</v>
      </c>
      <c r="E102" t="s">
        <v>6</v>
      </c>
      <c r="G102" t="s">
        <v>706</v>
      </c>
      <c r="H102" t="s">
        <v>11</v>
      </c>
      <c r="I102">
        <v>0.21709498051355172</v>
      </c>
      <c r="J102" t="s">
        <v>6</v>
      </c>
    </row>
    <row r="103" spans="2:10" x14ac:dyDescent="0.45">
      <c r="B103" t="s">
        <v>707</v>
      </c>
      <c r="C103" t="s">
        <v>5</v>
      </c>
      <c r="D103">
        <v>2.2685968533655936E-2</v>
      </c>
      <c r="E103" t="s">
        <v>6</v>
      </c>
      <c r="G103" t="s">
        <v>708</v>
      </c>
      <c r="H103" t="s">
        <v>5</v>
      </c>
      <c r="I103">
        <v>0.31202508122958639</v>
      </c>
      <c r="J103" t="s">
        <v>6</v>
      </c>
    </row>
    <row r="104" spans="2:10" x14ac:dyDescent="0.45">
      <c r="B104" t="s">
        <v>707</v>
      </c>
      <c r="C104" t="s">
        <v>9</v>
      </c>
      <c r="D104">
        <v>0.43192896954005305</v>
      </c>
      <c r="E104" t="s">
        <v>6</v>
      </c>
      <c r="G104" t="s">
        <v>708</v>
      </c>
      <c r="H104" t="s">
        <v>9</v>
      </c>
      <c r="I104">
        <v>0.33973606696317921</v>
      </c>
      <c r="J104" t="s">
        <v>6</v>
      </c>
    </row>
    <row r="105" spans="2:10" x14ac:dyDescent="0.45">
      <c r="B105" t="s">
        <v>707</v>
      </c>
      <c r="C105" t="s">
        <v>10</v>
      </c>
      <c r="D105">
        <v>3.3543480034424027E-2</v>
      </c>
      <c r="E105" t="s">
        <v>6</v>
      </c>
      <c r="G105" t="s">
        <v>708</v>
      </c>
      <c r="H105" t="s">
        <v>10</v>
      </c>
      <c r="I105">
        <v>0.17077040148763026</v>
      </c>
      <c r="J105" t="s">
        <v>6</v>
      </c>
    </row>
    <row r="106" spans="2:10" x14ac:dyDescent="0.45">
      <c r="B106" t="s">
        <v>707</v>
      </c>
      <c r="C106" t="s">
        <v>11</v>
      </c>
      <c r="D106">
        <v>0.51184158189186868</v>
      </c>
      <c r="E106" t="s">
        <v>6</v>
      </c>
      <c r="G106" t="s">
        <v>708</v>
      </c>
      <c r="H106" t="s">
        <v>11</v>
      </c>
      <c r="I106">
        <v>0.17746845031960626</v>
      </c>
      <c r="J106" t="s">
        <v>6</v>
      </c>
    </row>
    <row r="107" spans="2:10" x14ac:dyDescent="0.45">
      <c r="B107" t="s">
        <v>709</v>
      </c>
      <c r="C107" t="s">
        <v>5</v>
      </c>
      <c r="D107">
        <v>1.9214341992653441E-2</v>
      </c>
      <c r="E107" t="s">
        <v>6</v>
      </c>
      <c r="G107" t="s">
        <v>710</v>
      </c>
      <c r="H107" t="s">
        <v>5</v>
      </c>
      <c r="I107">
        <v>0.32791517106037937</v>
      </c>
      <c r="J107" t="s">
        <v>6</v>
      </c>
    </row>
    <row r="108" spans="2:10" x14ac:dyDescent="0.45">
      <c r="B108" t="s">
        <v>709</v>
      </c>
      <c r="C108" t="s">
        <v>9</v>
      </c>
      <c r="D108">
        <v>0.46001852582130803</v>
      </c>
      <c r="E108" t="s">
        <v>6</v>
      </c>
      <c r="G108" t="s">
        <v>710</v>
      </c>
      <c r="H108" t="s">
        <v>9</v>
      </c>
      <c r="I108">
        <v>0.35285367386789063</v>
      </c>
      <c r="J108" t="s">
        <v>6</v>
      </c>
    </row>
    <row r="109" spans="2:10" x14ac:dyDescent="0.45">
      <c r="B109" t="s">
        <v>709</v>
      </c>
      <c r="C109" t="s">
        <v>10</v>
      </c>
      <c r="D109">
        <v>2.5957674569854663E-2</v>
      </c>
      <c r="E109" t="s">
        <v>6</v>
      </c>
      <c r="G109" t="s">
        <v>710</v>
      </c>
      <c r="H109" t="s">
        <v>10</v>
      </c>
      <c r="I109">
        <v>0.15048379023358602</v>
      </c>
      <c r="J109" t="s">
        <v>6</v>
      </c>
    </row>
    <row r="110" spans="2:10" x14ac:dyDescent="0.45">
      <c r="B110" t="s">
        <v>709</v>
      </c>
      <c r="C110" t="s">
        <v>11</v>
      </c>
      <c r="D110">
        <v>0.4948094576161845</v>
      </c>
      <c r="E110" t="s">
        <v>6</v>
      </c>
      <c r="G110" t="s">
        <v>710</v>
      </c>
      <c r="H110" t="s">
        <v>11</v>
      </c>
      <c r="I110">
        <v>0.16874736483814759</v>
      </c>
      <c r="J110" t="s">
        <v>6</v>
      </c>
    </row>
    <row r="111" spans="2:10" x14ac:dyDescent="0.45">
      <c r="B111" t="s">
        <v>711</v>
      </c>
      <c r="C111" t="s">
        <v>5</v>
      </c>
      <c r="D111">
        <v>2.1096948234971668E-2</v>
      </c>
      <c r="E111" t="s">
        <v>6</v>
      </c>
    </row>
    <row r="112" spans="2:10" x14ac:dyDescent="0.45">
      <c r="B112" t="s">
        <v>711</v>
      </c>
      <c r="C112" t="s">
        <v>9</v>
      </c>
      <c r="D112">
        <v>0.44998245391521807</v>
      </c>
      <c r="E112" t="s">
        <v>6</v>
      </c>
    </row>
    <row r="113" spans="2:5" x14ac:dyDescent="0.45">
      <c r="B113" t="s">
        <v>711</v>
      </c>
      <c r="C113" t="s">
        <v>10</v>
      </c>
      <c r="D113">
        <v>2.8665348533639553E-2</v>
      </c>
      <c r="E113" t="s">
        <v>6</v>
      </c>
    </row>
    <row r="114" spans="2:5" x14ac:dyDescent="0.45">
      <c r="B114" t="s">
        <v>711</v>
      </c>
      <c r="C114" t="s">
        <v>11</v>
      </c>
      <c r="D114">
        <v>0.50025524931617038</v>
      </c>
      <c r="E114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644B-39DA-4B7E-B9C1-A85ED0D991EF}">
  <dimension ref="B9:AF80"/>
  <sheetViews>
    <sheetView workbookViewId="0"/>
  </sheetViews>
  <sheetFormatPr defaultRowHeight="14.25" x14ac:dyDescent="0.45"/>
  <sheetData>
    <row r="9" spans="2:32" x14ac:dyDescent="0.45">
      <c r="B9" t="str">
        <f>IF(A11="x","DeActivated","~TFM_DINS-TSL: attribute=FLO_EMIS; other_indexes=ACT; region=ESP")</f>
        <v>~TFM_DINS-TSL: attribute=FLO_EMIS; other_indexes=ACT; region=ESP</v>
      </c>
      <c r="I9" t="str">
        <f>IF(A11="x","DeActivated","~TFM_INS-TSL: attribute=FLO_SHAR; limtype=FX; region=ESP")</f>
        <v>~TFM_INS-TSL: attribute=FLO_SHAR; limtype=FX; region=ESP</v>
      </c>
      <c r="P9" t="str">
        <f>IF(A11="x","DeActivated","~TFM_INS-TSL: attribute=FLO_SHAR; limtype=FX; region=ESP")</f>
        <v>~TFM_INS-TSL: attribute=FLO_SHAR; limtype=FX; region=ESP</v>
      </c>
      <c r="W9" t="str">
        <f>IF(A11="x","DeActivated","~TFM_DINS-TSL: attribute=NCAP_PKCNT; region=ESP")</f>
        <v>~TFM_DINS-TSL: attribute=NCAP_PKCNT; region=ESP</v>
      </c>
      <c r="AC9" t="str">
        <f>IF(A11="x","DeActivated","~TFM_DINS-AT: region=ESP")</f>
        <v>~TFM_DINS-AT: region=ESP</v>
      </c>
    </row>
    <row r="10" spans="2:3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I10" t="s">
        <v>3</v>
      </c>
      <c r="J10" t="s">
        <v>0</v>
      </c>
      <c r="K10" t="s">
        <v>5</v>
      </c>
      <c r="L10" t="s">
        <v>9</v>
      </c>
      <c r="M10" t="s">
        <v>10</v>
      </c>
      <c r="N10" t="s">
        <v>11</v>
      </c>
      <c r="P10" t="s">
        <v>3</v>
      </c>
      <c r="Q10" t="s">
        <v>0</v>
      </c>
      <c r="R10" t="s">
        <v>5</v>
      </c>
      <c r="S10" t="s">
        <v>9</v>
      </c>
      <c r="T10" t="s">
        <v>10</v>
      </c>
      <c r="U10" t="s">
        <v>11</v>
      </c>
      <c r="W10" t="s">
        <v>3</v>
      </c>
      <c r="X10" t="s">
        <v>5</v>
      </c>
      <c r="Y10" t="s">
        <v>9</v>
      </c>
      <c r="Z10" t="s">
        <v>10</v>
      </c>
      <c r="AA10" t="s">
        <v>11</v>
      </c>
      <c r="AC10" t="s">
        <v>3</v>
      </c>
      <c r="AD10" t="s">
        <v>0</v>
      </c>
      <c r="AE10" t="s">
        <v>84</v>
      </c>
      <c r="AF10" t="s">
        <v>85</v>
      </c>
    </row>
    <row r="11" spans="2:32" x14ac:dyDescent="0.45">
      <c r="B11" t="s">
        <v>712</v>
      </c>
      <c r="C11" t="s">
        <v>87</v>
      </c>
      <c r="D11">
        <v>0.86644260678525709</v>
      </c>
      <c r="E11">
        <v>0.37491405633572761</v>
      </c>
      <c r="F11">
        <v>0.83150089350005041</v>
      </c>
      <c r="G11">
        <v>0.33235692593267768</v>
      </c>
      <c r="I11" t="s">
        <v>88</v>
      </c>
      <c r="J11" t="s">
        <v>89</v>
      </c>
      <c r="K11">
        <v>0.12208593243579105</v>
      </c>
      <c r="L11">
        <v>0.15033678770110329</v>
      </c>
      <c r="M11">
        <v>7.4778055076764743E-2</v>
      </c>
      <c r="N11">
        <v>0.11742752351063529</v>
      </c>
      <c r="P11" t="s">
        <v>88</v>
      </c>
      <c r="Q11" t="s">
        <v>90</v>
      </c>
      <c r="R11">
        <v>0.60701845185728742</v>
      </c>
      <c r="S11">
        <v>4.2418649792658879E-2</v>
      </c>
      <c r="T11">
        <v>0.62085959568623073</v>
      </c>
      <c r="U11">
        <v>3.9827680806843603E-2</v>
      </c>
      <c r="W11" t="s">
        <v>712</v>
      </c>
      <c r="X11">
        <v>1.5170563240491859E-2</v>
      </c>
      <c r="Y11">
        <v>0.26837460290396364</v>
      </c>
      <c r="Z11">
        <v>2.3175260814205529E-2</v>
      </c>
      <c r="AA11">
        <v>0.3236121350694024</v>
      </c>
      <c r="AC11" t="s">
        <v>712</v>
      </c>
      <c r="AD11" t="s">
        <v>91</v>
      </c>
      <c r="AE11" t="s">
        <v>92</v>
      </c>
      <c r="AF11">
        <v>0.3236121350694024</v>
      </c>
    </row>
    <row r="12" spans="2:32" x14ac:dyDescent="0.45">
      <c r="B12" t="s">
        <v>713</v>
      </c>
      <c r="C12" t="s">
        <v>87</v>
      </c>
      <c r="D12">
        <v>0.85130765177220891</v>
      </c>
      <c r="E12">
        <v>0.39339881255311726</v>
      </c>
      <c r="F12">
        <v>0.822474666325127</v>
      </c>
      <c r="G12">
        <v>0.35084116705234808</v>
      </c>
      <c r="I12" t="s">
        <v>94</v>
      </c>
      <c r="J12" t="s">
        <v>89</v>
      </c>
      <c r="K12">
        <v>2.7787654745404589E-3</v>
      </c>
      <c r="L12">
        <v>6.535355559751794E-3</v>
      </c>
      <c r="M12">
        <v>4.1948212685218485E-3</v>
      </c>
      <c r="N12">
        <v>1.1819464069396853E-2</v>
      </c>
      <c r="P12" t="s">
        <v>94</v>
      </c>
      <c r="Q12" t="s">
        <v>90</v>
      </c>
      <c r="R12">
        <v>1.528761306330797E-2</v>
      </c>
      <c r="S12">
        <v>1.158896189920691E-2</v>
      </c>
      <c r="T12">
        <v>1.030739325284603E-2</v>
      </c>
      <c r="U12">
        <v>1.8305016363494304E-2</v>
      </c>
      <c r="W12" t="s">
        <v>713</v>
      </c>
      <c r="X12">
        <v>1.7169824102265446E-2</v>
      </c>
      <c r="Y12">
        <v>0.2521418160399474</v>
      </c>
      <c r="Z12">
        <v>2.6413774974576466E-2</v>
      </c>
      <c r="AA12">
        <v>0.32000113025937527</v>
      </c>
      <c r="AC12" t="s">
        <v>713</v>
      </c>
      <c r="AD12" t="s">
        <v>91</v>
      </c>
      <c r="AE12" t="s">
        <v>92</v>
      </c>
      <c r="AF12">
        <v>0.32000113025937527</v>
      </c>
    </row>
    <row r="13" spans="2:32" x14ac:dyDescent="0.45">
      <c r="B13" t="s">
        <v>714</v>
      </c>
      <c r="C13" t="s">
        <v>87</v>
      </c>
      <c r="D13">
        <v>0.85972690809207952</v>
      </c>
      <c r="E13">
        <v>0.3950318255291223</v>
      </c>
      <c r="F13">
        <v>0.82680963601286916</v>
      </c>
      <c r="G13">
        <v>0.36200816549186593</v>
      </c>
      <c r="I13" t="s">
        <v>96</v>
      </c>
      <c r="J13" t="s">
        <v>89</v>
      </c>
      <c r="K13">
        <v>7.1013703864471938E-4</v>
      </c>
      <c r="L13">
        <v>2.6130682916477173E-3</v>
      </c>
      <c r="M13">
        <v>4.9950181118359107E-4</v>
      </c>
      <c r="N13">
        <v>1.3537699151071395E-3</v>
      </c>
      <c r="P13" t="s">
        <v>96</v>
      </c>
      <c r="Q13" t="s">
        <v>90</v>
      </c>
      <c r="R13">
        <v>8.1423348889473873E-3</v>
      </c>
      <c r="S13">
        <v>4.5980110481322594E-3</v>
      </c>
      <c r="T13">
        <v>3.9100335541092752E-3</v>
      </c>
      <c r="U13">
        <v>4.0838851241414877E-3</v>
      </c>
      <c r="W13" t="s">
        <v>714</v>
      </c>
      <c r="X13">
        <v>1.5168094580812679E-2</v>
      </c>
      <c r="Y13">
        <v>0.2427820152722828</v>
      </c>
      <c r="Z13">
        <v>2.3844789973507838E-2</v>
      </c>
      <c r="AA13">
        <v>0.29269153318361474</v>
      </c>
      <c r="AC13" t="s">
        <v>714</v>
      </c>
      <c r="AD13" t="s">
        <v>91</v>
      </c>
      <c r="AE13" t="s">
        <v>92</v>
      </c>
      <c r="AF13">
        <v>0.29269153318361474</v>
      </c>
    </row>
    <row r="14" spans="2:32" x14ac:dyDescent="0.45">
      <c r="B14" t="s">
        <v>715</v>
      </c>
      <c r="C14" t="s">
        <v>87</v>
      </c>
      <c r="D14">
        <v>0.8386000333040815</v>
      </c>
      <c r="E14">
        <v>0.42787147484661675</v>
      </c>
      <c r="F14">
        <v>0.80738629942945861</v>
      </c>
      <c r="G14">
        <v>0.36262305784102578</v>
      </c>
      <c r="W14" t="s">
        <v>715</v>
      </c>
      <c r="X14">
        <v>2.2276146471903714E-2</v>
      </c>
      <c r="Y14">
        <v>0.23497712594142162</v>
      </c>
      <c r="Z14">
        <v>3.463219841377628E-2</v>
      </c>
      <c r="AA14">
        <v>0.31521239573542231</v>
      </c>
      <c r="AC14" t="s">
        <v>715</v>
      </c>
      <c r="AD14" t="s">
        <v>91</v>
      </c>
      <c r="AE14" t="s">
        <v>92</v>
      </c>
      <c r="AF14">
        <v>0.31521239573542231</v>
      </c>
    </row>
    <row r="15" spans="2:32" x14ac:dyDescent="0.45">
      <c r="B15" t="s">
        <v>716</v>
      </c>
      <c r="C15" t="s">
        <v>87</v>
      </c>
      <c r="D15">
        <v>0.85217280864890821</v>
      </c>
      <c r="E15">
        <v>0.38091152747486662</v>
      </c>
      <c r="F15">
        <v>0.82334266258977462</v>
      </c>
      <c r="G15">
        <v>0.32573577203850002</v>
      </c>
      <c r="W15" t="s">
        <v>716</v>
      </c>
      <c r="X15">
        <v>1.9093207098904171E-2</v>
      </c>
      <c r="Y15">
        <v>0.28748965737031018</v>
      </c>
      <c r="Z15">
        <v>2.7851378797857949E-2</v>
      </c>
      <c r="AA15">
        <v>0.3627861564242435</v>
      </c>
      <c r="AC15" t="s">
        <v>716</v>
      </c>
      <c r="AD15" t="s">
        <v>91</v>
      </c>
      <c r="AE15" t="s">
        <v>92</v>
      </c>
      <c r="AF15">
        <v>0.3627861564242435</v>
      </c>
    </row>
    <row r="16" spans="2:32" x14ac:dyDescent="0.45">
      <c r="B16" t="s">
        <v>717</v>
      </c>
      <c r="C16" t="s">
        <v>87</v>
      </c>
      <c r="D16">
        <v>0.84775011492250063</v>
      </c>
      <c r="E16">
        <v>0.38828318510810961</v>
      </c>
      <c r="F16">
        <v>0.81962586221443068</v>
      </c>
      <c r="G16">
        <v>0.33665627242735735</v>
      </c>
      <c r="W16" t="s">
        <v>717</v>
      </c>
      <c r="X16">
        <v>2.0338928718836649E-2</v>
      </c>
      <c r="Y16">
        <v>0.27288169496464643</v>
      </c>
      <c r="Z16">
        <v>3.0873072106496851E-2</v>
      </c>
      <c r="AA16">
        <v>0.35985970436562426</v>
      </c>
      <c r="AC16" t="s">
        <v>717</v>
      </c>
      <c r="AD16" t="s">
        <v>91</v>
      </c>
      <c r="AE16" t="s">
        <v>92</v>
      </c>
      <c r="AF16">
        <v>0.35985970436562426</v>
      </c>
    </row>
    <row r="17" spans="2:32" x14ac:dyDescent="0.45">
      <c r="B17" t="s">
        <v>718</v>
      </c>
      <c r="C17" t="s">
        <v>87</v>
      </c>
      <c r="D17">
        <v>0.84740006848685445</v>
      </c>
      <c r="E17">
        <v>0.39077605872844651</v>
      </c>
      <c r="F17">
        <v>0.81672385814621706</v>
      </c>
      <c r="G17">
        <v>0.34500479481377455</v>
      </c>
      <c r="W17" t="s">
        <v>718</v>
      </c>
      <c r="X17">
        <v>1.9211140579347821E-2</v>
      </c>
      <c r="Y17">
        <v>0.25674601244732342</v>
      </c>
      <c r="Z17">
        <v>2.7943503046745716E-2</v>
      </c>
      <c r="AA17">
        <v>0.32674924199919697</v>
      </c>
      <c r="AC17" t="s">
        <v>718</v>
      </c>
      <c r="AD17" t="s">
        <v>91</v>
      </c>
      <c r="AE17" t="s">
        <v>92</v>
      </c>
      <c r="AF17">
        <v>0.32674924199919697</v>
      </c>
    </row>
    <row r="18" spans="2:32" x14ac:dyDescent="0.45">
      <c r="B18" t="s">
        <v>719</v>
      </c>
      <c r="C18" t="s">
        <v>87</v>
      </c>
      <c r="D18">
        <v>0.84299483368527117</v>
      </c>
      <c r="E18">
        <v>0.41224356660605704</v>
      </c>
      <c r="F18">
        <v>0.81205864499963443</v>
      </c>
      <c r="G18">
        <v>0.34885570359581586</v>
      </c>
      <c r="W18" t="s">
        <v>719</v>
      </c>
      <c r="X18">
        <v>2.2064986156359594E-2</v>
      </c>
      <c r="Y18">
        <v>0.25840988866336129</v>
      </c>
      <c r="Z18">
        <v>3.3002918947652282E-2</v>
      </c>
      <c r="AA18">
        <v>0.34520173465548526</v>
      </c>
      <c r="AC18" t="s">
        <v>719</v>
      </c>
      <c r="AD18" t="s">
        <v>91</v>
      </c>
      <c r="AE18" t="s">
        <v>92</v>
      </c>
      <c r="AF18">
        <v>0.34520173465548526</v>
      </c>
    </row>
    <row r="19" spans="2:32" x14ac:dyDescent="0.45">
      <c r="B19" t="s">
        <v>720</v>
      </c>
      <c r="C19" t="s">
        <v>87</v>
      </c>
      <c r="D19">
        <v>0.84374492153041192</v>
      </c>
      <c r="E19">
        <v>0.40453265095192886</v>
      </c>
      <c r="F19">
        <v>0.81456624684279122</v>
      </c>
      <c r="G19">
        <v>0.33900407359682166</v>
      </c>
      <c r="W19" t="s">
        <v>720</v>
      </c>
      <c r="X19">
        <v>2.2588535367685143E-2</v>
      </c>
      <c r="Y19">
        <v>0.27141432049877617</v>
      </c>
      <c r="Z19">
        <v>3.3767806071593597E-2</v>
      </c>
      <c r="AA19">
        <v>0.36187485795444335</v>
      </c>
      <c r="AC19" t="s">
        <v>720</v>
      </c>
      <c r="AD19" t="s">
        <v>91</v>
      </c>
      <c r="AE19" t="s">
        <v>92</v>
      </c>
      <c r="AF19">
        <v>0.36187485795444335</v>
      </c>
    </row>
    <row r="20" spans="2:32" x14ac:dyDescent="0.45">
      <c r="B20" t="s">
        <v>721</v>
      </c>
      <c r="C20" t="s">
        <v>87</v>
      </c>
      <c r="D20">
        <v>0.84535753920408019</v>
      </c>
      <c r="E20">
        <v>0.38372402392495902</v>
      </c>
      <c r="F20">
        <v>0.81743610396645694</v>
      </c>
      <c r="G20">
        <v>0.31533395315815027</v>
      </c>
      <c r="W20" t="s">
        <v>721</v>
      </c>
      <c r="X20">
        <v>2.3471359307040956E-2</v>
      </c>
      <c r="Y20">
        <v>0.30762363057814196</v>
      </c>
      <c r="Z20">
        <v>3.2323762540458378E-2</v>
      </c>
      <c r="AA20">
        <v>0.37652557200891235</v>
      </c>
      <c r="AC20" t="s">
        <v>721</v>
      </c>
      <c r="AD20" t="s">
        <v>91</v>
      </c>
      <c r="AE20" t="s">
        <v>92</v>
      </c>
      <c r="AF20">
        <v>0.37652557200891235</v>
      </c>
    </row>
    <row r="21" spans="2:32" x14ac:dyDescent="0.45">
      <c r="B21" t="s">
        <v>722</v>
      </c>
      <c r="C21" t="s">
        <v>87</v>
      </c>
      <c r="D21">
        <v>0.84913426053452412</v>
      </c>
      <c r="E21">
        <v>0.37718256256399252</v>
      </c>
      <c r="F21">
        <v>0.82334089338296623</v>
      </c>
      <c r="G21">
        <v>0.30794483952407598</v>
      </c>
      <c r="W21" t="s">
        <v>722</v>
      </c>
      <c r="X21">
        <v>2.068129770778011E-2</v>
      </c>
      <c r="Y21">
        <v>0.30679836972691421</v>
      </c>
      <c r="Z21">
        <v>2.9391814829961348E-2</v>
      </c>
      <c r="AA21">
        <v>0.38091293353577121</v>
      </c>
      <c r="AC21" t="s">
        <v>722</v>
      </c>
      <c r="AD21" t="s">
        <v>91</v>
      </c>
      <c r="AE21" t="s">
        <v>92</v>
      </c>
      <c r="AF21">
        <v>0.38091293353577121</v>
      </c>
    </row>
    <row r="22" spans="2:32" x14ac:dyDescent="0.45">
      <c r="B22" t="s">
        <v>723</v>
      </c>
      <c r="C22" t="s">
        <v>87</v>
      </c>
      <c r="D22">
        <v>0.84046140684096871</v>
      </c>
      <c r="E22">
        <v>0.36980858393174554</v>
      </c>
      <c r="F22">
        <v>0.81506221929504719</v>
      </c>
      <c r="G22">
        <v>0.31588239515191618</v>
      </c>
      <c r="W22" t="s">
        <v>723</v>
      </c>
      <c r="X22">
        <v>2.6825802917835793E-2</v>
      </c>
      <c r="Y22">
        <v>0.32664763693079285</v>
      </c>
      <c r="Z22">
        <v>3.4714342441120864E-2</v>
      </c>
      <c r="AA22">
        <v>0.38200836642988062</v>
      </c>
      <c r="AC22" t="s">
        <v>723</v>
      </c>
      <c r="AD22" t="s">
        <v>91</v>
      </c>
      <c r="AE22" t="s">
        <v>92</v>
      </c>
      <c r="AF22">
        <v>0.38200836642988062</v>
      </c>
    </row>
    <row r="23" spans="2:32" x14ac:dyDescent="0.45">
      <c r="B23" t="s">
        <v>724</v>
      </c>
      <c r="C23" t="s">
        <v>87</v>
      </c>
      <c r="D23">
        <v>0.83933410317169177</v>
      </c>
      <c r="E23">
        <v>0.38288681975964101</v>
      </c>
      <c r="F23">
        <v>0.81291047771495073</v>
      </c>
      <c r="G23">
        <v>0.32463316221906102</v>
      </c>
      <c r="W23" t="s">
        <v>724</v>
      </c>
      <c r="X23">
        <v>2.6428750064796263E-2</v>
      </c>
      <c r="Y23">
        <v>0.31188874515677795</v>
      </c>
      <c r="Z23">
        <v>3.4986024683701551E-2</v>
      </c>
      <c r="AA23">
        <v>0.37346827384339398</v>
      </c>
      <c r="AC23" t="s">
        <v>724</v>
      </c>
      <c r="AD23" t="s">
        <v>91</v>
      </c>
      <c r="AE23" t="s">
        <v>92</v>
      </c>
      <c r="AF23">
        <v>0.37346827384339398</v>
      </c>
    </row>
    <row r="24" spans="2:32" x14ac:dyDescent="0.45">
      <c r="B24" t="s">
        <v>725</v>
      </c>
      <c r="C24" t="s">
        <v>87</v>
      </c>
      <c r="D24">
        <v>0.84388387831693623</v>
      </c>
      <c r="E24">
        <v>0.41144860075092327</v>
      </c>
      <c r="F24">
        <v>0.81448615681887326</v>
      </c>
      <c r="G24">
        <v>0.33707645129933045</v>
      </c>
      <c r="W24" t="s">
        <v>725</v>
      </c>
      <c r="X24">
        <v>2.3548811965113731E-2</v>
      </c>
      <c r="Y24">
        <v>0.28623914849581411</v>
      </c>
      <c r="Z24">
        <v>3.4405770878271368E-2</v>
      </c>
      <c r="AA24">
        <v>0.36882994996400825</v>
      </c>
      <c r="AC24" t="s">
        <v>725</v>
      </c>
      <c r="AD24" t="s">
        <v>91</v>
      </c>
      <c r="AE24" t="s">
        <v>92</v>
      </c>
      <c r="AF24">
        <v>0.36882994996400825</v>
      </c>
    </row>
    <row r="25" spans="2:32" x14ac:dyDescent="0.45">
      <c r="B25" t="s">
        <v>726</v>
      </c>
      <c r="C25" t="s">
        <v>87</v>
      </c>
      <c r="D25">
        <v>0.84156763656272904</v>
      </c>
      <c r="E25">
        <v>0.39969640752201618</v>
      </c>
      <c r="F25">
        <v>0.81274139056273464</v>
      </c>
      <c r="G25">
        <v>0.33108021802394766</v>
      </c>
      <c r="W25" t="s">
        <v>726</v>
      </c>
      <c r="X25">
        <v>2.4842380954991014E-2</v>
      </c>
      <c r="Y25">
        <v>0.29907699977681229</v>
      </c>
      <c r="Z25">
        <v>3.5194768997960132E-2</v>
      </c>
      <c r="AA25">
        <v>0.3694787712427105</v>
      </c>
      <c r="AC25" t="s">
        <v>726</v>
      </c>
      <c r="AD25" t="s">
        <v>91</v>
      </c>
      <c r="AE25" t="s">
        <v>92</v>
      </c>
      <c r="AF25">
        <v>0.3694787712427105</v>
      </c>
    </row>
    <row r="26" spans="2:32" x14ac:dyDescent="0.45">
      <c r="B26" t="s">
        <v>727</v>
      </c>
      <c r="C26" t="s">
        <v>87</v>
      </c>
      <c r="D26">
        <v>0.853406497382038</v>
      </c>
      <c r="E26">
        <v>0.36895272414926555</v>
      </c>
      <c r="F26">
        <v>0.82446972749147285</v>
      </c>
      <c r="G26">
        <v>0.31496109990140869</v>
      </c>
      <c r="W26" t="s">
        <v>727</v>
      </c>
      <c r="X26">
        <v>1.9668543066289169E-2</v>
      </c>
      <c r="Y26">
        <v>0.30557110134242993</v>
      </c>
      <c r="Z26">
        <v>2.804738299869302E-2</v>
      </c>
      <c r="AA26">
        <v>0.37362960236185522</v>
      </c>
      <c r="AC26" t="s">
        <v>727</v>
      </c>
      <c r="AD26" t="s">
        <v>91</v>
      </c>
      <c r="AE26" t="s">
        <v>92</v>
      </c>
      <c r="AF26">
        <v>0.37362960236185522</v>
      </c>
    </row>
    <row r="27" spans="2:32" x14ac:dyDescent="0.45">
      <c r="B27" t="s">
        <v>728</v>
      </c>
      <c r="C27" t="s">
        <v>87</v>
      </c>
      <c r="D27">
        <v>0.84794174057393701</v>
      </c>
      <c r="E27">
        <v>0.37993885730977422</v>
      </c>
      <c r="F27">
        <v>0.81872671830426957</v>
      </c>
      <c r="G27">
        <v>0.32160212077470801</v>
      </c>
      <c r="W27" t="s">
        <v>728</v>
      </c>
      <c r="X27">
        <v>2.1926962825665804E-2</v>
      </c>
      <c r="Y27">
        <v>0.30139525303269832</v>
      </c>
      <c r="Z27">
        <v>3.1427654214038481E-2</v>
      </c>
      <c r="AA27">
        <v>0.37299524180754401</v>
      </c>
      <c r="AC27" t="s">
        <v>728</v>
      </c>
      <c r="AD27" t="s">
        <v>91</v>
      </c>
      <c r="AE27" t="s">
        <v>92</v>
      </c>
      <c r="AF27">
        <v>0.37299524180754401</v>
      </c>
    </row>
    <row r="28" spans="2:32" x14ac:dyDescent="0.45">
      <c r="B28" t="s">
        <v>729</v>
      </c>
      <c r="C28" t="s">
        <v>87</v>
      </c>
      <c r="D28">
        <v>0.85357829075131442</v>
      </c>
      <c r="E28">
        <v>0.35489208663325422</v>
      </c>
      <c r="F28">
        <v>0.8264310613705399</v>
      </c>
      <c r="G28">
        <v>0.30180382543585654</v>
      </c>
      <c r="W28" t="s">
        <v>729</v>
      </c>
      <c r="X28">
        <v>1.9403321254562539E-2</v>
      </c>
      <c r="Y28">
        <v>0.3224163448928079</v>
      </c>
      <c r="Z28">
        <v>2.5568677329679528E-2</v>
      </c>
      <c r="AA28">
        <v>0.38016354482554909</v>
      </c>
      <c r="AC28" t="s">
        <v>729</v>
      </c>
      <c r="AD28" t="s">
        <v>91</v>
      </c>
      <c r="AE28" t="s">
        <v>92</v>
      </c>
      <c r="AF28">
        <v>0.38016354482554909</v>
      </c>
    </row>
    <row r="29" spans="2:32" x14ac:dyDescent="0.45">
      <c r="B29" t="s">
        <v>730</v>
      </c>
      <c r="C29" t="s">
        <v>87</v>
      </c>
      <c r="D29">
        <v>0.84995999997353278</v>
      </c>
      <c r="E29">
        <v>0.34699481738099019</v>
      </c>
      <c r="F29">
        <v>0.82453676836720269</v>
      </c>
      <c r="G29">
        <v>0.29841064676311685</v>
      </c>
      <c r="W29" t="s">
        <v>730</v>
      </c>
      <c r="X29">
        <v>2.2223254322046075E-2</v>
      </c>
      <c r="Y29">
        <v>0.34225463683659446</v>
      </c>
      <c r="Z29">
        <v>2.7234304225957767E-2</v>
      </c>
      <c r="AA29">
        <v>0.38905846284509749</v>
      </c>
      <c r="AC29" t="s">
        <v>730</v>
      </c>
      <c r="AD29" t="s">
        <v>91</v>
      </c>
      <c r="AE29" t="s">
        <v>92</v>
      </c>
      <c r="AF29">
        <v>0.38905846284509749</v>
      </c>
    </row>
    <row r="30" spans="2:32" x14ac:dyDescent="0.45">
      <c r="B30" t="s">
        <v>731</v>
      </c>
      <c r="C30" t="s">
        <v>87</v>
      </c>
      <c r="D30">
        <v>0.85628205459642037</v>
      </c>
      <c r="E30">
        <v>0.33930211053917197</v>
      </c>
      <c r="F30">
        <v>0.82780673142584826</v>
      </c>
      <c r="G30">
        <v>0.29514475611998009</v>
      </c>
      <c r="W30" t="s">
        <v>731</v>
      </c>
      <c r="X30">
        <v>1.8975354207209909E-2</v>
      </c>
      <c r="Y30">
        <v>0.34063223482691218</v>
      </c>
      <c r="Z30">
        <v>2.3823843823788316E-2</v>
      </c>
      <c r="AA30">
        <v>0.37761803659901583</v>
      </c>
      <c r="AC30" t="s">
        <v>731</v>
      </c>
      <c r="AD30" t="s">
        <v>91</v>
      </c>
      <c r="AE30" t="s">
        <v>92</v>
      </c>
      <c r="AF30">
        <v>0.37761803659901583</v>
      </c>
    </row>
    <row r="31" spans="2:32" x14ac:dyDescent="0.45">
      <c r="B31" t="s">
        <v>732</v>
      </c>
      <c r="C31" t="s">
        <v>87</v>
      </c>
      <c r="D31">
        <v>0.85965893168231589</v>
      </c>
      <c r="E31">
        <v>0.35051135635745329</v>
      </c>
      <c r="F31">
        <v>0.8284403136036802</v>
      </c>
      <c r="G31">
        <v>0.30486354793808967</v>
      </c>
      <c r="W31" t="s">
        <v>732</v>
      </c>
      <c r="X31">
        <v>1.7276014947537881E-2</v>
      </c>
      <c r="Y31">
        <v>0.32644970917776334</v>
      </c>
      <c r="Z31">
        <v>2.2638434048564627E-2</v>
      </c>
      <c r="AA31">
        <v>0.3657629893569872</v>
      </c>
      <c r="AC31" t="s">
        <v>732</v>
      </c>
      <c r="AD31" t="s">
        <v>91</v>
      </c>
      <c r="AE31" t="s">
        <v>92</v>
      </c>
      <c r="AF31">
        <v>0.3657629893569872</v>
      </c>
    </row>
    <row r="32" spans="2:32" x14ac:dyDescent="0.45">
      <c r="B32" t="s">
        <v>733</v>
      </c>
      <c r="C32" t="s">
        <v>87</v>
      </c>
      <c r="D32">
        <v>0.86176128937442964</v>
      </c>
      <c r="E32">
        <v>0.35543843698114869</v>
      </c>
      <c r="F32">
        <v>0.82840325863575015</v>
      </c>
      <c r="G32">
        <v>0.30902963466136912</v>
      </c>
      <c r="W32" t="s">
        <v>733</v>
      </c>
      <c r="X32">
        <v>1.6736983267367601E-2</v>
      </c>
      <c r="Y32">
        <v>0.31046574940901561</v>
      </c>
      <c r="Z32">
        <v>2.3781994305199151E-2</v>
      </c>
      <c r="AA32">
        <v>0.36502479406662047</v>
      </c>
      <c r="AC32" t="s">
        <v>733</v>
      </c>
      <c r="AD32" t="s">
        <v>91</v>
      </c>
      <c r="AE32" t="s">
        <v>92</v>
      </c>
      <c r="AF32">
        <v>0.36502479406662047</v>
      </c>
    </row>
    <row r="33" spans="2:32" x14ac:dyDescent="0.45">
      <c r="B33" t="s">
        <v>734</v>
      </c>
      <c r="C33" t="s">
        <v>87</v>
      </c>
      <c r="D33">
        <v>0.88257652221531802</v>
      </c>
      <c r="E33">
        <v>0.34562191725203367</v>
      </c>
      <c r="F33">
        <v>0.84493309198443145</v>
      </c>
      <c r="G33">
        <v>0.30100436634237882</v>
      </c>
      <c r="W33" t="s">
        <v>734</v>
      </c>
      <c r="X33">
        <v>1.1825281891529737E-2</v>
      </c>
      <c r="Y33">
        <v>0.30549959151972617</v>
      </c>
      <c r="Z33">
        <v>1.7473000737402631E-2</v>
      </c>
      <c r="AA33">
        <v>0.34369157052618327</v>
      </c>
      <c r="AC33" t="s">
        <v>734</v>
      </c>
      <c r="AD33" t="s">
        <v>91</v>
      </c>
      <c r="AE33" t="s">
        <v>92</v>
      </c>
      <c r="AF33">
        <v>0.34369157052618327</v>
      </c>
    </row>
    <row r="34" spans="2:32" x14ac:dyDescent="0.45">
      <c r="B34" t="s">
        <v>735</v>
      </c>
      <c r="C34" t="s">
        <v>87</v>
      </c>
      <c r="D34">
        <v>0.86995238358810711</v>
      </c>
      <c r="E34">
        <v>0.3639773005540699</v>
      </c>
      <c r="F34">
        <v>0.83549482186568369</v>
      </c>
      <c r="G34">
        <v>0.31799039602294776</v>
      </c>
      <c r="W34" t="s">
        <v>735</v>
      </c>
      <c r="X34">
        <v>1.581540762751384E-2</v>
      </c>
      <c r="Y34">
        <v>0.3011170851830095</v>
      </c>
      <c r="Z34">
        <v>2.3256881507334119E-2</v>
      </c>
      <c r="AA34">
        <v>0.35487787815603261</v>
      </c>
      <c r="AC34" t="s">
        <v>735</v>
      </c>
      <c r="AD34" t="s">
        <v>91</v>
      </c>
      <c r="AE34" t="s">
        <v>92</v>
      </c>
      <c r="AF34">
        <v>0.35487787815603261</v>
      </c>
    </row>
    <row r="35" spans="2:32" x14ac:dyDescent="0.45">
      <c r="B35" t="s">
        <v>736</v>
      </c>
      <c r="C35" t="s">
        <v>87</v>
      </c>
      <c r="D35">
        <v>0.87966849600134911</v>
      </c>
      <c r="E35">
        <v>0.34555437563811942</v>
      </c>
      <c r="F35">
        <v>0.84195366094776947</v>
      </c>
      <c r="G35">
        <v>0.30670496126267832</v>
      </c>
      <c r="W35" t="s">
        <v>736</v>
      </c>
      <c r="X35">
        <v>1.3895850538160065E-2</v>
      </c>
      <c r="Y35">
        <v>0.33268631744150917</v>
      </c>
      <c r="Z35">
        <v>1.8670059393852374E-2</v>
      </c>
      <c r="AA35">
        <v>0.35589173974245447</v>
      </c>
      <c r="AC35" t="s">
        <v>736</v>
      </c>
      <c r="AD35" t="s">
        <v>91</v>
      </c>
      <c r="AE35" t="s">
        <v>92</v>
      </c>
      <c r="AF35">
        <v>0.35589173974245447</v>
      </c>
    </row>
    <row r="36" spans="2:32" x14ac:dyDescent="0.45">
      <c r="B36" t="s">
        <v>737</v>
      </c>
      <c r="C36" t="s">
        <v>87</v>
      </c>
      <c r="D36">
        <v>0.8743694510454334</v>
      </c>
      <c r="E36">
        <v>0.34501002598120634</v>
      </c>
      <c r="F36">
        <v>0.83760024390128685</v>
      </c>
      <c r="G36">
        <v>0.30234028283010961</v>
      </c>
      <c r="W36" t="s">
        <v>737</v>
      </c>
      <c r="X36">
        <v>1.5670690321740201E-2</v>
      </c>
      <c r="Y36">
        <v>0.33424434695407895</v>
      </c>
      <c r="Z36">
        <v>2.1176101792439273E-2</v>
      </c>
      <c r="AA36">
        <v>0.36955615834531391</v>
      </c>
      <c r="AC36" t="s">
        <v>737</v>
      </c>
      <c r="AD36" t="s">
        <v>91</v>
      </c>
      <c r="AE36" t="s">
        <v>92</v>
      </c>
      <c r="AF36">
        <v>0.36955615834531391</v>
      </c>
    </row>
    <row r="37" spans="2:32" x14ac:dyDescent="0.45">
      <c r="B37" t="s">
        <v>738</v>
      </c>
      <c r="C37" t="s">
        <v>87</v>
      </c>
      <c r="D37">
        <v>0.35308672048617756</v>
      </c>
      <c r="E37">
        <v>0.37572582641266461</v>
      </c>
      <c r="F37">
        <v>0.40673082386511694</v>
      </c>
      <c r="G37">
        <v>0.40852772570458618</v>
      </c>
      <c r="W37" t="s">
        <v>738</v>
      </c>
      <c r="X37">
        <v>0.422447194852835</v>
      </c>
      <c r="Y37">
        <v>0.40410738582879591</v>
      </c>
      <c r="Z37">
        <v>0.18888893053540468</v>
      </c>
      <c r="AA37">
        <v>0.18549602179169258</v>
      </c>
      <c r="AC37" t="s">
        <v>739</v>
      </c>
      <c r="AD37" t="s">
        <v>91</v>
      </c>
      <c r="AE37" t="s">
        <v>92</v>
      </c>
      <c r="AF37">
        <v>0.21968743593105916</v>
      </c>
    </row>
    <row r="38" spans="2:32" x14ac:dyDescent="0.45">
      <c r="B38" t="s">
        <v>740</v>
      </c>
      <c r="C38" t="s">
        <v>87</v>
      </c>
      <c r="D38">
        <v>0.33463941139953507</v>
      </c>
      <c r="E38">
        <v>0.34558671744276409</v>
      </c>
      <c r="F38">
        <v>0.40019067383632223</v>
      </c>
      <c r="G38">
        <v>0.37363439691472938</v>
      </c>
      <c r="W38" t="s">
        <v>740</v>
      </c>
      <c r="X38">
        <v>0.38321423647639863</v>
      </c>
      <c r="Y38">
        <v>0.37780724164949742</v>
      </c>
      <c r="Z38">
        <v>0.18923075093422717</v>
      </c>
      <c r="AA38">
        <v>0.20525268785977244</v>
      </c>
      <c r="AC38" t="s">
        <v>741</v>
      </c>
      <c r="AD38" t="s">
        <v>91</v>
      </c>
      <c r="AE38" t="s">
        <v>92</v>
      </c>
      <c r="AF38">
        <v>0.24219193307126097</v>
      </c>
    </row>
    <row r="39" spans="2:32" x14ac:dyDescent="0.45">
      <c r="B39" t="s">
        <v>742</v>
      </c>
      <c r="C39" t="s">
        <v>87</v>
      </c>
      <c r="D39">
        <v>0.36909057782418181</v>
      </c>
      <c r="E39">
        <v>0.38670882718399224</v>
      </c>
      <c r="F39">
        <v>0.44818446126613304</v>
      </c>
      <c r="G39">
        <v>0.42147483885145665</v>
      </c>
      <c r="W39" t="s">
        <v>742</v>
      </c>
      <c r="X39">
        <v>0.39176436455694497</v>
      </c>
      <c r="Y39">
        <v>0.37270374815849783</v>
      </c>
      <c r="Z39">
        <v>0.1706204284017433</v>
      </c>
      <c r="AA39">
        <v>0.16278814549579773</v>
      </c>
      <c r="AC39" t="s">
        <v>743</v>
      </c>
      <c r="AD39" t="s">
        <v>91</v>
      </c>
      <c r="AE39" t="s">
        <v>92</v>
      </c>
      <c r="AF39">
        <v>0.22397909354352499</v>
      </c>
    </row>
    <row r="40" spans="2:32" x14ac:dyDescent="0.45">
      <c r="B40" t="s">
        <v>744</v>
      </c>
      <c r="C40" t="s">
        <v>87</v>
      </c>
      <c r="D40">
        <v>0.3608633149324586</v>
      </c>
      <c r="E40">
        <v>0.37012860602558767</v>
      </c>
      <c r="F40">
        <v>0.43220382045206207</v>
      </c>
      <c r="G40">
        <v>0.42517954869196622</v>
      </c>
      <c r="W40" t="s">
        <v>744</v>
      </c>
      <c r="X40">
        <v>0.42261017254968736</v>
      </c>
      <c r="Y40">
        <v>0.41373681361941628</v>
      </c>
      <c r="Z40">
        <v>0.19328725823154264</v>
      </c>
      <c r="AA40">
        <v>0.18928571989081641</v>
      </c>
      <c r="AC40" t="s">
        <v>745</v>
      </c>
      <c r="AD40" t="s">
        <v>91</v>
      </c>
      <c r="AE40" t="s">
        <v>92</v>
      </c>
      <c r="AF40">
        <v>0.15714714849245912</v>
      </c>
    </row>
    <row r="41" spans="2:32" x14ac:dyDescent="0.45">
      <c r="B41" t="s">
        <v>746</v>
      </c>
      <c r="C41" t="s">
        <v>87</v>
      </c>
      <c r="D41">
        <v>0.28096942248352036</v>
      </c>
      <c r="E41">
        <v>0.30575729151940639</v>
      </c>
      <c r="F41">
        <v>0.31148888056724955</v>
      </c>
      <c r="G41">
        <v>0.34466783774837184</v>
      </c>
      <c r="W41" t="s">
        <v>746</v>
      </c>
      <c r="X41">
        <v>0.53116848517307413</v>
      </c>
      <c r="Y41">
        <v>0.50560626147950161</v>
      </c>
      <c r="Z41">
        <v>0.48441212541392958</v>
      </c>
      <c r="AA41">
        <v>0.44702268057973921</v>
      </c>
      <c r="AC41" t="s">
        <v>747</v>
      </c>
      <c r="AD41" t="s">
        <v>91</v>
      </c>
      <c r="AE41" t="s">
        <v>92</v>
      </c>
      <c r="AF41">
        <v>0.26136588925002602</v>
      </c>
    </row>
    <row r="42" spans="2:32" x14ac:dyDescent="0.45">
      <c r="B42" t="s">
        <v>748</v>
      </c>
      <c r="C42" t="s">
        <v>87</v>
      </c>
      <c r="D42">
        <v>0.45319510500380661</v>
      </c>
      <c r="E42">
        <v>0.44497985253748729</v>
      </c>
      <c r="F42">
        <v>0.5455134200747801</v>
      </c>
      <c r="G42">
        <v>0.46331937943663648</v>
      </c>
      <c r="W42" t="s">
        <v>748</v>
      </c>
      <c r="X42">
        <v>0.27106282928237474</v>
      </c>
      <c r="Y42">
        <v>0.29026170558580994</v>
      </c>
      <c r="Z42">
        <v>0.13827406576854206</v>
      </c>
      <c r="AA42">
        <v>0.14357600494279285</v>
      </c>
      <c r="AC42" t="s">
        <v>749</v>
      </c>
      <c r="AD42" t="s">
        <v>91</v>
      </c>
      <c r="AE42" t="s">
        <v>92</v>
      </c>
      <c r="AF42">
        <v>0.14306132948317293</v>
      </c>
    </row>
    <row r="43" spans="2:32" x14ac:dyDescent="0.45">
      <c r="B43" t="s">
        <v>750</v>
      </c>
      <c r="C43" t="s">
        <v>87</v>
      </c>
      <c r="D43">
        <v>0.39820671442958083</v>
      </c>
      <c r="E43">
        <v>0.40483036541812867</v>
      </c>
      <c r="F43">
        <v>0.51055747853424094</v>
      </c>
      <c r="G43">
        <v>0.45338974757662898</v>
      </c>
      <c r="W43" t="s">
        <v>750</v>
      </c>
      <c r="X43">
        <v>0.35639486961575861</v>
      </c>
      <c r="Y43">
        <v>0.35237081915190926</v>
      </c>
      <c r="Z43">
        <v>0.18314486395988855</v>
      </c>
      <c r="AA43">
        <v>0.17610885174407917</v>
      </c>
      <c r="AC43" t="s">
        <v>751</v>
      </c>
      <c r="AD43" t="s">
        <v>91</v>
      </c>
      <c r="AE43" t="s">
        <v>92</v>
      </c>
      <c r="AF43">
        <v>0.21669780113781242</v>
      </c>
    </row>
    <row r="44" spans="2:32" x14ac:dyDescent="0.45">
      <c r="B44" t="s">
        <v>752</v>
      </c>
      <c r="C44" t="s">
        <v>87</v>
      </c>
      <c r="D44">
        <v>0.44563066113728289</v>
      </c>
      <c r="E44">
        <v>0.44806077366769254</v>
      </c>
      <c r="F44">
        <v>0.49242435498987458</v>
      </c>
      <c r="G44">
        <v>0.4412393024450213</v>
      </c>
      <c r="W44" t="s">
        <v>752</v>
      </c>
      <c r="X44">
        <v>0.26417549993435313</v>
      </c>
      <c r="Y44">
        <v>0.25618610148679966</v>
      </c>
      <c r="Z44">
        <v>0.16630193674033925</v>
      </c>
      <c r="AA44">
        <v>0.16222127731011143</v>
      </c>
      <c r="AC44" t="s">
        <v>753</v>
      </c>
      <c r="AD44" t="s">
        <v>91</v>
      </c>
      <c r="AE44" t="s">
        <v>92</v>
      </c>
      <c r="AF44">
        <v>0.37074204416528173</v>
      </c>
    </row>
    <row r="45" spans="2:32" x14ac:dyDescent="0.45">
      <c r="B45" t="s">
        <v>754</v>
      </c>
      <c r="C45" t="s">
        <v>87</v>
      </c>
      <c r="D45">
        <v>0.34454551810180262</v>
      </c>
      <c r="E45">
        <v>0.3592100484985612</v>
      </c>
      <c r="F45">
        <v>0.44667224173082293</v>
      </c>
      <c r="G45">
        <v>0.44554353459684121</v>
      </c>
      <c r="W45" t="s">
        <v>754</v>
      </c>
      <c r="X45">
        <v>0.43959608413347406</v>
      </c>
      <c r="Y45">
        <v>0.43119376943299881</v>
      </c>
      <c r="Z45">
        <v>0.27691373462342334</v>
      </c>
      <c r="AA45">
        <v>0.29638137415314564</v>
      </c>
      <c r="AC45" t="s">
        <v>755</v>
      </c>
      <c r="AD45" t="s">
        <v>91</v>
      </c>
      <c r="AE45" t="s">
        <v>92</v>
      </c>
      <c r="AF45">
        <v>0.14905651859934246</v>
      </c>
    </row>
    <row r="46" spans="2:32" x14ac:dyDescent="0.45">
      <c r="B46" t="s">
        <v>756</v>
      </c>
      <c r="C46" t="s">
        <v>87</v>
      </c>
      <c r="D46">
        <v>0.4010210518852626</v>
      </c>
      <c r="E46">
        <v>0.40346046781686873</v>
      </c>
      <c r="F46">
        <v>0.46956074167749606</v>
      </c>
      <c r="G46">
        <v>0.46102801006618122</v>
      </c>
      <c r="W46" t="s">
        <v>756</v>
      </c>
      <c r="X46">
        <v>0.36274372095774698</v>
      </c>
      <c r="Y46">
        <v>0.3577273629535816</v>
      </c>
      <c r="Z46">
        <v>0.20998949180330428</v>
      </c>
      <c r="AA46">
        <v>0.22965535556866823</v>
      </c>
      <c r="AC46" t="s">
        <v>757</v>
      </c>
      <c r="AD46" t="s">
        <v>91</v>
      </c>
      <c r="AE46" t="s">
        <v>92</v>
      </c>
      <c r="AF46">
        <v>0.22698743634831159</v>
      </c>
    </row>
    <row r="47" spans="2:32" x14ac:dyDescent="0.45">
      <c r="B47" t="s">
        <v>758</v>
      </c>
      <c r="C47" t="s">
        <v>87</v>
      </c>
      <c r="D47">
        <v>0.33326969891217323</v>
      </c>
      <c r="E47">
        <v>0.33732225959507017</v>
      </c>
      <c r="F47">
        <v>0.41484448183702544</v>
      </c>
      <c r="G47">
        <v>0.40405437878304828</v>
      </c>
      <c r="W47" t="s">
        <v>758</v>
      </c>
      <c r="X47">
        <v>0.45385488848038302</v>
      </c>
      <c r="Y47">
        <v>0.44267040179559741</v>
      </c>
      <c r="Z47">
        <v>0.28697812964111036</v>
      </c>
      <c r="AA47">
        <v>0.29966886847002572</v>
      </c>
      <c r="AC47" t="s">
        <v>759</v>
      </c>
      <c r="AD47" t="s">
        <v>91</v>
      </c>
      <c r="AE47" t="s">
        <v>92</v>
      </c>
      <c r="AF47">
        <v>0.2591821983358617</v>
      </c>
    </row>
    <row r="48" spans="2:32" x14ac:dyDescent="0.45">
      <c r="B48" t="s">
        <v>760</v>
      </c>
      <c r="C48" t="s">
        <v>87</v>
      </c>
      <c r="D48">
        <v>0.31840179785825146</v>
      </c>
      <c r="E48">
        <v>0.32350647495744478</v>
      </c>
      <c r="F48">
        <v>0.40154531199626486</v>
      </c>
      <c r="G48">
        <v>0.40402323498098675</v>
      </c>
      <c r="W48" t="s">
        <v>760</v>
      </c>
      <c r="X48">
        <v>0.45255984277105576</v>
      </c>
      <c r="Y48">
        <v>0.43758689543630175</v>
      </c>
      <c r="Z48">
        <v>0.26942920024056932</v>
      </c>
      <c r="AA48">
        <v>0.27685889638367323</v>
      </c>
      <c r="AC48" t="s">
        <v>761</v>
      </c>
      <c r="AD48" t="s">
        <v>91</v>
      </c>
      <c r="AE48" t="s">
        <v>92</v>
      </c>
      <c r="AF48">
        <v>0.16319118719569178</v>
      </c>
    </row>
    <row r="49" spans="2:32" x14ac:dyDescent="0.45">
      <c r="B49" t="s">
        <v>762</v>
      </c>
      <c r="C49" t="s">
        <v>87</v>
      </c>
      <c r="D49">
        <v>0.35618876063896454</v>
      </c>
      <c r="E49">
        <v>0.41654818478408712</v>
      </c>
      <c r="F49">
        <v>0.36990134384883172</v>
      </c>
      <c r="G49">
        <v>0.42541178380629935</v>
      </c>
      <c r="W49" t="s">
        <v>762</v>
      </c>
      <c r="X49">
        <v>0.35263346306942334</v>
      </c>
      <c r="Y49">
        <v>0.300167390676573</v>
      </c>
      <c r="Z49">
        <v>0.23895227283610829</v>
      </c>
      <c r="AA49">
        <v>0.16747414991588289</v>
      </c>
      <c r="AC49" t="s">
        <v>763</v>
      </c>
      <c r="AD49" t="s">
        <v>91</v>
      </c>
      <c r="AE49" t="s">
        <v>92</v>
      </c>
      <c r="AF49">
        <v>0.2163218833879143</v>
      </c>
    </row>
    <row r="50" spans="2:32" x14ac:dyDescent="0.45">
      <c r="B50" t="s">
        <v>764</v>
      </c>
      <c r="C50" t="s">
        <v>87</v>
      </c>
      <c r="D50">
        <v>0.3112492255710515</v>
      </c>
      <c r="E50">
        <v>0.35258132958654242</v>
      </c>
      <c r="F50">
        <v>0.31713349281030945</v>
      </c>
      <c r="G50">
        <v>0.37183170943707644</v>
      </c>
      <c r="W50" t="s">
        <v>764</v>
      </c>
      <c r="X50">
        <v>0.44331648372279642</v>
      </c>
      <c r="Y50">
        <v>0.40191796844211769</v>
      </c>
      <c r="Z50">
        <v>0.38337039612974694</v>
      </c>
      <c r="AA50">
        <v>0.33029274183434887</v>
      </c>
      <c r="AC50" t="s">
        <v>765</v>
      </c>
      <c r="AD50" t="s">
        <v>91</v>
      </c>
      <c r="AE50" t="s">
        <v>92</v>
      </c>
      <c r="AF50">
        <v>0.28395974573080435</v>
      </c>
    </row>
    <row r="51" spans="2:32" x14ac:dyDescent="0.45">
      <c r="B51" t="s">
        <v>766</v>
      </c>
      <c r="C51" t="s">
        <v>87</v>
      </c>
      <c r="D51">
        <v>0.27952630461776823</v>
      </c>
      <c r="E51">
        <v>0.3041645724361498</v>
      </c>
      <c r="F51">
        <v>0.32753510683748649</v>
      </c>
      <c r="G51">
        <v>0.34113635211009546</v>
      </c>
      <c r="W51" t="s">
        <v>766</v>
      </c>
      <c r="X51">
        <v>0.53686310846834118</v>
      </c>
      <c r="Y51">
        <v>0.51016455179726106</v>
      </c>
      <c r="Z51">
        <v>0.46671591228208004</v>
      </c>
      <c r="AA51">
        <v>0.41896260705874094</v>
      </c>
      <c r="AC51" t="s">
        <v>767</v>
      </c>
      <c r="AD51" t="s">
        <v>91</v>
      </c>
      <c r="AE51" t="s">
        <v>92</v>
      </c>
      <c r="AF51">
        <v>0.21040087068964822</v>
      </c>
    </row>
    <row r="52" spans="2:32" x14ac:dyDescent="0.45">
      <c r="B52" t="s">
        <v>768</v>
      </c>
      <c r="C52" t="s">
        <v>87</v>
      </c>
      <c r="D52">
        <v>0.32171192934835874</v>
      </c>
      <c r="E52">
        <v>0.3235838429810271</v>
      </c>
      <c r="F52">
        <v>0.34485559281238481</v>
      </c>
      <c r="G52">
        <v>0.33437679386355018</v>
      </c>
      <c r="W52" t="s">
        <v>768</v>
      </c>
      <c r="X52">
        <v>0.42286384834035506</v>
      </c>
      <c r="Y52">
        <v>0.4183957132725159</v>
      </c>
      <c r="Z52">
        <v>0.32993460041251305</v>
      </c>
      <c r="AA52">
        <v>0.34152939420539974</v>
      </c>
      <c r="AC52" t="s">
        <v>769</v>
      </c>
      <c r="AD52" t="s">
        <v>91</v>
      </c>
      <c r="AE52" t="s">
        <v>92</v>
      </c>
      <c r="AF52">
        <v>0.10334671741629091</v>
      </c>
    </row>
    <row r="53" spans="2:32" x14ac:dyDescent="0.45">
      <c r="B53" t="s">
        <v>770</v>
      </c>
      <c r="C53" t="s">
        <v>87</v>
      </c>
      <c r="D53">
        <v>0.23464889067639783</v>
      </c>
      <c r="E53">
        <v>0.25054482862025729</v>
      </c>
      <c r="F53">
        <v>0.27211114122790803</v>
      </c>
      <c r="G53">
        <v>0.25688911404216291</v>
      </c>
      <c r="W53" t="s">
        <v>770</v>
      </c>
      <c r="X53">
        <v>0.57904740452181191</v>
      </c>
      <c r="Y53">
        <v>0.55354673626001993</v>
      </c>
      <c r="Z53">
        <v>0.54020575708887464</v>
      </c>
      <c r="AA53">
        <v>0.5460977783843638</v>
      </c>
      <c r="AC53" t="s">
        <v>771</v>
      </c>
      <c r="AD53" t="s">
        <v>91</v>
      </c>
      <c r="AE53" t="s">
        <v>92</v>
      </c>
      <c r="AF53">
        <v>0.16693272405543927</v>
      </c>
    </row>
    <row r="54" spans="2:32" x14ac:dyDescent="0.45">
      <c r="B54" t="s">
        <v>772</v>
      </c>
      <c r="C54" t="s">
        <v>87</v>
      </c>
      <c r="D54">
        <v>0.34597475625221452</v>
      </c>
      <c r="E54">
        <v>0.3334368261396487</v>
      </c>
      <c r="F54">
        <v>0.38767755613468602</v>
      </c>
      <c r="G54">
        <v>0.37912563814850847</v>
      </c>
      <c r="W54" t="s">
        <v>772</v>
      </c>
      <c r="X54">
        <v>0.36264124403423109</v>
      </c>
      <c r="Y54">
        <v>0.35530401630626929</v>
      </c>
      <c r="Z54">
        <v>0.2359739278421589</v>
      </c>
      <c r="AA54">
        <v>0.25218591794260209</v>
      </c>
      <c r="AC54" t="s">
        <v>773</v>
      </c>
      <c r="AD54" t="s">
        <v>91</v>
      </c>
      <c r="AE54" t="s">
        <v>92</v>
      </c>
      <c r="AF54">
        <v>0.27151500386203037</v>
      </c>
    </row>
    <row r="55" spans="2:32" x14ac:dyDescent="0.45">
      <c r="B55" t="s">
        <v>774</v>
      </c>
      <c r="C55" t="s">
        <v>87</v>
      </c>
      <c r="D55">
        <v>0.32362784530238325</v>
      </c>
      <c r="E55">
        <v>0.33814858248038948</v>
      </c>
      <c r="F55">
        <v>0.35947650186743951</v>
      </c>
      <c r="G55">
        <v>0.38273324020145655</v>
      </c>
      <c r="W55" t="s">
        <v>774</v>
      </c>
      <c r="X55">
        <v>0.3945639058737298</v>
      </c>
      <c r="Y55">
        <v>0.38783058630749573</v>
      </c>
      <c r="Z55">
        <v>0.26621549777616454</v>
      </c>
      <c r="AA55">
        <v>0.25502859824301788</v>
      </c>
      <c r="AC55" t="s">
        <v>775</v>
      </c>
      <c r="AD55" t="s">
        <v>91</v>
      </c>
      <c r="AE55" t="s">
        <v>92</v>
      </c>
      <c r="AF55">
        <v>0.17100665436858431</v>
      </c>
    </row>
    <row r="56" spans="2:32" x14ac:dyDescent="0.45">
      <c r="B56" t="s">
        <v>739</v>
      </c>
      <c r="C56" t="s">
        <v>87</v>
      </c>
      <c r="D56">
        <v>0.3390415779847869</v>
      </c>
      <c r="E56">
        <v>0.36027452383620012</v>
      </c>
      <c r="F56">
        <v>0.37042958630980338</v>
      </c>
      <c r="G56">
        <v>0.36823120985618046</v>
      </c>
      <c r="W56" t="s">
        <v>739</v>
      </c>
      <c r="X56">
        <v>0.21776138753285024</v>
      </c>
      <c r="Y56">
        <v>0.22289616622788613</v>
      </c>
      <c r="Z56">
        <v>0.11319489376930117</v>
      </c>
      <c r="AA56">
        <v>0.11987214693193272</v>
      </c>
      <c r="AC56" t="s">
        <v>776</v>
      </c>
      <c r="AD56" t="s">
        <v>91</v>
      </c>
      <c r="AE56" t="s">
        <v>92</v>
      </c>
      <c r="AF56">
        <v>0.31149895380966275</v>
      </c>
    </row>
    <row r="57" spans="2:32" x14ac:dyDescent="0.45">
      <c r="B57" t="s">
        <v>741</v>
      </c>
      <c r="C57" t="s">
        <v>87</v>
      </c>
      <c r="D57">
        <v>0.34972708168690192</v>
      </c>
      <c r="E57">
        <v>0.41201749103399654</v>
      </c>
      <c r="F57">
        <v>0.26372928894588243</v>
      </c>
      <c r="G57">
        <v>0.40016108689734725</v>
      </c>
      <c r="W57" t="s">
        <v>741</v>
      </c>
      <c r="X57">
        <v>0.24542498819804029</v>
      </c>
      <c r="Y57">
        <v>0.21296609808995579</v>
      </c>
      <c r="Z57">
        <v>0.16646722829393165</v>
      </c>
      <c r="AA57">
        <v>0.11315052701301233</v>
      </c>
      <c r="AC57" t="s">
        <v>777</v>
      </c>
      <c r="AD57" t="s">
        <v>91</v>
      </c>
      <c r="AE57" t="s">
        <v>92</v>
      </c>
      <c r="AF57">
        <v>0.26982437725907565</v>
      </c>
    </row>
    <row r="58" spans="2:32" x14ac:dyDescent="0.45">
      <c r="B58" t="s">
        <v>743</v>
      </c>
      <c r="C58" t="s">
        <v>87</v>
      </c>
      <c r="D58">
        <v>0.37440227402509191</v>
      </c>
      <c r="E58">
        <v>0.43227931113502749</v>
      </c>
      <c r="F58">
        <v>0.2869884542197107</v>
      </c>
      <c r="G58">
        <v>0.43934595661410086</v>
      </c>
      <c r="W58" t="s">
        <v>743</v>
      </c>
      <c r="X58">
        <v>0.22644497518387027</v>
      </c>
      <c r="Y58">
        <v>0.19549887397875029</v>
      </c>
      <c r="Z58">
        <v>0.13841427208998747</v>
      </c>
      <c r="AA58">
        <v>8.4736758881907862E-2</v>
      </c>
      <c r="AC58" t="s">
        <v>778</v>
      </c>
      <c r="AD58" t="s">
        <v>91</v>
      </c>
      <c r="AE58" t="s">
        <v>92</v>
      </c>
      <c r="AF58">
        <v>0.24003691499593341</v>
      </c>
    </row>
    <row r="59" spans="2:32" x14ac:dyDescent="0.45">
      <c r="B59" t="s">
        <v>745</v>
      </c>
      <c r="C59" t="s">
        <v>87</v>
      </c>
      <c r="D59">
        <v>0.4214074619610817</v>
      </c>
      <c r="E59">
        <v>0.46741938631738561</v>
      </c>
      <c r="F59">
        <v>0.2901022086928618</v>
      </c>
      <c r="G59">
        <v>0.41306849769320864</v>
      </c>
      <c r="W59" t="s">
        <v>745</v>
      </c>
      <c r="X59">
        <v>0.16039002351782897</v>
      </c>
      <c r="Y59">
        <v>0.14088897546208393</v>
      </c>
      <c r="Z59">
        <v>9.2939155729155162E-2</v>
      </c>
      <c r="AA59">
        <v>5.508087082140626E-2</v>
      </c>
      <c r="AC59" t="s">
        <v>779</v>
      </c>
      <c r="AD59" t="s">
        <v>91</v>
      </c>
      <c r="AE59" t="s">
        <v>92</v>
      </c>
      <c r="AF59">
        <v>0.21395416088893998</v>
      </c>
    </row>
    <row r="60" spans="2:32" x14ac:dyDescent="0.45">
      <c r="B60" t="s">
        <v>747</v>
      </c>
      <c r="C60" t="s">
        <v>87</v>
      </c>
      <c r="D60">
        <v>0.3733005344325051</v>
      </c>
      <c r="E60">
        <v>0.43415436409354236</v>
      </c>
      <c r="F60">
        <v>0.33463363276982722</v>
      </c>
      <c r="G60">
        <v>0.43367967987588552</v>
      </c>
      <c r="W60" t="s">
        <v>747</v>
      </c>
      <c r="X60">
        <v>0.26296611644493439</v>
      </c>
      <c r="Y60">
        <v>0.23282179759653723</v>
      </c>
      <c r="Z60">
        <v>0.15969916564092471</v>
      </c>
      <c r="AA60">
        <v>9.6635527285845305E-2</v>
      </c>
      <c r="AC60" t="s">
        <v>780</v>
      </c>
      <c r="AD60" t="s">
        <v>91</v>
      </c>
      <c r="AE60" t="s">
        <v>92</v>
      </c>
      <c r="AF60">
        <v>0.21385989690796567</v>
      </c>
    </row>
    <row r="61" spans="2:32" x14ac:dyDescent="0.45">
      <c r="B61" t="s">
        <v>749</v>
      </c>
      <c r="C61" t="s">
        <v>87</v>
      </c>
      <c r="D61">
        <v>0.4478507614981575</v>
      </c>
      <c r="E61">
        <v>0.47431862920041423</v>
      </c>
      <c r="F61">
        <v>0.40526865549852825</v>
      </c>
      <c r="G61">
        <v>0.44303898675146414</v>
      </c>
      <c r="W61" t="s">
        <v>749</v>
      </c>
      <c r="X61">
        <v>0.14467890239006867</v>
      </c>
      <c r="Y61">
        <v>0.13525276190649052</v>
      </c>
      <c r="Z61">
        <v>7.7838838763011342E-2</v>
      </c>
      <c r="AA61">
        <v>6.3070345100829595E-2</v>
      </c>
      <c r="AC61" t="s">
        <v>781</v>
      </c>
      <c r="AD61" t="s">
        <v>91</v>
      </c>
      <c r="AE61" t="s">
        <v>92</v>
      </c>
      <c r="AF61">
        <v>0.23260200829266642</v>
      </c>
    </row>
    <row r="62" spans="2:32" x14ac:dyDescent="0.45">
      <c r="B62" t="s">
        <v>751</v>
      </c>
      <c r="C62" t="s">
        <v>87</v>
      </c>
      <c r="D62">
        <v>0.41208083249716571</v>
      </c>
      <c r="E62">
        <v>0.44867694519690438</v>
      </c>
      <c r="F62">
        <v>0.31202079811261707</v>
      </c>
      <c r="G62">
        <v>0.43635539872109846</v>
      </c>
      <c r="W62" t="s">
        <v>751</v>
      </c>
      <c r="X62">
        <v>0.21838201897300946</v>
      </c>
      <c r="Y62">
        <v>0.19584824506996204</v>
      </c>
      <c r="Z62">
        <v>0.11660994285196567</v>
      </c>
      <c r="AA62">
        <v>8.0931587442167371E-2</v>
      </c>
      <c r="AC62" t="s">
        <v>738</v>
      </c>
      <c r="AD62" t="s">
        <v>91</v>
      </c>
      <c r="AE62" t="s">
        <v>92</v>
      </c>
      <c r="AF62">
        <v>0.42015754467406075</v>
      </c>
    </row>
    <row r="63" spans="2:32" x14ac:dyDescent="0.45">
      <c r="B63" t="s">
        <v>753</v>
      </c>
      <c r="C63" t="s">
        <v>87</v>
      </c>
      <c r="D63">
        <v>0.31030031904715788</v>
      </c>
      <c r="E63">
        <v>0.32865808792022305</v>
      </c>
      <c r="F63">
        <v>0.33688663531160307</v>
      </c>
      <c r="G63">
        <v>0.35549635067717611</v>
      </c>
      <c r="W63" t="s">
        <v>753</v>
      </c>
      <c r="X63">
        <v>0.37274412494570164</v>
      </c>
      <c r="Y63">
        <v>0.36214071652783131</v>
      </c>
      <c r="Z63">
        <v>0.32395747431194882</v>
      </c>
      <c r="AA63">
        <v>0.29844303832221725</v>
      </c>
      <c r="AC63" t="s">
        <v>740</v>
      </c>
      <c r="AD63" t="s">
        <v>91</v>
      </c>
      <c r="AE63" t="s">
        <v>92</v>
      </c>
      <c r="AF63">
        <v>0.37987498030621647</v>
      </c>
    </row>
    <row r="64" spans="2:32" x14ac:dyDescent="0.45">
      <c r="B64" t="s">
        <v>755</v>
      </c>
      <c r="C64" t="s">
        <v>87</v>
      </c>
      <c r="D64">
        <v>0.40637896529369005</v>
      </c>
      <c r="E64">
        <v>0.41499845456966072</v>
      </c>
      <c r="F64">
        <v>0.38422418207248971</v>
      </c>
      <c r="G64">
        <v>0.43059224609577279</v>
      </c>
      <c r="W64" t="s">
        <v>755</v>
      </c>
      <c r="X64">
        <v>0.14039889637297556</v>
      </c>
      <c r="Y64">
        <v>0.15106131617791171</v>
      </c>
      <c r="Z64">
        <v>7.6478383043977291E-2</v>
      </c>
      <c r="AA64">
        <v>8.4542000151023811E-2</v>
      </c>
      <c r="AC64" t="s">
        <v>742</v>
      </c>
      <c r="AD64" t="s">
        <v>91</v>
      </c>
      <c r="AE64" t="s">
        <v>92</v>
      </c>
      <c r="AF64">
        <v>0.38850604471349648</v>
      </c>
    </row>
    <row r="65" spans="2:32" x14ac:dyDescent="0.45">
      <c r="B65" t="s">
        <v>757</v>
      </c>
      <c r="C65" t="s">
        <v>87</v>
      </c>
      <c r="D65">
        <v>0.37905863391692801</v>
      </c>
      <c r="E65">
        <v>0.38534929917181426</v>
      </c>
      <c r="F65">
        <v>0.41330324469597635</v>
      </c>
      <c r="G65">
        <v>0.44816730603265031</v>
      </c>
      <c r="W65" t="s">
        <v>757</v>
      </c>
      <c r="X65">
        <v>0.1997508650584536</v>
      </c>
      <c r="Y65">
        <v>0.2302723930943664</v>
      </c>
      <c r="Z65">
        <v>0.10425631030762927</v>
      </c>
      <c r="AA65">
        <v>0.11703883547647791</v>
      </c>
      <c r="AC65" t="s">
        <v>744</v>
      </c>
      <c r="AD65" t="s">
        <v>91</v>
      </c>
      <c r="AE65" t="s">
        <v>92</v>
      </c>
      <c r="AF65">
        <v>0.42107873723430328</v>
      </c>
    </row>
    <row r="66" spans="2:32" x14ac:dyDescent="0.45">
      <c r="B66" t="s">
        <v>759</v>
      </c>
      <c r="C66" t="s">
        <v>87</v>
      </c>
      <c r="D66">
        <v>0.36763768372093891</v>
      </c>
      <c r="E66">
        <v>0.37156635772287328</v>
      </c>
      <c r="F66">
        <v>0.43644596255434565</v>
      </c>
      <c r="G66">
        <v>0.40642151145857464</v>
      </c>
      <c r="W66" t="s">
        <v>759</v>
      </c>
      <c r="X66">
        <v>0.23363604127175727</v>
      </c>
      <c r="Y66">
        <v>0.26213068544652757</v>
      </c>
      <c r="Z66">
        <v>0.13409071685929314</v>
      </c>
      <c r="AA66">
        <v>0.14927971429039316</v>
      </c>
      <c r="AC66" t="s">
        <v>746</v>
      </c>
      <c r="AD66" t="s">
        <v>91</v>
      </c>
      <c r="AE66" t="s">
        <v>92</v>
      </c>
      <c r="AF66">
        <v>0.52800754118300053</v>
      </c>
    </row>
    <row r="67" spans="2:32" x14ac:dyDescent="0.45">
      <c r="B67" t="s">
        <v>761</v>
      </c>
      <c r="C67" t="s">
        <v>87</v>
      </c>
      <c r="D67">
        <v>0.39768508873773106</v>
      </c>
      <c r="E67">
        <v>0.4391740748468243</v>
      </c>
      <c r="F67">
        <v>0.35951987417328191</v>
      </c>
      <c r="G67">
        <v>0.4385357849507095</v>
      </c>
      <c r="W67" t="s">
        <v>761</v>
      </c>
      <c r="X67">
        <v>0.16483067708058632</v>
      </c>
      <c r="Y67">
        <v>0.1566189240332635</v>
      </c>
      <c r="Z67">
        <v>0.12174187944402921</v>
      </c>
      <c r="AA67">
        <v>8.415487646655459E-2</v>
      </c>
      <c r="AC67" t="s">
        <v>748</v>
      </c>
      <c r="AD67" t="s">
        <v>91</v>
      </c>
      <c r="AE67" t="s">
        <v>92</v>
      </c>
      <c r="AF67">
        <v>0.28870854915552174</v>
      </c>
    </row>
    <row r="68" spans="2:32" x14ac:dyDescent="0.45">
      <c r="B68" t="s">
        <v>763</v>
      </c>
      <c r="C68" t="s">
        <v>87</v>
      </c>
      <c r="D68">
        <v>0.37091641756326643</v>
      </c>
      <c r="E68">
        <v>0.4281174640653676</v>
      </c>
      <c r="F68">
        <v>0.30123926254732247</v>
      </c>
      <c r="G68">
        <v>0.44339713871856418</v>
      </c>
      <c r="W68" t="s">
        <v>763</v>
      </c>
      <c r="X68">
        <v>0.21842939200502515</v>
      </c>
      <c r="Y68">
        <v>0.20540193351552147</v>
      </c>
      <c r="Z68">
        <v>0.14276352810474924</v>
      </c>
      <c r="AA68">
        <v>9.925303058642837E-2</v>
      </c>
      <c r="AC68" t="s">
        <v>750</v>
      </c>
      <c r="AD68" t="s">
        <v>91</v>
      </c>
      <c r="AE68" t="s">
        <v>92</v>
      </c>
      <c r="AF68">
        <v>0.35470952343210094</v>
      </c>
    </row>
    <row r="69" spans="2:32" x14ac:dyDescent="0.45">
      <c r="B69" t="s">
        <v>765</v>
      </c>
      <c r="C69" t="s">
        <v>87</v>
      </c>
      <c r="D69">
        <v>0.33451930707195487</v>
      </c>
      <c r="E69">
        <v>0.41350905355994239</v>
      </c>
      <c r="F69">
        <v>0.27815195832430978</v>
      </c>
      <c r="G69">
        <v>0.41513885007572027</v>
      </c>
      <c r="W69" t="s">
        <v>765</v>
      </c>
      <c r="X69">
        <v>0.28646096436900031</v>
      </c>
      <c r="Y69">
        <v>0.26430518702143724</v>
      </c>
      <c r="Z69">
        <v>0.2298525688733323</v>
      </c>
      <c r="AA69">
        <v>0.15678861529243296</v>
      </c>
      <c r="AC69" t="s">
        <v>752</v>
      </c>
      <c r="AD69" t="s">
        <v>91</v>
      </c>
      <c r="AE69" t="s">
        <v>92</v>
      </c>
      <c r="AF69">
        <v>0.26278496217542974</v>
      </c>
    </row>
    <row r="70" spans="2:32" x14ac:dyDescent="0.45">
      <c r="B70" t="s">
        <v>767</v>
      </c>
      <c r="C70" t="s">
        <v>87</v>
      </c>
      <c r="D70">
        <v>0.44719524495724927</v>
      </c>
      <c r="E70">
        <v>0.44409127606757715</v>
      </c>
      <c r="F70">
        <v>0.44544266289294154</v>
      </c>
      <c r="G70">
        <v>0.42853880493019436</v>
      </c>
      <c r="W70" t="s">
        <v>767</v>
      </c>
      <c r="X70">
        <v>0.21223783923872122</v>
      </c>
      <c r="Y70">
        <v>0.20982174364848746</v>
      </c>
      <c r="Z70">
        <v>0.16223210905464797</v>
      </c>
      <c r="AA70">
        <v>0.16385545056882997</v>
      </c>
      <c r="AC70" t="s">
        <v>754</v>
      </c>
      <c r="AD70" t="s">
        <v>91</v>
      </c>
      <c r="AE70" t="s">
        <v>92</v>
      </c>
      <c r="AF70">
        <v>0.43783829849227213</v>
      </c>
    </row>
    <row r="71" spans="2:32" x14ac:dyDescent="0.45">
      <c r="B71" t="s">
        <v>769</v>
      </c>
      <c r="C71" t="s">
        <v>87</v>
      </c>
      <c r="D71">
        <v>0.52273294203819076</v>
      </c>
      <c r="E71">
        <v>0.51317750217808389</v>
      </c>
      <c r="F71">
        <v>0.47763756791312761</v>
      </c>
      <c r="G71">
        <v>0.44555770434503289</v>
      </c>
      <c r="W71" t="s">
        <v>769</v>
      </c>
      <c r="X71">
        <v>9.6950224751368635E-2</v>
      </c>
      <c r="Y71">
        <v>0.10510590380335298</v>
      </c>
      <c r="Z71">
        <v>5.5739768949347485E-2</v>
      </c>
      <c r="AA71">
        <v>6.6626229218270064E-2</v>
      </c>
      <c r="AC71" t="s">
        <v>756</v>
      </c>
      <c r="AD71" t="s">
        <v>91</v>
      </c>
      <c r="AE71" t="s">
        <v>92</v>
      </c>
      <c r="AF71">
        <v>0.36097267909257735</v>
      </c>
    </row>
    <row r="72" spans="2:32" x14ac:dyDescent="0.45">
      <c r="B72" t="s">
        <v>771</v>
      </c>
      <c r="C72" t="s">
        <v>87</v>
      </c>
      <c r="D72">
        <v>0.4061079050104921</v>
      </c>
      <c r="E72">
        <v>0.45693243648000942</v>
      </c>
      <c r="F72">
        <v>0.36379105330909517</v>
      </c>
      <c r="G72">
        <v>0.45177820347167857</v>
      </c>
      <c r="W72" t="s">
        <v>771</v>
      </c>
      <c r="X72">
        <v>0.16672425756571699</v>
      </c>
      <c r="Y72">
        <v>0.16831786592391801</v>
      </c>
      <c r="Z72">
        <v>0.11717514996580801</v>
      </c>
      <c r="AA72">
        <v>8.3255873974750427E-2</v>
      </c>
      <c r="AC72" t="s">
        <v>758</v>
      </c>
      <c r="AD72" t="s">
        <v>91</v>
      </c>
      <c r="AE72" t="s">
        <v>92</v>
      </c>
      <c r="AF72">
        <v>0.45165503672703866</v>
      </c>
    </row>
    <row r="73" spans="2:32" x14ac:dyDescent="0.45">
      <c r="B73" t="s">
        <v>773</v>
      </c>
      <c r="C73" t="s">
        <v>87</v>
      </c>
      <c r="D73">
        <v>0.37086244153545284</v>
      </c>
      <c r="E73">
        <v>0.3932192824325535</v>
      </c>
      <c r="F73">
        <v>0.33023819016489131</v>
      </c>
      <c r="G73">
        <v>0.4664738157782482</v>
      </c>
      <c r="W73" t="s">
        <v>773</v>
      </c>
      <c r="X73">
        <v>0.25263125855322954</v>
      </c>
      <c r="Y73">
        <v>0.27324388075892986</v>
      </c>
      <c r="Z73">
        <v>0.1560433969503017</v>
      </c>
      <c r="AA73">
        <v>0.14075137399570845</v>
      </c>
      <c r="AC73" t="s">
        <v>760</v>
      </c>
      <c r="AD73" t="s">
        <v>91</v>
      </c>
      <c r="AE73" t="s">
        <v>92</v>
      </c>
      <c r="AF73">
        <v>0.44996146590929725</v>
      </c>
    </row>
    <row r="74" spans="2:32" x14ac:dyDescent="0.45">
      <c r="B74" t="s">
        <v>775</v>
      </c>
      <c r="C74" t="s">
        <v>87</v>
      </c>
      <c r="D74">
        <v>0.45539639792908793</v>
      </c>
      <c r="E74">
        <v>0.45942261142264956</v>
      </c>
      <c r="F74">
        <v>0.35982067115668426</v>
      </c>
      <c r="G74">
        <v>0.44009099500201709</v>
      </c>
      <c r="W74" t="s">
        <v>775</v>
      </c>
      <c r="X74">
        <v>0.16774024546726637</v>
      </c>
      <c r="Y74">
        <v>0.17259705186412191</v>
      </c>
      <c r="Z74">
        <v>5.5939510308548004E-2</v>
      </c>
      <c r="AA74">
        <v>5.422077141571658E-2</v>
      </c>
      <c r="AC74" t="s">
        <v>762</v>
      </c>
      <c r="AD74" t="s">
        <v>91</v>
      </c>
      <c r="AE74" t="s">
        <v>92</v>
      </c>
      <c r="AF74">
        <v>0.35104874950442344</v>
      </c>
    </row>
    <row r="75" spans="2:32" x14ac:dyDescent="0.45">
      <c r="B75" t="s">
        <v>776</v>
      </c>
      <c r="C75" t="s">
        <v>87</v>
      </c>
      <c r="D75">
        <v>0.42417576044909566</v>
      </c>
      <c r="E75">
        <v>0.42565954101498976</v>
      </c>
      <c r="F75">
        <v>0.49372545617229324</v>
      </c>
      <c r="G75">
        <v>0.48394071426754637</v>
      </c>
      <c r="W75" t="s">
        <v>776</v>
      </c>
      <c r="X75">
        <v>0.29182780910473721</v>
      </c>
      <c r="Y75">
        <v>0.31339623159821639</v>
      </c>
      <c r="Z75">
        <v>0.10507417869041907</v>
      </c>
      <c r="AA75">
        <v>0.10451423463843368</v>
      </c>
      <c r="AC75" t="s">
        <v>764</v>
      </c>
      <c r="AD75" t="s">
        <v>91</v>
      </c>
      <c r="AE75" t="s">
        <v>92</v>
      </c>
      <c r="AF75">
        <v>0.43998908445273283</v>
      </c>
    </row>
    <row r="76" spans="2:32" x14ac:dyDescent="0.45">
      <c r="B76" t="s">
        <v>777</v>
      </c>
      <c r="C76" t="s">
        <v>87</v>
      </c>
      <c r="D76">
        <v>0.36776874933047798</v>
      </c>
      <c r="E76">
        <v>0.39248242183531662</v>
      </c>
      <c r="F76">
        <v>0.42707323021045268</v>
      </c>
      <c r="G76">
        <v>0.39303067691964244</v>
      </c>
      <c r="W76" t="s">
        <v>777</v>
      </c>
      <c r="X76">
        <v>0.25191905644049939</v>
      </c>
      <c r="Y76">
        <v>0.27283488554653729</v>
      </c>
      <c r="Z76">
        <v>0.10760374765003253</v>
      </c>
      <c r="AA76">
        <v>0.11765847595497504</v>
      </c>
      <c r="AC76" t="s">
        <v>766</v>
      </c>
      <c r="AD76" t="s">
        <v>91</v>
      </c>
      <c r="AE76" t="s">
        <v>92</v>
      </c>
      <c r="AF76">
        <v>0.5354140463810928</v>
      </c>
    </row>
    <row r="77" spans="2:32" x14ac:dyDescent="0.45">
      <c r="B77" t="s">
        <v>778</v>
      </c>
      <c r="C77" t="s">
        <v>87</v>
      </c>
      <c r="D77">
        <v>0.42584790866458355</v>
      </c>
      <c r="E77">
        <v>0.44779894162533251</v>
      </c>
      <c r="F77">
        <v>0.40127845651966459</v>
      </c>
      <c r="G77">
        <v>0.47463089097708089</v>
      </c>
      <c r="W77" t="s">
        <v>778</v>
      </c>
      <c r="X77">
        <v>0.22836529140669445</v>
      </c>
      <c r="Y77">
        <v>0.24185658473970137</v>
      </c>
      <c r="Z77">
        <v>0.20021009036654033</v>
      </c>
      <c r="AA77">
        <v>0.15578035617836572</v>
      </c>
      <c r="AC77" t="s">
        <v>768</v>
      </c>
      <c r="AD77" t="s">
        <v>91</v>
      </c>
      <c r="AE77" t="s">
        <v>92</v>
      </c>
      <c r="AF77">
        <v>0.42095676412340605</v>
      </c>
    </row>
    <row r="78" spans="2:32" x14ac:dyDescent="0.45">
      <c r="B78" t="s">
        <v>779</v>
      </c>
      <c r="C78" t="s">
        <v>87</v>
      </c>
      <c r="D78">
        <v>0.38328946753434373</v>
      </c>
      <c r="E78">
        <v>0.39577987885377752</v>
      </c>
      <c r="F78">
        <v>0.36498899333992452</v>
      </c>
      <c r="G78">
        <v>0.4172658604109683</v>
      </c>
      <c r="W78" t="s">
        <v>779</v>
      </c>
      <c r="X78">
        <v>0.18909518876140277</v>
      </c>
      <c r="Y78">
        <v>0.21671378239363356</v>
      </c>
      <c r="Z78">
        <v>0.16600986443497659</v>
      </c>
      <c r="AA78">
        <v>0.15794710737033774</v>
      </c>
      <c r="AC78" t="s">
        <v>770</v>
      </c>
      <c r="AD78" t="s">
        <v>91</v>
      </c>
      <c r="AE78" t="s">
        <v>92</v>
      </c>
      <c r="AF78">
        <v>0.57241170745067704</v>
      </c>
    </row>
    <row r="79" spans="2:32" x14ac:dyDescent="0.45">
      <c r="B79" t="s">
        <v>780</v>
      </c>
      <c r="C79" t="s">
        <v>87</v>
      </c>
      <c r="D79">
        <v>0.44235064334031121</v>
      </c>
      <c r="E79">
        <v>0.44605778519945533</v>
      </c>
      <c r="F79">
        <v>0.47280976082817305</v>
      </c>
      <c r="G79">
        <v>0.44129519728668259</v>
      </c>
      <c r="W79" t="s">
        <v>780</v>
      </c>
      <c r="X79">
        <v>0.19853753650829639</v>
      </c>
      <c r="Y79">
        <v>0.21616967947604701</v>
      </c>
      <c r="Z79">
        <v>0.10806523981287521</v>
      </c>
      <c r="AA79">
        <v>0.11230383295899642</v>
      </c>
      <c r="AC79" t="s">
        <v>772</v>
      </c>
      <c r="AD79" t="s">
        <v>91</v>
      </c>
      <c r="AE79" t="s">
        <v>92</v>
      </c>
      <c r="AF79">
        <v>0.35959365589561998</v>
      </c>
    </row>
    <row r="80" spans="2:32" x14ac:dyDescent="0.45">
      <c r="B80" t="s">
        <v>781</v>
      </c>
      <c r="C80" t="s">
        <v>87</v>
      </c>
      <c r="D80">
        <v>0.47359993497315772</v>
      </c>
      <c r="E80">
        <v>0.45060862436599786</v>
      </c>
      <c r="F80">
        <v>0.566682777621489</v>
      </c>
      <c r="G80">
        <v>0.4387562196445266</v>
      </c>
      <c r="W80" t="s">
        <v>781</v>
      </c>
      <c r="X80">
        <v>0.21752744964224696</v>
      </c>
      <c r="Y80">
        <v>0.23407077972384016</v>
      </c>
      <c r="Z80">
        <v>9.9280184992198275E-2</v>
      </c>
      <c r="AA80">
        <v>0.11132939682122756</v>
      </c>
      <c r="AC80" t="s">
        <v>774</v>
      </c>
      <c r="AD80" t="s">
        <v>91</v>
      </c>
      <c r="AE80" t="s">
        <v>92</v>
      </c>
      <c r="AF80">
        <v>0.39173252637661798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6900-3B0E-418E-AE78-BA2C4F857409}">
  <dimension ref="A9:S18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region=ESP")</f>
        <v>~TFM_DINS-AT: region=ESP</v>
      </c>
      <c r="H9" t="str">
        <f>IF(A11="x","DeActivated","~TFM_DINS-AT: region=ESP")</f>
        <v>~TFM_DINS-AT: region=ESP</v>
      </c>
      <c r="L9" t="str">
        <f>IF(A11="x","DeActivated","~TFM_DINS-AT: region=ESP")</f>
        <v>~TFM_DINS-AT: region=ESP</v>
      </c>
      <c r="P9" t="str">
        <f>IF(A11="x","DeActivated","~TFM_INS-AT: region=ESP")</f>
        <v>~TFM_INS-AT: region=ESP</v>
      </c>
    </row>
    <row r="10" spans="1:19" x14ac:dyDescent="0.45">
      <c r="A10" t="s">
        <v>169</v>
      </c>
      <c r="C10" t="s">
        <v>170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171</v>
      </c>
      <c r="P10" t="s">
        <v>172</v>
      </c>
      <c r="Q10" t="s">
        <v>1</v>
      </c>
      <c r="R10" t="s">
        <v>173</v>
      </c>
      <c r="S10" t="s">
        <v>174</v>
      </c>
    </row>
    <row r="11" spans="1:19" x14ac:dyDescent="0.45">
      <c r="C11">
        <v>0.24931506849315069</v>
      </c>
      <c r="D11">
        <v>0.13646719538572463</v>
      </c>
      <c r="E11" t="s">
        <v>5</v>
      </c>
      <c r="F11" t="s">
        <v>175</v>
      </c>
      <c r="H11" t="s">
        <v>176</v>
      </c>
      <c r="I11" t="s">
        <v>5</v>
      </c>
      <c r="L11" t="s">
        <v>177</v>
      </c>
      <c r="M11" t="s">
        <v>5</v>
      </c>
      <c r="N11">
        <v>0.30281954982724635</v>
      </c>
      <c r="P11">
        <v>2020</v>
      </c>
      <c r="Q11" t="s">
        <v>178</v>
      </c>
      <c r="R11">
        <v>0.27700000000000002</v>
      </c>
      <c r="S11" t="s">
        <v>179</v>
      </c>
    </row>
    <row r="12" spans="1:19" x14ac:dyDescent="0.45">
      <c r="C12">
        <v>0.24931506849315069</v>
      </c>
      <c r="D12">
        <v>0.36216294160057688</v>
      </c>
      <c r="E12" t="s">
        <v>9</v>
      </c>
      <c r="F12" t="s">
        <v>175</v>
      </c>
      <c r="H12" t="s">
        <v>176</v>
      </c>
      <c r="I12" t="s">
        <v>9</v>
      </c>
      <c r="L12" t="s">
        <v>177</v>
      </c>
      <c r="M12" t="s">
        <v>9</v>
      </c>
      <c r="N12">
        <v>0.18618703740824483</v>
      </c>
      <c r="P12">
        <v>2020</v>
      </c>
      <c r="Q12" t="s">
        <v>180</v>
      </c>
      <c r="R12">
        <v>0.17989999999999998</v>
      </c>
      <c r="S12" t="s">
        <v>179</v>
      </c>
    </row>
    <row r="13" spans="1:19" x14ac:dyDescent="0.45">
      <c r="C13">
        <v>0.25068493150684934</v>
      </c>
      <c r="D13">
        <v>0.13721701514059123</v>
      </c>
      <c r="E13" t="s">
        <v>10</v>
      </c>
      <c r="F13" t="s">
        <v>175</v>
      </c>
      <c r="H13" t="s">
        <v>176</v>
      </c>
      <c r="I13" t="s">
        <v>10</v>
      </c>
      <c r="L13" t="s">
        <v>177</v>
      </c>
      <c r="M13" t="s">
        <v>10</v>
      </c>
      <c r="N13">
        <v>0.31175248316847526</v>
      </c>
      <c r="P13">
        <v>2021</v>
      </c>
      <c r="Q13" t="s">
        <v>178</v>
      </c>
      <c r="R13">
        <v>0.29680000000000001</v>
      </c>
      <c r="S13" t="s">
        <v>179</v>
      </c>
    </row>
    <row r="14" spans="1:19" x14ac:dyDescent="0.45">
      <c r="C14">
        <v>0.25068493150684934</v>
      </c>
      <c r="D14">
        <v>0.36415284787310753</v>
      </c>
      <c r="E14" t="s">
        <v>11</v>
      </c>
      <c r="F14" t="s">
        <v>175</v>
      </c>
      <c r="H14" t="s">
        <v>176</v>
      </c>
      <c r="I14" t="s">
        <v>11</v>
      </c>
      <c r="L14" t="s">
        <v>177</v>
      </c>
      <c r="M14" t="s">
        <v>11</v>
      </c>
      <c r="N14">
        <v>0.22719047378658463</v>
      </c>
      <c r="P14">
        <v>2021</v>
      </c>
      <c r="Q14" t="s">
        <v>180</v>
      </c>
      <c r="R14">
        <v>0.14954999999999999</v>
      </c>
      <c r="S14" t="s">
        <v>179</v>
      </c>
    </row>
    <row r="15" spans="1:19" x14ac:dyDescent="0.45">
      <c r="H15" t="s">
        <v>181</v>
      </c>
      <c r="I15" t="s">
        <v>5</v>
      </c>
      <c r="P15">
        <v>2022</v>
      </c>
      <c r="Q15" t="s">
        <v>178</v>
      </c>
      <c r="R15">
        <v>0.17876666666666666</v>
      </c>
      <c r="S15" t="s">
        <v>179</v>
      </c>
    </row>
    <row r="16" spans="1:19" x14ac:dyDescent="0.45">
      <c r="H16" t="s">
        <v>181</v>
      </c>
      <c r="I16" t="s">
        <v>9</v>
      </c>
      <c r="P16">
        <v>2022</v>
      </c>
      <c r="Q16" t="s">
        <v>180</v>
      </c>
      <c r="R16">
        <v>0.11736666666666666</v>
      </c>
      <c r="S16" t="s">
        <v>179</v>
      </c>
    </row>
    <row r="17" spans="8:9" x14ac:dyDescent="0.45">
      <c r="H17" t="s">
        <v>181</v>
      </c>
      <c r="I17" t="s">
        <v>10</v>
      </c>
    </row>
    <row r="18" spans="8:9" x14ac:dyDescent="0.45">
      <c r="H18" t="s">
        <v>181</v>
      </c>
      <c r="I18" t="s">
        <v>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4E3B-6F53-40AB-B6F3-5DAE46DC3EE9}">
  <dimension ref="B9:O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region=NLD")</f>
        <v>~TFM_DINS-AT: region=NLD</v>
      </c>
      <c r="G9" t="str">
        <f>IF(A11="x","DeActivated","~TFM_DINS-AT: region=NLD")</f>
        <v>~TFM_DINS-AT: region=NLD</v>
      </c>
      <c r="L9" t="str">
        <f>IF(A11="x","DeActivated","~TFM_DINS-AT: region=NLD")</f>
        <v>~TFM_DINS-AT: region=NLD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782</v>
      </c>
      <c r="C11" t="s">
        <v>5</v>
      </c>
      <c r="D11">
        <v>1.6142043194856348E-2</v>
      </c>
      <c r="E11" t="s">
        <v>6</v>
      </c>
      <c r="G11" t="s">
        <v>783</v>
      </c>
      <c r="H11" t="s">
        <v>5</v>
      </c>
      <c r="I11">
        <v>0.29504103230869211</v>
      </c>
      <c r="J11" t="s">
        <v>6</v>
      </c>
      <c r="L11" t="s">
        <v>784</v>
      </c>
      <c r="M11" t="s">
        <v>5</v>
      </c>
      <c r="N11">
        <v>0.27988464916328476</v>
      </c>
      <c r="O11" t="s">
        <v>6</v>
      </c>
    </row>
    <row r="12" spans="2:15" x14ac:dyDescent="0.45">
      <c r="B12" t="s">
        <v>782</v>
      </c>
      <c r="C12" t="s">
        <v>9</v>
      </c>
      <c r="D12">
        <v>0.42964394955281626</v>
      </c>
      <c r="E12" t="s">
        <v>6</v>
      </c>
      <c r="G12" t="s">
        <v>783</v>
      </c>
      <c r="H12" t="s">
        <v>9</v>
      </c>
      <c r="I12">
        <v>0.27500129279585911</v>
      </c>
      <c r="J12" t="s">
        <v>6</v>
      </c>
      <c r="L12" t="s">
        <v>784</v>
      </c>
      <c r="M12" t="s">
        <v>9</v>
      </c>
      <c r="N12">
        <v>0.2679188058937641</v>
      </c>
      <c r="O12" t="s">
        <v>6</v>
      </c>
    </row>
    <row r="13" spans="2:15" x14ac:dyDescent="0.45">
      <c r="B13" t="s">
        <v>782</v>
      </c>
      <c r="C13" t="s">
        <v>10</v>
      </c>
      <c r="D13">
        <v>2.8388994075857897E-2</v>
      </c>
      <c r="E13" t="s">
        <v>6</v>
      </c>
      <c r="G13" t="s">
        <v>783</v>
      </c>
      <c r="H13" t="s">
        <v>10</v>
      </c>
      <c r="I13">
        <v>0.23083637728286324</v>
      </c>
      <c r="J13" t="s">
        <v>6</v>
      </c>
      <c r="L13" t="s">
        <v>784</v>
      </c>
      <c r="M13" t="s">
        <v>10</v>
      </c>
      <c r="N13">
        <v>0.23213979682061456</v>
      </c>
      <c r="O13" t="s">
        <v>6</v>
      </c>
    </row>
    <row r="14" spans="2:15" x14ac:dyDescent="0.45">
      <c r="B14" t="s">
        <v>782</v>
      </c>
      <c r="C14" t="s">
        <v>11</v>
      </c>
      <c r="D14">
        <v>0.52582501317647201</v>
      </c>
      <c r="E14" t="s">
        <v>6</v>
      </c>
      <c r="G14" t="s">
        <v>783</v>
      </c>
      <c r="H14" t="s">
        <v>11</v>
      </c>
      <c r="I14">
        <v>0.19912129761258229</v>
      </c>
      <c r="J14" t="s">
        <v>6</v>
      </c>
      <c r="L14" t="s">
        <v>784</v>
      </c>
      <c r="M14" t="s">
        <v>11</v>
      </c>
      <c r="N14">
        <v>0.22005674812233658</v>
      </c>
      <c r="O14" t="s">
        <v>6</v>
      </c>
    </row>
    <row r="15" spans="2:15" x14ac:dyDescent="0.45">
      <c r="B15" t="s">
        <v>785</v>
      </c>
      <c r="C15" t="s">
        <v>5</v>
      </c>
      <c r="D15">
        <v>1.3963445810591587E-2</v>
      </c>
      <c r="E15" t="s">
        <v>6</v>
      </c>
      <c r="G15" t="s">
        <v>786</v>
      </c>
      <c r="H15" t="s">
        <v>5</v>
      </c>
      <c r="I15">
        <v>0.29540694854168359</v>
      </c>
      <c r="J15" t="s">
        <v>6</v>
      </c>
      <c r="L15" t="s">
        <v>787</v>
      </c>
      <c r="M15" t="s">
        <v>5</v>
      </c>
      <c r="N15">
        <v>0.27555039001944653</v>
      </c>
      <c r="O15" t="s">
        <v>6</v>
      </c>
    </row>
    <row r="16" spans="2:15" x14ac:dyDescent="0.45">
      <c r="B16" t="s">
        <v>785</v>
      </c>
      <c r="C16" t="s">
        <v>9</v>
      </c>
      <c r="D16">
        <v>0.42001299676167797</v>
      </c>
      <c r="E16" t="s">
        <v>6</v>
      </c>
      <c r="G16" t="s">
        <v>786</v>
      </c>
      <c r="H16" t="s">
        <v>9</v>
      </c>
      <c r="I16">
        <v>0.27310591866122758</v>
      </c>
      <c r="J16" t="s">
        <v>6</v>
      </c>
      <c r="L16" t="s">
        <v>787</v>
      </c>
      <c r="M16" t="s">
        <v>9</v>
      </c>
      <c r="N16">
        <v>0.27272417126649734</v>
      </c>
      <c r="O16" t="s">
        <v>6</v>
      </c>
    </row>
    <row r="17" spans="2:15" x14ac:dyDescent="0.45">
      <c r="B17" t="s">
        <v>785</v>
      </c>
      <c r="C17" t="s">
        <v>10</v>
      </c>
      <c r="D17">
        <v>2.676731778789293E-2</v>
      </c>
      <c r="E17" t="s">
        <v>6</v>
      </c>
      <c r="G17" t="s">
        <v>786</v>
      </c>
      <c r="H17" t="s">
        <v>10</v>
      </c>
      <c r="I17">
        <v>0.23300806318827252</v>
      </c>
      <c r="J17" t="s">
        <v>6</v>
      </c>
      <c r="L17" t="s">
        <v>787</v>
      </c>
      <c r="M17" t="s">
        <v>10</v>
      </c>
      <c r="N17">
        <v>0.22753575964134476</v>
      </c>
      <c r="O17" t="s">
        <v>6</v>
      </c>
    </row>
    <row r="18" spans="2:15" x14ac:dyDescent="0.45">
      <c r="B18" t="s">
        <v>785</v>
      </c>
      <c r="C18" t="s">
        <v>11</v>
      </c>
      <c r="D18">
        <v>0.53925623963983527</v>
      </c>
      <c r="E18" t="s">
        <v>6</v>
      </c>
      <c r="G18" t="s">
        <v>786</v>
      </c>
      <c r="H18" t="s">
        <v>11</v>
      </c>
      <c r="I18">
        <v>0.19847906960881617</v>
      </c>
      <c r="J18" t="s">
        <v>6</v>
      </c>
      <c r="L18" t="s">
        <v>787</v>
      </c>
      <c r="M18" t="s">
        <v>11</v>
      </c>
      <c r="N18">
        <v>0.22418967907271131</v>
      </c>
      <c r="O18" t="s">
        <v>6</v>
      </c>
    </row>
    <row r="19" spans="2:15" x14ac:dyDescent="0.45">
      <c r="B19" t="s">
        <v>788</v>
      </c>
      <c r="C19" t="s">
        <v>5</v>
      </c>
      <c r="D19">
        <v>1.6594078738421968E-2</v>
      </c>
      <c r="E19" t="s">
        <v>6</v>
      </c>
      <c r="G19" t="s">
        <v>789</v>
      </c>
      <c r="H19" t="s">
        <v>5</v>
      </c>
      <c r="I19">
        <v>0.29389364569258047</v>
      </c>
      <c r="J19" t="s">
        <v>6</v>
      </c>
      <c r="L19" t="s">
        <v>790</v>
      </c>
      <c r="M19" t="s">
        <v>5</v>
      </c>
      <c r="N19">
        <v>0.27386258715799539</v>
      </c>
      <c r="O19" t="s">
        <v>6</v>
      </c>
    </row>
    <row r="20" spans="2:15" x14ac:dyDescent="0.45">
      <c r="B20" t="s">
        <v>788</v>
      </c>
      <c r="C20" t="s">
        <v>9</v>
      </c>
      <c r="D20">
        <v>0.42688978425712615</v>
      </c>
      <c r="E20" t="s">
        <v>6</v>
      </c>
      <c r="G20" t="s">
        <v>789</v>
      </c>
      <c r="H20" t="s">
        <v>9</v>
      </c>
      <c r="I20">
        <v>0.27729735674956618</v>
      </c>
      <c r="J20" t="s">
        <v>6</v>
      </c>
      <c r="L20" t="s">
        <v>790</v>
      </c>
      <c r="M20" t="s">
        <v>9</v>
      </c>
      <c r="N20">
        <v>0.27284789546190535</v>
      </c>
      <c r="O20" t="s">
        <v>6</v>
      </c>
    </row>
    <row r="21" spans="2:15" x14ac:dyDescent="0.45">
      <c r="B21" t="s">
        <v>788</v>
      </c>
      <c r="C21" t="s">
        <v>10</v>
      </c>
      <c r="D21">
        <v>3.0720877077639392E-2</v>
      </c>
      <c r="E21" t="s">
        <v>6</v>
      </c>
      <c r="G21" t="s">
        <v>789</v>
      </c>
      <c r="H21" t="s">
        <v>10</v>
      </c>
      <c r="I21">
        <v>0.23230815687059084</v>
      </c>
      <c r="J21" t="s">
        <v>6</v>
      </c>
      <c r="L21" t="s">
        <v>790</v>
      </c>
      <c r="M21" t="s">
        <v>10</v>
      </c>
      <c r="N21">
        <v>0.22777444379514269</v>
      </c>
      <c r="O21" t="s">
        <v>6</v>
      </c>
    </row>
    <row r="22" spans="2:15" x14ac:dyDescent="0.45">
      <c r="B22" t="s">
        <v>788</v>
      </c>
      <c r="C22" t="s">
        <v>11</v>
      </c>
      <c r="D22">
        <v>0.52579525992681264</v>
      </c>
      <c r="E22" t="s">
        <v>6</v>
      </c>
      <c r="G22" t="s">
        <v>789</v>
      </c>
      <c r="H22" t="s">
        <v>11</v>
      </c>
      <c r="I22">
        <v>0.19650084068726123</v>
      </c>
      <c r="J22" t="s">
        <v>6</v>
      </c>
      <c r="L22" t="s">
        <v>790</v>
      </c>
      <c r="M22" t="s">
        <v>11</v>
      </c>
      <c r="N22">
        <v>0.22551507358495657</v>
      </c>
      <c r="O22" t="s">
        <v>6</v>
      </c>
    </row>
    <row r="23" spans="2:15" x14ac:dyDescent="0.45">
      <c r="B23" t="s">
        <v>791</v>
      </c>
      <c r="C23" t="s">
        <v>5</v>
      </c>
      <c r="D23">
        <v>1.6182974523698025E-2</v>
      </c>
      <c r="E23" t="s">
        <v>6</v>
      </c>
      <c r="G23" t="s">
        <v>792</v>
      </c>
      <c r="H23" t="s">
        <v>5</v>
      </c>
      <c r="I23">
        <v>0.29052488558564871</v>
      </c>
      <c r="J23" t="s">
        <v>6</v>
      </c>
      <c r="L23" t="s">
        <v>793</v>
      </c>
      <c r="M23" t="s">
        <v>5</v>
      </c>
      <c r="N23">
        <v>0.27281202654249409</v>
      </c>
      <c r="O23" t="s">
        <v>6</v>
      </c>
    </row>
    <row r="24" spans="2:15" x14ac:dyDescent="0.45">
      <c r="B24" t="s">
        <v>791</v>
      </c>
      <c r="C24" t="s">
        <v>9</v>
      </c>
      <c r="D24">
        <v>0.42002433028642128</v>
      </c>
      <c r="E24" t="s">
        <v>6</v>
      </c>
      <c r="G24" t="s">
        <v>792</v>
      </c>
      <c r="H24" t="s">
        <v>9</v>
      </c>
      <c r="I24">
        <v>0.27661644073381736</v>
      </c>
      <c r="J24" t="s">
        <v>6</v>
      </c>
      <c r="L24" t="s">
        <v>793</v>
      </c>
      <c r="M24" t="s">
        <v>9</v>
      </c>
      <c r="N24">
        <v>0.26813411767103607</v>
      </c>
      <c r="O24" t="s">
        <v>6</v>
      </c>
    </row>
    <row r="25" spans="2:15" x14ac:dyDescent="0.45">
      <c r="B25" t="s">
        <v>791</v>
      </c>
      <c r="C25" t="s">
        <v>10</v>
      </c>
      <c r="D25">
        <v>3.0422549374466958E-2</v>
      </c>
      <c r="E25" t="s">
        <v>6</v>
      </c>
      <c r="G25" t="s">
        <v>792</v>
      </c>
      <c r="H25" t="s">
        <v>10</v>
      </c>
      <c r="I25">
        <v>0.23376203094616432</v>
      </c>
      <c r="J25" t="s">
        <v>6</v>
      </c>
      <c r="L25" t="s">
        <v>793</v>
      </c>
      <c r="M25" t="s">
        <v>10</v>
      </c>
      <c r="N25">
        <v>0.22921497165633151</v>
      </c>
      <c r="O25" t="s">
        <v>6</v>
      </c>
    </row>
    <row r="26" spans="2:15" x14ac:dyDescent="0.45">
      <c r="B26" t="s">
        <v>791</v>
      </c>
      <c r="C26" t="s">
        <v>11</v>
      </c>
      <c r="D26">
        <v>0.53337014581541375</v>
      </c>
      <c r="E26" t="s">
        <v>6</v>
      </c>
      <c r="G26" t="s">
        <v>792</v>
      </c>
      <c r="H26" t="s">
        <v>11</v>
      </c>
      <c r="I26">
        <v>0.19909664273436964</v>
      </c>
      <c r="J26" t="s">
        <v>6</v>
      </c>
      <c r="L26" t="s">
        <v>793</v>
      </c>
      <c r="M26" t="s">
        <v>11</v>
      </c>
      <c r="N26">
        <v>0.22983888413013834</v>
      </c>
      <c r="O26" t="s">
        <v>6</v>
      </c>
    </row>
    <row r="27" spans="2:15" x14ac:dyDescent="0.45">
      <c r="B27" t="s">
        <v>794</v>
      </c>
      <c r="C27" t="s">
        <v>5</v>
      </c>
      <c r="D27">
        <v>1.4813966441863771E-2</v>
      </c>
      <c r="E27" t="s">
        <v>6</v>
      </c>
      <c r="G27" t="s">
        <v>795</v>
      </c>
      <c r="H27" t="s">
        <v>5</v>
      </c>
      <c r="I27">
        <v>0.27915180885338636</v>
      </c>
      <c r="J27" t="s">
        <v>6</v>
      </c>
      <c r="L27" t="s">
        <v>796</v>
      </c>
      <c r="M27" t="s">
        <v>5</v>
      </c>
      <c r="N27">
        <v>0.27169158158212364</v>
      </c>
      <c r="O27" t="s">
        <v>6</v>
      </c>
    </row>
    <row r="28" spans="2:15" x14ac:dyDescent="0.45">
      <c r="B28" t="s">
        <v>794</v>
      </c>
      <c r="C28" t="s">
        <v>9</v>
      </c>
      <c r="D28">
        <v>0.42755646680194781</v>
      </c>
      <c r="E28" t="s">
        <v>6</v>
      </c>
      <c r="G28" t="s">
        <v>795</v>
      </c>
      <c r="H28" t="s">
        <v>9</v>
      </c>
      <c r="I28">
        <v>0.26595659738699551</v>
      </c>
      <c r="J28" t="s">
        <v>6</v>
      </c>
      <c r="L28" t="s">
        <v>796</v>
      </c>
      <c r="M28" t="s">
        <v>9</v>
      </c>
      <c r="N28">
        <v>0.26869408230467162</v>
      </c>
      <c r="O28" t="s">
        <v>6</v>
      </c>
    </row>
    <row r="29" spans="2:15" x14ac:dyDescent="0.45">
      <c r="B29" t="s">
        <v>794</v>
      </c>
      <c r="C29" t="s">
        <v>10</v>
      </c>
      <c r="D29">
        <v>2.8378458585803363E-2</v>
      </c>
      <c r="E29" t="s">
        <v>6</v>
      </c>
      <c r="G29" t="s">
        <v>795</v>
      </c>
      <c r="H29" t="s">
        <v>10</v>
      </c>
      <c r="I29">
        <v>0.23113609830507315</v>
      </c>
      <c r="J29" t="s">
        <v>6</v>
      </c>
      <c r="L29" t="s">
        <v>796</v>
      </c>
      <c r="M29" t="s">
        <v>10</v>
      </c>
      <c r="N29">
        <v>0.22900006675973444</v>
      </c>
      <c r="O29" t="s">
        <v>6</v>
      </c>
    </row>
    <row r="30" spans="2:15" x14ac:dyDescent="0.45">
      <c r="B30" t="s">
        <v>794</v>
      </c>
      <c r="C30" t="s">
        <v>11</v>
      </c>
      <c r="D30">
        <v>0.52925110817038201</v>
      </c>
      <c r="E30" t="s">
        <v>6</v>
      </c>
      <c r="G30" t="s">
        <v>795</v>
      </c>
      <c r="H30" t="s">
        <v>11</v>
      </c>
      <c r="I30">
        <v>0.22375549545454643</v>
      </c>
      <c r="J30" t="s">
        <v>6</v>
      </c>
      <c r="L30" t="s">
        <v>796</v>
      </c>
      <c r="M30" t="s">
        <v>11</v>
      </c>
      <c r="N30">
        <v>0.23061426935347032</v>
      </c>
      <c r="O30" t="s">
        <v>6</v>
      </c>
    </row>
    <row r="31" spans="2:15" x14ac:dyDescent="0.45">
      <c r="B31" t="s">
        <v>797</v>
      </c>
      <c r="C31" t="s">
        <v>5</v>
      </c>
      <c r="D31">
        <v>1.525853021422658E-2</v>
      </c>
      <c r="E31" t="s">
        <v>6</v>
      </c>
      <c r="G31" t="s">
        <v>798</v>
      </c>
      <c r="H31" t="s">
        <v>5</v>
      </c>
      <c r="I31">
        <v>0.27744888657984351</v>
      </c>
      <c r="J31" t="s">
        <v>6</v>
      </c>
    </row>
    <row r="32" spans="2:15" x14ac:dyDescent="0.45">
      <c r="B32" t="s">
        <v>797</v>
      </c>
      <c r="C32" t="s">
        <v>9</v>
      </c>
      <c r="D32">
        <v>0.42738994606393688</v>
      </c>
      <c r="E32" t="s">
        <v>6</v>
      </c>
      <c r="G32" t="s">
        <v>798</v>
      </c>
      <c r="H32" t="s">
        <v>9</v>
      </c>
      <c r="I32">
        <v>0.26356465385630951</v>
      </c>
      <c r="J32" t="s">
        <v>6</v>
      </c>
    </row>
    <row r="33" spans="2:10" x14ac:dyDescent="0.45">
      <c r="B33" t="s">
        <v>797</v>
      </c>
      <c r="C33" t="s">
        <v>10</v>
      </c>
      <c r="D33">
        <v>2.8777795901188685E-2</v>
      </c>
      <c r="E33" t="s">
        <v>6</v>
      </c>
      <c r="G33" t="s">
        <v>798</v>
      </c>
      <c r="H33" t="s">
        <v>10</v>
      </c>
      <c r="I33">
        <v>0.23271818230795191</v>
      </c>
      <c r="J33" t="s">
        <v>6</v>
      </c>
    </row>
    <row r="34" spans="2:10" x14ac:dyDescent="0.45">
      <c r="B34" t="s">
        <v>797</v>
      </c>
      <c r="C34" t="s">
        <v>11</v>
      </c>
      <c r="D34">
        <v>0.5285737278206506</v>
      </c>
      <c r="E34" t="s">
        <v>6</v>
      </c>
      <c r="G34" t="s">
        <v>798</v>
      </c>
      <c r="H34" t="s">
        <v>11</v>
      </c>
      <c r="I34">
        <v>0.22626827725589435</v>
      </c>
      <c r="J34" t="s">
        <v>6</v>
      </c>
    </row>
    <row r="35" spans="2:10" x14ac:dyDescent="0.45">
      <c r="B35" t="s">
        <v>799</v>
      </c>
      <c r="C35" t="s">
        <v>5</v>
      </c>
      <c r="D35">
        <v>1.3113472812817543E-2</v>
      </c>
      <c r="E35" t="s">
        <v>6</v>
      </c>
      <c r="G35" t="s">
        <v>800</v>
      </c>
      <c r="H35" t="s">
        <v>5</v>
      </c>
      <c r="I35">
        <v>0.28665515824342214</v>
      </c>
      <c r="J35" t="s">
        <v>6</v>
      </c>
    </row>
    <row r="36" spans="2:10" x14ac:dyDescent="0.45">
      <c r="B36" t="s">
        <v>799</v>
      </c>
      <c r="C36" t="s">
        <v>9</v>
      </c>
      <c r="D36">
        <v>0.4229178701900122</v>
      </c>
      <c r="E36" t="s">
        <v>6</v>
      </c>
      <c r="G36" t="s">
        <v>800</v>
      </c>
      <c r="H36" t="s">
        <v>9</v>
      </c>
      <c r="I36">
        <v>0.2668456741771974</v>
      </c>
      <c r="J36" t="s">
        <v>6</v>
      </c>
    </row>
    <row r="37" spans="2:10" x14ac:dyDescent="0.45">
      <c r="B37" t="s">
        <v>799</v>
      </c>
      <c r="C37" t="s">
        <v>10</v>
      </c>
      <c r="D37">
        <v>2.5660305983465925E-2</v>
      </c>
      <c r="E37" t="s">
        <v>6</v>
      </c>
      <c r="G37" t="s">
        <v>800</v>
      </c>
      <c r="H37" t="s">
        <v>10</v>
      </c>
      <c r="I37">
        <v>0.22958068963305758</v>
      </c>
      <c r="J37" t="s">
        <v>6</v>
      </c>
    </row>
    <row r="38" spans="2:10" x14ac:dyDescent="0.45">
      <c r="B38" t="s">
        <v>799</v>
      </c>
      <c r="C38" t="s">
        <v>11</v>
      </c>
      <c r="D38">
        <v>0.53830835101370511</v>
      </c>
      <c r="E38" t="s">
        <v>6</v>
      </c>
      <c r="G38" t="s">
        <v>800</v>
      </c>
      <c r="H38" t="s">
        <v>11</v>
      </c>
      <c r="I38">
        <v>0.21691847794632213</v>
      </c>
      <c r="J38" t="s">
        <v>6</v>
      </c>
    </row>
    <row r="39" spans="2:10" x14ac:dyDescent="0.45">
      <c r="B39" t="s">
        <v>801</v>
      </c>
      <c r="C39" t="s">
        <v>5</v>
      </c>
      <c r="D39">
        <v>1.3944300133702618E-2</v>
      </c>
      <c r="E39" t="s">
        <v>6</v>
      </c>
      <c r="G39" t="s">
        <v>802</v>
      </c>
      <c r="H39" t="s">
        <v>5</v>
      </c>
      <c r="I39">
        <v>0.2903564390841355</v>
      </c>
      <c r="J39" t="s">
        <v>6</v>
      </c>
    </row>
    <row r="40" spans="2:10" x14ac:dyDescent="0.45">
      <c r="B40" t="s">
        <v>801</v>
      </c>
      <c r="C40" t="s">
        <v>9</v>
      </c>
      <c r="D40">
        <v>0.42379857684330624</v>
      </c>
      <c r="E40" t="s">
        <v>6</v>
      </c>
      <c r="G40" t="s">
        <v>802</v>
      </c>
      <c r="H40" t="s">
        <v>9</v>
      </c>
      <c r="I40">
        <v>0.27407771083743399</v>
      </c>
      <c r="J40" t="s">
        <v>6</v>
      </c>
    </row>
    <row r="41" spans="2:10" x14ac:dyDescent="0.45">
      <c r="B41" t="s">
        <v>801</v>
      </c>
      <c r="C41" t="s">
        <v>10</v>
      </c>
      <c r="D41">
        <v>2.6793479558878865E-2</v>
      </c>
      <c r="E41" t="s">
        <v>6</v>
      </c>
      <c r="G41" t="s">
        <v>802</v>
      </c>
      <c r="H41" t="s">
        <v>10</v>
      </c>
      <c r="I41">
        <v>0.22593825018678909</v>
      </c>
      <c r="J41" t="s">
        <v>6</v>
      </c>
    </row>
    <row r="42" spans="2:10" x14ac:dyDescent="0.45">
      <c r="B42" t="s">
        <v>801</v>
      </c>
      <c r="C42" t="s">
        <v>11</v>
      </c>
      <c r="D42">
        <v>0.53546364346411346</v>
      </c>
      <c r="E42" t="s">
        <v>6</v>
      </c>
      <c r="G42" t="s">
        <v>802</v>
      </c>
      <c r="H42" t="s">
        <v>11</v>
      </c>
      <c r="I42">
        <v>0.2096275998916397</v>
      </c>
      <c r="J42" t="s">
        <v>6</v>
      </c>
    </row>
    <row r="43" spans="2:10" x14ac:dyDescent="0.45">
      <c r="B43" t="s">
        <v>803</v>
      </c>
      <c r="C43" t="s">
        <v>5</v>
      </c>
      <c r="D43">
        <v>1.4194500029994119E-2</v>
      </c>
      <c r="E43" t="s">
        <v>6</v>
      </c>
      <c r="G43" t="s">
        <v>804</v>
      </c>
      <c r="H43" t="s">
        <v>5</v>
      </c>
      <c r="I43">
        <v>0.29352580167328068</v>
      </c>
      <c r="J43" t="s">
        <v>6</v>
      </c>
    </row>
    <row r="44" spans="2:10" x14ac:dyDescent="0.45">
      <c r="B44" t="s">
        <v>803</v>
      </c>
      <c r="C44" t="s">
        <v>9</v>
      </c>
      <c r="D44">
        <v>0.42088946137328714</v>
      </c>
      <c r="E44" t="s">
        <v>6</v>
      </c>
      <c r="G44" t="s">
        <v>804</v>
      </c>
      <c r="H44" t="s">
        <v>9</v>
      </c>
      <c r="I44">
        <v>0.27314184255998675</v>
      </c>
      <c r="J44" t="s">
        <v>6</v>
      </c>
    </row>
    <row r="45" spans="2:10" x14ac:dyDescent="0.45">
      <c r="B45" t="s">
        <v>803</v>
      </c>
      <c r="C45" t="s">
        <v>10</v>
      </c>
      <c r="D45">
        <v>2.6815826156492289E-2</v>
      </c>
      <c r="E45" t="s">
        <v>6</v>
      </c>
      <c r="G45" t="s">
        <v>804</v>
      </c>
      <c r="H45" t="s">
        <v>10</v>
      </c>
      <c r="I45">
        <v>0.22801833841427774</v>
      </c>
      <c r="J45" t="s">
        <v>6</v>
      </c>
    </row>
    <row r="46" spans="2:10" x14ac:dyDescent="0.45">
      <c r="B46" t="s">
        <v>803</v>
      </c>
      <c r="C46" t="s">
        <v>11</v>
      </c>
      <c r="D46">
        <v>0.5381002124402271</v>
      </c>
      <c r="E46" t="s">
        <v>6</v>
      </c>
      <c r="G46" t="s">
        <v>804</v>
      </c>
      <c r="H46" t="s">
        <v>11</v>
      </c>
      <c r="I46">
        <v>0.20531401735245694</v>
      </c>
      <c r="J46" t="s">
        <v>6</v>
      </c>
    </row>
    <row r="47" spans="2:10" x14ac:dyDescent="0.45">
      <c r="B47" t="s">
        <v>805</v>
      </c>
      <c r="C47" t="s">
        <v>5</v>
      </c>
      <c r="D47">
        <v>1.3632130653939159E-2</v>
      </c>
      <c r="E47" t="s">
        <v>6</v>
      </c>
      <c r="G47" t="s">
        <v>806</v>
      </c>
      <c r="H47" t="s">
        <v>5</v>
      </c>
      <c r="I47">
        <v>0.28820012235386322</v>
      </c>
      <c r="J47" t="s">
        <v>6</v>
      </c>
    </row>
    <row r="48" spans="2:10" x14ac:dyDescent="0.45">
      <c r="B48" t="s">
        <v>805</v>
      </c>
      <c r="C48" t="s">
        <v>9</v>
      </c>
      <c r="D48">
        <v>0.42669166576257117</v>
      </c>
      <c r="E48" t="s">
        <v>6</v>
      </c>
      <c r="G48" t="s">
        <v>806</v>
      </c>
      <c r="H48" t="s">
        <v>9</v>
      </c>
      <c r="I48">
        <v>0.27372553491454621</v>
      </c>
      <c r="J48" t="s">
        <v>6</v>
      </c>
    </row>
    <row r="49" spans="2:10" x14ac:dyDescent="0.45">
      <c r="B49" t="s">
        <v>805</v>
      </c>
      <c r="C49" t="s">
        <v>10</v>
      </c>
      <c r="D49">
        <v>2.6257525600040115E-2</v>
      </c>
      <c r="E49" t="s">
        <v>6</v>
      </c>
      <c r="G49" t="s">
        <v>806</v>
      </c>
      <c r="H49" t="s">
        <v>10</v>
      </c>
      <c r="I49">
        <v>0.23313014569693824</v>
      </c>
      <c r="J49" t="s">
        <v>6</v>
      </c>
    </row>
    <row r="50" spans="2:10" x14ac:dyDescent="0.45">
      <c r="B50" t="s">
        <v>805</v>
      </c>
      <c r="C50" t="s">
        <v>11</v>
      </c>
      <c r="D50">
        <v>0.53341867798344955</v>
      </c>
      <c r="E50" t="s">
        <v>6</v>
      </c>
      <c r="G50" t="s">
        <v>806</v>
      </c>
      <c r="H50" t="s">
        <v>11</v>
      </c>
      <c r="I50">
        <v>0.20494419703465233</v>
      </c>
      <c r="J50" t="s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5111-8DC0-4A5A-AB40-24F58A3B16B2}">
  <dimension ref="B9:AF35"/>
  <sheetViews>
    <sheetView workbookViewId="0"/>
  </sheetViews>
  <sheetFormatPr defaultRowHeight="14.25" x14ac:dyDescent="0.45"/>
  <sheetData>
    <row r="9" spans="2:32" x14ac:dyDescent="0.45">
      <c r="B9" t="str">
        <f>IF(A11="x","DeActivated","~TFM_DINS-TSL: attribute=FLO_EMIS; other_indexes=ACT; region=NLD")</f>
        <v>~TFM_DINS-TSL: attribute=FLO_EMIS; other_indexes=ACT; region=NLD</v>
      </c>
      <c r="I9" t="str">
        <f>IF(A11="x","DeActivated","~TFM_INS-TSL: attribute=FLO_SHAR; limtype=FX; region=NLD")</f>
        <v>~TFM_INS-TSL: attribute=FLO_SHAR; limtype=FX; region=NLD</v>
      </c>
      <c r="P9" t="str">
        <f>IF(A11="x","DeActivated","~TFM_INS-TSL: attribute=FLO_SHAR; limtype=FX; region=NLD")</f>
        <v>~TFM_INS-TSL: attribute=FLO_SHAR; limtype=FX; region=NLD</v>
      </c>
      <c r="W9" t="str">
        <f>IF(A11="x","DeActivated","~TFM_DINS-TSL: attribute=NCAP_PKCNT; region=NLD")</f>
        <v>~TFM_DINS-TSL: attribute=NCAP_PKCNT; region=NLD</v>
      </c>
      <c r="AC9" t="str">
        <f>IF(A11="x","DeActivated","~TFM_DINS-AT: region=NLD")</f>
        <v>~TFM_DINS-AT: region=NLD</v>
      </c>
    </row>
    <row r="10" spans="2:3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I10" t="s">
        <v>3</v>
      </c>
      <c r="J10" t="s">
        <v>0</v>
      </c>
      <c r="K10" t="s">
        <v>5</v>
      </c>
      <c r="L10" t="s">
        <v>9</v>
      </c>
      <c r="M10" t="s">
        <v>10</v>
      </c>
      <c r="N10" t="s">
        <v>11</v>
      </c>
      <c r="P10" t="s">
        <v>3</v>
      </c>
      <c r="Q10" t="s">
        <v>0</v>
      </c>
      <c r="R10" t="s">
        <v>5</v>
      </c>
      <c r="S10" t="s">
        <v>9</v>
      </c>
      <c r="T10" t="s">
        <v>10</v>
      </c>
      <c r="U10" t="s">
        <v>11</v>
      </c>
      <c r="W10" t="s">
        <v>3</v>
      </c>
      <c r="X10" t="s">
        <v>5</v>
      </c>
      <c r="Y10" t="s">
        <v>9</v>
      </c>
      <c r="Z10" t="s">
        <v>10</v>
      </c>
      <c r="AA10" t="s">
        <v>11</v>
      </c>
      <c r="AC10" t="s">
        <v>3</v>
      </c>
      <c r="AD10" t="s">
        <v>0</v>
      </c>
      <c r="AE10" t="s">
        <v>84</v>
      </c>
      <c r="AF10" t="s">
        <v>85</v>
      </c>
    </row>
    <row r="11" spans="2:32" x14ac:dyDescent="0.45">
      <c r="B11" t="s">
        <v>807</v>
      </c>
      <c r="C11" t="s">
        <v>87</v>
      </c>
      <c r="D11">
        <v>0.89938637018568002</v>
      </c>
      <c r="E11">
        <v>0.43514305462699604</v>
      </c>
      <c r="F11">
        <v>0.85377539573975314</v>
      </c>
      <c r="G11">
        <v>0.36189177246089715</v>
      </c>
      <c r="I11" t="s">
        <v>88</v>
      </c>
      <c r="J11" t="s">
        <v>89</v>
      </c>
      <c r="K11">
        <v>0.16202129234459337</v>
      </c>
      <c r="L11">
        <v>0.18145466549178166</v>
      </c>
      <c r="M11">
        <v>0.14528630215324595</v>
      </c>
      <c r="N11">
        <v>0.14007850252318119</v>
      </c>
      <c r="P11" t="s">
        <v>88</v>
      </c>
      <c r="Q11" t="s">
        <v>90</v>
      </c>
      <c r="R11">
        <v>0.48985697638097864</v>
      </c>
      <c r="S11">
        <v>8.5345895367878635E-2</v>
      </c>
      <c r="T11">
        <v>0.50137439305283871</v>
      </c>
      <c r="U11">
        <v>6.6991086389591031E-2</v>
      </c>
      <c r="W11" t="s">
        <v>807</v>
      </c>
      <c r="X11">
        <v>8.1613025795258531E-3</v>
      </c>
      <c r="Y11">
        <v>0.21722493438007923</v>
      </c>
      <c r="Z11">
        <v>1.4274840912609972E-2</v>
      </c>
      <c r="AA11">
        <v>0.26440064733918728</v>
      </c>
      <c r="AC11" t="s">
        <v>807</v>
      </c>
      <c r="AD11" t="s">
        <v>91</v>
      </c>
      <c r="AE11" t="s">
        <v>92</v>
      </c>
      <c r="AF11">
        <v>0.26440064733918728</v>
      </c>
    </row>
    <row r="12" spans="2:32" x14ac:dyDescent="0.45">
      <c r="B12" t="s">
        <v>808</v>
      </c>
      <c r="C12" t="s">
        <v>87</v>
      </c>
      <c r="D12">
        <v>0.90376924726896368</v>
      </c>
      <c r="E12">
        <v>0.43528522942415859</v>
      </c>
      <c r="F12">
        <v>0.85716602539625164</v>
      </c>
      <c r="G12">
        <v>0.35721738688546406</v>
      </c>
      <c r="I12" t="s">
        <v>94</v>
      </c>
      <c r="J12" t="s">
        <v>89</v>
      </c>
      <c r="K12">
        <v>1.0151102936248263E-2</v>
      </c>
      <c r="L12">
        <v>4.399397714435733E-3</v>
      </c>
      <c r="M12">
        <v>1.2897911262938077E-2</v>
      </c>
      <c r="N12">
        <v>1.1927207832664955E-2</v>
      </c>
      <c r="P12" t="s">
        <v>94</v>
      </c>
      <c r="Q12" t="s">
        <v>90</v>
      </c>
      <c r="R12">
        <v>1.5050922830809119E-2</v>
      </c>
      <c r="S12">
        <v>1.9625011894060466E-2</v>
      </c>
      <c r="T12">
        <v>3.4382543564664941E-2</v>
      </c>
      <c r="U12">
        <v>2.7782683383720985E-2</v>
      </c>
      <c r="W12" t="s">
        <v>808</v>
      </c>
      <c r="X12">
        <v>6.4137215761258795E-3</v>
      </c>
      <c r="Y12">
        <v>0.19292132157954309</v>
      </c>
      <c r="Z12">
        <v>1.2227640234661516E-2</v>
      </c>
      <c r="AA12">
        <v>0.24633888777585189</v>
      </c>
      <c r="AC12" t="s">
        <v>808</v>
      </c>
      <c r="AD12" t="s">
        <v>91</v>
      </c>
      <c r="AE12" t="s">
        <v>92</v>
      </c>
      <c r="AF12">
        <v>0.24633888777585189</v>
      </c>
    </row>
    <row r="13" spans="2:32" x14ac:dyDescent="0.45">
      <c r="B13" t="s">
        <v>809</v>
      </c>
      <c r="C13" t="s">
        <v>87</v>
      </c>
      <c r="D13">
        <v>0.89410098950455974</v>
      </c>
      <c r="E13">
        <v>0.42800506597370369</v>
      </c>
      <c r="F13">
        <v>0.85305737305686824</v>
      </c>
      <c r="G13">
        <v>0.36745257806885928</v>
      </c>
      <c r="I13" t="s">
        <v>96</v>
      </c>
      <c r="J13" t="s">
        <v>89</v>
      </c>
      <c r="K13">
        <v>5.6819940412355142E-3</v>
      </c>
      <c r="L13">
        <v>6.8235706892899005E-3</v>
      </c>
      <c r="M13">
        <v>1.3346152938204976E-2</v>
      </c>
      <c r="N13">
        <v>1.1553550892858517E-2</v>
      </c>
      <c r="P13" t="s">
        <v>96</v>
      </c>
      <c r="Q13" t="s">
        <v>90</v>
      </c>
      <c r="R13">
        <v>1.4249445718514362E-2</v>
      </c>
      <c r="S13">
        <v>9.6289069121713294E-3</v>
      </c>
      <c r="T13">
        <v>2.0525549481668993E-2</v>
      </c>
      <c r="U13">
        <v>2.3056628915343672E-2</v>
      </c>
      <c r="W13" t="s">
        <v>809</v>
      </c>
      <c r="X13">
        <v>8.0110956681813499E-3</v>
      </c>
      <c r="Y13">
        <v>0.20608886792460465</v>
      </c>
      <c r="Z13">
        <v>1.4750022420982967E-2</v>
      </c>
      <c r="AA13">
        <v>0.25245021010197627</v>
      </c>
      <c r="AC13" t="s">
        <v>809</v>
      </c>
      <c r="AD13" t="s">
        <v>91</v>
      </c>
      <c r="AE13" t="s">
        <v>92</v>
      </c>
      <c r="AF13">
        <v>0.25245021010197627</v>
      </c>
    </row>
    <row r="14" spans="2:32" x14ac:dyDescent="0.45">
      <c r="B14" t="s">
        <v>810</v>
      </c>
      <c r="C14" t="s">
        <v>87</v>
      </c>
      <c r="D14">
        <v>0.89415932395598618</v>
      </c>
      <c r="E14">
        <v>0.42916743005116054</v>
      </c>
      <c r="F14">
        <v>0.85458661335656749</v>
      </c>
      <c r="G14">
        <v>0.37059251722571407</v>
      </c>
      <c r="W14" t="s">
        <v>810</v>
      </c>
      <c r="X14">
        <v>7.5141055749150714E-3</v>
      </c>
      <c r="Y14">
        <v>0.19502639376855144</v>
      </c>
      <c r="Z14">
        <v>1.4048658160560305E-2</v>
      </c>
      <c r="AA14">
        <v>0.24630200314171541</v>
      </c>
      <c r="AC14" t="s">
        <v>810</v>
      </c>
      <c r="AD14" t="s">
        <v>91</v>
      </c>
      <c r="AE14" t="s">
        <v>92</v>
      </c>
      <c r="AF14">
        <v>0.24630200314171541</v>
      </c>
    </row>
    <row r="15" spans="2:32" x14ac:dyDescent="0.45">
      <c r="B15" t="s">
        <v>811</v>
      </c>
      <c r="C15" t="s">
        <v>87</v>
      </c>
      <c r="D15">
        <v>0.89845368770085099</v>
      </c>
      <c r="E15">
        <v>0.43506495650941412</v>
      </c>
      <c r="F15">
        <v>0.856021963299608</v>
      </c>
      <c r="G15">
        <v>0.36530627436724128</v>
      </c>
      <c r="W15" t="s">
        <v>811</v>
      </c>
      <c r="X15">
        <v>6.7002557124523502E-3</v>
      </c>
      <c r="Y15">
        <v>0.19338086597726067</v>
      </c>
      <c r="Z15">
        <v>1.2765244041288384E-2</v>
      </c>
      <c r="AA15">
        <v>0.23806858763981692</v>
      </c>
      <c r="AC15" t="s">
        <v>811</v>
      </c>
      <c r="AD15" t="s">
        <v>91</v>
      </c>
      <c r="AE15" t="s">
        <v>92</v>
      </c>
      <c r="AF15">
        <v>0.23806858763981692</v>
      </c>
    </row>
    <row r="16" spans="2:32" x14ac:dyDescent="0.45">
      <c r="B16" t="s">
        <v>812</v>
      </c>
      <c r="C16" t="s">
        <v>87</v>
      </c>
      <c r="D16">
        <v>0.89835946011396373</v>
      </c>
      <c r="E16">
        <v>0.42914520695671221</v>
      </c>
      <c r="F16">
        <v>0.85458238249823126</v>
      </c>
      <c r="G16">
        <v>0.36052309042577563</v>
      </c>
      <c r="W16" t="s">
        <v>812</v>
      </c>
      <c r="X16">
        <v>7.148283338977224E-3</v>
      </c>
      <c r="Y16">
        <v>0.20022272052433532</v>
      </c>
      <c r="Z16">
        <v>1.3408088963412385E-2</v>
      </c>
      <c r="AA16">
        <v>0.24627193794397118</v>
      </c>
      <c r="AC16" t="s">
        <v>812</v>
      </c>
      <c r="AD16" t="s">
        <v>91</v>
      </c>
      <c r="AE16" t="s">
        <v>92</v>
      </c>
      <c r="AF16">
        <v>0.24627193794397118</v>
      </c>
    </row>
    <row r="17" spans="2:32" x14ac:dyDescent="0.45">
      <c r="B17" t="s">
        <v>813</v>
      </c>
      <c r="C17" t="s">
        <v>87</v>
      </c>
      <c r="D17">
        <v>0.90372870454532817</v>
      </c>
      <c r="E17">
        <v>0.436580162906821</v>
      </c>
      <c r="F17">
        <v>0.8598496314542392</v>
      </c>
      <c r="G17">
        <v>0.35893094445752671</v>
      </c>
      <c r="W17" t="s">
        <v>813</v>
      </c>
      <c r="X17">
        <v>5.8458757626046751E-3</v>
      </c>
      <c r="Y17">
        <v>0.18853322550069651</v>
      </c>
      <c r="Z17">
        <v>1.1376639336574767E-2</v>
      </c>
      <c r="AA17">
        <v>0.23866200057377615</v>
      </c>
      <c r="AC17" t="s">
        <v>813</v>
      </c>
      <c r="AD17" t="s">
        <v>91</v>
      </c>
      <c r="AE17" t="s">
        <v>92</v>
      </c>
      <c r="AF17">
        <v>0.23866200057377615</v>
      </c>
    </row>
    <row r="18" spans="2:32" x14ac:dyDescent="0.45">
      <c r="B18" t="s">
        <v>814</v>
      </c>
      <c r="C18" t="s">
        <v>87</v>
      </c>
      <c r="D18">
        <v>0.90116964915316455</v>
      </c>
      <c r="E18">
        <v>0.4336702614808543</v>
      </c>
      <c r="F18">
        <v>0.85798234253579175</v>
      </c>
      <c r="G18">
        <v>0.36141657206405342</v>
      </c>
      <c r="W18" t="s">
        <v>814</v>
      </c>
      <c r="X18">
        <v>6.2773877363119443E-3</v>
      </c>
      <c r="Y18">
        <v>0.19078390191220201</v>
      </c>
      <c r="Z18">
        <v>1.1995867173871114E-2</v>
      </c>
      <c r="AA18">
        <v>0.23973559422609605</v>
      </c>
      <c r="AC18" t="s">
        <v>814</v>
      </c>
      <c r="AD18" t="s">
        <v>91</v>
      </c>
      <c r="AE18" t="s">
        <v>92</v>
      </c>
      <c r="AF18">
        <v>0.23973559422609605</v>
      </c>
    </row>
    <row r="19" spans="2:32" x14ac:dyDescent="0.45">
      <c r="B19" t="s">
        <v>815</v>
      </c>
      <c r="C19" t="s">
        <v>87</v>
      </c>
      <c r="D19">
        <v>0.90097307911726665</v>
      </c>
      <c r="E19">
        <v>0.43478258343780418</v>
      </c>
      <c r="F19">
        <v>0.85906637753339476</v>
      </c>
      <c r="G19">
        <v>0.36571340887151665</v>
      </c>
      <c r="W19" t="s">
        <v>815</v>
      </c>
      <c r="X19">
        <v>6.4172333034716034E-3</v>
      </c>
      <c r="Y19">
        <v>0.19028115558121581</v>
      </c>
      <c r="Z19">
        <v>1.2056998541165756E-2</v>
      </c>
      <c r="AA19">
        <v>0.24194195765331827</v>
      </c>
      <c r="AC19" t="s">
        <v>815</v>
      </c>
      <c r="AD19" t="s">
        <v>91</v>
      </c>
      <c r="AE19" t="s">
        <v>92</v>
      </c>
      <c r="AF19">
        <v>0.24194195765331827</v>
      </c>
    </row>
    <row r="20" spans="2:32" x14ac:dyDescent="0.45">
      <c r="B20" t="s">
        <v>816</v>
      </c>
      <c r="C20" t="s">
        <v>87</v>
      </c>
      <c r="D20">
        <v>0.9013651493688124</v>
      </c>
      <c r="E20">
        <v>0.43941791214599929</v>
      </c>
      <c r="F20">
        <v>0.85993489467799744</v>
      </c>
      <c r="G20">
        <v>0.36765089481705587</v>
      </c>
      <c r="W20" t="s">
        <v>816</v>
      </c>
      <c r="X20">
        <v>6.1171419311077963E-3</v>
      </c>
      <c r="Y20">
        <v>0.19146922418442558</v>
      </c>
      <c r="Z20">
        <v>1.1718146228825261E-2</v>
      </c>
      <c r="AA20">
        <v>0.23805282207502321</v>
      </c>
      <c r="AC20" t="s">
        <v>816</v>
      </c>
      <c r="AD20" t="s">
        <v>91</v>
      </c>
      <c r="AE20" t="s">
        <v>92</v>
      </c>
      <c r="AF20">
        <v>0.23805282207502321</v>
      </c>
    </row>
    <row r="21" spans="2:32" x14ac:dyDescent="0.45">
      <c r="B21" t="s">
        <v>817</v>
      </c>
      <c r="C21" t="s">
        <v>87</v>
      </c>
      <c r="D21">
        <v>0.25467434401920319</v>
      </c>
      <c r="E21">
        <v>0.2714930117280781</v>
      </c>
      <c r="F21">
        <v>0.3171341182934988</v>
      </c>
      <c r="G21">
        <v>0.3275538011156493</v>
      </c>
      <c r="W21" t="s">
        <v>817</v>
      </c>
      <c r="X21">
        <v>0.60744268238039567</v>
      </c>
      <c r="Y21">
        <v>0.58147282674768985</v>
      </c>
      <c r="Z21">
        <v>0.50106737179732974</v>
      </c>
      <c r="AA21">
        <v>0.47498644324709138</v>
      </c>
      <c r="AC21" t="s">
        <v>818</v>
      </c>
      <c r="AD21" t="s">
        <v>91</v>
      </c>
      <c r="AE21" t="s">
        <v>92</v>
      </c>
      <c r="AF21">
        <v>0.36334260037716054</v>
      </c>
    </row>
    <row r="22" spans="2:32" x14ac:dyDescent="0.45">
      <c r="B22" t="s">
        <v>819</v>
      </c>
      <c r="C22" t="s">
        <v>87</v>
      </c>
      <c r="D22">
        <v>0.2581597739940259</v>
      </c>
      <c r="E22">
        <v>0.25972454871115253</v>
      </c>
      <c r="F22">
        <v>0.30738776808853202</v>
      </c>
      <c r="G22">
        <v>0.31340778873220293</v>
      </c>
      <c r="W22" t="s">
        <v>819</v>
      </c>
      <c r="X22">
        <v>0.62206666023403723</v>
      </c>
      <c r="Y22">
        <v>0.61568635186062559</v>
      </c>
      <c r="Z22">
        <v>0.5108646526726498</v>
      </c>
      <c r="AA22">
        <v>0.50335201250477435</v>
      </c>
      <c r="AC22" t="s">
        <v>820</v>
      </c>
      <c r="AD22" t="s">
        <v>91</v>
      </c>
      <c r="AE22" t="s">
        <v>92</v>
      </c>
      <c r="AF22">
        <v>0.34145470249160276</v>
      </c>
    </row>
    <row r="23" spans="2:32" x14ac:dyDescent="0.45">
      <c r="B23" t="s">
        <v>821</v>
      </c>
      <c r="C23" t="s">
        <v>87</v>
      </c>
      <c r="D23">
        <v>0.25715933966077176</v>
      </c>
      <c r="E23">
        <v>0.25735477240874494</v>
      </c>
      <c r="F23">
        <v>0.30642320558902486</v>
      </c>
      <c r="G23">
        <v>0.31586680575432774</v>
      </c>
      <c r="W23" t="s">
        <v>821</v>
      </c>
      <c r="X23">
        <v>0.62396548663145746</v>
      </c>
      <c r="Y23">
        <v>0.6216536243047992</v>
      </c>
      <c r="Z23">
        <v>0.51612293075926841</v>
      </c>
      <c r="AA23">
        <v>0.51100333632574968</v>
      </c>
      <c r="AC23" t="s">
        <v>822</v>
      </c>
      <c r="AD23" t="s">
        <v>91</v>
      </c>
      <c r="AE23" t="s">
        <v>92</v>
      </c>
      <c r="AF23">
        <v>0.37539941624784151</v>
      </c>
    </row>
    <row r="24" spans="2:32" x14ac:dyDescent="0.45">
      <c r="B24" t="s">
        <v>823</v>
      </c>
      <c r="C24" t="s">
        <v>87</v>
      </c>
      <c r="D24">
        <v>0.25956806439237856</v>
      </c>
      <c r="E24">
        <v>0.26477994356911627</v>
      </c>
      <c r="F24">
        <v>0.2937236582424701</v>
      </c>
      <c r="G24">
        <v>0.30249916159521539</v>
      </c>
      <c r="W24" t="s">
        <v>823</v>
      </c>
      <c r="X24">
        <v>0.62308827859651039</v>
      </c>
      <c r="Y24">
        <v>0.61240418147994102</v>
      </c>
      <c r="Z24">
        <v>0.52065416766707628</v>
      </c>
      <c r="AA24">
        <v>0.52207136405437871</v>
      </c>
      <c r="AC24" t="s">
        <v>824</v>
      </c>
      <c r="AD24" t="s">
        <v>91</v>
      </c>
      <c r="AE24" t="s">
        <v>92</v>
      </c>
      <c r="AF24">
        <v>0.38329078775547842</v>
      </c>
    </row>
    <row r="25" spans="2:32" x14ac:dyDescent="0.45">
      <c r="B25" t="s">
        <v>825</v>
      </c>
      <c r="C25" t="s">
        <v>87</v>
      </c>
      <c r="D25">
        <v>0.25957885512770323</v>
      </c>
      <c r="E25">
        <v>0.26695186086549016</v>
      </c>
      <c r="F25">
        <v>0.30108224395645522</v>
      </c>
      <c r="G25">
        <v>0.30259230135927878</v>
      </c>
      <c r="W25" t="s">
        <v>825</v>
      </c>
      <c r="X25">
        <v>0.62497192629898268</v>
      </c>
      <c r="Y25">
        <v>0.61807678112517928</v>
      </c>
      <c r="Z25">
        <v>0.52389015181815823</v>
      </c>
      <c r="AA25">
        <v>0.52758301031319443</v>
      </c>
      <c r="AC25" t="s">
        <v>826</v>
      </c>
      <c r="AD25" t="s">
        <v>91</v>
      </c>
      <c r="AE25" t="s">
        <v>92</v>
      </c>
      <c r="AF25">
        <v>0.53826771755248248</v>
      </c>
    </row>
    <row r="26" spans="2:32" x14ac:dyDescent="0.45">
      <c r="B26" t="s">
        <v>818</v>
      </c>
      <c r="C26" t="s">
        <v>87</v>
      </c>
      <c r="D26">
        <v>0.30559083182360736</v>
      </c>
      <c r="E26">
        <v>0.35178526793785103</v>
      </c>
      <c r="F26">
        <v>0.33905746304562234</v>
      </c>
      <c r="G26">
        <v>0.40004522012124932</v>
      </c>
      <c r="W26" t="s">
        <v>818</v>
      </c>
      <c r="X26">
        <v>0.36815558860244879</v>
      </c>
      <c r="Y26">
        <v>0.34314977148590731</v>
      </c>
      <c r="Z26">
        <v>0.28646629206775032</v>
      </c>
      <c r="AA26">
        <v>0.24710810518784757</v>
      </c>
      <c r="AC26" t="s">
        <v>827</v>
      </c>
      <c r="AD26" t="s">
        <v>91</v>
      </c>
      <c r="AE26" t="s">
        <v>92</v>
      </c>
      <c r="AF26">
        <v>0.63127947654876582</v>
      </c>
    </row>
    <row r="27" spans="2:32" x14ac:dyDescent="0.45">
      <c r="B27" t="s">
        <v>820</v>
      </c>
      <c r="C27" t="s">
        <v>87</v>
      </c>
      <c r="D27">
        <v>0.32941734339591033</v>
      </c>
      <c r="E27">
        <v>0.37431303179972142</v>
      </c>
      <c r="F27">
        <v>0.36308982921283922</v>
      </c>
      <c r="G27">
        <v>0.41800049161487196</v>
      </c>
      <c r="W27" t="s">
        <v>820</v>
      </c>
      <c r="X27">
        <v>0.34378645336376112</v>
      </c>
      <c r="Y27">
        <v>0.31783313030616422</v>
      </c>
      <c r="Z27">
        <v>0.2696865585457443</v>
      </c>
      <c r="AA27">
        <v>0.22972225292870002</v>
      </c>
      <c r="AC27" t="s">
        <v>828</v>
      </c>
      <c r="AD27" t="s">
        <v>91</v>
      </c>
      <c r="AE27" t="s">
        <v>92</v>
      </c>
      <c r="AF27">
        <v>0.55053213612052487</v>
      </c>
    </row>
    <row r="28" spans="2:32" x14ac:dyDescent="0.45">
      <c r="B28" t="s">
        <v>822</v>
      </c>
      <c r="C28" t="s">
        <v>87</v>
      </c>
      <c r="D28">
        <v>0.3116388186978733</v>
      </c>
      <c r="E28">
        <v>0.35526900507990583</v>
      </c>
      <c r="F28">
        <v>0.34533993161289728</v>
      </c>
      <c r="G28">
        <v>0.40058181844770768</v>
      </c>
      <c r="W28" t="s">
        <v>822</v>
      </c>
      <c r="X28">
        <v>0.37799785224073873</v>
      </c>
      <c r="Y28">
        <v>0.35665216590974469</v>
      </c>
      <c r="Z28">
        <v>0.29715558238845075</v>
      </c>
      <c r="AA28">
        <v>0.25135286914083971</v>
      </c>
      <c r="AC28" t="s">
        <v>829</v>
      </c>
      <c r="AD28" t="s">
        <v>91</v>
      </c>
      <c r="AE28" t="s">
        <v>92</v>
      </c>
      <c r="AF28">
        <v>0.40500327655996532</v>
      </c>
    </row>
    <row r="29" spans="2:32" x14ac:dyDescent="0.45">
      <c r="B29" t="s">
        <v>824</v>
      </c>
      <c r="C29" t="s">
        <v>87</v>
      </c>
      <c r="D29">
        <v>0.3178026115951435</v>
      </c>
      <c r="E29">
        <v>0.34642866394356137</v>
      </c>
      <c r="F29">
        <v>0.34608554272568937</v>
      </c>
      <c r="G29">
        <v>0.39287338517725534</v>
      </c>
      <c r="W29" t="s">
        <v>824</v>
      </c>
      <c r="X29">
        <v>0.3842852239654998</v>
      </c>
      <c r="Y29">
        <v>0.36588814299213129</v>
      </c>
      <c r="Z29">
        <v>0.30751380504436371</v>
      </c>
      <c r="AA29">
        <v>0.26191150860125978</v>
      </c>
      <c r="AC29" t="s">
        <v>830</v>
      </c>
      <c r="AD29" t="s">
        <v>91</v>
      </c>
      <c r="AE29" t="s">
        <v>92</v>
      </c>
      <c r="AF29">
        <v>0.44708794668274848</v>
      </c>
    </row>
    <row r="30" spans="2:32" x14ac:dyDescent="0.45">
      <c r="B30" t="s">
        <v>826</v>
      </c>
      <c r="C30" t="s">
        <v>87</v>
      </c>
      <c r="D30">
        <v>0.26963581856026686</v>
      </c>
      <c r="E30">
        <v>0.29090410977073228</v>
      </c>
      <c r="F30">
        <v>0.28997059228967742</v>
      </c>
      <c r="G30">
        <v>0.31770152206435315</v>
      </c>
      <c r="W30" t="s">
        <v>826</v>
      </c>
      <c r="X30">
        <v>0.54370036569109925</v>
      </c>
      <c r="Y30">
        <v>0.5180002230729438</v>
      </c>
      <c r="Z30">
        <v>0.4477207833079318</v>
      </c>
      <c r="AA30">
        <v>0.43342423113043033</v>
      </c>
      <c r="AC30" t="s">
        <v>831</v>
      </c>
      <c r="AD30" t="s">
        <v>91</v>
      </c>
      <c r="AE30" t="s">
        <v>92</v>
      </c>
      <c r="AF30">
        <v>0.47003642883462637</v>
      </c>
    </row>
    <row r="31" spans="2:32" x14ac:dyDescent="0.45">
      <c r="B31" t="s">
        <v>827</v>
      </c>
      <c r="C31" t="s">
        <v>87</v>
      </c>
      <c r="D31">
        <v>0.23674654642044998</v>
      </c>
      <c r="E31">
        <v>0.25712097343652845</v>
      </c>
      <c r="F31">
        <v>0.27732972339743078</v>
      </c>
      <c r="G31">
        <v>0.29002793341219013</v>
      </c>
      <c r="W31" t="s">
        <v>827</v>
      </c>
      <c r="X31">
        <v>0.63789628225141604</v>
      </c>
      <c r="Y31">
        <v>0.60597436486535705</v>
      </c>
      <c r="Z31">
        <v>0.53212994506767586</v>
      </c>
      <c r="AA31">
        <v>0.51738168781074467</v>
      </c>
      <c r="AC31" t="s">
        <v>817</v>
      </c>
      <c r="AD31" t="s">
        <v>91</v>
      </c>
      <c r="AE31" t="s">
        <v>92</v>
      </c>
      <c r="AF31">
        <v>0.60474233492703988</v>
      </c>
    </row>
    <row r="32" spans="2:32" x14ac:dyDescent="0.45">
      <c r="B32" t="s">
        <v>828</v>
      </c>
      <c r="C32" t="s">
        <v>87</v>
      </c>
      <c r="D32">
        <v>0.25458886684522192</v>
      </c>
      <c r="E32">
        <v>0.28270863968003024</v>
      </c>
      <c r="F32">
        <v>0.30844977532286599</v>
      </c>
      <c r="G32">
        <v>0.32874755987865328</v>
      </c>
      <c r="W32" t="s">
        <v>828</v>
      </c>
      <c r="X32">
        <v>0.55504183361347736</v>
      </c>
      <c r="Y32">
        <v>0.51668532042030635</v>
      </c>
      <c r="Z32">
        <v>0.44210111524323331</v>
      </c>
      <c r="AA32">
        <v>0.41771762760279202</v>
      </c>
      <c r="AC32" t="s">
        <v>819</v>
      </c>
      <c r="AD32" t="s">
        <v>91</v>
      </c>
      <c r="AE32" t="s">
        <v>92</v>
      </c>
      <c r="AF32">
        <v>0.62053416206900347</v>
      </c>
    </row>
    <row r="33" spans="2:32" x14ac:dyDescent="0.45">
      <c r="B33" t="s">
        <v>829</v>
      </c>
      <c r="C33" t="s">
        <v>87</v>
      </c>
      <c r="D33">
        <v>0.30062045815763866</v>
      </c>
      <c r="E33">
        <v>0.33947492913759436</v>
      </c>
      <c r="F33">
        <v>0.32047948049721725</v>
      </c>
      <c r="G33">
        <v>0.37118851542992398</v>
      </c>
      <c r="W33" t="s">
        <v>829</v>
      </c>
      <c r="X33">
        <v>0.41053315322317807</v>
      </c>
      <c r="Y33">
        <v>0.38751676116842809</v>
      </c>
      <c r="Z33">
        <v>0.31770703578293941</v>
      </c>
      <c r="AA33">
        <v>0.29477152861370209</v>
      </c>
      <c r="AC33" t="s">
        <v>821</v>
      </c>
      <c r="AD33" t="s">
        <v>91</v>
      </c>
      <c r="AE33" t="s">
        <v>92</v>
      </c>
      <c r="AF33">
        <v>0.62207526851325179</v>
      </c>
    </row>
    <row r="34" spans="2:32" x14ac:dyDescent="0.45">
      <c r="B34" t="s">
        <v>830</v>
      </c>
      <c r="C34" t="s">
        <v>87</v>
      </c>
      <c r="D34">
        <v>0.28493703304656709</v>
      </c>
      <c r="E34">
        <v>0.32223989402924846</v>
      </c>
      <c r="F34">
        <v>0.33609372073848054</v>
      </c>
      <c r="G34">
        <v>0.37287432131351617</v>
      </c>
      <c r="W34" t="s">
        <v>830</v>
      </c>
      <c r="X34">
        <v>0.45054101980160971</v>
      </c>
      <c r="Y34">
        <v>0.41925310686808115</v>
      </c>
      <c r="Z34">
        <v>0.34807924617312486</v>
      </c>
      <c r="AA34">
        <v>0.31342017877077977</v>
      </c>
      <c r="AC34" t="s">
        <v>823</v>
      </c>
      <c r="AD34" t="s">
        <v>91</v>
      </c>
      <c r="AE34" t="s">
        <v>92</v>
      </c>
      <c r="AF34">
        <v>0.61980015297721813</v>
      </c>
    </row>
    <row r="35" spans="2:32" x14ac:dyDescent="0.45">
      <c r="B35" t="s">
        <v>831</v>
      </c>
      <c r="C35" t="s">
        <v>87</v>
      </c>
      <c r="D35">
        <v>0.29175314523671564</v>
      </c>
      <c r="E35">
        <v>0.31599484061305733</v>
      </c>
      <c r="F35">
        <v>0.34147644291377183</v>
      </c>
      <c r="G35">
        <v>0.36620009583097562</v>
      </c>
      <c r="W35" t="s">
        <v>831</v>
      </c>
      <c r="X35">
        <v>0.4714742230189386</v>
      </c>
      <c r="Y35">
        <v>0.447794861571297</v>
      </c>
      <c r="Z35">
        <v>0.37929972337549533</v>
      </c>
      <c r="AA35">
        <v>0.3334415504707402</v>
      </c>
      <c r="AC35" t="s">
        <v>825</v>
      </c>
      <c r="AD35" t="s">
        <v>91</v>
      </c>
      <c r="AE35" t="s">
        <v>92</v>
      </c>
      <c r="AF35">
        <v>0.62279503940889913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7328-F4E1-49CB-9749-30072718C115}">
  <dimension ref="A9:S68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region=NLD")</f>
        <v>~TFM_DINS-AT: region=NLD</v>
      </c>
      <c r="H9" t="str">
        <f>IF(A11="x","DeActivated","~TFM_DINS-AT: region=NLD")</f>
        <v>~TFM_DINS-AT: region=NLD</v>
      </c>
      <c r="L9" t="str">
        <f>IF(A11="x","DeActivated","~TFM_DINS-AT: region=NLD")</f>
        <v>~TFM_DINS-AT: region=NLD</v>
      </c>
      <c r="P9" t="str">
        <f>IF(A11="x","DeActivated","~TFM_INS-AT: region=NLD")</f>
        <v>~TFM_INS-AT: region=NLD</v>
      </c>
    </row>
    <row r="10" spans="1:19" x14ac:dyDescent="0.45">
      <c r="A10" t="s">
        <v>169</v>
      </c>
      <c r="C10" t="s">
        <v>170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171</v>
      </c>
      <c r="P10" t="s">
        <v>172</v>
      </c>
      <c r="Q10" t="s">
        <v>1</v>
      </c>
      <c r="R10" t="s">
        <v>173</v>
      </c>
      <c r="S10" t="s">
        <v>174</v>
      </c>
    </row>
    <row r="11" spans="1:19" x14ac:dyDescent="0.45">
      <c r="C11">
        <v>0.24931506849315069</v>
      </c>
      <c r="D11">
        <v>0.13646719538572463</v>
      </c>
      <c r="E11" t="s">
        <v>5</v>
      </c>
      <c r="F11" t="s">
        <v>175</v>
      </c>
      <c r="H11" t="s">
        <v>176</v>
      </c>
      <c r="I11" t="s">
        <v>5</v>
      </c>
      <c r="L11" t="s">
        <v>177</v>
      </c>
      <c r="M11" t="s">
        <v>5</v>
      </c>
      <c r="N11">
        <v>0.33784649756184004</v>
      </c>
      <c r="P11">
        <v>2020</v>
      </c>
      <c r="Q11" t="s">
        <v>178</v>
      </c>
      <c r="R11">
        <v>0.22586666666666669</v>
      </c>
      <c r="S11" t="s">
        <v>179</v>
      </c>
    </row>
    <row r="12" spans="1:19" x14ac:dyDescent="0.45">
      <c r="C12">
        <v>0.24931506849315069</v>
      </c>
      <c r="D12">
        <v>0.36216294160057688</v>
      </c>
      <c r="E12" t="s">
        <v>9</v>
      </c>
      <c r="F12" t="s">
        <v>175</v>
      </c>
      <c r="H12" t="s">
        <v>176</v>
      </c>
      <c r="I12" t="s">
        <v>9</v>
      </c>
      <c r="L12" t="s">
        <v>177</v>
      </c>
      <c r="M12" t="s">
        <v>9</v>
      </c>
      <c r="N12">
        <v>0.15087532234445589</v>
      </c>
      <c r="P12">
        <v>2020</v>
      </c>
      <c r="Q12" t="s">
        <v>180</v>
      </c>
      <c r="R12">
        <v>0</v>
      </c>
      <c r="S12" t="s">
        <v>179</v>
      </c>
    </row>
    <row r="13" spans="1:19" x14ac:dyDescent="0.45">
      <c r="C13">
        <v>0.25068493150684934</v>
      </c>
      <c r="D13">
        <v>0.13721701514059123</v>
      </c>
      <c r="E13" t="s">
        <v>10</v>
      </c>
      <c r="F13" t="s">
        <v>175</v>
      </c>
      <c r="H13" t="s">
        <v>176</v>
      </c>
      <c r="I13" t="s">
        <v>10</v>
      </c>
      <c r="L13" t="s">
        <v>177</v>
      </c>
      <c r="M13" t="s">
        <v>10</v>
      </c>
      <c r="N13">
        <v>0.38474164255419452</v>
      </c>
      <c r="P13">
        <v>2021</v>
      </c>
      <c r="Q13" t="s">
        <v>178</v>
      </c>
      <c r="R13">
        <v>0.22586666666666669</v>
      </c>
      <c r="S13" t="s">
        <v>179</v>
      </c>
    </row>
    <row r="14" spans="1:19" x14ac:dyDescent="0.45">
      <c r="C14">
        <v>0.25068493150684934</v>
      </c>
      <c r="D14">
        <v>0.36415284787310753</v>
      </c>
      <c r="E14" t="s">
        <v>11</v>
      </c>
      <c r="F14" t="s">
        <v>175</v>
      </c>
      <c r="H14" t="s">
        <v>176</v>
      </c>
      <c r="I14" t="s">
        <v>11</v>
      </c>
      <c r="L14" t="s">
        <v>177</v>
      </c>
      <c r="M14" t="s">
        <v>11</v>
      </c>
      <c r="N14">
        <v>0.21572922175787834</v>
      </c>
      <c r="P14">
        <v>2021</v>
      </c>
      <c r="Q14" t="s">
        <v>180</v>
      </c>
      <c r="R14">
        <v>0.16986666666666669</v>
      </c>
      <c r="S14" t="s">
        <v>179</v>
      </c>
    </row>
    <row r="15" spans="1:19" x14ac:dyDescent="0.45">
      <c r="H15" t="s">
        <v>181</v>
      </c>
      <c r="I15" t="s">
        <v>5</v>
      </c>
      <c r="P15">
        <v>2022</v>
      </c>
      <c r="Q15" t="s">
        <v>178</v>
      </c>
      <c r="R15">
        <v>0.23186666666666667</v>
      </c>
      <c r="S15" t="s">
        <v>179</v>
      </c>
    </row>
    <row r="16" spans="1:19" x14ac:dyDescent="0.45">
      <c r="H16" t="s">
        <v>181</v>
      </c>
      <c r="I16" t="s">
        <v>9</v>
      </c>
      <c r="P16">
        <v>2022</v>
      </c>
      <c r="Q16" t="s">
        <v>180</v>
      </c>
      <c r="R16">
        <v>0</v>
      </c>
      <c r="S16" t="s">
        <v>179</v>
      </c>
    </row>
    <row r="17" spans="8:19" x14ac:dyDescent="0.45">
      <c r="H17" t="s">
        <v>181</v>
      </c>
      <c r="I17" t="s">
        <v>10</v>
      </c>
      <c r="P17">
        <v>2025</v>
      </c>
      <c r="Q17" t="s">
        <v>178</v>
      </c>
      <c r="R17">
        <v>0.41</v>
      </c>
      <c r="S17" t="s">
        <v>179</v>
      </c>
    </row>
    <row r="18" spans="8:19" x14ac:dyDescent="0.45">
      <c r="H18" t="s">
        <v>181</v>
      </c>
      <c r="I18" t="s">
        <v>11</v>
      </c>
      <c r="P18">
        <v>2025</v>
      </c>
      <c r="Q18" t="s">
        <v>180</v>
      </c>
      <c r="R18">
        <v>0.11761666666666669</v>
      </c>
      <c r="S18" t="s">
        <v>179</v>
      </c>
    </row>
    <row r="19" spans="8:19" x14ac:dyDescent="0.45">
      <c r="P19">
        <v>2026</v>
      </c>
      <c r="Q19" t="s">
        <v>178</v>
      </c>
      <c r="R19">
        <v>0.36921666666666669</v>
      </c>
      <c r="S19" t="s">
        <v>179</v>
      </c>
    </row>
    <row r="20" spans="8:19" x14ac:dyDescent="0.45">
      <c r="P20">
        <v>2026</v>
      </c>
      <c r="Q20" t="s">
        <v>180</v>
      </c>
      <c r="R20">
        <v>0.115</v>
      </c>
      <c r="S20" t="s">
        <v>179</v>
      </c>
    </row>
    <row r="21" spans="8:19" x14ac:dyDescent="0.45">
      <c r="P21">
        <v>2027</v>
      </c>
      <c r="Q21" t="s">
        <v>178</v>
      </c>
      <c r="R21">
        <v>0.37931666666666669</v>
      </c>
      <c r="S21" t="s">
        <v>179</v>
      </c>
    </row>
    <row r="22" spans="8:19" x14ac:dyDescent="0.45">
      <c r="P22">
        <v>2027</v>
      </c>
      <c r="Q22" t="s">
        <v>180</v>
      </c>
      <c r="R22">
        <v>8.3883333333333324E-2</v>
      </c>
      <c r="S22" t="s">
        <v>179</v>
      </c>
    </row>
    <row r="23" spans="8:19" x14ac:dyDescent="0.45">
      <c r="P23">
        <v>2028</v>
      </c>
      <c r="Q23" t="s">
        <v>178</v>
      </c>
      <c r="R23">
        <v>0.48060000000000008</v>
      </c>
      <c r="S23" t="s">
        <v>179</v>
      </c>
    </row>
    <row r="24" spans="8:19" x14ac:dyDescent="0.45">
      <c r="P24">
        <v>2028</v>
      </c>
      <c r="Q24" t="s">
        <v>180</v>
      </c>
      <c r="R24">
        <v>0.14550000000000005</v>
      </c>
      <c r="S24" t="s">
        <v>179</v>
      </c>
    </row>
    <row r="25" spans="8:19" x14ac:dyDescent="0.45">
      <c r="P25">
        <v>2029</v>
      </c>
      <c r="Q25" t="s">
        <v>178</v>
      </c>
      <c r="R25">
        <v>0.50041666666666662</v>
      </c>
      <c r="S25" t="s">
        <v>179</v>
      </c>
    </row>
    <row r="26" spans="8:19" x14ac:dyDescent="0.45">
      <c r="P26">
        <v>2029</v>
      </c>
      <c r="Q26" t="s">
        <v>180</v>
      </c>
      <c r="R26">
        <v>0.12520000000000001</v>
      </c>
      <c r="S26" t="s">
        <v>179</v>
      </c>
    </row>
    <row r="27" spans="8:19" x14ac:dyDescent="0.45">
      <c r="P27">
        <v>2030</v>
      </c>
      <c r="Q27" t="s">
        <v>178</v>
      </c>
      <c r="R27">
        <v>0.4802833333333334</v>
      </c>
      <c r="S27" t="s">
        <v>179</v>
      </c>
    </row>
    <row r="28" spans="8:19" x14ac:dyDescent="0.45">
      <c r="P28">
        <v>2030</v>
      </c>
      <c r="Q28" t="s">
        <v>180</v>
      </c>
      <c r="R28">
        <v>0.10156666666666665</v>
      </c>
      <c r="S28" t="s">
        <v>179</v>
      </c>
    </row>
    <row r="29" spans="8:19" x14ac:dyDescent="0.45">
      <c r="P29">
        <v>2031</v>
      </c>
      <c r="Q29" t="s">
        <v>178</v>
      </c>
      <c r="R29">
        <v>0.46164999999999995</v>
      </c>
      <c r="S29" t="s">
        <v>179</v>
      </c>
    </row>
    <row r="30" spans="8:19" x14ac:dyDescent="0.45">
      <c r="P30">
        <v>2031</v>
      </c>
      <c r="Q30" t="s">
        <v>180</v>
      </c>
      <c r="R30">
        <v>0.10704999999999999</v>
      </c>
      <c r="S30" t="s">
        <v>179</v>
      </c>
    </row>
    <row r="31" spans="8:19" x14ac:dyDescent="0.45">
      <c r="P31">
        <v>2032</v>
      </c>
      <c r="Q31" t="s">
        <v>178</v>
      </c>
      <c r="R31">
        <v>0.45688333333333336</v>
      </c>
      <c r="S31" t="s">
        <v>179</v>
      </c>
    </row>
    <row r="32" spans="8:19" x14ac:dyDescent="0.45">
      <c r="P32">
        <v>2032</v>
      </c>
      <c r="Q32" t="s">
        <v>180</v>
      </c>
      <c r="R32">
        <v>0.16228333333333336</v>
      </c>
      <c r="S32" t="s">
        <v>179</v>
      </c>
    </row>
    <row r="33" spans="16:19" x14ac:dyDescent="0.45">
      <c r="P33">
        <v>2033</v>
      </c>
      <c r="Q33" t="s">
        <v>178</v>
      </c>
      <c r="R33">
        <v>0.48805000000000004</v>
      </c>
      <c r="S33" t="s">
        <v>179</v>
      </c>
    </row>
    <row r="34" spans="16:19" x14ac:dyDescent="0.45">
      <c r="P34">
        <v>2033</v>
      </c>
      <c r="Q34" t="s">
        <v>180</v>
      </c>
      <c r="R34">
        <v>0.12611666666666668</v>
      </c>
      <c r="S34" t="s">
        <v>179</v>
      </c>
    </row>
    <row r="35" spans="16:19" x14ac:dyDescent="0.45">
      <c r="P35">
        <v>2034</v>
      </c>
      <c r="Q35" t="s">
        <v>178</v>
      </c>
      <c r="R35">
        <v>0.3935833333333334</v>
      </c>
      <c r="S35" t="s">
        <v>179</v>
      </c>
    </row>
    <row r="36" spans="16:19" x14ac:dyDescent="0.45">
      <c r="P36">
        <v>2034</v>
      </c>
      <c r="Q36" t="s">
        <v>180</v>
      </c>
      <c r="R36">
        <v>0.13281666666666669</v>
      </c>
      <c r="S36" t="s">
        <v>179</v>
      </c>
    </row>
    <row r="37" spans="16:19" x14ac:dyDescent="0.45">
      <c r="P37">
        <v>2035</v>
      </c>
      <c r="Q37" t="s">
        <v>178</v>
      </c>
      <c r="R37">
        <v>0.42278333333333329</v>
      </c>
      <c r="S37" t="s">
        <v>179</v>
      </c>
    </row>
    <row r="38" spans="16:19" x14ac:dyDescent="0.45">
      <c r="P38">
        <v>2035</v>
      </c>
      <c r="Q38" t="s">
        <v>180</v>
      </c>
      <c r="R38">
        <v>0.11691666666666668</v>
      </c>
      <c r="S38" t="s">
        <v>179</v>
      </c>
    </row>
    <row r="39" spans="16:19" x14ac:dyDescent="0.45">
      <c r="P39">
        <v>2036</v>
      </c>
      <c r="Q39" t="s">
        <v>178</v>
      </c>
      <c r="R39">
        <v>0.41678333333333334</v>
      </c>
      <c r="S39" t="s">
        <v>179</v>
      </c>
    </row>
    <row r="40" spans="16:19" x14ac:dyDescent="0.45">
      <c r="P40">
        <v>2036</v>
      </c>
      <c r="Q40" t="s">
        <v>180</v>
      </c>
      <c r="R40">
        <v>0.10730000000000001</v>
      </c>
      <c r="S40" t="s">
        <v>179</v>
      </c>
    </row>
    <row r="41" spans="16:19" x14ac:dyDescent="0.45">
      <c r="P41">
        <v>2037</v>
      </c>
      <c r="Q41" t="s">
        <v>178</v>
      </c>
      <c r="R41">
        <v>0.4662</v>
      </c>
      <c r="S41" t="s">
        <v>179</v>
      </c>
    </row>
    <row r="42" spans="16:19" x14ac:dyDescent="0.45">
      <c r="P42">
        <v>2037</v>
      </c>
      <c r="Q42" t="s">
        <v>180</v>
      </c>
      <c r="R42">
        <v>0.12263333333333332</v>
      </c>
      <c r="S42" t="s">
        <v>179</v>
      </c>
    </row>
    <row r="43" spans="16:19" x14ac:dyDescent="0.45">
      <c r="P43">
        <v>2038</v>
      </c>
      <c r="Q43" t="s">
        <v>178</v>
      </c>
      <c r="R43">
        <v>0.42981666666666668</v>
      </c>
      <c r="S43" t="s">
        <v>179</v>
      </c>
    </row>
    <row r="44" spans="16:19" x14ac:dyDescent="0.45">
      <c r="P44">
        <v>2038</v>
      </c>
      <c r="Q44" t="s">
        <v>180</v>
      </c>
      <c r="R44">
        <v>6.2933333333333327E-2</v>
      </c>
      <c r="S44" t="s">
        <v>179</v>
      </c>
    </row>
    <row r="45" spans="16:19" x14ac:dyDescent="0.45">
      <c r="P45">
        <v>2039</v>
      </c>
      <c r="Q45" t="s">
        <v>178</v>
      </c>
      <c r="R45">
        <v>0.35816666666666669</v>
      </c>
      <c r="S45" t="s">
        <v>179</v>
      </c>
    </row>
    <row r="46" spans="16:19" x14ac:dyDescent="0.45">
      <c r="P46">
        <v>2039</v>
      </c>
      <c r="Q46" t="s">
        <v>180</v>
      </c>
      <c r="R46">
        <v>0.13058333333333336</v>
      </c>
      <c r="S46" t="s">
        <v>179</v>
      </c>
    </row>
    <row r="47" spans="16:19" x14ac:dyDescent="0.45">
      <c r="P47">
        <v>2040</v>
      </c>
      <c r="Q47" t="s">
        <v>178</v>
      </c>
      <c r="R47">
        <v>0.40495000000000009</v>
      </c>
      <c r="S47" t="s">
        <v>179</v>
      </c>
    </row>
    <row r="48" spans="16:19" x14ac:dyDescent="0.45">
      <c r="P48">
        <v>2040</v>
      </c>
      <c r="Q48" t="s">
        <v>180</v>
      </c>
      <c r="R48">
        <v>0.10343333333333336</v>
      </c>
      <c r="S48" t="s">
        <v>179</v>
      </c>
    </row>
    <row r="49" spans="16:19" x14ac:dyDescent="0.45">
      <c r="P49">
        <v>2041</v>
      </c>
      <c r="Q49" t="s">
        <v>178</v>
      </c>
      <c r="R49">
        <v>0.39040000000000002</v>
      </c>
      <c r="S49" t="s">
        <v>179</v>
      </c>
    </row>
    <row r="50" spans="16:19" x14ac:dyDescent="0.45">
      <c r="P50">
        <v>2041</v>
      </c>
      <c r="Q50" t="s">
        <v>180</v>
      </c>
      <c r="R50">
        <v>8.8733333333333331E-2</v>
      </c>
      <c r="S50" t="s">
        <v>179</v>
      </c>
    </row>
    <row r="51" spans="16:19" x14ac:dyDescent="0.45">
      <c r="P51">
        <v>2042</v>
      </c>
      <c r="Q51" t="s">
        <v>178</v>
      </c>
      <c r="R51">
        <v>0.39626666666666671</v>
      </c>
      <c r="S51" t="s">
        <v>179</v>
      </c>
    </row>
    <row r="52" spans="16:19" x14ac:dyDescent="0.45">
      <c r="P52">
        <v>2042</v>
      </c>
      <c r="Q52" t="s">
        <v>180</v>
      </c>
      <c r="R52">
        <v>0.12691666666666665</v>
      </c>
      <c r="S52" t="s">
        <v>179</v>
      </c>
    </row>
    <row r="53" spans="16:19" x14ac:dyDescent="0.45">
      <c r="P53">
        <v>2043</v>
      </c>
      <c r="Q53" t="s">
        <v>178</v>
      </c>
      <c r="R53">
        <v>0.47873333333333329</v>
      </c>
      <c r="S53" t="s">
        <v>179</v>
      </c>
    </row>
    <row r="54" spans="16:19" x14ac:dyDescent="0.45">
      <c r="P54">
        <v>2043</v>
      </c>
      <c r="Q54" t="s">
        <v>180</v>
      </c>
      <c r="R54">
        <v>9.2399999999999996E-2</v>
      </c>
      <c r="S54" t="s">
        <v>179</v>
      </c>
    </row>
    <row r="55" spans="16:19" x14ac:dyDescent="0.45">
      <c r="P55">
        <v>2044</v>
      </c>
      <c r="Q55" t="s">
        <v>178</v>
      </c>
      <c r="R55">
        <v>0.37184999999999996</v>
      </c>
      <c r="S55" t="s">
        <v>179</v>
      </c>
    </row>
    <row r="56" spans="16:19" x14ac:dyDescent="0.45">
      <c r="P56">
        <v>2044</v>
      </c>
      <c r="Q56" t="s">
        <v>180</v>
      </c>
      <c r="R56">
        <v>0.12590000000000001</v>
      </c>
      <c r="S56" t="s">
        <v>179</v>
      </c>
    </row>
    <row r="57" spans="16:19" x14ac:dyDescent="0.45">
      <c r="P57">
        <v>2045</v>
      </c>
      <c r="Q57" t="s">
        <v>178</v>
      </c>
      <c r="R57">
        <v>0.41640000000000005</v>
      </c>
      <c r="S57" t="s">
        <v>179</v>
      </c>
    </row>
    <row r="58" spans="16:19" x14ac:dyDescent="0.45">
      <c r="P58">
        <v>2045</v>
      </c>
      <c r="Q58" t="s">
        <v>180</v>
      </c>
      <c r="R58">
        <v>0.12138333333333334</v>
      </c>
      <c r="S58" t="s">
        <v>179</v>
      </c>
    </row>
    <row r="59" spans="16:19" x14ac:dyDescent="0.45">
      <c r="P59">
        <v>2046</v>
      </c>
      <c r="Q59" t="s">
        <v>178</v>
      </c>
      <c r="R59">
        <v>0.44656666666666672</v>
      </c>
      <c r="S59" t="s">
        <v>179</v>
      </c>
    </row>
    <row r="60" spans="16:19" x14ac:dyDescent="0.45">
      <c r="P60">
        <v>2046</v>
      </c>
      <c r="Q60" t="s">
        <v>180</v>
      </c>
      <c r="R60">
        <v>0.14016666666666669</v>
      </c>
      <c r="S60" t="s">
        <v>179</v>
      </c>
    </row>
    <row r="61" spans="16:19" x14ac:dyDescent="0.45">
      <c r="P61">
        <v>2047</v>
      </c>
      <c r="Q61" t="s">
        <v>178</v>
      </c>
      <c r="R61">
        <v>0.38093333333333335</v>
      </c>
      <c r="S61" t="s">
        <v>179</v>
      </c>
    </row>
    <row r="62" spans="16:19" x14ac:dyDescent="0.45">
      <c r="P62">
        <v>2047</v>
      </c>
      <c r="Q62" t="s">
        <v>180</v>
      </c>
      <c r="R62">
        <v>0.14738333333333334</v>
      </c>
      <c r="S62" t="s">
        <v>179</v>
      </c>
    </row>
    <row r="63" spans="16:19" x14ac:dyDescent="0.45">
      <c r="P63">
        <v>2048</v>
      </c>
      <c r="Q63" t="s">
        <v>178</v>
      </c>
      <c r="R63">
        <v>0.44921666666666665</v>
      </c>
      <c r="S63" t="s">
        <v>179</v>
      </c>
    </row>
    <row r="64" spans="16:19" x14ac:dyDescent="0.45">
      <c r="P64">
        <v>2048</v>
      </c>
      <c r="Q64" t="s">
        <v>180</v>
      </c>
      <c r="R64">
        <v>0.10506666666666668</v>
      </c>
      <c r="S64" t="s">
        <v>179</v>
      </c>
    </row>
    <row r="65" spans="16:19" x14ac:dyDescent="0.45">
      <c r="P65">
        <v>2049</v>
      </c>
      <c r="Q65" t="s">
        <v>178</v>
      </c>
      <c r="R65">
        <v>0.44334999999999997</v>
      </c>
      <c r="S65" t="s">
        <v>179</v>
      </c>
    </row>
    <row r="66" spans="16:19" x14ac:dyDescent="0.45">
      <c r="P66">
        <v>2049</v>
      </c>
      <c r="Q66" t="s">
        <v>180</v>
      </c>
      <c r="R66">
        <v>0.13301666666666667</v>
      </c>
      <c r="S66" t="s">
        <v>179</v>
      </c>
    </row>
    <row r="67" spans="16:19" x14ac:dyDescent="0.45">
      <c r="P67">
        <v>2050</v>
      </c>
      <c r="Q67" t="s">
        <v>178</v>
      </c>
      <c r="R67">
        <v>0.39901666666666663</v>
      </c>
      <c r="S67" t="s">
        <v>179</v>
      </c>
    </row>
    <row r="68" spans="16:19" x14ac:dyDescent="0.45">
      <c r="P68">
        <v>2050</v>
      </c>
      <c r="Q68" t="s">
        <v>180</v>
      </c>
      <c r="R68">
        <v>0.11551666666666667</v>
      </c>
      <c r="S68" t="s">
        <v>179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39CE-8038-4D02-8DEC-1A4072494D4B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">
        <v>169</v>
      </c>
      <c r="B10" s="1"/>
      <c r="C10" s="1" t="s">
        <v>832</v>
      </c>
      <c r="D10" t="s">
        <v>169</v>
      </c>
    </row>
    <row r="11" spans="1:4" x14ac:dyDescent="0.45">
      <c r="B11" s="1"/>
      <c r="C11" s="1" t="s">
        <v>833</v>
      </c>
      <c r="D11" t="s">
        <v>834</v>
      </c>
    </row>
    <row r="12" spans="1:4" x14ac:dyDescent="0.45">
      <c r="B12" s="1"/>
      <c r="C12" s="1" t="s">
        <v>835</v>
      </c>
      <c r="D12" t="s">
        <v>836</v>
      </c>
    </row>
    <row r="17" spans="3:14" x14ac:dyDescent="0.45">
      <c r="I17" s="2">
        <v>0.75</v>
      </c>
      <c r="K17" s="3" t="s">
        <v>837</v>
      </c>
    </row>
    <row r="18" spans="3:14" ht="17.25" thickBot="1" x14ac:dyDescent="0.55000000000000004">
      <c r="C18" s="4" t="s">
        <v>838</v>
      </c>
    </row>
    <row r="19" spans="3:14" ht="14.65" thickTop="1" x14ac:dyDescent="0.45"/>
    <row r="21" spans="3:14" ht="17.25" thickBot="1" x14ac:dyDescent="0.55000000000000004">
      <c r="H21" s="4" t="str">
        <f>IF(H23=H24,"Not Required!","~UC_T: LO")</f>
        <v>~UC_T: LO</v>
      </c>
    </row>
    <row r="22" spans="3:14" ht="15" thickTop="1" thickBot="1" x14ac:dyDescent="0.5">
      <c r="C22" s="5" t="s">
        <v>839</v>
      </c>
      <c r="D22" s="5" t="s">
        <v>840</v>
      </c>
      <c r="E22" s="5" t="s">
        <v>841</v>
      </c>
      <c r="F22" s="5" t="s">
        <v>842</v>
      </c>
      <c r="G22" s="5" t="s">
        <v>843</v>
      </c>
      <c r="H22" s="5" t="s">
        <v>844</v>
      </c>
      <c r="I22" s="5" t="s">
        <v>845</v>
      </c>
      <c r="J22" s="5" t="s">
        <v>846</v>
      </c>
      <c r="K22" s="5" t="s">
        <v>847</v>
      </c>
    </row>
    <row r="23" spans="3:14" x14ac:dyDescent="0.45">
      <c r="C23" t="s">
        <v>848</v>
      </c>
      <c r="D23" t="s">
        <v>177</v>
      </c>
      <c r="E23" t="str">
        <f>G23</f>
        <v>AuxStoIN</v>
      </c>
      <c r="F23" t="s">
        <v>849</v>
      </c>
      <c r="G23" t="s">
        <v>850</v>
      </c>
      <c r="H23" t="str">
        <f>HLOOKUP($A$10,$D$10:$CU$12,3,FALSE)</f>
        <v>S1aH1,S2aH1</v>
      </c>
      <c r="I23">
        <f>1+I24</f>
        <v>0.25</v>
      </c>
      <c r="J23">
        <v>0</v>
      </c>
      <c r="K23">
        <v>3</v>
      </c>
      <c r="M23" t="s">
        <v>851</v>
      </c>
    </row>
    <row r="24" spans="3:14" x14ac:dyDescent="0.45">
      <c r="D24" t="s">
        <v>177</v>
      </c>
      <c r="E24" t="str">
        <f>G24</f>
        <v>AuxStoIN</v>
      </c>
      <c r="F24" t="s">
        <v>849</v>
      </c>
      <c r="G24" t="s">
        <v>850</v>
      </c>
      <c r="H24" t="str">
        <f>HLOOKUP($A$10,$D$10:$CU$12,2,FALSE)</f>
        <v>S1aH2,S2aH2</v>
      </c>
      <c r="I24">
        <f>-$I$17</f>
        <v>-0.75</v>
      </c>
      <c r="M24" t="s">
        <v>852</v>
      </c>
    </row>
    <row r="29" spans="3:14" ht="17.25" thickBot="1" x14ac:dyDescent="0.55000000000000004">
      <c r="I29" s="4" t="s">
        <v>853</v>
      </c>
    </row>
    <row r="30" spans="3:14" ht="15" thickTop="1" thickBot="1" x14ac:dyDescent="0.5">
      <c r="C30" s="5" t="s">
        <v>839</v>
      </c>
      <c r="D30" s="5" t="s">
        <v>854</v>
      </c>
      <c r="E30" s="5" t="s">
        <v>855</v>
      </c>
      <c r="F30" s="5" t="s">
        <v>840</v>
      </c>
      <c r="G30" s="5" t="s">
        <v>856</v>
      </c>
      <c r="H30" s="5" t="s">
        <v>843</v>
      </c>
      <c r="I30" s="5" t="s">
        <v>844</v>
      </c>
      <c r="J30" s="5" t="s">
        <v>857</v>
      </c>
      <c r="K30" s="5" t="s">
        <v>858</v>
      </c>
      <c r="L30" s="5" t="s">
        <v>859</v>
      </c>
      <c r="M30" s="5" t="s">
        <v>860</v>
      </c>
      <c r="N30" s="5" t="s">
        <v>861</v>
      </c>
    </row>
    <row r="31" spans="3:14" x14ac:dyDescent="0.45">
      <c r="C31" t="s">
        <v>862</v>
      </c>
      <c r="D31" t="s">
        <v>863</v>
      </c>
      <c r="F31" t="s">
        <v>864</v>
      </c>
      <c r="I31" t="s">
        <v>865</v>
      </c>
      <c r="J31">
        <v>1</v>
      </c>
      <c r="L31">
        <v>0</v>
      </c>
      <c r="M31">
        <v>5</v>
      </c>
      <c r="N31" t="s">
        <v>866</v>
      </c>
    </row>
    <row r="32" spans="3:14" x14ac:dyDescent="0.45">
      <c r="H32" t="s">
        <v>87</v>
      </c>
      <c r="I32" t="s">
        <v>865</v>
      </c>
      <c r="K32">
        <v>-1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2B6A-CB25-49D5-832F-48C41FFBDB2D}">
  <dimension ref="A9:G12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169</v>
      </c>
      <c r="C10" t="s">
        <v>867</v>
      </c>
      <c r="D10" t="s">
        <v>868</v>
      </c>
      <c r="E10" t="s">
        <v>869</v>
      </c>
      <c r="F10" t="s">
        <v>870</v>
      </c>
      <c r="G10" t="s">
        <v>871</v>
      </c>
    </row>
    <row r="11" spans="1:7" x14ac:dyDescent="0.45">
      <c r="C11" t="s">
        <v>178</v>
      </c>
      <c r="D11" t="s">
        <v>872</v>
      </c>
      <c r="E11" t="s">
        <v>873</v>
      </c>
      <c r="F11" t="s">
        <v>874</v>
      </c>
      <c r="G11" t="s">
        <v>872</v>
      </c>
    </row>
    <row r="12" spans="1:7" x14ac:dyDescent="0.45">
      <c r="C12" t="s">
        <v>180</v>
      </c>
      <c r="E12" t="s">
        <v>875</v>
      </c>
      <c r="G12" t="s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resource_profiles_FRA</vt:lpstr>
      <vt:lpstr>firmness_FRA</vt:lpstr>
      <vt:lpstr>load_demand_peak_hydro_FRA</vt:lpstr>
      <vt:lpstr>resource_profiles_GBR</vt:lpstr>
      <vt:lpstr>firmness_GBR</vt:lpstr>
      <vt:lpstr>load_demand_peak_hydro_GBR</vt:lpstr>
      <vt:lpstr>resource_profiles_BEL</vt:lpstr>
      <vt:lpstr>firmness_BEL</vt:lpstr>
      <vt:lpstr>load_demand_peak_hydro_BEL</vt:lpstr>
      <vt:lpstr>resource_profiles_DEU</vt:lpstr>
      <vt:lpstr>firmness_DEU</vt:lpstr>
      <vt:lpstr>load_demand_peak_hydro_DEU</vt:lpstr>
      <vt:lpstr>resource_profiles_CHE</vt:lpstr>
      <vt:lpstr>firmness_CHE</vt:lpstr>
      <vt:lpstr>load_demand_peak_hydro_CHE</vt:lpstr>
      <vt:lpstr>resource_profiles_ITA</vt:lpstr>
      <vt:lpstr>firmness_ITA</vt:lpstr>
      <vt:lpstr>load_demand_peak_hydro_ITA</vt:lpstr>
      <vt:lpstr>resource_profiles_ESP</vt:lpstr>
      <vt:lpstr>firmness_ESP</vt:lpstr>
      <vt:lpstr>load_demand_peak_hydro_ESP</vt:lpstr>
      <vt:lpstr>resource_profiles_NLD</vt:lpstr>
      <vt:lpstr>firmness_NLD</vt:lpstr>
      <vt:lpstr>load_demand_peak_hydro_NLD</vt:lpstr>
      <vt:lpstr>ev_charging_uc</vt:lpstr>
      <vt:lpstr>timeslice_def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2026-08-29T13:06:51Z</dcterms:created>
  <dcterms:modified xsi:type="dcterms:W3CDTF">2026-08-29T13:07:05Z</dcterms:modified>
</cp:coreProperties>
</file>